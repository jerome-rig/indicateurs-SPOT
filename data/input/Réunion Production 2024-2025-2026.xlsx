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printerSettings/printerSettings1.bin" ContentType="application/vnd.openxmlformats-officedocument.spreadsheetml.printerSettings"/>
  <Override PartName="/xl/drawings/drawing2.xml" ContentType="application/vnd.openxmlformats-officedocument.drawing+xml"/>
  <Override PartName="/xl/printerSettings/printerSettings2.bin" ContentType="application/vnd.openxmlformats-officedocument.spreadsheetml.printerSettings"/>
  <Override PartName="/xl/drawings/drawing3.xml" ContentType="application/vnd.openxmlformats-officedocument.drawing+xml"/>
  <Override PartName="/xl/namedSheetViews/namedSheetView1.xml" ContentType="application/vnd.ms-excel.namedsheetviews+xml"/>
  <Override PartName="/xl/pivotTables/pivotTable1.xml" ContentType="application/vnd.openxmlformats-officedocument.spreadsheetml.pivotTable+xml"/>
  <Override PartName="/xl/tables/table1.xml" ContentType="application/vnd.openxmlformats-officedocument.spreadsheetml.table+xml"/>
  <Override PartName="/xl/printerSettings/printerSettings3.bin" ContentType="application/vnd.openxmlformats-officedocument.spreadsheetml.printerSettings"/>
  <Override PartName="/xl/comments1.xml" ContentType="application/vnd.openxmlformats-officedocument.spreadsheetml.comments+xml"/>
  <Override PartName="/xl/threadedComments/threadedComment1.xml" ContentType="application/vnd.ms-excel.threadedcomments+xml"/>
  <Override PartName="/xl/namedSheetViews/namedSheetView2.xml" ContentType="application/vnd.ms-excel.namedsheetviews+xml"/>
  <Override PartName="/xl/printerSettings/printerSettings4.bin" ContentType="application/vnd.openxmlformats-officedocument.spreadsheetml.printerSettings"/>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vincic.sharepoint.com/sites/PCfichierspartags/Documents partages/General/03- Spot/02- Reunion SPOT/"/>
    </mc:Choice>
  </mc:AlternateContent>
  <xr:revisionPtr revIDLastSave="11650" documentId="8_{424599C7-3A8D-4F0B-B7A5-8F4F7AA12CEF}" xr6:coauthVersionLast="47" xr6:coauthVersionMax="47" xr10:uidLastSave="{D99FDCE4-AAB0-43CC-97F6-971AD47866B7}"/>
  <bookViews>
    <workbookView xWindow="-23148" yWindow="2712" windowWidth="23256" windowHeight="13896" activeTab="6" xr2:uid="{A4B53FC2-CBFC-47E5-AD3D-BE9E15851719}"/>
  </bookViews>
  <sheets>
    <sheet name="Graphique1" sheetId="59" r:id="rId1"/>
    <sheet name="Feuil4" sheetId="61" r:id="rId2"/>
    <sheet name="2026" sheetId="60" r:id="rId3"/>
    <sheet name="2025" sheetId="56" r:id="rId4"/>
    <sheet name="Feuil3" sheetId="58" r:id="rId5"/>
    <sheet name="Feuil2" sheetId="57" r:id="rId6"/>
    <sheet name="2024" sheetId="1" r:id="rId7"/>
    <sheet name="Feuil1" sheetId="53" r:id="rId8"/>
    <sheet name="CR  (2)" sheetId="51" r:id="rId9"/>
    <sheet name="Indicateur" sheetId="52" r:id="rId10"/>
    <sheet name="Motifs" sheetId="42" r:id="rId11"/>
  </sheets>
  <definedNames>
    <definedName name="_xlnm._FilterDatabase" localSheetId="6" hidden="1">'2024'!$A$3:$W$1999</definedName>
    <definedName name="_xlnm._FilterDatabase" localSheetId="3" hidden="1">'2025'!$A$3:$KF$2292</definedName>
    <definedName name="_xlnm._FilterDatabase" localSheetId="2" hidden="1">'2026'!$A$3:$KG$774</definedName>
    <definedName name="_xlnm._FilterDatabase" localSheetId="10" hidden="1">Motifs!$H$2:$H$10</definedName>
    <definedName name="agences" localSheetId="3">Tableau2[OTP /Agences]</definedName>
    <definedName name="agences" localSheetId="2">Tableau2[OTP /Agences]</definedName>
    <definedName name="agences">Tableau2[OTP /Agences]</definedName>
    <definedName name="cause">Motifs!$C$3:$C$7</definedName>
    <definedName name="Chantier">Motifs!$H$3:$H$9</definedName>
    <definedName name="Client">Motifs!$E$3:$E$16</definedName>
    <definedName name="Externe" localSheetId="3">Tableau6[[#All],[Externe]]</definedName>
    <definedName name="Externe" localSheetId="2">Tableau6[[#All],[Externe]]</definedName>
    <definedName name="Externe">Tableau6[[#All],[Externe]]</definedName>
    <definedName name="Feroway">Motifs!$F$3:$F$20</definedName>
    <definedName name="G.I">Motifs!$D$3:$D$10</definedName>
  </definedNames>
  <calcPr calcId="191028"/>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5" i="60" l="1"/>
  <c r="C74" i="60"/>
  <c r="C73" i="60"/>
  <c r="C72" i="60"/>
  <c r="C71" i="60"/>
  <c r="C70" i="60"/>
  <c r="C67" i="60"/>
  <c r="C57" i="60"/>
  <c r="C47" i="60"/>
  <c r="C37" i="60"/>
  <c r="C27" i="60"/>
  <c r="C17" i="60"/>
  <c r="X179" i="60" a="1"/>
  <c r="X179" i="60" s="1"/>
  <c r="C69" i="60"/>
  <c r="C68" i="60"/>
  <c r="C66" i="60"/>
  <c r="C65" i="60"/>
  <c r="C64" i="60"/>
  <c r="C63" i="60"/>
  <c r="C62" i="60"/>
  <c r="C61" i="60"/>
  <c r="C60" i="60"/>
  <c r="C59" i="60"/>
  <c r="C58" i="60"/>
  <c r="C56" i="60"/>
  <c r="C55" i="60"/>
  <c r="C54" i="60"/>
  <c r="C53" i="60"/>
  <c r="C52" i="60"/>
  <c r="C51" i="60"/>
  <c r="C50" i="60"/>
  <c r="C49" i="60"/>
  <c r="C48" i="60"/>
  <c r="C46" i="60"/>
  <c r="C45" i="60"/>
  <c r="C44" i="60"/>
  <c r="C43" i="60"/>
  <c r="C42" i="60"/>
  <c r="C41" i="60"/>
  <c r="C40" i="60"/>
  <c r="C39" i="60"/>
  <c r="C38" i="60"/>
  <c r="C36" i="60"/>
  <c r="C35" i="60"/>
  <c r="C34" i="60"/>
  <c r="C33" i="60"/>
  <c r="C32" i="60"/>
  <c r="C31" i="60"/>
  <c r="C30" i="60"/>
  <c r="C29" i="60"/>
  <c r="C28" i="60"/>
  <c r="C26" i="60"/>
  <c r="C25" i="60"/>
  <c r="C24" i="60"/>
  <c r="C23" i="60"/>
  <c r="C22" i="60"/>
  <c r="C21" i="60"/>
  <c r="C20" i="60"/>
  <c r="C19" i="60"/>
  <c r="C18" i="60"/>
  <c r="C16" i="60"/>
  <c r="C15" i="60"/>
  <c r="C14" i="60"/>
  <c r="C13" i="60"/>
  <c r="C17" i="56"/>
  <c r="C18" i="56"/>
  <c r="C33" i="56"/>
  <c r="C27" i="57"/>
  <c r="C26" i="57"/>
  <c r="C25" i="57"/>
  <c r="C24" i="57"/>
  <c r="C23" i="57"/>
  <c r="C22" i="57"/>
  <c r="C21" i="57"/>
  <c r="C20" i="57"/>
  <c r="C19" i="57"/>
  <c r="C18" i="57"/>
  <c r="C17" i="57"/>
  <c r="C16" i="57"/>
  <c r="C15" i="57"/>
  <c r="C14" i="57"/>
  <c r="C13" i="57"/>
  <c r="C12" i="57"/>
  <c r="C11" i="57"/>
  <c r="C10" i="57"/>
  <c r="C9" i="57"/>
  <c r="C8" i="57"/>
  <c r="C7" i="57"/>
  <c r="C6" i="57"/>
  <c r="C5" i="57"/>
  <c r="C4" i="57"/>
  <c r="C3" i="57"/>
  <c r="C2" i="57"/>
  <c r="C120" i="56"/>
  <c r="C122" i="56"/>
  <c r="C121" i="56"/>
  <c r="C119" i="56"/>
  <c r="C118" i="56"/>
  <c r="C117" i="56"/>
  <c r="C116" i="56"/>
  <c r="C115" i="56"/>
  <c r="C114" i="56"/>
  <c r="C113" i="56"/>
  <c r="C112" i="56"/>
  <c r="C111" i="56"/>
  <c r="C110" i="56"/>
  <c r="C109" i="56"/>
  <c r="C108" i="56"/>
  <c r="C107" i="56"/>
  <c r="C106" i="56"/>
  <c r="C105" i="56"/>
  <c r="C104" i="56"/>
  <c r="C103" i="56"/>
  <c r="C102" i="56"/>
  <c r="C101" i="56"/>
  <c r="C100" i="56"/>
  <c r="C99" i="56"/>
  <c r="C98" i="56"/>
  <c r="C97" i="56"/>
  <c r="C96" i="56"/>
  <c r="C95" i="56"/>
  <c r="C94" i="56"/>
  <c r="C93" i="56"/>
  <c r="C92" i="56"/>
  <c r="C91" i="56"/>
  <c r="C90" i="56"/>
  <c r="C89" i="56"/>
  <c r="C86" i="56"/>
  <c r="C88" i="56"/>
  <c r="C87" i="56"/>
  <c r="C85" i="56"/>
  <c r="C84" i="56"/>
  <c r="C83" i="56"/>
  <c r="C82" i="56"/>
  <c r="C81" i="56"/>
  <c r="C80" i="56"/>
  <c r="C79" i="56"/>
  <c r="C78" i="56"/>
  <c r="C77" i="56"/>
  <c r="C76" i="56"/>
  <c r="C75" i="56"/>
  <c r="C74" i="56"/>
  <c r="C73" i="56"/>
  <c r="C72" i="56"/>
  <c r="C71" i="56"/>
  <c r="C70" i="56"/>
  <c r="C69" i="56"/>
  <c r="C68" i="56"/>
  <c r="C67" i="56"/>
  <c r="C66" i="56"/>
  <c r="C65" i="56"/>
  <c r="C64" i="56"/>
  <c r="C63" i="56"/>
  <c r="C62" i="56"/>
  <c r="C61" i="56"/>
  <c r="C60" i="56"/>
  <c r="C59" i="56"/>
  <c r="C58" i="56"/>
  <c r="C57" i="56"/>
  <c r="C56" i="56"/>
  <c r="C7" i="56"/>
  <c r="C8" i="56"/>
  <c r="C9" i="56"/>
  <c r="C10" i="56"/>
  <c r="C11" i="56"/>
  <c r="C12" i="56"/>
  <c r="C13" i="56"/>
  <c r="C14" i="56"/>
  <c r="C15" i="56"/>
  <c r="C16" i="56"/>
  <c r="C19" i="56"/>
  <c r="C20" i="56"/>
  <c r="C21" i="56"/>
  <c r="C22" i="56"/>
  <c r="C23" i="56"/>
  <c r="C24" i="56"/>
  <c r="C25" i="56"/>
  <c r="C26" i="56"/>
  <c r="C27" i="56"/>
  <c r="C28" i="56"/>
  <c r="C29" i="56"/>
  <c r="C30" i="56"/>
  <c r="C31" i="56"/>
  <c r="C32" i="56"/>
  <c r="C34" i="56"/>
  <c r="C35" i="56"/>
  <c r="C36" i="56"/>
  <c r="C37" i="56"/>
  <c r="C38" i="56"/>
  <c r="C39" i="56"/>
  <c r="C40" i="56"/>
  <c r="C41" i="56"/>
  <c r="C42" i="56"/>
  <c r="C43" i="56"/>
  <c r="C44" i="56"/>
  <c r="C45" i="56"/>
  <c r="C46" i="56"/>
  <c r="C47" i="56"/>
  <c r="C48" i="56"/>
  <c r="C49" i="56"/>
  <c r="C50" i="56"/>
  <c r="C51" i="56"/>
  <c r="C52" i="56"/>
  <c r="C53" i="56"/>
  <c r="C54" i="56"/>
  <c r="C55" i="56"/>
  <c r="C6" i="56"/>
  <c r="C1999" i="1"/>
  <c r="C1998" i="1" l="1"/>
  <c r="C1997" i="1"/>
  <c r="C1996" i="1"/>
  <c r="C1995" i="1"/>
  <c r="C1953" i="1" l="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49" i="1"/>
  <c r="C1950" i="1"/>
  <c r="C1951" i="1"/>
  <c r="C1952" i="1"/>
  <c r="C1943" i="1"/>
  <c r="C1944" i="1"/>
  <c r="C1945" i="1"/>
  <c r="C1946" i="1"/>
  <c r="C1947" i="1"/>
  <c r="C1948"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A1601"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A1558" i="1"/>
  <c r="A1559" i="1"/>
  <c r="A1560" i="1"/>
  <c r="A1561" i="1"/>
  <c r="A1562" i="1"/>
  <c r="A1563" i="1"/>
  <c r="A1564" i="1"/>
  <c r="A1565" i="1"/>
  <c r="A1566" i="1"/>
  <c r="A1567" i="1"/>
  <c r="A1571" i="1"/>
  <c r="A1581"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C1473" i="1" l="1"/>
  <c r="C1474" i="1"/>
  <c r="C1475" i="1"/>
  <c r="C1476" i="1"/>
  <c r="C1477" i="1"/>
  <c r="C1478" i="1"/>
  <c r="C1480" i="1"/>
  <c r="C1481" i="1"/>
  <c r="C1482"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A1473" i="1"/>
  <c r="A1474" i="1"/>
  <c r="A1475" i="1"/>
  <c r="A1476" i="1"/>
  <c r="A1478" i="1"/>
  <c r="A1480" i="1"/>
  <c r="A1481" i="1"/>
  <c r="A1482"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C1447" i="1" l="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A1447" i="1"/>
  <c r="A1448" i="1"/>
  <c r="A1449" i="1"/>
  <c r="A1450" i="1"/>
  <c r="A1451" i="1"/>
  <c r="A1452" i="1"/>
  <c r="A1453" i="1"/>
  <c r="A1454" i="1"/>
  <c r="A1455" i="1"/>
  <c r="A1456" i="1"/>
  <c r="A1457" i="1"/>
  <c r="A1458" i="1"/>
  <c r="A1459" i="1"/>
  <c r="A1460" i="1"/>
  <c r="A1463" i="1"/>
  <c r="A1464" i="1"/>
  <c r="A1465" i="1"/>
  <c r="A1466" i="1"/>
  <c r="A1467" i="1"/>
  <c r="A1468" i="1"/>
  <c r="A1469" i="1"/>
  <c r="A1470" i="1"/>
  <c r="A1471" i="1"/>
  <c r="A1472" i="1"/>
  <c r="C1400" i="1" l="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356" i="1" l="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281" i="1" l="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42" i="1"/>
  <c r="C1243" i="1"/>
  <c r="C1244" i="1"/>
  <c r="C1245" i="1"/>
  <c r="C1246" i="1"/>
  <c r="C1247" i="1"/>
  <c r="C1248" i="1"/>
  <c r="C1249" i="1"/>
  <c r="C1250" i="1"/>
  <c r="C1251" i="1"/>
  <c r="C1252" i="1"/>
  <c r="C1253" i="1"/>
  <c r="C1254" i="1"/>
  <c r="C1255" i="1"/>
  <c r="C1226" i="1" l="1"/>
  <c r="C1227" i="1"/>
  <c r="C1228" i="1"/>
  <c r="C1229" i="1"/>
  <c r="C1230" i="1"/>
  <c r="C1231" i="1"/>
  <c r="C1232" i="1"/>
  <c r="C1233" i="1"/>
  <c r="C1234" i="1"/>
  <c r="C1235" i="1"/>
  <c r="C1236" i="1"/>
  <c r="C1237" i="1"/>
  <c r="C1238" i="1"/>
  <c r="C1239" i="1"/>
  <c r="C1240" i="1"/>
  <c r="C1241" i="1"/>
  <c r="C1200" i="1" l="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48"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49" i="1"/>
  <c r="C84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337" i="1" l="1"/>
  <c r="C493" i="1" l="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37" i="1"/>
  <c r="C438" i="1"/>
  <c r="C439" i="1"/>
  <c r="C440" i="1"/>
  <c r="C441" i="1"/>
  <c r="C442" i="1"/>
  <c r="C443" i="1"/>
  <c r="C444" i="1"/>
  <c r="C445" i="1"/>
  <c r="C446" i="1"/>
  <c r="C447" i="1"/>
  <c r="C448" i="1"/>
  <c r="C449" i="1"/>
  <c r="C450" i="1"/>
  <c r="C451" i="1"/>
  <c r="C452" i="1"/>
  <c r="C453" i="1"/>
  <c r="C454" i="1"/>
  <c r="C455" i="1"/>
  <c r="C456" i="1"/>
  <c r="C457" i="1"/>
  <c r="C458" i="1"/>
  <c r="C459" i="1"/>
  <c r="C460" i="1"/>
  <c r="C418" i="1"/>
  <c r="C419" i="1"/>
  <c r="C420" i="1"/>
  <c r="C421" i="1"/>
  <c r="C422" i="1"/>
  <c r="C423" i="1"/>
  <c r="C424" i="1"/>
  <c r="C425" i="1"/>
  <c r="C426" i="1"/>
  <c r="C427" i="1"/>
  <c r="C428" i="1"/>
  <c r="C429" i="1"/>
  <c r="C430" i="1"/>
  <c r="C431" i="1"/>
  <c r="C432" i="1"/>
  <c r="C433" i="1"/>
  <c r="C434" i="1"/>
  <c r="C435" i="1"/>
  <c r="C436"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5" i="1"/>
  <c r="C416" i="1"/>
  <c r="C417" i="1"/>
  <c r="C317" i="1"/>
  <c r="C318" i="1"/>
  <c r="C319" i="1"/>
  <c r="C320" i="1"/>
  <c r="C321" i="1"/>
  <c r="C322" i="1"/>
  <c r="C323" i="1"/>
  <c r="C324" i="1"/>
  <c r="C325" i="1"/>
  <c r="C326" i="1"/>
  <c r="C327" i="1"/>
  <c r="C328" i="1"/>
  <c r="C329" i="1"/>
  <c r="C330" i="1"/>
  <c r="C331" i="1"/>
  <c r="C332" i="1"/>
  <c r="C333" i="1"/>
  <c r="C334" i="1"/>
  <c r="C335" i="1"/>
  <c r="C336"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16" i="1" l="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2" i="1" l="1"/>
  <c r="X25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tc={D6C1322A-2B13-46FA-903B-6794873DA963}</author>
    <author>tc={3D88B89B-CB85-438E-A5D5-19D568E4A171}</author>
  </authors>
  <commentList>
    <comment ref="H1398" authorId="0" shapeId="0" xr:uid="{D6C1322A-2B13-46FA-903B-6794873DA96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SPOT/Chantier? Quentin LUCAS</t>
      </text>
    </comment>
    <comment ref="H1399" authorId="1" shapeId="0" xr:uid="{3D88B89B-CB85-438E-A5D5-19D568E4A17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SPOT/Chantier? Quentin LUCAS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<sst xmlns="http://schemas.openxmlformats.org/spreadsheetml/2006/main" count="39709" uniqueCount="6348">
  <si>
    <t>Client</t>
  </si>
  <si>
    <t>Réunion prod Spot 2025</t>
  </si>
  <si>
    <t>JOUR</t>
  </si>
  <si>
    <t>DATE</t>
  </si>
  <si>
    <t>SEMAINE</t>
  </si>
  <si>
    <t>Numéro de spot</t>
  </si>
  <si>
    <t>ORIGINE</t>
  </si>
  <si>
    <t>DESTINATION</t>
  </si>
  <si>
    <t>OTP</t>
  </si>
  <si>
    <t>COMPOSITION</t>
  </si>
  <si>
    <t>ST</t>
  </si>
  <si>
    <t>CONF</t>
  </si>
  <si>
    <t>NC</t>
  </si>
  <si>
    <t>SUITE NC</t>
  </si>
  <si>
    <t>Retard ?</t>
  </si>
  <si>
    <t>CAUSE NC</t>
  </si>
  <si>
    <t>SOUS-CAUSE NC</t>
  </si>
  <si>
    <t xml:space="preserve">OTP </t>
  </si>
  <si>
    <t>CALÉ</t>
  </si>
  <si>
    <t>REPRISE RAME
CALÉE</t>
  </si>
  <si>
    <t>AJOUT ACHE EN OP</t>
  </si>
  <si>
    <t>DETAIL NON-CONFORMITE</t>
  </si>
  <si>
    <t>ACTIONS</t>
  </si>
  <si>
    <t>NC REGLES RH</t>
  </si>
  <si>
    <t>DEVIS</t>
  </si>
  <si>
    <t>LUNDI</t>
  </si>
  <si>
    <t>BOURGES voie 15</t>
  </si>
  <si>
    <t>Chalon sur Saone 2/2</t>
  </si>
  <si>
    <t>V211 n°581-8 + ???</t>
  </si>
  <si>
    <t>TRANSIFER</t>
  </si>
  <si>
    <t>X</t>
  </si>
  <si>
    <t xml:space="preserve">Panne machine </t>
  </si>
  <si>
    <t>ETF ARS Sud  //   A.955LOL2575712</t>
  </si>
  <si>
    <t>Manque de fuel au départ //acheminement repoussé au 06/02</t>
  </si>
  <si>
    <t>STRASBOURG VILLE</t>
  </si>
  <si>
    <t>VSG FSC DEBRANCHEMENT 1/3</t>
  </si>
  <si>
    <t>60086+60093</t>
  </si>
  <si>
    <t>x</t>
  </si>
  <si>
    <t>ETF TRAVAUX MECA  //   A955.LOL2595707</t>
  </si>
  <si>
    <t>Machine sans batterie au départ + Aiguille gagny HS, loco sur le F2 voie 45</t>
  </si>
  <si>
    <t>VSG FSC DEBRANCHEMENT</t>
  </si>
  <si>
    <t>MAN 2/3</t>
  </si>
  <si>
    <t>Récupération 10 wagons R93</t>
  </si>
  <si>
    <t>BEAUCHAMP</t>
  </si>
  <si>
    <t>VERBERIE 1/2</t>
  </si>
  <si>
    <t>G12 1498+1837+1838+2103</t>
  </si>
  <si>
    <t>ETF direction matériel  //   A955.LOL2595703</t>
  </si>
  <si>
    <t xml:space="preserve">Machine 1837 + 1838 non prête // Acheminement réalisé avec uniquement 1498 + 2103 </t>
  </si>
  <si>
    <t>VERBERIE</t>
  </si>
  <si>
    <t>TRAPPES 2/2</t>
  </si>
  <si>
    <t>BR 214</t>
  </si>
  <si>
    <t xml:space="preserve">Machine défaillainte au départ - retard + déraillement a Verberie </t>
  </si>
  <si>
    <t>Verberie</t>
  </si>
  <si>
    <t>CHALONS EN CHAMPAGNE</t>
  </si>
  <si>
    <t xml:space="preserve">G1206 n°2080+2081 </t>
  </si>
  <si>
    <t>Retard car fuite CG de la machine + machine froide</t>
  </si>
  <si>
    <t>VAIRES 1/2</t>
  </si>
  <si>
    <t>G1206 n°1665+1516+15 wagons</t>
  </si>
  <si>
    <t>ETF SUITE Rapide ( SEP)  //   A955.LOL2493705</t>
  </si>
  <si>
    <t xml:space="preserve">Compo non prête + wagon ayant déraillé </t>
  </si>
  <si>
    <t xml:space="preserve">VAIRES </t>
  </si>
  <si>
    <t>LONGUEAU 2/2</t>
  </si>
  <si>
    <t>non réalisé car Verberie - Vaires non réalisé</t>
  </si>
  <si>
    <t>SGMO</t>
  </si>
  <si>
    <t>BOURGES voie 15  1/2</t>
  </si>
  <si>
    <t>V211 n°581-8</t>
  </si>
  <si>
    <t>Manque de fuel au départ //acheminement repoussé au 06/01</t>
  </si>
  <si>
    <t>MARDI</t>
  </si>
  <si>
    <t>CSS</t>
  </si>
  <si>
    <t>VAIRES F2</t>
  </si>
  <si>
    <t>VSG FSC DEBRANCHEMENT 2/3</t>
  </si>
  <si>
    <t>G.I</t>
  </si>
  <si>
    <t>Intempéries</t>
  </si>
  <si>
    <t>Appareil de voie gelées sur Vaires - impossible de prendre le départ</t>
  </si>
  <si>
    <t>SPDC fsc ST COME 3/3</t>
  </si>
  <si>
    <t>60086+60093+ 10 wagons</t>
  </si>
  <si>
    <t xml:space="preserve">longueau </t>
  </si>
  <si>
    <t xml:space="preserve">Vaires </t>
  </si>
  <si>
    <t>Suite installations gelés en IDF - pas de possibilité de départ</t>
  </si>
  <si>
    <t>VAIRES</t>
  </si>
  <si>
    <t>LONGUEAU</t>
  </si>
  <si>
    <t>Chalon en Champagne</t>
  </si>
  <si>
    <t xml:space="preserve">Chalon en Champagne </t>
  </si>
  <si>
    <t>G1206 n°2080+Wagon C+G1206 n°2081</t>
  </si>
  <si>
    <t>S2TF</t>
  </si>
  <si>
    <t>MERCREDI</t>
  </si>
  <si>
    <t>VATRY</t>
  </si>
  <si>
    <t>CHALONS EN CHAMPAGNE 1/3</t>
  </si>
  <si>
    <t>G12 1547+ Bourreuse n°1362+ Stab 82BG</t>
  </si>
  <si>
    <t>GIEVRES</t>
  </si>
  <si>
    <t xml:space="preserve">Trappes 2/3 </t>
  </si>
  <si>
    <t>G12 1118+ 8 wagons</t>
  </si>
  <si>
    <t>Retard au départ // arrivée tardive M.THEVENET suite intempéries</t>
  </si>
  <si>
    <t>VSG fsc débranchement 1/3</t>
  </si>
  <si>
    <t>Bourreuse n°1077</t>
  </si>
  <si>
    <t>VSG fsc débranchement</t>
  </si>
  <si>
    <t>PERRIGNY voie 10 2/3</t>
  </si>
  <si>
    <t>GRAND PONT</t>
  </si>
  <si>
    <t>HOURCADE</t>
  </si>
  <si>
    <t>BML n°3486</t>
  </si>
  <si>
    <t>Bobigny</t>
  </si>
  <si>
    <t>vernueuil</t>
  </si>
  <si>
    <t xml:space="preserve">Reprise de l'acheminement Verberie // Vaires //  Longueau   du 05/01// poste Verneuil fermer </t>
  </si>
  <si>
    <t>ETF SUITE Rapide  //   A955.LOL2493705</t>
  </si>
  <si>
    <t>Base arrière paralysée suite intempéries</t>
  </si>
  <si>
    <t>JEUDI</t>
  </si>
  <si>
    <t>PERRIGNY</t>
  </si>
  <si>
    <t>Bourreuse n°1362</t>
  </si>
  <si>
    <t>60086+60093+G12 1546+10 wagons</t>
  </si>
  <si>
    <t>Feroway</t>
  </si>
  <si>
    <t>Autre</t>
  </si>
  <si>
    <t>Probleme fuel sur la 1546</t>
  </si>
  <si>
    <t xml:space="preserve">comparer avec l' ABAQ de la 60000 au niveau d’Etampes.  </t>
  </si>
  <si>
    <t xml:space="preserve">SPDC  </t>
  </si>
  <si>
    <t>s2tf</t>
  </si>
  <si>
    <t>trappes</t>
  </si>
  <si>
    <t>ACHERES 2/2</t>
  </si>
  <si>
    <t>G1206 1378 - G12 1118+ 8 wagons</t>
  </si>
  <si>
    <t xml:space="preserve">PERRIGNY voie 10 </t>
  </si>
  <si>
    <t>AMBERIEU 3/3</t>
  </si>
  <si>
    <t>VIERZON RELAI SUD 1/2</t>
  </si>
  <si>
    <t>G1038</t>
  </si>
  <si>
    <t>Externe</t>
  </si>
  <si>
    <t>sous-traitance</t>
  </si>
  <si>
    <t>BOBIGNY</t>
  </si>
  <si>
    <t>VERNEUIL L ETANG</t>
  </si>
  <si>
    <t>Wagons non conformes</t>
  </si>
  <si>
    <t>Hazebrouck 1/2</t>
  </si>
  <si>
    <t>G1206 n°1497</t>
  </si>
  <si>
    <t xml:space="preserve">Hazebrouck </t>
  </si>
  <si>
    <t>Verberie 2/2</t>
  </si>
  <si>
    <t>G1206 n°1497+wagon plat+RDF3+Wagon plat</t>
  </si>
  <si>
    <t>VENDREDI</t>
  </si>
  <si>
    <t xml:space="preserve">CTSF </t>
  </si>
  <si>
    <t xml:space="preserve">VIERZON RELAI SUD </t>
  </si>
  <si>
    <t>COUTRAS 2/2</t>
  </si>
  <si>
    <t>Non réalisé suite à la non restitution de la G12</t>
  </si>
  <si>
    <t>G12 1546+15 wagons</t>
  </si>
  <si>
    <t>Incident sur la ligne</t>
  </si>
  <si>
    <t>Problème dans la région Paris Nord - chute d'arbre sur CATENAIRE</t>
  </si>
  <si>
    <t>LONGUEAU 1/2</t>
  </si>
  <si>
    <t xml:space="preserve">Longueau fermé a partir de 13h00 // calé à Bobigny </t>
  </si>
  <si>
    <t>VERBERIE 2/2</t>
  </si>
  <si>
    <t>SAMEDI</t>
  </si>
  <si>
    <t xml:space="preserve">G1206 n° 1837+1838+ TEVO </t>
  </si>
  <si>
    <t>VSG FSC DEBRANCHEMENT 1/2</t>
  </si>
  <si>
    <t>Récupération 7 wagons R93 à VSG</t>
  </si>
  <si>
    <t>60020+7 wagons</t>
  </si>
  <si>
    <t>JUVISY</t>
  </si>
  <si>
    <t>Bourreuse n°6347</t>
  </si>
  <si>
    <t>LONGUEIL STE MARIE</t>
  </si>
  <si>
    <t>Stab 82BG</t>
  </si>
  <si>
    <t>REMILLY</t>
  </si>
  <si>
    <t>REIMS 1/2</t>
  </si>
  <si>
    <t xml:space="preserve">Bourreuse 108 4S n° 5851 </t>
  </si>
  <si>
    <t>Beauchamp</t>
  </si>
  <si>
    <t>Vaires</t>
  </si>
  <si>
    <t>G1206 n°1838</t>
  </si>
  <si>
    <t>E4029 + Prépa TEVO</t>
  </si>
  <si>
    <t>Rame non prête cause Fero</t>
  </si>
  <si>
    <t>ETF RGI   //   A955.LOL2593705</t>
  </si>
  <si>
    <t>calé suite rame non préparé</t>
  </si>
  <si>
    <t>BOBINGY</t>
  </si>
  <si>
    <t xml:space="preserve">LONGUEAU </t>
  </si>
  <si>
    <t>ORMOY 2/2</t>
  </si>
  <si>
    <t>ORMOY 1/2</t>
  </si>
  <si>
    <t>BB60105+X EX100</t>
  </si>
  <si>
    <t>SUITE NON HABILITATION CDT SUR 60000 // recupération d'une G12 sur Verberie</t>
  </si>
  <si>
    <t>ORMOY</t>
  </si>
  <si>
    <t>VSG</t>
  </si>
  <si>
    <t>60072+G121124+15 wagons</t>
  </si>
  <si>
    <t xml:space="preserve">VERBERIE </t>
  </si>
  <si>
    <t>G1206 n°1886 + WAD258+Porte flèche +MFS6820+G1206 n° 1516</t>
  </si>
  <si>
    <t>PONT DU GARIGLIANO 2/2</t>
  </si>
  <si>
    <t>SNCF</t>
  </si>
  <si>
    <t>REIMS</t>
  </si>
  <si>
    <t xml:space="preserve">VERBEIRE </t>
  </si>
  <si>
    <t xml:space="preserve">G1206 n° 1886+1497+1498+DEG </t>
  </si>
  <si>
    <t>Grève</t>
  </si>
  <si>
    <t>Mouvement de grève secteur de Bobigny</t>
  </si>
  <si>
    <t>mardi</t>
  </si>
  <si>
    <t>G12 1124 + Prépa TEVO</t>
  </si>
  <si>
    <t>MONTCEAU LES MINES</t>
  </si>
  <si>
    <t>VSG 1/2</t>
  </si>
  <si>
    <t>E4025</t>
  </si>
  <si>
    <t>BEAUCHAMP via persan</t>
  </si>
  <si>
    <t>R21 n°47009</t>
  </si>
  <si>
    <t xml:space="preserve">Annulation par le client </t>
  </si>
  <si>
    <t>Annulé par le client le 12/01 // repousé au jeudi</t>
  </si>
  <si>
    <t>PREPA TEVO</t>
  </si>
  <si>
    <t>VERBERIE VIA COMPIEGNE 1/3</t>
  </si>
  <si>
    <t>VERBERIE VIA COMPIEGNE 2/3</t>
  </si>
  <si>
    <t>VERBERIE VIA COMPIEGNE 3/3</t>
  </si>
  <si>
    <t>SPDC (st come)</t>
  </si>
  <si>
    <t>SPDC (depot)</t>
  </si>
  <si>
    <t>VAIRES 2/2</t>
  </si>
  <si>
    <t>St-Leu 1/2</t>
  </si>
  <si>
    <t>G1206 n° 1516</t>
  </si>
  <si>
    <t>SPOT donné a S2TF suite absence M.GHANNOUCHI</t>
  </si>
  <si>
    <t>LONGUEAU DEPOT</t>
  </si>
  <si>
    <t>g12</t>
  </si>
  <si>
    <t>E4029 + BB60072+KB</t>
  </si>
  <si>
    <t>SPOT donné a M.NEBOUT suite absence M.GHANNOUCHI</t>
  </si>
  <si>
    <t>4</t>
  </si>
  <si>
    <t>SPDC</t>
  </si>
  <si>
    <t>CHALON SUR SAONE 1/2</t>
  </si>
  <si>
    <t>G12 1377</t>
  </si>
  <si>
    <t>AMBERIEU</t>
  </si>
  <si>
    <t>Laroche Migenne 1/2</t>
  </si>
  <si>
    <t>VSG 1/3</t>
  </si>
  <si>
    <t>CHATEAU THIERRY 1/2</t>
  </si>
  <si>
    <t>B4520</t>
  </si>
  <si>
    <t>CHATEAU THIERRY</t>
  </si>
  <si>
    <t xml:space="preserve">Sens de travail </t>
  </si>
  <si>
    <t xml:space="preserve">Arrivée a l'envers à cause de la raquette de Vaires. </t>
  </si>
  <si>
    <t>Vu avec Rémi PIQUET une étude de site vidéo a été réalisé</t>
  </si>
  <si>
    <t>CHALON SUR SAONE</t>
  </si>
  <si>
    <t>CULOZ 2/2</t>
  </si>
  <si>
    <t xml:space="preserve">G1206 n°1377+BML 6490 		</t>
  </si>
  <si>
    <t>Laroche Migenne</t>
  </si>
  <si>
    <t>VSG 2/3</t>
  </si>
  <si>
    <t>60015+15 wagons</t>
  </si>
  <si>
    <t>TOUL 3/3</t>
  </si>
  <si>
    <t>SPDC (st come) 1/3</t>
  </si>
  <si>
    <t>VSG fsc débranchement 2/3</t>
  </si>
  <si>
    <t>G1206 N°1546</t>
  </si>
  <si>
    <t>G12 1124</t>
  </si>
  <si>
    <t>Laroche Migennes</t>
  </si>
  <si>
    <t>G1206 Colas n°126</t>
  </si>
  <si>
    <t>LONGUEAU 1/3</t>
  </si>
  <si>
    <t>G12 + R93</t>
  </si>
  <si>
    <t>Chantier</t>
  </si>
  <si>
    <t>organisation chantier</t>
  </si>
  <si>
    <t xml:space="preserve">Pas de stationnement possible a Longueau + pas d'agent au sol dispo sur Vaires // sans impact repris le lendemain. </t>
  </si>
  <si>
    <t xml:space="preserve">Planification systématique d'un agent au sol spot dès lors qu'il y a un départ de Vaires avec au moin 1 véhicule. 
 </t>
  </si>
  <si>
    <t xml:space="preserve">VERBERIE  </t>
  </si>
  <si>
    <t xml:space="preserve">Train arrivée dans le mauvais sens 
Mauvais copié/coller du tableau des sols 
Marche tracée sans TAQ a Compiegne. 
Sans impact pour le chantier </t>
  </si>
  <si>
    <t xml:space="preserve">Rappel fait au GPC qui a envoyé le sillon.  </t>
  </si>
  <si>
    <t>SPDC 2/2</t>
  </si>
  <si>
    <t>G12 1124 + 2 WAGONS</t>
  </si>
  <si>
    <t>VAIRES 3/3</t>
  </si>
  <si>
    <t>Hazebrouck 2/3</t>
  </si>
  <si>
    <t>G1206 Colas n°126+ 1 R93</t>
  </si>
  <si>
    <t>HAGONDANGE</t>
  </si>
  <si>
    <t>BLAINVILLE</t>
  </si>
  <si>
    <t>B66 UCD</t>
  </si>
  <si>
    <t>V211 581-8</t>
  </si>
  <si>
    <t xml:space="preserve">G1206 n°1547+ Rame Rail </t>
  </si>
  <si>
    <t>G1206 n°1547</t>
  </si>
  <si>
    <t>Hazebrouck via Ormoy</t>
  </si>
  <si>
    <t>Creil 3/3</t>
  </si>
  <si>
    <t>G1206 Colas n°126+1 wgs+RDF5+1 wgs</t>
  </si>
  <si>
    <t>Creil</t>
  </si>
  <si>
    <t>Vaires 3/3</t>
  </si>
  <si>
    <t>Joigny 3/3</t>
  </si>
  <si>
    <t>Habilitation</t>
  </si>
  <si>
    <t>Ghannouchi non habilité jusqu’à Joigny - Echange de mission avec Larfi</t>
  </si>
  <si>
    <t>Sujet remonté au planficateur</t>
  </si>
  <si>
    <t>PTH</t>
  </si>
  <si>
    <t>BOURREUSE 109 FRP</t>
  </si>
  <si>
    <t>STAB 82BG</t>
  </si>
  <si>
    <t>G12 1122</t>
  </si>
  <si>
    <t>5</t>
  </si>
  <si>
    <t>JUVISY 1/2</t>
  </si>
  <si>
    <t>JOIGNY</t>
  </si>
  <si>
    <r>
      <rPr>
        <b/>
        <strike/>
        <sz val="24"/>
        <color theme="1"/>
        <rFont val="Calibri"/>
        <family val="2"/>
        <scheme val="minor"/>
      </rPr>
      <t xml:space="preserve">VAIRES </t>
    </r>
    <r>
      <rPr>
        <b/>
        <sz val="24"/>
        <color theme="1"/>
        <rFont val="Calibri"/>
        <family val="2"/>
        <scheme val="minor"/>
      </rPr>
      <t>VERBERIE</t>
    </r>
  </si>
  <si>
    <t>G12 1546 + 15 EX</t>
  </si>
  <si>
    <t>MULHOUSE</t>
  </si>
  <si>
    <t>TOUL</t>
  </si>
  <si>
    <t>G12 1128</t>
  </si>
  <si>
    <t>EVREUX</t>
  </si>
  <si>
    <t xml:space="preserve">V211 n°581-8+G1206 n°1630 		</t>
  </si>
  <si>
    <t>TOURS</t>
  </si>
  <si>
    <t>MTB</t>
  </si>
  <si>
    <t>BML n°3485</t>
  </si>
  <si>
    <t>TRAPPES 1/2</t>
  </si>
  <si>
    <t>Bourreuse 109 FRP</t>
  </si>
  <si>
    <t>EBANGE</t>
  </si>
  <si>
    <t>BML 6348</t>
  </si>
  <si>
    <t>G12 1124 + BML 1077</t>
  </si>
  <si>
    <t>Panne Loco + priorisation des train du soir</t>
  </si>
  <si>
    <t>JEUID</t>
  </si>
  <si>
    <t>TRAPPES</t>
  </si>
  <si>
    <t>FOLLIGNY 2/2</t>
  </si>
  <si>
    <t>G1206 n° 1122+G1206 Colas n°123</t>
  </si>
  <si>
    <t>HIRSON</t>
  </si>
  <si>
    <t>G12 1546 + 10EX</t>
  </si>
  <si>
    <t>LAON 2/2</t>
  </si>
  <si>
    <t>TOURS 2/2</t>
  </si>
  <si>
    <t xml:space="preserve">PERRIGNY </t>
  </si>
  <si>
    <t xml:space="preserve">G12 1122+ EURO 4025 </t>
  </si>
  <si>
    <t>6</t>
  </si>
  <si>
    <t>G12 06 COLAS 123 + 126</t>
  </si>
  <si>
    <t>LEROUVILLE</t>
  </si>
  <si>
    <t>E4033</t>
  </si>
  <si>
    <t>laon</t>
  </si>
  <si>
    <t>LAON</t>
  </si>
  <si>
    <t xml:space="preserve">Stationné par la SNCF au mauvais le vendredi précédent. 
</t>
  </si>
  <si>
    <t>G1206 n° 1837</t>
  </si>
  <si>
    <t>G12 1122 + 15 wagons</t>
  </si>
  <si>
    <t xml:space="preserve">défaut d'information </t>
  </si>
  <si>
    <t xml:space="preserve">Communication au PC afin  d'ajouter les compos systématiquement dès lors que le tableau des sols le mentionne. Si pas de compo tagguer les Plannificateurs. </t>
  </si>
  <si>
    <t xml:space="preserve">G1206 n°1547+1498 + TTX Finition </t>
  </si>
  <si>
    <t>sncf</t>
  </si>
  <si>
    <t>P74</t>
  </si>
  <si>
    <t xml:space="preserve">St Quentin Fallavier </t>
  </si>
  <si>
    <t>SAINCAIZE</t>
  </si>
  <si>
    <t>B6613 Colas</t>
  </si>
  <si>
    <t>REIGNAC</t>
  </si>
  <si>
    <t>G1206 Colas n° 126+123</t>
  </si>
  <si>
    <t>A-TEAM</t>
  </si>
  <si>
    <t>En attente avec Colas pour savoir ou nous allons envoyer l’engin.</t>
  </si>
  <si>
    <t>BORDEAUX HOURCADE</t>
  </si>
  <si>
    <t>TOURS 1/3</t>
  </si>
  <si>
    <t>SPDC 2/3</t>
  </si>
  <si>
    <t>60086 + Stab 82BG</t>
  </si>
  <si>
    <t>JUVISY3/3</t>
  </si>
  <si>
    <t>60086 + 1 wagon+Stab 82BG</t>
  </si>
  <si>
    <t>G12 1486</t>
  </si>
  <si>
    <t xml:space="preserve">Annulation </t>
  </si>
  <si>
    <t>EIFFAGE</t>
  </si>
  <si>
    <t>RETOURNEMENT VAIRES</t>
  </si>
  <si>
    <t>7</t>
  </si>
  <si>
    <t xml:space="preserve">Absence agent. </t>
  </si>
  <si>
    <t>ETF TRAVAUX MECA  //   A955. BKR2695707</t>
  </si>
  <si>
    <t xml:space="preserve">Absence de l'agent au sol prévu au départ </t>
  </si>
  <si>
    <t>60086 + 1 WAGON</t>
  </si>
  <si>
    <t>G12 2102</t>
  </si>
  <si>
    <t>CHALON SUR SAONE 1/3</t>
  </si>
  <si>
    <t>BML 1362</t>
  </si>
  <si>
    <t>LAON 1/2</t>
  </si>
  <si>
    <t>G12  1886</t>
  </si>
  <si>
    <t>G12 en panne</t>
  </si>
  <si>
    <t>G12 + BOURREUSE</t>
  </si>
  <si>
    <t>Saincaize</t>
  </si>
  <si>
    <t>CHALON SUR SAONE (suite 1/3)</t>
  </si>
  <si>
    <t>AVIGNON 2/3</t>
  </si>
  <si>
    <t>ST DENIS</t>
  </si>
  <si>
    <t>V211 527 + 528</t>
  </si>
  <si>
    <t>ACHERES</t>
  </si>
  <si>
    <t>BML 3486</t>
  </si>
  <si>
    <t>PONT CARDINET</t>
  </si>
  <si>
    <t xml:space="preserve">BML 108 4S n°5851 </t>
  </si>
  <si>
    <t xml:space="preserve">E. M non restitué par le chantier </t>
  </si>
  <si>
    <t>bourreuse non prête car engin sur TTX chantier, Arrivée tardive en BA + départ refusé car travaux sur la ligne</t>
  </si>
  <si>
    <t>Train calé à Achères car le STAB doit arriver après le BML (calé à VAIRES)</t>
  </si>
  <si>
    <t>Corbeil 2/2</t>
  </si>
  <si>
    <t>BB60086+ 10 wagons</t>
  </si>
  <si>
    <t>LES LAUMES</t>
  </si>
  <si>
    <t>G12 1630</t>
  </si>
  <si>
    <t>annulation client</t>
  </si>
  <si>
    <t>MONTIGNY BEAUCHAMP</t>
  </si>
  <si>
    <t>G1206 n°1486+ 1 WGS+RDF5+1WGS</t>
  </si>
  <si>
    <t>mauvais sens de travail</t>
  </si>
  <si>
    <t>MONTCEAU LES M,</t>
  </si>
  <si>
    <t>PARAY LE MONIAL 1/2</t>
  </si>
  <si>
    <t>BML 993</t>
  </si>
  <si>
    <t>PARAY LE MONIAL</t>
  </si>
  <si>
    <t>MONTCEAU LES M. 2/2</t>
  </si>
  <si>
    <t>ST-DENIS  JONCHEROLLES</t>
  </si>
  <si>
    <t>CORBEIL</t>
  </si>
  <si>
    <t>V211 512</t>
  </si>
  <si>
    <t xml:space="preserve">B45 GCF </t>
  </si>
  <si>
    <t xml:space="preserve">G12  </t>
  </si>
  <si>
    <t xml:space="preserve">R21 n° 47005 </t>
  </si>
  <si>
    <t>CAEN 2/2</t>
  </si>
  <si>
    <t>G1206 1630</t>
  </si>
  <si>
    <t>LES Laumes</t>
  </si>
  <si>
    <t>JOIGNY 1/2</t>
  </si>
  <si>
    <t>V211 n*581  </t>
  </si>
  <si>
    <t>panne engin</t>
  </si>
  <si>
    <t>autre</t>
  </si>
  <si>
    <t>Grande amplitude pour M.MICHELAND</t>
  </si>
  <si>
    <t>PTH 2/2</t>
  </si>
  <si>
    <t>V211 n*581  +10 R93</t>
  </si>
  <si>
    <t>Montceau les Mines</t>
  </si>
  <si>
    <t>St Germain des Fossés</t>
  </si>
  <si>
    <t>BML n°993</t>
  </si>
  <si>
    <t>PARIS LA CHAPELLE</t>
  </si>
  <si>
    <t xml:space="preserve">BML n°3485 </t>
  </si>
  <si>
    <t>Pont Cardinet</t>
  </si>
  <si>
    <t>Acheres</t>
  </si>
  <si>
    <t>bourreuse restituée tardivement</t>
  </si>
  <si>
    <t>St Leu</t>
  </si>
  <si>
    <t>G1206 n°1486</t>
  </si>
  <si>
    <t xml:space="preserve">Coutras </t>
  </si>
  <si>
    <t>Les Aubrais (fsc lattéral) 1/2</t>
  </si>
  <si>
    <t>G1206 n°1121</t>
  </si>
  <si>
    <t xml:space="preserve">Les Aubrais (fsc lattéral) </t>
  </si>
  <si>
    <t>MTB 2/2</t>
  </si>
  <si>
    <t>8</t>
  </si>
  <si>
    <t>116</t>
  </si>
  <si>
    <t>ST LEU</t>
  </si>
  <si>
    <t xml:space="preserve">G12 1486+ P95 </t>
  </si>
  <si>
    <t>117</t>
  </si>
  <si>
    <t xml:space="preserve">G1206 n°1886+ RGT35+12 wagons </t>
  </si>
  <si>
    <t xml:space="preserve">Nombre de wagons insuffisant sur Vaires </t>
  </si>
  <si>
    <t>G12 1886</t>
  </si>
  <si>
    <t>118</t>
  </si>
  <si>
    <t xml:space="preserve">G1206 Colas 123+10 R93 </t>
  </si>
  <si>
    <t>119</t>
  </si>
  <si>
    <t xml:space="preserve">CAEN </t>
  </si>
  <si>
    <t>120</t>
  </si>
  <si>
    <t xml:space="preserve">G1206 n° + RDF 5+G1206 n° </t>
  </si>
  <si>
    <t>121</t>
  </si>
  <si>
    <t>LAB</t>
  </si>
  <si>
    <t>R21 n°47008</t>
  </si>
  <si>
    <t>Panne engin</t>
  </si>
  <si>
    <t>G12 1886+ 1 wagon</t>
  </si>
  <si>
    <t>122</t>
  </si>
  <si>
    <t>BML 5851</t>
  </si>
  <si>
    <t>123</t>
  </si>
  <si>
    <t>LONGUEIL</t>
  </si>
  <si>
    <t>124</t>
  </si>
  <si>
    <t xml:space="preserve">HIRSON </t>
  </si>
  <si>
    <t>G1206 Colas 123+10 wagons</t>
  </si>
  <si>
    <t>125</t>
  </si>
  <si>
    <r>
      <t>G1206 n°1547+RGT35+1</t>
    </r>
    <r>
      <rPr>
        <b/>
        <strike/>
        <sz val="24"/>
        <color theme="1"/>
        <rFont val="Calibri"/>
        <family val="2"/>
        <scheme val="minor"/>
      </rPr>
      <t>09 3X GCF</t>
    </r>
  </si>
  <si>
    <t>126</t>
  </si>
  <si>
    <t xml:space="preserve">ACHERES </t>
  </si>
  <si>
    <t>127</t>
  </si>
  <si>
    <t>VERNEUIL</t>
  </si>
  <si>
    <t>G1206 n°1665+1379+15 wagons</t>
  </si>
  <si>
    <t>128</t>
  </si>
  <si>
    <t>HIRSON 1/3</t>
  </si>
  <si>
    <t>G12 1665+ P95 + 10 wagons</t>
  </si>
  <si>
    <t>PTH 2/3</t>
  </si>
  <si>
    <t>G1206 n°1547+1546</t>
  </si>
  <si>
    <t xml:space="preserve">Gros retard sur l'acheminement Vaires - Verberie qui a impacté le retour du Hirson - PTH (repris le samedi) : sujet base arrière : 2h pour faire partir le train </t>
  </si>
  <si>
    <t>129</t>
  </si>
  <si>
    <t xml:space="preserve">G1206 </t>
  </si>
  <si>
    <t>G1206 n° 123 Colas</t>
  </si>
  <si>
    <t>130</t>
  </si>
  <si>
    <t>²</t>
  </si>
  <si>
    <t>Engin non réparé</t>
  </si>
  <si>
    <t>131</t>
  </si>
  <si>
    <t>LE BOURGET</t>
  </si>
  <si>
    <t>VERBERIE  1/2</t>
  </si>
  <si>
    <t>G1206 Eiffage+8 wagons</t>
  </si>
  <si>
    <t>G1206 Eiffage</t>
  </si>
  <si>
    <t>132</t>
  </si>
  <si>
    <t>Hirson</t>
  </si>
  <si>
    <t>LAROCHE</t>
  </si>
  <si>
    <t>134</t>
  </si>
  <si>
    <t>Les Aubrais 1/2</t>
  </si>
  <si>
    <t>V211 n° 581-8+8 wagons</t>
  </si>
  <si>
    <t>135</t>
  </si>
  <si>
    <t xml:space="preserve">MTB </t>
  </si>
  <si>
    <t xml:space="preserve">V211 527-1 </t>
  </si>
  <si>
    <t>136</t>
  </si>
  <si>
    <t>VIERZON</t>
  </si>
  <si>
    <t>G1029</t>
  </si>
  <si>
    <t xml:space="preserve">annulation S-1 </t>
  </si>
  <si>
    <t>137</t>
  </si>
  <si>
    <t>HAUSBERGEN</t>
  </si>
  <si>
    <t xml:space="preserve">Bourreuse n°6348 		</t>
  </si>
  <si>
    <t>138</t>
  </si>
  <si>
    <t>ST GERMAIN DES FOSSES</t>
  </si>
  <si>
    <t>LA CHARITE</t>
  </si>
  <si>
    <t xml:space="preserve">BML 993 </t>
  </si>
  <si>
    <t>139</t>
  </si>
  <si>
    <t>1665+PREPA TEVO</t>
  </si>
  <si>
    <t>les aubrais</t>
  </si>
  <si>
    <t>GIEVRES 2/2</t>
  </si>
  <si>
    <t>140</t>
  </si>
  <si>
    <t>G1029+5 wagons</t>
  </si>
  <si>
    <t>LES AUBRAIS 2/2</t>
  </si>
  <si>
    <t>G1029+V211 n°581-8+13 wagons</t>
  </si>
  <si>
    <t>133</t>
  </si>
  <si>
    <t xml:space="preserve">Reprise UM G12 à Hirson calé depuis Mercredi </t>
  </si>
  <si>
    <t>141</t>
  </si>
  <si>
    <t xml:space="preserve">VAIRES  </t>
  </si>
  <si>
    <t>142</t>
  </si>
  <si>
    <t>1837+1838+TEVO</t>
  </si>
  <si>
    <t>train trop lourd pour la ligne. Masse : 2624T masse sur la ligne : 1906t  avec un UM de G12
La compo fourni par le client faisait 1854T
Des manœuvres ont été effectués pour réduire la masse du train</t>
  </si>
  <si>
    <t xml:space="preserve">Transmettre DSF pour avoir des infos.  
</t>
  </si>
  <si>
    <t>143</t>
  </si>
  <si>
    <t xml:space="preserve">PREPA TEVO		</t>
  </si>
  <si>
    <t>9</t>
  </si>
  <si>
    <t>EURO 4000 + 2eme partie du TEVO</t>
  </si>
  <si>
    <t>144</t>
  </si>
  <si>
    <t>pont de garigliano</t>
  </si>
  <si>
    <t>60000 + 7 WAGONS</t>
  </si>
  <si>
    <t xml:space="preserve">Rappel au GPC qui a envoyé le sillon.  // rappel fait le 09/03 KN1 noté M. </t>
  </si>
  <si>
    <t>Sillon non conforme</t>
  </si>
  <si>
    <t>Suite au retard du train précédent // probleme indice compo sur marche SNCF</t>
  </si>
  <si>
    <t>145</t>
  </si>
  <si>
    <t>G12 1546+ G12 1378</t>
  </si>
  <si>
    <t>VSG 2/2</t>
  </si>
  <si>
    <t>G12 1546</t>
  </si>
  <si>
    <t>146</t>
  </si>
  <si>
    <t>CEC</t>
  </si>
  <si>
    <t>R21 47005</t>
  </si>
  <si>
    <t>147</t>
  </si>
  <si>
    <t>LONGUEUIL</t>
  </si>
  <si>
    <t>BML 3485</t>
  </si>
  <si>
    <t>148</t>
  </si>
  <si>
    <t>CEC 1/2</t>
  </si>
  <si>
    <t>149</t>
  </si>
  <si>
    <t>CULOZ</t>
  </si>
  <si>
    <t>MLM</t>
  </si>
  <si>
    <t>150</t>
  </si>
  <si>
    <t>LISON</t>
  </si>
  <si>
    <t>CAEN 1/2</t>
  </si>
  <si>
    <t>BB60105+10 wagons</t>
  </si>
  <si>
    <t>CAEN</t>
  </si>
  <si>
    <t xml:space="preserve">BB60105	</t>
  </si>
  <si>
    <t>151</t>
  </si>
  <si>
    <t>G1206 n° 1547+109 3X GCF</t>
  </si>
  <si>
    <t xml:space="preserve">Retard important car cabine Bourreuse fermer donc compliquer pour faire refouler </t>
  </si>
  <si>
    <t>G1206 n° 1547</t>
  </si>
  <si>
    <t>Problème dans la region PSO - train calé Trappes</t>
  </si>
  <si>
    <t>VSG 3/3</t>
  </si>
  <si>
    <t>G1206 1546</t>
  </si>
  <si>
    <t>HAUSBERGEN 2/2</t>
  </si>
  <si>
    <t>152</t>
  </si>
  <si>
    <t>LES AUBRAIS 1/3</t>
  </si>
  <si>
    <t>LES AUBRAIS</t>
  </si>
  <si>
    <t>JUVISY 2/3</t>
  </si>
  <si>
    <t>60093 + R21</t>
  </si>
  <si>
    <t>153</t>
  </si>
  <si>
    <t>ST LEU 1/3</t>
  </si>
  <si>
    <t>G1206 Colas 123</t>
  </si>
  <si>
    <t>ST-LEU</t>
  </si>
  <si>
    <r>
      <rPr>
        <b/>
        <strike/>
        <sz val="24"/>
        <color theme="1"/>
        <rFont val="Calibri"/>
        <family val="2"/>
        <scheme val="minor"/>
      </rPr>
      <t>MODANE</t>
    </r>
    <r>
      <rPr>
        <b/>
        <sz val="24"/>
        <color theme="1"/>
        <rFont val="Calibri"/>
        <family val="2"/>
        <scheme val="minor"/>
      </rPr>
      <t xml:space="preserve"> Gevrey 2/3</t>
    </r>
  </si>
  <si>
    <r>
      <t>G1206 Colas 123+</t>
    </r>
    <r>
      <rPr>
        <b/>
        <sz val="24"/>
        <color rgb="FFFF0000"/>
        <rFont val="Calibri"/>
        <family val="2"/>
        <scheme val="minor"/>
      </rPr>
      <t>COMPO EN COURS</t>
    </r>
  </si>
  <si>
    <t>AMOR manquante ou erronée</t>
  </si>
  <si>
    <t>Probleme d'AMOR au départ + 5h de retard + Train calé à Gevrey pour l'instant En attente retours de Romain par rapport aux italien qui ne peuvent pas recevoir la rames pour l'instant</t>
  </si>
  <si>
    <t>154</t>
  </si>
  <si>
    <t>B45 GCF</t>
  </si>
  <si>
    <t>Gevrey</t>
  </si>
  <si>
    <t>MODANE (suite 2/3)</t>
  </si>
  <si>
    <t>G1206 Colas 123 + COMPO</t>
  </si>
  <si>
    <t>MODANE</t>
  </si>
  <si>
    <t>LAROCHE 2/3</t>
  </si>
  <si>
    <t>MTB 3/3</t>
  </si>
  <si>
    <t>155</t>
  </si>
  <si>
    <t>METZ</t>
  </si>
  <si>
    <t>156</t>
  </si>
  <si>
    <t>G1206 n° + PREPA DEG</t>
  </si>
  <si>
    <t>157</t>
  </si>
  <si>
    <t>G1206 1885</t>
  </si>
  <si>
    <t>Machine non prête</t>
  </si>
  <si>
    <t>158</t>
  </si>
  <si>
    <t xml:space="preserve">CEC  </t>
  </si>
  <si>
    <t xml:space="preserve">Annuler </t>
  </si>
  <si>
    <t>159</t>
  </si>
  <si>
    <t>RECLAMATION A FAIRE A LA SNCF</t>
  </si>
  <si>
    <t>METZ SABLON 2/2</t>
  </si>
  <si>
    <t>160</t>
  </si>
  <si>
    <t>G1206  1377</t>
  </si>
  <si>
    <t>161</t>
  </si>
  <si>
    <t>G1206 n° 1546</t>
  </si>
  <si>
    <t xml:space="preserve">Problème lié à la facturation de la loc / qui va prendre en charge cet acheminement ( TMN ou Grand projet) </t>
  </si>
  <si>
    <t>G12 1885+ 60020</t>
  </si>
  <si>
    <t>162</t>
  </si>
  <si>
    <t>163</t>
  </si>
  <si>
    <t>g12 1546</t>
  </si>
  <si>
    <t>164</t>
  </si>
  <si>
    <t>G1206 n°1128+15 wagons</t>
  </si>
  <si>
    <t>165</t>
  </si>
  <si>
    <t>EURO 4033</t>
  </si>
  <si>
    <t>166</t>
  </si>
  <si>
    <t>G1206 n° 2103+1497+ Compo DEG</t>
  </si>
  <si>
    <t>Annulation client</t>
  </si>
  <si>
    <t>167</t>
  </si>
  <si>
    <t>G12 1118</t>
  </si>
  <si>
    <t>168</t>
  </si>
  <si>
    <t>169</t>
  </si>
  <si>
    <t>10</t>
  </si>
  <si>
    <t>170</t>
  </si>
  <si>
    <t>METZ 2/2</t>
  </si>
  <si>
    <t>G1206 n° 1128 et 60072+15 wagons</t>
  </si>
  <si>
    <t>171</t>
  </si>
  <si>
    <t>JOIGNY 1/3</t>
  </si>
  <si>
    <t>172</t>
  </si>
  <si>
    <t xml:space="preserve">EURO 4033 </t>
  </si>
  <si>
    <t>L'ORAILLE</t>
  </si>
  <si>
    <t>EURO 4033 + 6 ballastières</t>
  </si>
  <si>
    <t>173</t>
  </si>
  <si>
    <t>G12 1544</t>
  </si>
  <si>
    <t>174</t>
  </si>
  <si>
    <t>G1206 n°1122+ 5 wagons</t>
  </si>
  <si>
    <t>175</t>
  </si>
  <si>
    <t>PERSAN 1/2</t>
  </si>
  <si>
    <t>B66UC</t>
  </si>
  <si>
    <t>PERSAN</t>
  </si>
  <si>
    <t>176</t>
  </si>
  <si>
    <t>LAB 1/3</t>
  </si>
  <si>
    <t>G12 1121</t>
  </si>
  <si>
    <t>GIEVRES 3/3</t>
  </si>
  <si>
    <t>177</t>
  </si>
  <si>
    <t>L'Oraille</t>
  </si>
  <si>
    <t>Elbeuf 1/2</t>
  </si>
  <si>
    <t>EURO 4033+ 18 wagons chargés</t>
  </si>
  <si>
    <t>178</t>
  </si>
  <si>
    <t>VBE</t>
  </si>
  <si>
    <t>BB60105</t>
  </si>
  <si>
    <t>179</t>
  </si>
  <si>
    <t>THIONVILLE</t>
  </si>
  <si>
    <t>B66UCD</t>
  </si>
  <si>
    <t>180</t>
  </si>
  <si>
    <t>G12 + DEG</t>
  </si>
  <si>
    <t>181</t>
  </si>
  <si>
    <t>HAUSEBERGEN</t>
  </si>
  <si>
    <t>DGS STAB 82BG</t>
  </si>
  <si>
    <t>PB signalisation sur la voie</t>
  </si>
  <si>
    <t>182</t>
  </si>
  <si>
    <t>183</t>
  </si>
  <si>
    <t>LA GARENNE COLOMBE</t>
  </si>
  <si>
    <t xml:space="preserve">Problème contact à l'arrivée : doublon conception </t>
  </si>
  <si>
    <t>pas d'agent au sol pour la réception (l'agent SNCF était prévu de jour jusqu'à 16h)</t>
  </si>
  <si>
    <r>
      <rPr>
        <b/>
        <strike/>
        <sz val="24"/>
        <color theme="1"/>
        <rFont val="Calibri"/>
        <family val="2"/>
        <scheme val="minor"/>
      </rPr>
      <t>LA CHARITE</t>
    </r>
    <r>
      <rPr>
        <b/>
        <sz val="24"/>
        <color theme="1"/>
        <rFont val="Calibri"/>
        <family val="2"/>
        <scheme val="minor"/>
      </rPr>
      <t xml:space="preserve"> Bobigny</t>
    </r>
  </si>
  <si>
    <t>CORBEIL 2/2</t>
  </si>
  <si>
    <t>SUCY 2/2</t>
  </si>
  <si>
    <t>COUTRAS</t>
  </si>
  <si>
    <t>MACHINE EN PANNE - REPRISE LE 6/03</t>
  </si>
  <si>
    <t>184</t>
  </si>
  <si>
    <t>72 NR</t>
  </si>
  <si>
    <t>Elbeuf</t>
  </si>
  <si>
    <t>L'Oraille 2/2</t>
  </si>
  <si>
    <t>EURO 4033 + 18 wagons vide</t>
  </si>
  <si>
    <t>185</t>
  </si>
  <si>
    <t xml:space="preserve">Annulation client </t>
  </si>
  <si>
    <t>186</t>
  </si>
  <si>
    <t>LONGWY</t>
  </si>
  <si>
    <t>BML 6064</t>
  </si>
  <si>
    <t>CTSF</t>
  </si>
  <si>
    <t>187</t>
  </si>
  <si>
    <t>JONCHEROLLES</t>
  </si>
  <si>
    <t>V211 527-1</t>
  </si>
  <si>
    <t>188</t>
  </si>
  <si>
    <t>ST JORY 3/3</t>
  </si>
  <si>
    <t>G12 1121 + 1630</t>
  </si>
  <si>
    <t>189</t>
  </si>
  <si>
    <t xml:space="preserve">Elbeuf </t>
  </si>
  <si>
    <t>190</t>
  </si>
  <si>
    <t>Hausbergen</t>
  </si>
  <si>
    <t>ONVILLE</t>
  </si>
  <si>
    <t>Bourreuse n°6348</t>
  </si>
  <si>
    <t>191</t>
  </si>
  <si>
    <t>DEM</t>
  </si>
  <si>
    <t>192</t>
  </si>
  <si>
    <t xml:space="preserve">LONGUEIL </t>
  </si>
  <si>
    <t>193</t>
  </si>
  <si>
    <t>g12 1122</t>
  </si>
  <si>
    <t>194</t>
  </si>
  <si>
    <t>G1206 n° 2103+1497+ DEG</t>
  </si>
  <si>
    <t>11</t>
  </si>
  <si>
    <t>195</t>
  </si>
  <si>
    <t>LAB 1/2</t>
  </si>
  <si>
    <t xml:space="preserve">GRAND PONT 2/2 </t>
  </si>
  <si>
    <t>196</t>
  </si>
  <si>
    <t>G12 1547 + G12 2102+TTX FINITION</t>
  </si>
  <si>
    <t>197</t>
  </si>
  <si>
    <t>CHAGNY</t>
  </si>
  <si>
    <t>GEVREY 1/3</t>
  </si>
  <si>
    <t>G12 DVF</t>
  </si>
  <si>
    <t>198</t>
  </si>
  <si>
    <t>VIERZON 1/2</t>
  </si>
  <si>
    <t>EURO 4029</t>
  </si>
  <si>
    <t>MMI 2/2</t>
  </si>
  <si>
    <t>199</t>
  </si>
  <si>
    <t>VAI</t>
  </si>
  <si>
    <t>B4519</t>
  </si>
  <si>
    <t>200</t>
  </si>
  <si>
    <t>TRAPPPES</t>
  </si>
  <si>
    <t>G12 + VAD</t>
  </si>
  <si>
    <t>201</t>
  </si>
  <si>
    <t>Trappes</t>
  </si>
  <si>
    <t>G1206 1378+G12 1547+RGT 35</t>
  </si>
  <si>
    <t>GEVREY</t>
  </si>
  <si>
    <t>MODANE 2/3</t>
  </si>
  <si>
    <t>G12 DVF+ Compo</t>
  </si>
  <si>
    <t>202</t>
  </si>
  <si>
    <t>MBP</t>
  </si>
  <si>
    <t>G12 1885</t>
  </si>
  <si>
    <t>203</t>
  </si>
  <si>
    <t>CHAGNY 3/3</t>
  </si>
  <si>
    <t>REPRISE PAR LES ITALIENS NON POSSIBLE</t>
  </si>
  <si>
    <t>204</t>
  </si>
  <si>
    <t>G1206 1498+2102+compo KB</t>
  </si>
  <si>
    <t>annulé en J-2</t>
  </si>
  <si>
    <t>205</t>
  </si>
  <si>
    <t>ST LEU 1/2</t>
  </si>
  <si>
    <t>DOLE 2/2</t>
  </si>
  <si>
    <t>VAI 2/2</t>
  </si>
  <si>
    <t>206</t>
  </si>
  <si>
    <t>207</t>
  </si>
  <si>
    <t>G1206 1498+1544+compo KB</t>
  </si>
  <si>
    <t>208</t>
  </si>
  <si>
    <t>Poste 74 SIRION</t>
  </si>
  <si>
    <t>G12 1379</t>
  </si>
  <si>
    <t>209</t>
  </si>
  <si>
    <t>210</t>
  </si>
  <si>
    <t>G1206 n° 1886+RGT35+DGS62N</t>
  </si>
  <si>
    <t>211</t>
  </si>
  <si>
    <t>212</t>
  </si>
  <si>
    <t>Pas possible de retourner à Bordeaux pour cause de régulation // Connaissance du sens à l'arrivée trop tardif pour anticiper un retournement sur l'itinéraire</t>
  </si>
  <si>
    <t>213</t>
  </si>
  <si>
    <t>ANNULe le 10/03</t>
  </si>
  <si>
    <t>215</t>
  </si>
  <si>
    <t>DEM rame LRS ETF</t>
  </si>
  <si>
    <t>216</t>
  </si>
  <si>
    <t>214</t>
  </si>
  <si>
    <t>DOLE</t>
  </si>
  <si>
    <t>G12 1885+DEG</t>
  </si>
  <si>
    <t>217</t>
  </si>
  <si>
    <t>G1206 n°1885+DEG+5 EX</t>
  </si>
  <si>
    <t>12</t>
  </si>
  <si>
    <t>218</t>
  </si>
  <si>
    <t>LA VERRIERE</t>
  </si>
  <si>
    <t xml:space="preserve">G12 1885+ DEG +5 EX </t>
  </si>
  <si>
    <t>219</t>
  </si>
  <si>
    <t>LUNEVILLE</t>
  </si>
  <si>
    <t>Bourreuse FT RAIL n°6064</t>
  </si>
  <si>
    <t>220</t>
  </si>
  <si>
    <t>G1206 1379</t>
  </si>
  <si>
    <t>221</t>
  </si>
  <si>
    <t>BOUR-LIG MATISA B45D PALAS - N° 4519</t>
  </si>
  <si>
    <t>Dysfonctionnement installations GI</t>
  </si>
  <si>
    <t>Panne d'une aiguille sur voie principale à la Verrière</t>
  </si>
  <si>
    <t>reclamation SNCF a faire</t>
  </si>
  <si>
    <t>222</t>
  </si>
  <si>
    <t xml:space="preserve">TRAPPES </t>
  </si>
  <si>
    <t xml:space="preserve">G1206 n° 1813 Colas		</t>
  </si>
  <si>
    <t>Départ prévu à 5h machine au rouge retours de la maintenace vers 6h30 refus du régule de nous laisser partir cause travaux</t>
  </si>
  <si>
    <t>223</t>
  </si>
  <si>
    <t>VAIRES 1/3</t>
  </si>
  <si>
    <t>60093+60020</t>
  </si>
  <si>
    <t>224</t>
  </si>
  <si>
    <t>MTB 1/2</t>
  </si>
  <si>
    <t>BOUR-APP FRAMAFER 108-475S 6346</t>
  </si>
  <si>
    <t>225</t>
  </si>
  <si>
    <t>LA VERRIERE VIA ACHERES</t>
  </si>
  <si>
    <t xml:space="preserve">REG-STAB FRAM SSP230TD		</t>
  </si>
  <si>
    <t>Agent à la charge du client non présent</t>
  </si>
  <si>
    <t>Annulation client // Machiniste ne s'est pas presenté</t>
  </si>
  <si>
    <t>226</t>
  </si>
  <si>
    <t>St-Denis</t>
  </si>
  <si>
    <t>V211 621-2  Sans KVB ETI</t>
  </si>
  <si>
    <t>227</t>
  </si>
  <si>
    <t>LUMES</t>
  </si>
  <si>
    <t>BR214</t>
  </si>
  <si>
    <t>SPDC 3/3</t>
  </si>
  <si>
    <t>228</t>
  </si>
  <si>
    <t>229</t>
  </si>
  <si>
    <t>CHÂTEAU THIERRY</t>
  </si>
  <si>
    <t>BOUR-LIG MATISA B45 - N° 4519</t>
  </si>
  <si>
    <t>230</t>
  </si>
  <si>
    <t>LE BOURGET 1/2</t>
  </si>
  <si>
    <t>G12 n° + 8 wagons</t>
  </si>
  <si>
    <t>wagon au nettoyage - +1h de retard pour la mise à dispo</t>
  </si>
  <si>
    <t>G12 n°</t>
  </si>
  <si>
    <t>231</t>
  </si>
  <si>
    <t>HIRSON 1/2</t>
  </si>
  <si>
    <t>G1206 n° 1885+1886+COMPO DEG + BML 6346</t>
  </si>
  <si>
    <t>Loco non fuelé</t>
  </si>
  <si>
    <t>Train calé 3h de retard au départ car le chanteir à travailler avec la machine cette nuit donc plus de fuel et machine non décharger pleine de ballast</t>
  </si>
  <si>
    <t xml:space="preserve">le wad est resté pour le chantier </t>
  </si>
  <si>
    <t>G1206 n° 1886+1885+P95</t>
  </si>
  <si>
    <t>Suite Non-conformité La Vérrière // Vaires</t>
  </si>
  <si>
    <t>232</t>
  </si>
  <si>
    <t xml:space="preserve">HIRSON  </t>
  </si>
  <si>
    <t>BOURREUSE 1077</t>
  </si>
  <si>
    <t>233</t>
  </si>
  <si>
    <r>
      <rPr>
        <b/>
        <strike/>
        <sz val="24"/>
        <color theme="1"/>
        <rFont val="Calibri"/>
        <family val="2"/>
        <scheme val="minor"/>
      </rPr>
      <t>PTH</t>
    </r>
    <r>
      <rPr>
        <b/>
        <sz val="24"/>
        <color theme="1"/>
        <rFont val="Calibri"/>
        <family val="2"/>
        <scheme val="minor"/>
      </rPr>
      <t xml:space="preserve">  VSG 1/2</t>
    </r>
  </si>
  <si>
    <t>BI-GRUE DGS 82 BG</t>
  </si>
  <si>
    <r>
      <rPr>
        <b/>
        <strike/>
        <sz val="22"/>
        <color theme="1"/>
        <rFont val="Calibri"/>
        <family val="2"/>
      </rPr>
      <t>PTH</t>
    </r>
    <r>
      <rPr>
        <b/>
        <sz val="22"/>
        <color theme="1"/>
        <rFont val="Calibri"/>
        <family val="2"/>
      </rPr>
      <t xml:space="preserve"> VSG</t>
    </r>
  </si>
  <si>
    <t>LONGUEIL 2/2</t>
  </si>
  <si>
    <t>234</t>
  </si>
  <si>
    <t>235</t>
  </si>
  <si>
    <t>236</t>
  </si>
  <si>
    <t>G1206 n° 1885+ P95</t>
  </si>
  <si>
    <t>ANNULE SUITE NON CONFORMITE DU TRAPPES - HIRSON LA VEILLE</t>
  </si>
  <si>
    <t xml:space="preserve">pour le chantier </t>
  </si>
  <si>
    <t>237</t>
  </si>
  <si>
    <t>REG MATISA R21 47009</t>
  </si>
  <si>
    <t>238</t>
  </si>
  <si>
    <t>LA CHAPELLE</t>
  </si>
  <si>
    <t>BOUR-APP FRAMAFER 108-475S 1077</t>
  </si>
  <si>
    <t>239</t>
  </si>
  <si>
    <t>Rame non préparée</t>
  </si>
  <si>
    <t>Repoussé au vendredi par le client</t>
  </si>
  <si>
    <t xml:space="preserve">les semelles de freins n'étaient pas monté sur un des wad </t>
  </si>
  <si>
    <t>240</t>
  </si>
  <si>
    <t>G1206 n° 1886+1665+COMP P95</t>
  </si>
  <si>
    <t xml:space="preserve">Rame non prête </t>
  </si>
  <si>
    <t xml:space="preserve">conséquence de la non montée de la DEG </t>
  </si>
  <si>
    <t>241</t>
  </si>
  <si>
    <t>FRET CHAILLOUE // A955LOL2561701</t>
  </si>
  <si>
    <t>5 wagons non conforme au départ</t>
  </si>
  <si>
    <t>JS étendus par plusieurs agents</t>
  </si>
  <si>
    <t>242</t>
  </si>
  <si>
    <t>Chargement / Composition du train</t>
  </si>
  <si>
    <t xml:space="preserve">mauvais VAD a été ajouté à la composition // Sujet Amor non reçu //  erreur de numéro de wad sur l' AMOR du wad colas. </t>
  </si>
  <si>
    <t xml:space="preserve">sujet à faire remonté à la DSF. </t>
  </si>
  <si>
    <t>mauvais VAD a été ajouté à la composition</t>
  </si>
  <si>
    <t>243</t>
  </si>
  <si>
    <t>MONTIGNY</t>
  </si>
  <si>
    <t xml:space="preserve">bourreuse </t>
  </si>
  <si>
    <t>244</t>
  </si>
  <si>
    <t>G1206 n°1886 + WT3E</t>
  </si>
  <si>
    <t>Annulé suite Trappes - Hirson non conforme</t>
  </si>
  <si>
    <t>LA VERRIERE 2/2</t>
  </si>
  <si>
    <t>245</t>
  </si>
  <si>
    <t>GEVREY 1/2</t>
  </si>
  <si>
    <t>G1000 n°1038+G1206 n°1377</t>
  </si>
  <si>
    <t>JUVISY 2/2</t>
  </si>
  <si>
    <t>246</t>
  </si>
  <si>
    <t>G1206 n°1665+1379+TTX FINITION</t>
  </si>
  <si>
    <t>Annulé le 20/03</t>
  </si>
  <si>
    <t>247</t>
  </si>
  <si>
    <t>BOUR-APP MATISA B66UC 6607</t>
  </si>
  <si>
    <t>13</t>
  </si>
  <si>
    <t>248</t>
  </si>
  <si>
    <t>Elbeuf  1/2</t>
  </si>
  <si>
    <t>249</t>
  </si>
  <si>
    <t>G1206 n° 1885+1665+COMPO DEG</t>
  </si>
  <si>
    <t>DEG arrivée a l'envers mais bourreuse et DGS a l'endroit // Sollicitation en opérationnel a un expert car AMOR non correcte au départ // Départ a 05h00 raté // repris a 14h30</t>
  </si>
  <si>
    <t>250</t>
  </si>
  <si>
    <t>251</t>
  </si>
  <si>
    <t>252</t>
  </si>
  <si>
    <t>G1206 n°1377 + DGS72NR</t>
  </si>
  <si>
    <t>G1206 n°1377</t>
  </si>
  <si>
    <t>CLMTP</t>
  </si>
  <si>
    <t>253</t>
  </si>
  <si>
    <t>LUMES 1/2</t>
  </si>
  <si>
    <t>G12 1885 + 5 EX</t>
  </si>
  <si>
    <t>Chamgement de l'acheminement en retournement Hirson car problème sens de travail DEG</t>
  </si>
  <si>
    <t>BEAUCHAMP 2/2</t>
  </si>
  <si>
    <t>254</t>
  </si>
  <si>
    <t>retournement de la DEG</t>
  </si>
  <si>
    <t>255</t>
  </si>
  <si>
    <t>G1206 n°1665+1885</t>
  </si>
  <si>
    <t>annulé suite annulation Lumes - Beauchamp la veille</t>
  </si>
  <si>
    <t>256</t>
  </si>
  <si>
    <t>g12 1886 + 1665 + COMPO P95</t>
  </si>
  <si>
    <t>arbre sur les voies (région PSO)</t>
  </si>
  <si>
    <t>257</t>
  </si>
  <si>
    <t>SOTTEVILLE</t>
  </si>
  <si>
    <t>LE BOURGET 1/4</t>
  </si>
  <si>
    <t>G1206 n°1372</t>
  </si>
  <si>
    <t>258</t>
  </si>
  <si>
    <t>G1206 n°1886+1379+TTX FINITION</t>
  </si>
  <si>
    <t>UM non réalisé au départ // Train calé a Bobigny 2h</t>
  </si>
  <si>
    <t>259</t>
  </si>
  <si>
    <t>TERGNIER</t>
  </si>
  <si>
    <t>B66U</t>
  </si>
  <si>
    <t>260</t>
  </si>
  <si>
    <t>CSS 1/2</t>
  </si>
  <si>
    <t>G12 1377 + 29 wagons</t>
  </si>
  <si>
    <t>261</t>
  </si>
  <si>
    <t>BOURREUSE 108-16</t>
  </si>
  <si>
    <t>262</t>
  </si>
  <si>
    <t>MASSY 2/4</t>
  </si>
  <si>
    <t>G12 1372+ Wagons</t>
  </si>
  <si>
    <t>MASSY</t>
  </si>
  <si>
    <t>LE BOURGET 3/4</t>
  </si>
  <si>
    <t>263</t>
  </si>
  <si>
    <t xml:space="preserve">JUVISY </t>
  </si>
  <si>
    <t>STAB PLASSER DGS72NR</t>
  </si>
  <si>
    <t>264</t>
  </si>
  <si>
    <t>BEAUCHAMP 1/2</t>
  </si>
  <si>
    <t>G12 1547</t>
  </si>
  <si>
    <t>265</t>
  </si>
  <si>
    <t>Calé a Creil / Repris dès le vendredi // Aucune ressources ajoutée à la prestation</t>
  </si>
  <si>
    <t>266</t>
  </si>
  <si>
    <t>G12-1449</t>
  </si>
  <si>
    <t>267</t>
  </si>
  <si>
    <t>Les Aubrais</t>
  </si>
  <si>
    <r>
      <rPr>
        <b/>
        <strike/>
        <sz val="24"/>
        <color theme="1"/>
        <rFont val="Calibri"/>
        <family val="2"/>
        <scheme val="minor"/>
      </rPr>
      <t xml:space="preserve">PTH </t>
    </r>
    <r>
      <rPr>
        <b/>
        <sz val="24"/>
        <color theme="1"/>
        <rFont val="Calibri"/>
        <family val="2"/>
        <scheme val="minor"/>
      </rPr>
      <t>TRAPPES</t>
    </r>
  </si>
  <si>
    <t>268</t>
  </si>
  <si>
    <t>Annulé le 26/03 // Changement Semelles de frein</t>
  </si>
  <si>
    <t>HIRSON 2/2</t>
  </si>
  <si>
    <t>G12 1885 + G12 1547</t>
  </si>
  <si>
    <t>G1206 n°1372+wgs</t>
  </si>
  <si>
    <t>Le Bourget</t>
  </si>
  <si>
    <t>VSG 4/4</t>
  </si>
  <si>
    <t xml:space="preserve">PTH </t>
  </si>
  <si>
    <t>G1206 n°1665 + 6EX</t>
  </si>
  <si>
    <t xml:space="preserve">G1206 n°1665 </t>
  </si>
  <si>
    <t>14</t>
  </si>
  <si>
    <t>269</t>
  </si>
  <si>
    <t>270</t>
  </si>
  <si>
    <t>271</t>
  </si>
  <si>
    <t>G1206 n° +VAD 365+Porte flèche+Bourreuse n°6346</t>
  </si>
  <si>
    <t>272</t>
  </si>
  <si>
    <t>ST FLO</t>
  </si>
  <si>
    <t>PTH 1/3</t>
  </si>
  <si>
    <t xml:space="preserve">G1206 122 Colas + VAD 85 n°252 Colas + porte Flèche Colas		</t>
  </si>
  <si>
    <t>Erreur info client sur sens travail</t>
  </si>
  <si>
    <t xml:space="preserve">train arrivé a l'envers suite à mauvaise indication du client - retournement le vendredi </t>
  </si>
  <si>
    <t>retournement effectué le vendredi</t>
  </si>
  <si>
    <t>273</t>
  </si>
  <si>
    <t>CORBEIL 1/2</t>
  </si>
  <si>
    <t>G12 - 1372</t>
  </si>
  <si>
    <t>274</t>
  </si>
  <si>
    <t>G12-1372 + V211 512 + 8 WAGONS</t>
  </si>
  <si>
    <t>275</t>
  </si>
  <si>
    <t>276</t>
  </si>
  <si>
    <t>277</t>
  </si>
  <si>
    <t>V211 621-2</t>
  </si>
  <si>
    <t>278</t>
  </si>
  <si>
    <t>ST LEU 2/3</t>
  </si>
  <si>
    <t>G1206 122 Colas + VAD 85 n°252 Colas + porte Flèche Colas</t>
  </si>
  <si>
    <t>279</t>
  </si>
  <si>
    <t>LES MUREAUX 3/3</t>
  </si>
  <si>
    <t>G1206 122 Colas</t>
  </si>
  <si>
    <t>280</t>
  </si>
  <si>
    <t>281</t>
  </si>
  <si>
    <t>282</t>
  </si>
  <si>
    <t>BOUR-APP FRAMAFER 108-32/275 n°3486</t>
  </si>
  <si>
    <t>283</t>
  </si>
  <si>
    <t>LES AUBRAIS 1/2</t>
  </si>
  <si>
    <t>G1206 n° 1372+BOUR-APP FRAMAFER 108-32/275 n°3486</t>
  </si>
  <si>
    <t>284</t>
  </si>
  <si>
    <t>COUTRAS 2/3</t>
  </si>
  <si>
    <t>285</t>
  </si>
  <si>
    <t>286</t>
  </si>
  <si>
    <t>LA VERRIERES</t>
  </si>
  <si>
    <t>LA VERRIERES 2/2 via Plaisir</t>
  </si>
  <si>
    <t>G1206</t>
  </si>
  <si>
    <t>287</t>
  </si>
  <si>
    <t>NIMES</t>
  </si>
  <si>
    <t>STQF 1/5</t>
  </si>
  <si>
    <t>G1206 Colas n° 77</t>
  </si>
  <si>
    <t>288</t>
  </si>
  <si>
    <t>BDX ST JEAN 3/3</t>
  </si>
  <si>
    <t>289</t>
  </si>
  <si>
    <t>290</t>
  </si>
  <si>
    <t>STQF</t>
  </si>
  <si>
    <t>VSG 2/5</t>
  </si>
  <si>
    <t>G1206 Colas n° 77+ VAD 325+porte flèche</t>
  </si>
  <si>
    <t>291</t>
  </si>
  <si>
    <t>292</t>
  </si>
  <si>
    <t>293</t>
  </si>
  <si>
    <t>ST LEU3/5</t>
  </si>
  <si>
    <t>294</t>
  </si>
  <si>
    <t>MONTEREAU</t>
  </si>
  <si>
    <t>295</t>
  </si>
  <si>
    <t xml:space="preserve">CHAUMONT </t>
  </si>
  <si>
    <t>296</t>
  </si>
  <si>
    <t>HAZEBROUCK</t>
  </si>
  <si>
    <t>G1206 n° Colas+ 1 wgs+RDF7+1 wgs</t>
  </si>
  <si>
    <t>297</t>
  </si>
  <si>
    <t>ST LEU VIA LONGUEAU/Tergnier</t>
  </si>
  <si>
    <t>G1206 COLAS + VAD 252</t>
  </si>
  <si>
    <t>298</t>
  </si>
  <si>
    <t>299</t>
  </si>
  <si>
    <t>LES MUREAUX 5/5</t>
  </si>
  <si>
    <t xml:space="preserve">G1206 Colas n° 77				</t>
  </si>
  <si>
    <t>15</t>
  </si>
  <si>
    <t>300</t>
  </si>
  <si>
    <t>G12 1497</t>
  </si>
  <si>
    <t>301</t>
  </si>
  <si>
    <t>302</t>
  </si>
  <si>
    <t>303</t>
  </si>
  <si>
    <t>G1206 n° 1885+1547</t>
  </si>
  <si>
    <t>retard loco restés sur TTx à Hirson + plage travaux</t>
  </si>
  <si>
    <t>304</t>
  </si>
  <si>
    <t>VERSAILLES MATELOT</t>
  </si>
  <si>
    <t>305</t>
  </si>
  <si>
    <t>306</t>
  </si>
  <si>
    <t>G1206 n° 1547+19 wagons vides</t>
  </si>
  <si>
    <t>307</t>
  </si>
  <si>
    <t>G1206 n° 1547+wagons chargés</t>
  </si>
  <si>
    <t>Modification de la composition en OP (train trop lourd) - rotation repoussé au lendemain</t>
  </si>
  <si>
    <t>308</t>
  </si>
  <si>
    <t>BOUR-APP PLASSER 108 32/4S N°5851</t>
  </si>
  <si>
    <t>309</t>
  </si>
  <si>
    <t>calé à PTH probléme d'aiguille au P3</t>
  </si>
  <si>
    <t>310</t>
  </si>
  <si>
    <t>Manœuvre pour formation du PUSCAL+Manœuvre pour formation du PUSCAL+VAD COLASVAD COLAS</t>
  </si>
  <si>
    <t xml:space="preserve">formation du PUSCAL+VAD </t>
  </si>
  <si>
    <t>311</t>
  </si>
  <si>
    <t>312</t>
  </si>
  <si>
    <t>JS de 10h30 pour cause de retard (SAM + ARRET en ligne pour degagement de fumée</t>
  </si>
  <si>
    <t>313</t>
  </si>
  <si>
    <t>BB60000 + BOUR-APP PLASSER 108 32/4S N°5851</t>
  </si>
  <si>
    <t>314</t>
  </si>
  <si>
    <t>315</t>
  </si>
  <si>
    <t>316</t>
  </si>
  <si>
    <t>EPLUCHES</t>
  </si>
  <si>
    <t>G12-1118</t>
  </si>
  <si>
    <t>317</t>
  </si>
  <si>
    <t>G1206 n°1372+60086</t>
  </si>
  <si>
    <t>318</t>
  </si>
  <si>
    <t>319</t>
  </si>
  <si>
    <t>320</t>
  </si>
  <si>
    <t>NANTES 1/3</t>
  </si>
  <si>
    <t>321</t>
  </si>
  <si>
    <t>VGS 2/3</t>
  </si>
  <si>
    <t>322</t>
  </si>
  <si>
    <t>G12 1372</t>
  </si>
  <si>
    <t>323</t>
  </si>
  <si>
    <t>G1206 n°1813+B45</t>
  </si>
  <si>
    <t>demande du RGI, le départ initialement prévu à 08h a été décalé en début d’après midi pour des besoins sur vaires.</t>
  </si>
  <si>
    <t>324</t>
  </si>
  <si>
    <t>325</t>
  </si>
  <si>
    <t>G1206 n°1813+5 EX100</t>
  </si>
  <si>
    <t>annulation client J-1, 22h20// wagons non prêt</t>
  </si>
  <si>
    <t>326</t>
  </si>
  <si>
    <t>327</t>
  </si>
  <si>
    <t>328</t>
  </si>
  <si>
    <t>SUCY</t>
  </si>
  <si>
    <t xml:space="preserve">G12 + puscal </t>
  </si>
  <si>
    <t>329</t>
  </si>
  <si>
    <t xml:space="preserve">VSG - SUCY </t>
  </si>
  <si>
    <t>G1206 + G1206</t>
  </si>
  <si>
    <t>330</t>
  </si>
  <si>
    <t>NANTES</t>
  </si>
  <si>
    <t>RENNES 2/3</t>
  </si>
  <si>
    <t>331</t>
  </si>
  <si>
    <t>RENNES</t>
  </si>
  <si>
    <t>LANDEREAU 3/3</t>
  </si>
  <si>
    <t>332</t>
  </si>
  <si>
    <t>LUMES 2/2</t>
  </si>
  <si>
    <t>60105+6 WT3E</t>
  </si>
  <si>
    <t>Erreur tracé sillon</t>
  </si>
  <si>
    <t xml:space="preserve">Sillon tracé avec un tete a queue a Aulnoye (non demandé sur la commande) ce qui a fait retourner notr train. </t>
  </si>
  <si>
    <t>333</t>
  </si>
  <si>
    <t>334</t>
  </si>
  <si>
    <t>335</t>
  </si>
  <si>
    <t>G1206 n°2081+REVO+Compo</t>
  </si>
  <si>
    <t>336</t>
  </si>
  <si>
    <t>SPDC ST COME</t>
  </si>
  <si>
    <t>SPDC DEPOT 1/3</t>
  </si>
  <si>
    <t>337</t>
  </si>
  <si>
    <t>SPDC DEPOT</t>
  </si>
  <si>
    <t>G12 1144</t>
  </si>
  <si>
    <t>338</t>
  </si>
  <si>
    <t>TRAPPES 3/3</t>
  </si>
  <si>
    <t>G12 1144 + 60086</t>
  </si>
  <si>
    <t>339</t>
  </si>
  <si>
    <t>340</t>
  </si>
  <si>
    <t>G1206 n° + Prepa Tevo</t>
  </si>
  <si>
    <t>téléchargé</t>
  </si>
  <si>
    <t>diffusé</t>
  </si>
  <si>
    <t>TAXI AUTORISÉ EN OP</t>
  </si>
  <si>
    <t>01</t>
  </si>
  <si>
    <t>1</t>
  </si>
  <si>
    <t>MONTIGNY BEAUCHAMP EP ETF</t>
  </si>
  <si>
    <t>PERSAN BEAUMONT BV</t>
  </si>
  <si>
    <t>BML N°2617</t>
  </si>
  <si>
    <t>VALENTON 1/2</t>
  </si>
  <si>
    <t xml:space="preserve">OK </t>
  </si>
  <si>
    <t>G1206 n°1886+B4520</t>
  </si>
  <si>
    <t>Rame non prête</t>
  </si>
  <si>
    <t>Retard au départ manœuvres supplémentaires / Cause AMM</t>
  </si>
  <si>
    <t>VALENTON</t>
  </si>
  <si>
    <t>SAINCAIZE 2/2</t>
  </si>
  <si>
    <t>PTH 1/2</t>
  </si>
  <si>
    <t xml:space="preserve">Bourreuse 109 3X n°3546 </t>
  </si>
  <si>
    <t>retard au depart car bourreuse enterrée + collision avec un arbre lors de l'acheminement</t>
  </si>
  <si>
    <t xml:space="preserve">Manœuvre PTH </t>
  </si>
  <si>
    <t>HAZEBROUCK 1/2</t>
  </si>
  <si>
    <t xml:space="preserve">G1206 n°1498+6 WT3E </t>
  </si>
  <si>
    <t>Personne pour manœuvrer sur Verberie et permettre la sortie du train (Captrain) / Calé et reporté</t>
  </si>
  <si>
    <t>POSTE 74</t>
  </si>
  <si>
    <t>G12 1837</t>
  </si>
  <si>
    <t>ETF RRI   //   A955.LOL2593704</t>
  </si>
  <si>
    <r>
      <t xml:space="preserve">Pas d'agent Eiffage pour le départ avant 12h40 </t>
    </r>
    <r>
      <rPr>
        <b/>
        <sz val="20"/>
        <color rgb="FFFF0000"/>
        <rFont val="Calibri"/>
        <family val="2"/>
        <scheme val="minor"/>
      </rPr>
      <t>(A reboucler par Rackie)</t>
    </r>
  </si>
  <si>
    <t xml:space="preserve">PESEE TEVO </t>
  </si>
  <si>
    <t>LANDY</t>
  </si>
  <si>
    <t>PARIS BERCY</t>
  </si>
  <si>
    <t>V212 581-8 + 13 wagons chargés + V211 635-2</t>
  </si>
  <si>
    <t>SNCF (sillon)</t>
  </si>
  <si>
    <t xml:space="preserve">G12 1885 </t>
  </si>
  <si>
    <r>
      <t xml:space="preserve">manque de fuel : mais VPGO du dernier CDT indiquait 50% GNR à l'arrivée
 &gt; train calé a VSG (plein GNR puis 2h d'attente, pointe… Départ reporté au lendemain. Pas de csq chantier) // </t>
    </r>
    <r>
      <rPr>
        <b/>
        <sz val="20"/>
        <color rgb="FFFF0000"/>
        <rFont val="Calibri"/>
        <family val="2"/>
        <scheme val="minor"/>
      </rPr>
      <t>Information conducteur à faire aux conducteurs sur le mode d'arrêt des machines pour avoir la bonne information (Action Rackie)</t>
    </r>
  </si>
  <si>
    <t>MNV VSG FSC DEBRANCHEMENT</t>
  </si>
  <si>
    <t>REDING</t>
  </si>
  <si>
    <t>reprise suite à manque de fuel la veille</t>
  </si>
  <si>
    <t>LALUQUE</t>
  </si>
  <si>
    <t>SPDC 1/2</t>
  </si>
  <si>
    <t xml:space="preserve">G1206 n°2102+2103+ KB </t>
  </si>
  <si>
    <t>ETMF</t>
  </si>
  <si>
    <r>
      <t xml:space="preserve">Rame non préparée par le chantier </t>
    </r>
    <r>
      <rPr>
        <b/>
        <sz val="20"/>
        <color rgb="FFFF0000"/>
        <rFont val="Calibri"/>
        <family val="2"/>
        <scheme val="minor"/>
      </rPr>
      <t>(A évoquer en réunion prod chantier)</t>
    </r>
  </si>
  <si>
    <t xml:space="preserve">MARDI </t>
  </si>
  <si>
    <t xml:space="preserve">G1206 n°1124+ G1206 n°1498 + Compo VAD+MFS+RDF+ Bourreuse 109 3X n°3546  </t>
  </si>
  <si>
    <t>Suite à la non-réalisation du Verberie - Hazebourck le 6/01.
Le PTH - Saincaize est repousé</t>
  </si>
  <si>
    <t>1498 priorisée pour l'envoyer à PTH en HLP</t>
  </si>
  <si>
    <t xml:space="preserve">HAZEBROUCK </t>
  </si>
  <si>
    <t>PTH  2/2</t>
  </si>
  <si>
    <t>G1206 n°1498</t>
  </si>
  <si>
    <t>annulation client - priorité au PTH &gt; Saincaize</t>
  </si>
  <si>
    <t xml:space="preserve"> Manœuvre LALUQUE</t>
  </si>
  <si>
    <t xml:space="preserve"> Manœuvre LALUQUE 1/4</t>
  </si>
  <si>
    <t xml:space="preserve">G1206 n°1838+60020 +RGT 15+ 28 wagons </t>
  </si>
  <si>
    <t xml:space="preserve">MONTIGNY </t>
  </si>
  <si>
    <t>G2080</t>
  </si>
  <si>
    <t>LES MUREAUX</t>
  </si>
  <si>
    <t xml:space="preserve">G12 1486 + G12 1378+ G12 1128 </t>
  </si>
  <si>
    <t>BB60086</t>
  </si>
  <si>
    <t>NOISY LE SEC</t>
  </si>
  <si>
    <t>Bourreuse 109 FRP n°2523</t>
  </si>
  <si>
    <t xml:space="preserve">SAINCAIZE </t>
  </si>
  <si>
    <t xml:space="preserve">G1206 n°1124+ G1206 n°1498 + Compo VAD+MFS+RDF+ Bourreuse 109 3X n°3546 </t>
  </si>
  <si>
    <t>Soucis de compo (rame formée pour départ côté nord alors que devait se faire côté sud)  + Amor manquante + problème d'UM au démarrage 
&gt; 4h de retard au départ  + BF non conforme remarqué à la relève (sujet pris en main par Christophe LOISEAU)</t>
  </si>
  <si>
    <t>Annulé le 07/01 PAR LE CLIENT</t>
  </si>
  <si>
    <t xml:space="preserve">Problème de planification départ avec 4h15 de retard, pas d'agent au sol de prévu </t>
  </si>
  <si>
    <t xml:space="preserve">LALUQUE </t>
  </si>
  <si>
    <t>POITIERS 2/4</t>
  </si>
  <si>
    <t>G1206 n°1121 + 6R93</t>
  </si>
  <si>
    <t>4h en plus après l'arrivée à VSG pour 
&gt; gonfler la  60000 qui ne démarrait pas (a nécessité de manœuvrer la G12)
&gt; manœuvrer pour faire de la place à VSG pour dépose des wagons</t>
  </si>
  <si>
    <t xml:space="preserve">11 h de JS pour P. THEVENET </t>
  </si>
  <si>
    <t>G12 + 1 WG</t>
  </si>
  <si>
    <t>SPOT - LAON HIRSON   //   A955.LOL2593706</t>
  </si>
  <si>
    <t xml:space="preserve">Train arrivé à l'envers 
Aucune information sur la presta sur un sens de travail a respecter. 
Pas possible de retourner car travaux a Busigny.  
Acheminement reporté au vendredi
</t>
  </si>
  <si>
    <t>Conception</t>
  </si>
  <si>
    <t>Incohérence itinéraire et habilitation du conducteur. 
M.LARFI nous signale le 8/1  qu'il n'est pas habilité via Compiègne (itinéraire sur fiche de presta)
Nouvelle marche commandée via Epone pour arriver dans le bon sens</t>
  </si>
  <si>
    <t>BML n°108 32U n°2617</t>
  </si>
  <si>
    <t>retard suite a probleme de planification ETFS : confusion OP Sol</t>
  </si>
  <si>
    <t xml:space="preserve">V212 n°580-0 </t>
  </si>
  <si>
    <t>ETF  SUD EST   //   A955.LOL2593715</t>
  </si>
  <si>
    <t xml:space="preserve">ecart horaire soumis de 60min car machine HS,  pas dispo avant 12h00 (marche départ a 11h20) + Maintenance jusqu’à 13h10 
1h45 de retard au départ </t>
  </si>
  <si>
    <t>POITIERS</t>
  </si>
  <si>
    <t>SPDC 3/4</t>
  </si>
  <si>
    <t>JUVISY 4/4</t>
  </si>
  <si>
    <t>FERROTRACT</t>
  </si>
  <si>
    <t>ETF TRAVAUX MECA HAUCONCOURT  //   A955.LOL2595711</t>
  </si>
  <si>
    <t>AMOR RGT 15 non conforme ( jusqu'à Saincaize et non Juvisy)
Pas mis en NC car pas de départ en retard</t>
  </si>
  <si>
    <t>12:00 de JS S. NEBOUT  (4h d'attente à SPDC)</t>
  </si>
  <si>
    <t>JOIGNY 2/2</t>
  </si>
  <si>
    <t xml:space="preserve">G1206 n°1121 </t>
  </si>
  <si>
    <t>Temps de Repos Y LARFI non respecté. 9h20 (A reboucler avec Rackie)</t>
  </si>
  <si>
    <t>panne machine</t>
  </si>
  <si>
    <t xml:space="preserve">LES AUBRAIS   </t>
  </si>
  <si>
    <t xml:space="preserve">V212 n°531-3 + 4 R93 </t>
  </si>
  <si>
    <t>train calé à Vierzon, panne machine</t>
  </si>
  <si>
    <t>BUSIGNY</t>
  </si>
  <si>
    <t>St LEU</t>
  </si>
  <si>
    <t>VERBERIE 1/3</t>
  </si>
  <si>
    <t>60093 + g12</t>
  </si>
  <si>
    <t xml:space="preserve"> Fuel ajouté en opé mais annulé J-1  car il n'aurait pas été  possible de partir  d'achères avec les pointes voyageurs, de plus les 2 locos étaient quasiment pleines</t>
  </si>
  <si>
    <t>Chalons</t>
  </si>
  <si>
    <t>CAVAILLON</t>
  </si>
  <si>
    <t>PTH via Hazebrouck</t>
  </si>
  <si>
    <t>G1206 n°1546+ 6 WT3E</t>
  </si>
  <si>
    <t xml:space="preserve">10h50 de JS  pour V. SABRE </t>
  </si>
  <si>
    <t>juvisy</t>
  </si>
  <si>
    <t>V212 n°580-0</t>
  </si>
  <si>
    <t>Thionville</t>
  </si>
  <si>
    <t>Montchanin 1/2</t>
  </si>
  <si>
    <t>Paris B</t>
  </si>
  <si>
    <t xml:space="preserve">VSG </t>
  </si>
  <si>
    <t>Achères</t>
  </si>
  <si>
    <t>BML 108 32U n°2617</t>
  </si>
  <si>
    <t>Joigny</t>
  </si>
  <si>
    <t>BB60072+Rame LRS</t>
  </si>
  <si>
    <t>retard au départ car mise à disposition tardive de la rame par l'atelier + l'air pour le  racordement de la rame prend du temps à gonfler + le COGC de Bourgogne donne le départ tardivement //</t>
  </si>
  <si>
    <t>Gien</t>
  </si>
  <si>
    <t>G1206 n°1838+1886+KB</t>
  </si>
  <si>
    <t>Vierzon</t>
  </si>
  <si>
    <t>V212 n°531-3 + 4 R93</t>
  </si>
  <si>
    <t>ETF ATLANTIQUE   //   A955.LOL2595716</t>
  </si>
  <si>
    <t>Problème éléctrique bobine cramée</t>
  </si>
  <si>
    <t>joigny</t>
  </si>
  <si>
    <t>Trappes 1/3</t>
  </si>
  <si>
    <t>G1206 n°1121 + 4 EX100</t>
  </si>
  <si>
    <t>Juvisy</t>
  </si>
  <si>
    <t>Gièvres 1/2</t>
  </si>
  <si>
    <t>G1206 n°1838 + 15 wagons</t>
  </si>
  <si>
    <t>fuel inferieur à 8%, train calé à Juvisy //(cette loco a été acheminé depuis Laluque jusque St Pierre par ETMF. 
Ils ont laissé la loco à 8% à ST- Pierre de C. ). Devait arriver mardi, est arrivé vendredi</t>
  </si>
  <si>
    <t>Ne pas facturer les surcouts au client (nouvel ach) + voir avec client pour loation EM remplacement</t>
  </si>
  <si>
    <t xml:space="preserve">Gièvres </t>
  </si>
  <si>
    <t>Saincaize 2/2</t>
  </si>
  <si>
    <t xml:space="preserve">fuel inferieur à 8%, train calé à Juvisy. Fuel recommandé trop tardivementla veille  </t>
  </si>
  <si>
    <t>Montchanin</t>
  </si>
  <si>
    <t>Montceau les M 2/2</t>
  </si>
  <si>
    <t>BB60020 +RGT 15</t>
  </si>
  <si>
    <t>Hazebrouck</t>
  </si>
  <si>
    <t>Lens 1/2</t>
  </si>
  <si>
    <t>G1206 n°1546</t>
  </si>
  <si>
    <t xml:space="preserve">annulation suite absence agent sol Colas pour faire le départ
Machine devant être envoyée sur Lens pour faire des essais avec la G12 1372.Finalement les essais sur Lens ont pu se faire sans la G12 1546 / Conducteur replacé sur BA Lens pour les tests </t>
  </si>
  <si>
    <t>Béning</t>
  </si>
  <si>
    <t>BB60015</t>
  </si>
  <si>
    <t>départ refusé cause travaux suite retard (machine froide, pb batterie)
TMN non intégrée dans la liste de diffusion en pré-op sur le sillon. Pas de signalements effectués en opérationnel ni d'appels auprès de l'agence / A reboucler avec S2TF par Paul</t>
  </si>
  <si>
    <t>Agent planifié a 15h alors que le train est a 09h.
Retard au départ (3h de retard°)</t>
  </si>
  <si>
    <t>Rennes 2/3</t>
  </si>
  <si>
    <t>G1206 n°1121 +  4 EX100</t>
  </si>
  <si>
    <t>V212 581-8 + 13 wagons vides + V211 635-2</t>
  </si>
  <si>
    <t>Lens</t>
  </si>
  <si>
    <t>Hazebrouck 2/2</t>
  </si>
  <si>
    <t>annulation suite absence agent sol Colas pour faire le départ
Machine devant être envoyée sur Lens pour faire des essais avec la G12 1372.Finalement les essais sur Lens ont pu se faire sans la G12 1546</t>
  </si>
  <si>
    <t>Perrigny 1/4</t>
  </si>
  <si>
    <t xml:space="preserve">G1206 n°1547 + 3 wagons </t>
  </si>
  <si>
    <t>Perrigny</t>
  </si>
  <si>
    <t xml:space="preserve">Gien </t>
  </si>
  <si>
    <t>G1206 n°1547+9 wagons</t>
  </si>
  <si>
    <t>numéro machiniste erroné dans la fiche de presta</t>
  </si>
  <si>
    <t>Rennes</t>
  </si>
  <si>
    <t>Brest 3/3</t>
  </si>
  <si>
    <t>Vendredi</t>
  </si>
  <si>
    <t>G1206 n°1547+11 wagons</t>
  </si>
  <si>
    <t>Brest</t>
  </si>
  <si>
    <t>Le Mans</t>
  </si>
  <si>
    <t>G1029 + 4EX100</t>
  </si>
  <si>
    <t xml:space="preserve">LE MANS </t>
  </si>
  <si>
    <t>ok</t>
  </si>
  <si>
    <r>
      <t xml:space="preserve">G1029 </t>
    </r>
    <r>
      <rPr>
        <b/>
        <strike/>
        <sz val="18"/>
        <color rgb="FF000000"/>
        <rFont val="Calibri"/>
        <family val="2"/>
      </rPr>
      <t>+ 4EX100</t>
    </r>
  </si>
  <si>
    <t>HAZEBROUCK 1/3</t>
  </si>
  <si>
    <t>EVO</t>
  </si>
  <si>
    <t>Batterie HS au départ - départ avec 3h de retard</t>
  </si>
  <si>
    <t>Vérifier si l'info remontait bien dans RailFleet
&gt; RailFleet pas nécessairement fonctionnel</t>
  </si>
  <si>
    <t>SOMAIN 2/3</t>
  </si>
  <si>
    <t>OK</t>
  </si>
  <si>
    <t>G12 1546 + Bourreuse n°1077</t>
  </si>
  <si>
    <t>7 minutes de retard au départ - absence guide de dépannage + ordinateur de centrale HS</t>
  </si>
  <si>
    <t>VSG DBR</t>
  </si>
  <si>
    <t>g12 1547 + 28 wgs</t>
  </si>
  <si>
    <t>GIEN 1/2</t>
  </si>
  <si>
    <t>BB60072+108 275 n° 3399+R21 n°47005</t>
  </si>
  <si>
    <t>GIEN</t>
  </si>
  <si>
    <t>G1206 n°1544+DGS 62N</t>
  </si>
  <si>
    <t>retard au départ car Train pas formé à Gien</t>
  </si>
  <si>
    <t>CHÂTEAU THIERRY 1/2</t>
  </si>
  <si>
    <t xml:space="preserve">VSG  </t>
  </si>
  <si>
    <t>V211 528-9</t>
  </si>
  <si>
    <t xml:space="preserve">PERSAN </t>
  </si>
  <si>
    <t xml:space="preserve">Laluque </t>
  </si>
  <si>
    <t>poitiers 1/2</t>
  </si>
  <si>
    <t>Bourreuse n°3486</t>
  </si>
  <si>
    <t>Poitiers</t>
  </si>
  <si>
    <t>Gièvres 2/2</t>
  </si>
  <si>
    <t>SOMAIN</t>
  </si>
  <si>
    <t>G12 1546 + Bourreuse n°1077 + 8 wagons R93</t>
  </si>
  <si>
    <t>G12 1547+ 28 wagons</t>
  </si>
  <si>
    <t>ETF IDF  //   A.955LOL2595710</t>
  </si>
  <si>
    <t>Retard au départ suite incident à Achères // Réclamation</t>
  </si>
  <si>
    <t xml:space="preserve">Faire une réclamation </t>
  </si>
  <si>
    <t>G1029 + 11 EX100</t>
  </si>
  <si>
    <t xml:space="preserve">
calé aux aubrais suite panne G1029</t>
  </si>
  <si>
    <t xml:space="preserve">11 de JS S. NEBOUT </t>
  </si>
  <si>
    <t xml:space="preserve">SAINCAIZE  </t>
  </si>
  <si>
    <t>Annulé</t>
  </si>
  <si>
    <t>fuite d'huile sur la G1029 // Reprise le Vendredi (prévu en amont, ne pas facturer)</t>
  </si>
  <si>
    <t>V211 581-8 + 13 wagons vides + V211 635-2</t>
  </si>
  <si>
    <t>MELUN</t>
  </si>
  <si>
    <t>BENING</t>
  </si>
  <si>
    <t>METZ SABLON 1/2</t>
  </si>
  <si>
    <t>60015+10 wagons</t>
  </si>
  <si>
    <t>Chantier (Laon) non prêt a recevoir les wagons, ache reporté dès le lundi. Ne pas facturer</t>
  </si>
  <si>
    <t xml:space="preserve">METZ SABLON </t>
  </si>
  <si>
    <t>60015+20 wagons</t>
  </si>
  <si>
    <t>RGT 35</t>
  </si>
  <si>
    <t>TAQ à Achères non prise en compte dans la demande du sillon initial. Redemande effectuée avec TAQ à Achères mais sillon non attribué avec TAQ.  Rebouclage non effectué suite à l'envoi du sillon  pour respect du sens de travail. Difficulté à le faire en DNC car occupation des VP. TAQ demandé à Epone en conséquence</t>
  </si>
  <si>
    <t>Programme théorique SPDC non trasmis</t>
  </si>
  <si>
    <t xml:space="preserve">G1038 </t>
  </si>
  <si>
    <t>Niveau liquide de refroidissement à 0 lors de la PC. Intervention à l'atelier de Beauchamp pour remplissage du liquide</t>
  </si>
  <si>
    <t xml:space="preserve">Manque rebroussement a SPDC + temps d'occupation des voies à Gievres sur fiche de presta = 2 sillons refusés. 
// Cet acheminement est une reprise de train calé  en opé suite à une panne loco, le jalonnement n'a pas été traité par le Pré-op. 
Mail de palinte reçu de la part de Claisse rail  suite à un manque d'information pour les modifications reçu en opé. 
Rame calée à Vierzon : cause retard pris au départ. Plein GNR à SPDC ajouté en dernière minute + refus de Gièvres de réceptionner (considèrent qu'il y avait un défaut d'information). Refus régul départ à l'heure prévue. Retard = si mission jusqu'au bout, dépassement pour Sébastien. Rame calée à VIerzon. Reprise le lendemain par S2TF.
</t>
  </si>
  <si>
    <t xml:space="preserve">12:00 de JS pour Sébastien suite à un fuel  à st pierre ajouté en opé à la dernière minute qui a engendré un retard de 3h00
</t>
  </si>
  <si>
    <t>G1029 + 12 EX100 + 5R93</t>
  </si>
  <si>
    <t xml:space="preserve">Retard 150 min au départ, Manœuvres à Gievres +retard sillon précédent </t>
  </si>
  <si>
    <t>SABLE</t>
  </si>
  <si>
    <t>G1206 n°1544</t>
  </si>
  <si>
    <t>Paris Bercy</t>
  </si>
  <si>
    <t>75</t>
  </si>
  <si>
    <t xml:space="preserve">Saincaize </t>
  </si>
  <si>
    <t>G1029+WAD352+ 2 Porte flèche double</t>
  </si>
  <si>
    <t>Rames non prête</t>
  </si>
  <si>
    <t>76</t>
  </si>
  <si>
    <t>Le Bourget 1/2</t>
  </si>
  <si>
    <t>G1206 n°1118</t>
  </si>
  <si>
    <t>retard au départ car machine entérrée</t>
  </si>
  <si>
    <t>77</t>
  </si>
  <si>
    <t>verberie</t>
  </si>
  <si>
    <t>ANGOULEME 2/3</t>
  </si>
  <si>
    <t>Absence de sillons</t>
  </si>
  <si>
    <t>pas de sillon obtenu / reporté à Mardi. Pas d'impact chantier</t>
  </si>
  <si>
    <t>Retard au départ Problème technique de signalisation en gare de Sablé</t>
  </si>
  <si>
    <t>78</t>
  </si>
  <si>
    <t>Avignon - CHALON</t>
  </si>
  <si>
    <t>montceau les mines  2/2</t>
  </si>
  <si>
    <t>Transifer</t>
  </si>
  <si>
    <t>fait plutôt Lundi</t>
  </si>
  <si>
    <t>79</t>
  </si>
  <si>
    <t>gien</t>
  </si>
  <si>
    <t>saincaize 1/2</t>
  </si>
  <si>
    <t>BB60072+ 6 Wagons</t>
  </si>
  <si>
    <t>lundi</t>
  </si>
  <si>
    <t>GIEN 2/2</t>
  </si>
  <si>
    <t>BB60072</t>
  </si>
  <si>
    <t>annulé jour J par le client</t>
  </si>
  <si>
    <t>Rattrapage annulation de la veille</t>
  </si>
  <si>
    <t>le bourget</t>
  </si>
  <si>
    <t>acheres 2/2</t>
  </si>
  <si>
    <t>ANGOULEME</t>
  </si>
  <si>
    <t>SAINTES 3/3</t>
  </si>
  <si>
    <t>R21 N°47008</t>
  </si>
  <si>
    <t>décalé à Mercredi suite non obtention sillon précédent  ETFS lundi</t>
  </si>
  <si>
    <t>80</t>
  </si>
  <si>
    <t>St leu</t>
  </si>
  <si>
    <t>Longueau</t>
  </si>
  <si>
    <t>BML n°5851</t>
  </si>
  <si>
    <t>Reporté à vendredi</t>
  </si>
  <si>
    <t>81</t>
  </si>
  <si>
    <t>St leu 1/3</t>
  </si>
  <si>
    <t>G1029+Porte flèche rail  + VAD 352</t>
  </si>
  <si>
    <t>VAD pas prêt et ne peut pas partir ce jour car intervention sur un porte flèche à st Leu pour changement d'essieux 
+ Porte-Flèche arrivée à l'envers (défaut d'information client)</t>
  </si>
  <si>
    <t>Vierzon 2/3</t>
  </si>
  <si>
    <t>G1029+ G1038  + triplette VAD 365 + porte flèche (G1029 tracte).</t>
  </si>
  <si>
    <t>Voir case ci-dessus</t>
  </si>
  <si>
    <t>82</t>
  </si>
  <si>
    <t>nevers 1/2</t>
  </si>
  <si>
    <t>SSP 230 n°5984</t>
  </si>
  <si>
    <t>Machiniste travaille de nuit donc incapacité de prendre la machine le matin</t>
  </si>
  <si>
    <t>Nevers</t>
  </si>
  <si>
    <t>83</t>
  </si>
  <si>
    <t xml:space="preserve">Saincaize  </t>
  </si>
  <si>
    <t>84</t>
  </si>
  <si>
    <t>Les Mureaux</t>
  </si>
  <si>
    <r>
      <t xml:space="preserve">G12 </t>
    </r>
    <r>
      <rPr>
        <b/>
        <strike/>
        <sz val="18"/>
        <color rgb="FF000000"/>
        <rFont val="Calibri"/>
        <family val="2"/>
      </rPr>
      <t xml:space="preserve">1486 </t>
    </r>
    <r>
      <rPr>
        <b/>
        <sz val="18"/>
        <color rgb="FF000000"/>
        <rFont val="Calibri"/>
        <family val="2"/>
      </rPr>
      <t xml:space="preserve"> 1128</t>
    </r>
  </si>
  <si>
    <t>1128 au lieu de 1486 suite panne de cette dernière</t>
  </si>
  <si>
    <t>Mercredi</t>
  </si>
  <si>
    <t>St-Leu</t>
  </si>
  <si>
    <t>Verberie (retournement)</t>
  </si>
  <si>
    <t>G1029+WAD352+  Porte flèche double+ G1038</t>
  </si>
  <si>
    <t>plus de 2h de retard suite maintenance G1038 (fuite)</t>
  </si>
  <si>
    <t>St Leu (retournement)</t>
  </si>
  <si>
    <t>plus de 2h de retard suite maintenance G1038</t>
  </si>
  <si>
    <t>Saincaize 2/3</t>
  </si>
  <si>
    <r>
      <t xml:space="preserve">G12 </t>
    </r>
    <r>
      <rPr>
        <b/>
        <strike/>
        <sz val="18"/>
        <color rgb="FF000000"/>
        <rFont val="Calibri"/>
        <family val="2"/>
      </rPr>
      <t>1486</t>
    </r>
    <r>
      <rPr>
        <b/>
        <sz val="18"/>
        <color rgb="FF000000"/>
        <rFont val="Calibri"/>
        <family val="2"/>
      </rPr>
      <t xml:space="preserve"> 1128 + 10 wagons</t>
    </r>
  </si>
  <si>
    <t>mercredi</t>
  </si>
  <si>
    <t>85</t>
  </si>
  <si>
    <t>vsg</t>
  </si>
  <si>
    <t>bercy</t>
  </si>
  <si>
    <t>86</t>
  </si>
  <si>
    <t>VAires</t>
  </si>
  <si>
    <t>60093 + 60015</t>
  </si>
  <si>
    <t>87</t>
  </si>
  <si>
    <t>Dépassement dû à l'organisation véhicule</t>
  </si>
  <si>
    <t xml:space="preserve">12h00 de JS Loic  ? </t>
  </si>
  <si>
    <t>88</t>
  </si>
  <si>
    <t xml:space="preserve">ACHERES  </t>
  </si>
  <si>
    <t>89</t>
  </si>
  <si>
    <t xml:space="preserve">retard au départ suite manœuvres (prévues la veille mais le retard pris n'a pu permettre des les réaliser)
</t>
  </si>
  <si>
    <t>Train calé aux AUBRAIS (franchissement garage franc par CDT ST)</t>
  </si>
  <si>
    <r>
      <t xml:space="preserve">Voir ave S2TF ce qui a été mis en place </t>
    </r>
    <r>
      <rPr>
        <sz val="20"/>
        <color rgb="FFFF0000"/>
        <rFont val="Calibri"/>
        <family val="2"/>
      </rPr>
      <t>@Benjamin KRIEF</t>
    </r>
  </si>
  <si>
    <t>Achères 3/3</t>
  </si>
  <si>
    <r>
      <t xml:space="preserve">G12 </t>
    </r>
    <r>
      <rPr>
        <b/>
        <strike/>
        <sz val="18"/>
        <color rgb="FF000000"/>
        <rFont val="Calibri"/>
        <family val="2"/>
      </rPr>
      <t xml:space="preserve">1486 </t>
    </r>
    <r>
      <rPr>
        <b/>
        <sz val="18"/>
        <color rgb="FF000000"/>
        <rFont val="Calibri"/>
        <family val="2"/>
      </rPr>
      <t>1128</t>
    </r>
  </si>
  <si>
    <t>retard au départ suite demande de rajout de 4 wagons / impossible avec la marche HLP
+ panne 1128 à la sortie de la BA</t>
  </si>
  <si>
    <t>SOTTEVILLE 2/2</t>
  </si>
  <si>
    <t>60093 + 60015+ V211 621-2</t>
  </si>
  <si>
    <t>ETF NORD   //   A.955LOL2595709</t>
  </si>
  <si>
    <t xml:space="preserve">Retard important au départ cause sillon tracé en MA100 (suite refus horairistes en TM)
&gt; Voir avec Sophie PUIG et/ou Clémence ROMEC </t>
  </si>
  <si>
    <t>TM doit être demandé en ME100 si 3 locos
&gt; @Rackie : Passer l'info côté OP + rajouter l'info dans fiche réflexe</t>
  </si>
  <si>
    <t xml:space="preserve">10h00 de JS Yazid  suite ajout spot en opé trajet supplémentaire. </t>
  </si>
  <si>
    <t>90</t>
  </si>
  <si>
    <t>les mureaux</t>
  </si>
  <si>
    <t>achères</t>
  </si>
  <si>
    <t>G1206 n°1486 + 1128</t>
  </si>
  <si>
    <t>uniquement la 1486</t>
  </si>
  <si>
    <t>91</t>
  </si>
  <si>
    <t>GRAND PONT GARAGE</t>
  </si>
  <si>
    <t>G1038 + 6 EX100</t>
  </si>
  <si>
    <t xml:space="preserve">Train calé aux Aubrais </t>
  </si>
  <si>
    <t>92</t>
  </si>
  <si>
    <t>vsg 1/2</t>
  </si>
  <si>
    <t>96</t>
  </si>
  <si>
    <t xml:space="preserve">Train calé au aubrais </t>
  </si>
  <si>
    <t>93</t>
  </si>
  <si>
    <t xml:space="preserve">11h00 De JS YAZID suite à un arrêt [C] Sur la marche </t>
  </si>
  <si>
    <t>94</t>
  </si>
  <si>
    <t xml:space="preserve">V212 n°531-3 </t>
  </si>
  <si>
    <t>95</t>
  </si>
  <si>
    <r>
      <rPr>
        <b/>
        <strike/>
        <sz val="20"/>
        <color rgb="FF000000"/>
        <rFont val="Calibri"/>
        <family val="2"/>
      </rPr>
      <t>Longueau</t>
    </r>
    <r>
      <rPr>
        <b/>
        <sz val="20"/>
        <color rgb="FF000000"/>
        <rFont val="Calibri"/>
        <family val="2"/>
      </rPr>
      <t xml:space="preserve"> Abbeville</t>
    </r>
  </si>
  <si>
    <t xml:space="preserve">Erreur agent </t>
  </si>
  <si>
    <t>retard au départ suite incident sécuritaire avec Hakim Baggour (manœuvre IS alors que non habilité / Sillon S2TF)</t>
  </si>
  <si>
    <t>vierzon</t>
  </si>
  <si>
    <t>limoges 3/3</t>
  </si>
  <si>
    <t>G1029 + 1 EX100B + 5R93 + triplette VAD 365 + porte flèche (G1029 tracte)</t>
  </si>
  <si>
    <t>Limogees</t>
  </si>
  <si>
    <t>Le dorat</t>
  </si>
  <si>
    <t>G1029 + 6 EX100B + 5R93 + triplette VAD 365 + porte flèche</t>
  </si>
  <si>
    <t>supprimé</t>
  </si>
  <si>
    <t>Gien 2/2</t>
  </si>
  <si>
    <t>97</t>
  </si>
  <si>
    <t>Sens Triage</t>
  </si>
  <si>
    <t>B66UC n°6607</t>
  </si>
  <si>
    <t>SOMAIN 1/2</t>
  </si>
  <si>
    <t>g12 - 1547</t>
  </si>
  <si>
    <t>99</t>
  </si>
  <si>
    <t>BOURREUSE 6348</t>
  </si>
  <si>
    <t>100</t>
  </si>
  <si>
    <t>V212 + 13 WAGON</t>
  </si>
  <si>
    <t>101</t>
  </si>
  <si>
    <t>102</t>
  </si>
  <si>
    <t>V212 n°531-3 + 10 R93</t>
  </si>
  <si>
    <t xml:space="preserve">Manque rebroussement à Vierzon dans l'étude </t>
  </si>
  <si>
    <t>103</t>
  </si>
  <si>
    <t>saincaize</t>
  </si>
  <si>
    <t>Gien 1/2</t>
  </si>
  <si>
    <t>G1206 n°1544+ 5 wagons</t>
  </si>
  <si>
    <t>Absence du conducteur nécessite de recommander un nouveau sillon / Mahdi Layachi sollicité sur delegation</t>
  </si>
  <si>
    <t>104</t>
  </si>
  <si>
    <t>Limoges 1/2</t>
  </si>
  <si>
    <t>G1029 +Compo</t>
  </si>
  <si>
    <t>panne G1029 / Demande de secours / Train calé a Issoudun - reprise le 04/02</t>
  </si>
  <si>
    <t>Limoges</t>
  </si>
  <si>
    <t>Le Dora 2/2</t>
  </si>
  <si>
    <t>Gien (via Saincaize)</t>
  </si>
  <si>
    <t>105</t>
  </si>
  <si>
    <r>
      <rPr>
        <b/>
        <strike/>
        <sz val="20"/>
        <color rgb="FF000000"/>
        <rFont val="Calibri"/>
        <family val="2"/>
      </rPr>
      <t>Vaires</t>
    </r>
    <r>
      <rPr>
        <b/>
        <sz val="20"/>
        <color rgb="FF000000"/>
        <rFont val="Calibri"/>
        <family val="2"/>
      </rPr>
      <t xml:space="preserve">  Vierzon</t>
    </r>
  </si>
  <si>
    <t>BR214 + 10R93</t>
  </si>
  <si>
    <t>annulation client (Laforge), loco priorisé pour récupérer la spot calé à Issoudin</t>
  </si>
  <si>
    <t>issoudin</t>
  </si>
  <si>
    <t xml:space="preserve">BR214 </t>
  </si>
  <si>
    <t>Issoudin</t>
  </si>
  <si>
    <t>L'ORAILLE 2/2</t>
  </si>
  <si>
    <t>G121547 + 16EX</t>
  </si>
  <si>
    <t>106</t>
  </si>
  <si>
    <t>vaires</t>
  </si>
  <si>
    <t>Paris Landy</t>
  </si>
  <si>
    <t>531-3</t>
  </si>
  <si>
    <t>107</t>
  </si>
  <si>
    <t>Annulé par le client</t>
  </si>
  <si>
    <t>109</t>
  </si>
  <si>
    <t xml:space="preserve">Limoges </t>
  </si>
  <si>
    <t>G1029 -5R90 -6EX-porte flèche-VAD</t>
  </si>
  <si>
    <t>Machine non dispo pour réparation a 11h00 - nouveau sillon obtenu a 14h00 - Plus possible d'aller au Dorat</t>
  </si>
  <si>
    <t>LIMOGES</t>
  </si>
  <si>
    <t>LE DORAT</t>
  </si>
  <si>
    <t>voir ci-dessus</t>
  </si>
  <si>
    <t>108</t>
  </si>
  <si>
    <t>Bourreuse 1077</t>
  </si>
  <si>
    <t>retard 120min au départ suite problème dans la zone de VSG (train en detresse)</t>
  </si>
  <si>
    <t>110</t>
  </si>
  <si>
    <t>Plannification</t>
  </si>
  <si>
    <t>Pas d'agent au sol de planifié (pas remonté dans excel) - M.SABRE nous avertit a 1h du départ. Sollicitation faites a Yilmaz Omer (Prime AMO) pour couvrir le poste - retard au départ de 30min
Départ refusé suite au retard  suite à un dérangement d'installation à VSG - refus des sillons pour passage via GC Nord</t>
  </si>
  <si>
    <t>Réclamation à faire 1 conducteur + 1 sol
Incident caténaire à VSG 
Faire point avec Clémence ROMEC
, voir avec Vincent SABRE pour récap</t>
  </si>
  <si>
    <t>Ne pas facturer (agents TMN ont attendus sur place le jour J)</t>
  </si>
  <si>
    <t>111</t>
  </si>
  <si>
    <t>G1138</t>
  </si>
  <si>
    <t>112</t>
  </si>
  <si>
    <t>NIORT</t>
  </si>
  <si>
    <t>R21</t>
  </si>
  <si>
    <t>Jeudi</t>
  </si>
  <si>
    <t>113</t>
  </si>
  <si>
    <t>114</t>
  </si>
  <si>
    <t>Bourreuse 108 275 n°3485</t>
  </si>
  <si>
    <t>ABBEVILLE 3/3</t>
  </si>
  <si>
    <t>115</t>
  </si>
  <si>
    <t xml:space="preserve">LIMOGES </t>
  </si>
  <si>
    <t>substitution</t>
  </si>
  <si>
    <t>manque TAQ a Epone</t>
  </si>
  <si>
    <t>LISON 2/2</t>
  </si>
  <si>
    <t>G1118 + 24 WGS</t>
  </si>
  <si>
    <t>V211 531</t>
  </si>
  <si>
    <t>V212 531 + 8R93</t>
  </si>
  <si>
    <t>Itinéraire proposé incohérent - conception refaite en OP</t>
  </si>
  <si>
    <t>V212 531</t>
  </si>
  <si>
    <t xml:space="preserve"> </t>
  </si>
  <si>
    <t>B45 gcf</t>
  </si>
  <si>
    <t>gien (via Saincaize)</t>
  </si>
  <si>
    <t>60072 + 109gcf</t>
  </si>
  <si>
    <t>PERSAN  1/2</t>
  </si>
  <si>
    <t>BEAUCHAMP  2/2</t>
  </si>
  <si>
    <t>109 3X n°3546</t>
  </si>
  <si>
    <t>Manœuvre réalisée sur la mauvaise machine avant départ = 1h de retard au départ soit 2h a l'arrivée. (remonté de Ahmed Transifer)
Impact sur la reprise Juvisy - Longueuil  (décalage de la mission de M.FABRE le mardi)</t>
  </si>
  <si>
    <t>Le sujet sera évoqué en réunion prod chantier</t>
  </si>
  <si>
    <t>LONGUEIL STE MARIE 2/2</t>
  </si>
  <si>
    <t>voir ci-dessus (1h de retard au départ)</t>
  </si>
  <si>
    <t>SAINCAIZE 1/4</t>
  </si>
  <si>
    <t>LORAILLE</t>
  </si>
  <si>
    <t>ELBEUF</t>
  </si>
  <si>
    <t>G12 1547 + 16 WGS CHARGE</t>
  </si>
  <si>
    <t>Retour de Pierre  : Pour assurer la première rotation et respecter au mieux les horaires de marche j'ai pris mon service a 7h20 ce matin. En commençant le relever de la rame.</t>
  </si>
  <si>
    <t>G12 1547 + 16 WGS VIDES</t>
  </si>
  <si>
    <t xml:space="preserve">PTH  </t>
  </si>
  <si>
    <t>G12 1128 + Porte flèche double</t>
  </si>
  <si>
    <t>BR214 + 8R93</t>
  </si>
  <si>
    <t>BML n°16 GS4 n°6490</t>
  </si>
  <si>
    <t>LONGUEIL ST MARIE</t>
  </si>
  <si>
    <t xml:space="preserve">LONGUEUIL ST MARIE </t>
  </si>
  <si>
    <t xml:space="preserve">Retard de Renald Urbain </t>
  </si>
  <si>
    <t>ST LEU 3/5</t>
  </si>
  <si>
    <t xml:space="preserve">G12 1128+WAD n°352+361+Porte flèche </t>
  </si>
  <si>
    <t>CHALON EN CH. 4/5</t>
  </si>
  <si>
    <t>Sablé BV1/3</t>
  </si>
  <si>
    <t>G12 1378 + 1 wagon encadrant+RDF n°5+1 wagon encadrant</t>
  </si>
  <si>
    <t>FERROMOVE</t>
  </si>
  <si>
    <t xml:space="preserve">PANNE KVB G1206 - train calé à SPDC 12/02 en attent d'action de la maintenance </t>
  </si>
  <si>
    <t>Rappel sur les règles de circulation dérogatoires FRE 017 PC</t>
  </si>
  <si>
    <t>BEAUVAIS</t>
  </si>
  <si>
    <t>Bourreuse n°6346</t>
  </si>
  <si>
    <t>ABBEVILLE</t>
  </si>
  <si>
    <t>B4540</t>
  </si>
  <si>
    <t xml:space="preserve">saincaize </t>
  </si>
  <si>
    <t xml:space="preserve">G1206  </t>
  </si>
  <si>
    <t>Acheminement en 2 jours car travaux sur Toul - reprise le Jeudi</t>
  </si>
  <si>
    <t>CHALON EN CH.</t>
  </si>
  <si>
    <t>ST-DIE 5/5</t>
  </si>
  <si>
    <t>BR214 + 10 WGS</t>
  </si>
  <si>
    <t>repoussé au 14/02 (suite NC Gievres - Bening)</t>
  </si>
  <si>
    <t>jeudi</t>
  </si>
  <si>
    <t xml:space="preserve">Sable  </t>
  </si>
  <si>
    <t>Sable p74 2/3</t>
  </si>
  <si>
    <t>Sablé P74 3/3</t>
  </si>
  <si>
    <t>G12 1378</t>
  </si>
  <si>
    <t>BEAUCHAMP    1/3</t>
  </si>
  <si>
    <t>VENISSIEUX</t>
  </si>
  <si>
    <t xml:space="preserve">BENING </t>
  </si>
  <si>
    <t>REPRISE DU GIEVRES - VAIRES du 12/02 - Agent au sol LSDR Non-habilité sur benning , Benjamain a vu avec TFE pour organiser la sortie mais wagons non prêt de la part de SGM (atelier). Par conséquent sortie reporté au 14/02.</t>
  </si>
  <si>
    <t>VERBERIE 2/3</t>
  </si>
  <si>
    <t>BB60086 + 28 Wagons</t>
  </si>
  <si>
    <t xml:space="preserve">Incident train voyageur bloqué jusqu’à 18H - train calé à PTH 
</t>
  </si>
  <si>
    <t xml:space="preserve">Réclamation à faire 2CDT +1sol incident voyageur à PTH </t>
  </si>
  <si>
    <t>BB60020+Stab 82BG</t>
  </si>
  <si>
    <t>SABLE P74</t>
  </si>
  <si>
    <t>Trappes 3/3</t>
  </si>
  <si>
    <t>Train Calé à poste 74 - Cause Panne KVB au départ</t>
  </si>
  <si>
    <t xml:space="preserve">Trappes </t>
  </si>
  <si>
    <t>Beauchamps</t>
  </si>
  <si>
    <t>annuler car train calé au poste 74</t>
  </si>
  <si>
    <t>V212 n°580-0 + 4 R93</t>
  </si>
  <si>
    <t>MONTCHANIN</t>
  </si>
  <si>
    <t>G1206 1378</t>
  </si>
  <si>
    <t xml:space="preserve">Annulé panne KVB </t>
  </si>
  <si>
    <t>samedi</t>
  </si>
  <si>
    <t>G1206 DVF n°1626</t>
  </si>
  <si>
    <t>G1206 n°1498+Rame LRS+G1206 n°1838</t>
  </si>
  <si>
    <t>VBE 1/2</t>
  </si>
  <si>
    <t>MONTARGIS</t>
  </si>
  <si>
    <t>G1206 n°1547 + 14EX90 chargés</t>
  </si>
  <si>
    <t>voir mail rackie demande d'annulation</t>
  </si>
  <si>
    <r>
      <rPr>
        <b/>
        <strike/>
        <sz val="20"/>
        <color rgb="FF000000"/>
        <rFont val="Calibri"/>
        <family val="2"/>
      </rPr>
      <t>BRETIGNY</t>
    </r>
    <r>
      <rPr>
        <b/>
        <sz val="20"/>
        <color rgb="FF000000"/>
        <rFont val="Calibri"/>
        <family val="2"/>
      </rPr>
      <t xml:space="preserve">  VSG 1/2</t>
    </r>
  </si>
  <si>
    <t>LENS</t>
  </si>
  <si>
    <t xml:space="preserve"> G12 1372 </t>
  </si>
  <si>
    <t>panne loco, réparation  + indisponibilité sol après réparation</t>
  </si>
  <si>
    <t>BENING 1/4</t>
  </si>
  <si>
    <t>60086+ 28 wagons</t>
  </si>
  <si>
    <t>VAIRES 2/4</t>
  </si>
  <si>
    <t>60086+ 4 EX</t>
  </si>
  <si>
    <t xml:space="preserve">Train prolongé jusqu'à VSG en opérationnel car il y avait des travaux entre VAIRE et VSG en  journée 08h--15h00. </t>
  </si>
  <si>
    <t xml:space="preserve">11,50 S. MICHELAND </t>
  </si>
  <si>
    <t>V211 527-1 + V211 528-9</t>
  </si>
  <si>
    <t>départ avec 528 seule, 527 en rouge</t>
  </si>
  <si>
    <r>
      <rPr>
        <b/>
        <strike/>
        <sz val="20"/>
        <color rgb="FF000000"/>
        <rFont val="Calibri"/>
        <family val="2"/>
      </rPr>
      <t>BRETIGNY</t>
    </r>
    <r>
      <rPr>
        <b/>
        <sz val="20"/>
        <color rgb="FF000000"/>
        <rFont val="Calibri"/>
        <family val="2"/>
      </rPr>
      <t xml:space="preserve"> VSG </t>
    </r>
  </si>
  <si>
    <t>LILLE D</t>
  </si>
  <si>
    <t>G1206 n°1837+REVO+2081</t>
  </si>
  <si>
    <t xml:space="preserve">Train arrivé a l'envers - Pas possible de retourner sur Lille (incident en cours) - retournement repoussé a jeudi </t>
  </si>
  <si>
    <t>G1206 Colas  n°1764</t>
  </si>
  <si>
    <t xml:space="preserve">Annuler Mail Paul </t>
  </si>
  <si>
    <t>Machine au rouge au départ - ordre d'arret // Carte UENR3 a remplacer / demande a Nato pour autorisation de départ. 3 minutes de retard au départ</t>
  </si>
  <si>
    <t>JOIGNY 3/4</t>
  </si>
  <si>
    <t xml:space="preserve">DNC pour arrêt a Sens </t>
  </si>
  <si>
    <t>G1206 n°1547 + 13EX90 chargés</t>
  </si>
  <si>
    <t>Surchauffe temperature de l'eau / Demande de secours</t>
  </si>
  <si>
    <t>G1206 n°1547 + 13EX90 Vide</t>
  </si>
  <si>
    <t>SAINCAIZE 4/4</t>
  </si>
  <si>
    <t>Pas de sol trouvé, prestation annulée</t>
  </si>
  <si>
    <t xml:space="preserve">GIEN </t>
  </si>
  <si>
    <t>G12+B45 GCF</t>
  </si>
  <si>
    <t>MANTES</t>
  </si>
  <si>
    <t>annulé, cause panne machine</t>
  </si>
  <si>
    <t>BERNAY</t>
  </si>
  <si>
    <t>SERQUIGNY</t>
  </si>
  <si>
    <t xml:space="preserve">LORAILLE </t>
  </si>
  <si>
    <t>RETOURNEMENT LILLE - REVO</t>
  </si>
  <si>
    <t>REVO</t>
  </si>
  <si>
    <t>60015 +V211 621-2+ 60093</t>
  </si>
  <si>
    <t>Substitué pour repos journalier de M.NEBOUT
Changement de terminus en ligne pour Gien plutôt que Saincaize,à la demande du client (cause panne = revue organisation chantier).
 Nouveau sillon commandé Saincaize - Gien</t>
  </si>
  <si>
    <t>Beauvais</t>
  </si>
  <si>
    <t>Persan</t>
  </si>
  <si>
    <t>BML n°6346</t>
  </si>
  <si>
    <t>loco enterrée à VSG/manœuvres avant le départ. CDT informé la veille, pas d'impact</t>
  </si>
  <si>
    <t>beauchamp</t>
  </si>
  <si>
    <t>Joncherolles</t>
  </si>
  <si>
    <t>V211 527 1</t>
  </si>
  <si>
    <t>6348 BML</t>
  </si>
  <si>
    <t>BERCY</t>
  </si>
  <si>
    <t>VSG 1/6</t>
  </si>
  <si>
    <t xml:space="preserve">G1206 Colas n° 1764+ 10 wagons R93 </t>
  </si>
  <si>
    <t>HAZEBROUCK 2/6</t>
  </si>
  <si>
    <t xml:space="preserve">G1206 DVF 1626+BB60020 </t>
  </si>
  <si>
    <t>COSNE SUR LOIRE 1/2</t>
  </si>
  <si>
    <t xml:space="preserve">Retard au départ car accident sur l'autoroute A31 - PS retardée de M.MICHELAND
Finalement, rame calée au départ (retard CDT puis panne engin)
</t>
  </si>
  <si>
    <t>COSNE SUR LOIRE</t>
  </si>
  <si>
    <t>calé suite panne engin (+ retard stéphane suite accident sur la route)</t>
  </si>
  <si>
    <t>TRAPPES 3/6</t>
  </si>
  <si>
    <t xml:space="preserve">G1206 Colas n° 1764 + RDF n°4 +2 wagons encadrants </t>
  </si>
  <si>
    <t xml:space="preserve">LONGEUIL ST MARIE </t>
  </si>
  <si>
    <t>ACHERES 1/4</t>
  </si>
  <si>
    <t>P74 4/6</t>
  </si>
  <si>
    <t xml:space="preserve">G1206 Colas n° 1764 + RDF n°4 + 2 wagons encadrants </t>
  </si>
  <si>
    <t>VSG 2/4</t>
  </si>
  <si>
    <t>G12 1118 + 30 wagons</t>
  </si>
  <si>
    <t>Vaires 3/4</t>
  </si>
  <si>
    <t>depassement de JS/ non respect regles rh</t>
  </si>
  <si>
    <t>ETF EST   //   A.955LOL2595708</t>
  </si>
  <si>
    <t>Retard à cause des 2 trajets qui encadre l'acheminement. 
Le matin Le Havre -Achères  le soir  Vaires - Chailloué.</t>
  </si>
  <si>
    <t xml:space="preserve">14,30 de Js pour Yazid LARFI </t>
  </si>
  <si>
    <t>60072+ SSP 230</t>
  </si>
  <si>
    <t>Annulé car la loco devait rester sur Gien à la demande du client</t>
  </si>
  <si>
    <t>PERRIGNY 2/3</t>
  </si>
  <si>
    <t>G12 1124 + 60015</t>
  </si>
  <si>
    <t>depart 18H30</t>
  </si>
  <si>
    <t>ARGENTEUIL</t>
  </si>
  <si>
    <t xml:space="preserve"> G1206 Colas 1764</t>
  </si>
  <si>
    <t>SPDC 5/6</t>
  </si>
  <si>
    <t xml:space="preserve">G1206 Colas n° 1764 + RDF n°4+ RDF n°5 + 4 wagons encadrants </t>
  </si>
  <si>
    <t>SAINCAIZE 6/6</t>
  </si>
  <si>
    <t>LANGRES 3/3</t>
  </si>
  <si>
    <t xml:space="preserve">L'ORAILLE </t>
  </si>
  <si>
    <t xml:space="preserve">G1206 n°1547 </t>
  </si>
  <si>
    <t>Retard au départ - JS LARFI Yazid</t>
  </si>
  <si>
    <t>METZ 4/4</t>
  </si>
  <si>
    <t>G12 1118 + 35 wagons</t>
  </si>
  <si>
    <t>Problème de fuel G12 1118 pas assez de fuel pour acheminer la rame jusqu'à Metz. Rame déposée sur Lerouville et A/R effectué en opé pour fueler la machine. Reprise de la rame prévue ce lundi 03/03</t>
  </si>
  <si>
    <t xml:space="preserve">12:00 de JS Stéphane MICHELAND suite évènement opérationnel </t>
  </si>
  <si>
    <t>METZ 1/3</t>
  </si>
  <si>
    <t>Loco TFE + 10 wagons</t>
  </si>
  <si>
    <t>TFE</t>
  </si>
  <si>
    <t>TERGNIER 2/3</t>
  </si>
  <si>
    <t>G1206 n°1547 + 13EX90 vides</t>
  </si>
  <si>
    <t xml:space="preserve">LEROUVILLE </t>
  </si>
  <si>
    <t xml:space="preserve">METZ  </t>
  </si>
  <si>
    <t>G12 118 +35 wagons</t>
  </si>
  <si>
    <t>LIZY S/ OURCQ</t>
  </si>
  <si>
    <t>BML n°109 3X n°3546</t>
  </si>
  <si>
    <t>GRENAY</t>
  </si>
  <si>
    <t>DGS 72 NR</t>
  </si>
  <si>
    <t>annulé par le client jour J</t>
  </si>
  <si>
    <t>P74 2/2</t>
  </si>
  <si>
    <t>LAON 3/3</t>
  </si>
  <si>
    <t>Loco TFE + 20 wagons</t>
  </si>
  <si>
    <t>BB60020</t>
  </si>
  <si>
    <t>B45</t>
  </si>
  <si>
    <t>Machiniste pas présent au depart, sillon S2TF commander a 8H50 alors que la demande était pour 11H, pour cause de travaux. Depart refusé par le régulateur car travaux jusqu'au 15H  / BC à retirer</t>
  </si>
  <si>
    <t>COLAS</t>
  </si>
  <si>
    <t>reprise du ABBEVILLE - LE BOURGET  pour un ABBEVILLE LONGUEAU</t>
  </si>
  <si>
    <t xml:space="preserve">ABBEVILLE </t>
  </si>
  <si>
    <t>Bourreuse n°108 n°5851</t>
  </si>
  <si>
    <t>G1206 DVF 1626</t>
  </si>
  <si>
    <t>G12 COLAS 1771</t>
  </si>
  <si>
    <t>GSMR HS + Niveau huille au dessu du mini + huille dans la Bac Moteur / Hotline + Colas avisé / intervention effectué le départ c'est fait le lendemain</t>
  </si>
  <si>
    <t>CAMBRAI 2/3</t>
  </si>
  <si>
    <t>CAMBRAI</t>
  </si>
  <si>
    <t>LE BOURGET 3/3</t>
  </si>
  <si>
    <t>G12 COLAS 1771+10 EX100</t>
  </si>
  <si>
    <t>LE BOURGET 2/2</t>
  </si>
  <si>
    <t xml:space="preserve"> Bourreuse arrivée dans le mauvais sens, Jalonnement du sillon non respecté lors de la commande/ retournement de la machine à faire le 10/03 - Pas d'impact</t>
  </si>
  <si>
    <t>Fuite d'un robinet du bac de récupération (n'empêche pas le départ)</t>
  </si>
  <si>
    <t>P74 SIRION</t>
  </si>
  <si>
    <t>suite de l'Annulation du  lundi 03/03</t>
  </si>
  <si>
    <t>LANGRES</t>
  </si>
  <si>
    <t>G1206 n°1124 + BB60015</t>
  </si>
  <si>
    <t>CHALON EN CHAMPAGNE 2/3</t>
  </si>
  <si>
    <t xml:space="preserve">V211 581-8 </t>
  </si>
  <si>
    <t>581-8</t>
  </si>
  <si>
    <t>ETF MONTARGIS  //   A.955LOL2595714</t>
  </si>
  <si>
    <t>problème sur faisceau débranchement.
-1 wagon à écarter 
- problème de sangle au chargement</t>
  </si>
  <si>
    <t xml:space="preserve">LE BOURGET </t>
  </si>
  <si>
    <t>ST FLORENTIN</t>
  </si>
  <si>
    <t>G1206 Colas 1771 + 20 wagons+R21 n°47008 +B4520</t>
  </si>
  <si>
    <t>pb de sens de travail au départ suite à arrivée de la B45GCF à l'enver le 05/03 sur le Longueau&gt; Le Bourget</t>
  </si>
  <si>
    <t>Y.LARFI prévient le jeudi soir qu'il ne connait pas le fsc de St Côme (pas d'impacts car cela fait parti du complexe de SPDC) + arrêt en ligne suite panne d'un  train(retard absorbé par l'arrêt aux aubrais)</t>
  </si>
  <si>
    <t>CHALON EN CHAMPAGNE</t>
  </si>
  <si>
    <t>LONGUEAU 3/3</t>
  </si>
  <si>
    <t xml:space="preserve">st flo </t>
  </si>
  <si>
    <t>laroche 1/2</t>
  </si>
  <si>
    <t>b4540</t>
  </si>
  <si>
    <t>Confusion d'ETF au départ entre Bourreuse et régaleuse. Finalement c'est bien la bourreuse qui devait être retournée comme prévu. 1H de retard au départ.</t>
  </si>
  <si>
    <t>laroche</t>
  </si>
  <si>
    <t>st flo 2/2</t>
  </si>
  <si>
    <t>G1206 n°1771 Colas+10 ballastières</t>
  </si>
  <si>
    <t>700L de GNR au départ. 
Nous avons effectué un fuel un St Flo - Laroche A/R en HLP pour aller fueler 
Impact : 3h de retard à l'arrivée (JS 11h)</t>
  </si>
  <si>
    <t>Retard de 40min au départ - Formation tardive de la rame</t>
  </si>
  <si>
    <t>G12 1764 + 5EX</t>
  </si>
  <si>
    <t>BOURREUSE 6346</t>
  </si>
  <si>
    <t xml:space="preserve">DGGS 72nr </t>
  </si>
  <si>
    <t xml:space="preserve">12h000 de JS  pour S. NEBOUT  suite à changement de terminus et difficulté d'obtenir les sillons </t>
  </si>
  <si>
    <t xml:space="preserve">12h00 de JS S. NEBOUT </t>
  </si>
  <si>
    <t>RGT15</t>
  </si>
  <si>
    <t xml:space="preserve">Ajout d'un agent TES G en opérationnel / /
retard suite problème de boite mail de Loic Willerval </t>
  </si>
  <si>
    <t>Ajout d'un agent TES G en opérationnel</t>
  </si>
  <si>
    <t>G1206 n°1764+B4540 GCF</t>
  </si>
  <si>
    <t>Réalisé avec El Idrissi au chantier</t>
  </si>
  <si>
    <t>G1206 n°1764+BML 109 3X GCF</t>
  </si>
  <si>
    <t>BML 108 32/4S n°5851</t>
  </si>
  <si>
    <t xml:space="preserve">Relève a Moret avec V.SABRE // pour réduire la JS </t>
  </si>
  <si>
    <t>POMPARDOUR</t>
  </si>
  <si>
    <t>G1206 Colas n°1764</t>
  </si>
  <si>
    <t>G1206 Colas n°1764+ R21 n°47005</t>
  </si>
  <si>
    <t xml:space="preserve">SABLE </t>
  </si>
  <si>
    <t>RGI</t>
  </si>
  <si>
    <t xml:space="preserve">Calé a Vierzon  suite panne RST </t>
  </si>
  <si>
    <t>LILLE DELIVRANCE</t>
  </si>
  <si>
    <t>js +12h de larfi (arrêt pour fuel à Achères + problème avec le COGC en sortie de dépôt (+2h) + arrêt moteur en ligne (arrêt pour tests avec hotline)</t>
  </si>
  <si>
    <t xml:space="preserve">12h00 de JS </t>
  </si>
  <si>
    <t>MONTS</t>
  </si>
  <si>
    <t>B1077</t>
  </si>
  <si>
    <t>CHATILLON</t>
  </si>
  <si>
    <t>rebroussement a Epone ajouté en opérationnel suite rebouclage de SAGID  car sens de travail communqué sur la prestation non conforme</t>
  </si>
  <si>
    <t>V212 580</t>
  </si>
  <si>
    <t>2h de retard au départ - manque torche a flamme rouge + fuite air sur l'engin moteur</t>
  </si>
  <si>
    <t>Samedi</t>
  </si>
  <si>
    <t>VERNOUILLET</t>
  </si>
  <si>
    <t>60086 + 60072 + R21 + BML + 15 WGS</t>
  </si>
  <si>
    <t>G12 COLAS 1764</t>
  </si>
  <si>
    <t>Sablé 1/2</t>
  </si>
  <si>
    <t>Retard au départ car agent  au sol non habilité pour savoir du faisceau ST come via le poste 14, sillon recommandé en conséquence avec rebroussement à SPDC RO
Calage ce soir à sablé puis reprise sablé - P74 mardi</t>
  </si>
  <si>
    <t xml:space="preserve">LILLE </t>
  </si>
  <si>
    <t>RGT 15</t>
  </si>
  <si>
    <t>MONTCEAU-LES -MINES</t>
  </si>
  <si>
    <t>E4029</t>
  </si>
  <si>
    <t>Pas de capacité pour obtenir le sillon
Remonter pour le 18/03</t>
  </si>
  <si>
    <t>G1206 n°1547 + 12EX90 chargés</t>
  </si>
  <si>
    <t>G1206 n°1547 + 12EX90 vides</t>
  </si>
  <si>
    <t>G1206 n°1885</t>
  </si>
  <si>
    <t>JS 12h Sabre // maoeuvres supplémentaires sur hazebrouck pour déplacer des wagons qui était devant nos wagons</t>
  </si>
  <si>
    <t xml:space="preserve">12h00 </t>
  </si>
  <si>
    <t>GARGENVILLE</t>
  </si>
  <si>
    <t>Sablé</t>
  </si>
  <si>
    <t>SABLE 1/2</t>
  </si>
  <si>
    <t xml:space="preserve"> G1206 n°1544</t>
  </si>
  <si>
    <t>E4000 Europorte</t>
  </si>
  <si>
    <t>Loco non prete de la part de Europorte</t>
  </si>
  <si>
    <t>Train rentrera le jour même sur P74, sortie décaler au jeudi 20/03
nouveau décalage au vendredi</t>
  </si>
  <si>
    <t>Finalement le train rentre quand meme le 18/03
Le regule a fait sauter les arrêts, on rentre avant la fermeture du P74</t>
  </si>
  <si>
    <t xml:space="preserve">G1206 1547 </t>
  </si>
  <si>
    <t>annulé voir mail 11h06 Lu 17/03</t>
  </si>
  <si>
    <t>l'ORAILLE</t>
  </si>
  <si>
    <t>Annuler Loco non prete de la part de Europorte</t>
  </si>
  <si>
    <t>erreur planification en OP / transmision du sillon</t>
  </si>
  <si>
    <t xml:space="preserve">GARGENVILLE </t>
  </si>
  <si>
    <t>MONTROUGE-CHATILLON</t>
  </si>
  <si>
    <t>G1206 n°1379</t>
  </si>
  <si>
    <t xml:space="preserve"> G1206 1378 + G1206 n°1544</t>
  </si>
  <si>
    <t>Loco DGS 62 NT FERRO-TECH</t>
  </si>
  <si>
    <t>L'oraille</t>
  </si>
  <si>
    <t>E4000</t>
  </si>
  <si>
    <t>NEVERS</t>
  </si>
  <si>
    <t>Bourreuse ZC 2000 TR n°289</t>
  </si>
  <si>
    <t>pas de presta/annulé?</t>
  </si>
  <si>
    <t>Metz</t>
  </si>
  <si>
    <t>Monts</t>
  </si>
  <si>
    <t>G1206 n°1379+P95</t>
  </si>
  <si>
    <t xml:space="preserve">Manœuvres qui été prévu le mercredi ont été avancer à l'arrivée du train suite à la demande du client mise en maintance </t>
  </si>
  <si>
    <t>LILLE</t>
  </si>
  <si>
    <t>St Leu 1/2</t>
  </si>
  <si>
    <t>G12 1885+6 WT3E</t>
  </si>
  <si>
    <t>St-Florentin</t>
  </si>
  <si>
    <t>GIEN 1/4</t>
  </si>
  <si>
    <t>1206 Colas n°1761</t>
  </si>
  <si>
    <t>Saincaize 2/4</t>
  </si>
  <si>
    <t>G1206 1547</t>
  </si>
  <si>
    <t>Laon 2/2</t>
  </si>
  <si>
    <t>Laroche 3/4</t>
  </si>
  <si>
    <t>G1206 Colas 1761+10 EX100</t>
  </si>
  <si>
    <t>Retard Agent TES G suite panne VS</t>
  </si>
  <si>
    <t xml:space="preserve">Substitution </t>
  </si>
  <si>
    <t xml:space="preserve">Euro 4000 + 16 wagons  Chargés </t>
  </si>
  <si>
    <t>Euro 4000 + 15 wagons  vides</t>
  </si>
  <si>
    <t>Le Mans 1/4</t>
  </si>
  <si>
    <t>G1206 n°1377+G1206 DVF n°2131 + 8R93 + 4EX100</t>
  </si>
  <si>
    <t>Cosne 1/2</t>
  </si>
  <si>
    <t>SSP230</t>
  </si>
  <si>
    <t>Engin gardé par la maintenance non disponible pour faire le test GTIF</t>
  </si>
  <si>
    <t>Cosne</t>
  </si>
  <si>
    <t>Moulin 1/2</t>
  </si>
  <si>
    <t>B45 n°4520</t>
  </si>
  <si>
    <t>Moulin</t>
  </si>
  <si>
    <t xml:space="preserve">ok </t>
  </si>
  <si>
    <t>JUVISY  1/2</t>
  </si>
  <si>
    <t>ARGENTEUIL 2/2</t>
  </si>
  <si>
    <t xml:space="preserve">Annulé </t>
  </si>
  <si>
    <t xml:space="preserve">annulé </t>
  </si>
  <si>
    <t xml:space="preserve">Euro 4000 + 15 wagons  Chargés </t>
  </si>
  <si>
    <t>Problème de marche marche 420707 visible sur Gésico et autre numéro de marche (420723) sur Dynamic les agent non donc pas reçu le bon numéro de marche,</t>
  </si>
  <si>
    <t>Euro 4000 + 16 wagons  vides</t>
  </si>
  <si>
    <t>ROSNY 2/2</t>
  </si>
  <si>
    <t>G12 1378+10 wagons</t>
  </si>
  <si>
    <t>circulation en HLP au lieu de MA100</t>
  </si>
  <si>
    <t>G1206 n°1547+1544</t>
  </si>
  <si>
    <t>Laroche</t>
  </si>
  <si>
    <t>Les Laumes 4/4</t>
  </si>
  <si>
    <t>Gièvres 2/4</t>
  </si>
  <si>
    <t>TERGNIER 2/2</t>
  </si>
  <si>
    <t>Gièvres</t>
  </si>
  <si>
    <t>Vierzon 3/4</t>
  </si>
  <si>
    <t>G1206 n°1377 + 2131 DVF+1R93 (n*33873947063-5)+ 4EX100</t>
  </si>
  <si>
    <t>G1206 n°1377 + 1R93 (n*33873947063-5)</t>
  </si>
  <si>
    <t>Lanterne de queue volé sur le triage de Vierzon dans la G1206 DVF n°2131</t>
  </si>
  <si>
    <t xml:space="preserve">Euro 4000 + 16wagons  Chargés </t>
  </si>
  <si>
    <t>proposé au départ à 11h55 au lieu de 8h55/refus e la régul de partir avant 13h30</t>
  </si>
  <si>
    <t>annulé suite retard sur la marche aller</t>
  </si>
  <si>
    <t>MONTS 1/2</t>
  </si>
  <si>
    <t>Programme de travail</t>
  </si>
  <si>
    <t>sera fait verndredi</t>
  </si>
  <si>
    <t>voir sujet ci haut</t>
  </si>
  <si>
    <t>60020+ Bourreuse n°1077+Stab 82BG</t>
  </si>
  <si>
    <t>Reporté au 28/03 suite tx sur l'itinéraire</t>
  </si>
  <si>
    <t>G1206 n°1547+10 EX100</t>
  </si>
  <si>
    <t>retard de yazid suit contrôle de douane</t>
  </si>
  <si>
    <t>CALAIS 1/2</t>
  </si>
  <si>
    <t xml:space="preserve">Demande Maxime fontaine pour filmer la liste </t>
  </si>
  <si>
    <t>CALAIS</t>
  </si>
  <si>
    <t>1H de pause à calais pour la reprise</t>
  </si>
  <si>
    <t>Rame dispo qu’12h pour manœuvre pour raccorder les 3 parties de rame + faire le frein</t>
  </si>
  <si>
    <t xml:space="preserve">Demande de substitution à 14H29 à FEROMOVE </t>
  </si>
  <si>
    <t>G1206 DVF n°2131+ 4EX 100</t>
  </si>
  <si>
    <t>calé suite impossibilité pour feromoove de décaler le départ à l'après midi</t>
  </si>
  <si>
    <t>60020+STAB 82BG</t>
  </si>
  <si>
    <t>Impact de la loco avec un vélo qui traversait sur les voies. Arrêt sur la marche et retard à l'arrivée</t>
  </si>
  <si>
    <t>LISIEUX</t>
  </si>
  <si>
    <t>St- DENIS 2/2</t>
  </si>
  <si>
    <t>BML n°1077</t>
  </si>
  <si>
    <t>pas de lanterne de queue</t>
  </si>
  <si>
    <t>BREST</t>
  </si>
  <si>
    <t>LE MANS</t>
  </si>
  <si>
    <t>Pas de liste de diffusion - relance faites a Romain SANE</t>
  </si>
  <si>
    <t>G1206 n°1544+10 EX100</t>
  </si>
  <si>
    <t>wagon non prêt a l'atelier de joigny</t>
  </si>
  <si>
    <t>ROSNY</t>
  </si>
  <si>
    <t>retard de 30 min au départ car loco enterré</t>
  </si>
  <si>
    <t>VIERZOn</t>
  </si>
  <si>
    <t>Wagon non sortie par l'atelier de Joigny, train repris le samedi pour Vierzon, livraison des wagons à Saincaize le Vendredi</t>
  </si>
  <si>
    <t>ROSNY SUR SEINE</t>
  </si>
  <si>
    <t>g12 1378</t>
  </si>
  <si>
    <t>Machine arrivée tardivement</t>
  </si>
  <si>
    <t>60072 + bml 1077</t>
  </si>
  <si>
    <t>VERTAIZON</t>
  </si>
  <si>
    <t>bourreuse 289</t>
  </si>
  <si>
    <t>Le MANS 1/2</t>
  </si>
  <si>
    <t>b3485</t>
  </si>
  <si>
    <t>CDT arrivée avec 13min de retard, l'AGS plannifié en 14h-19h n'est pas resté pour faire le départ du train ( départ prévu 16h) Prestation sol  de SFERIS</t>
  </si>
  <si>
    <t>REMILLY 1/2</t>
  </si>
  <si>
    <t>Loco DGS 62 NT FERRO-TECH + Bourreuse  FERROTECH</t>
  </si>
  <si>
    <t>BENING 2/2</t>
  </si>
  <si>
    <t>g12 1377</t>
  </si>
  <si>
    <t>BB60072+TTX+BB60086</t>
  </si>
  <si>
    <t>LILLE DELIVRANCE 2/2</t>
  </si>
  <si>
    <t>GRAND PONT 2/2</t>
  </si>
  <si>
    <t>Départ non réalisé la veille acheminement reporté au 02/04</t>
  </si>
  <si>
    <t>MULHOUSE NORD</t>
  </si>
  <si>
    <t>MULHOUSE-VILLE</t>
  </si>
  <si>
    <t>BOULOGNE</t>
  </si>
  <si>
    <t>G12 DVF 1552</t>
  </si>
  <si>
    <t>G12 1837+2081+RE</t>
  </si>
  <si>
    <t>Train partis seulement avec la 1837 (qui devait aller a Beauchamp) il manquait la 2081 oublié par le chantier au départ</t>
  </si>
  <si>
    <t>Suite au non départ dela 2081 la veille la 1837 à du rester sur VSG pour l'entrée du REVO au TEF</t>
  </si>
  <si>
    <t>G12 DVF + 10R93</t>
  </si>
  <si>
    <t>Suite à la marche réceptionner dépassement de JS pour Micheland, il a du faire un terminus à Metz au lieu de Béning. Reprise faire par TFE</t>
  </si>
  <si>
    <t xml:space="preserve">LE MANS  </t>
  </si>
  <si>
    <t>v211 581-8 + 635-2</t>
  </si>
  <si>
    <t>Manque de ressource</t>
  </si>
  <si>
    <t>Annulé afin de récuperer M.THEVENET pour faire LM - GP// Priorisation sur le spot de DR SUD vu avec A Brecq</t>
  </si>
  <si>
    <t>Annulé afin de récuperer M.THEVENET pour faire LM - GP</t>
  </si>
  <si>
    <t xml:space="preserve">GRAND PONT   </t>
  </si>
  <si>
    <t>Pas d'agent à la réception sur GP suite  à la journée blanche sur le chantier. La machine est déposée sur V24 a Poitiers</t>
  </si>
  <si>
    <t>G1206 n°2081</t>
  </si>
  <si>
    <t xml:space="preserve">BENING   </t>
  </si>
  <si>
    <t>LOCO TFE+10R93</t>
  </si>
  <si>
    <t>Manœuvre supplémentaire au départ pour TFE afin de dégager la machine ETF / La déposer sur leur bloc et récuperer la rame (presta supp a payer)</t>
  </si>
  <si>
    <t xml:space="preserve">Absence de M.LARFI - SPOT vendu a S2TF// </t>
  </si>
  <si>
    <t>vendredi</t>
  </si>
  <si>
    <t>supprimer voir Mail Paul 15H01 /Panne du TEF/ repoussé au samedi (S2TF)</t>
  </si>
  <si>
    <t xml:space="preserve">chailloué du jeudi repoussé au vendredi mais travaux toute la journée sur la ligne - rotation annulée// Pas de sillon disponible le vendredi </t>
  </si>
  <si>
    <t>rotation annulée</t>
  </si>
  <si>
    <t>GNR non réalisé car suffisant jusqu'à Saincaize</t>
  </si>
  <si>
    <t>G1206 n°1837</t>
  </si>
  <si>
    <t>Calé à Epluches pas d'ags; ce dernier n'avait pas fini les manœuvre à VSG/ reprise le 07/04</t>
  </si>
  <si>
    <t xml:space="preserve">VERNOUILLET </t>
  </si>
  <si>
    <t>341</t>
  </si>
  <si>
    <t>bening</t>
  </si>
  <si>
    <t>mulhouse</t>
  </si>
  <si>
    <t>logco dgs</t>
  </si>
  <si>
    <t>342</t>
  </si>
  <si>
    <t>longueau</t>
  </si>
  <si>
    <t>Dimanche</t>
  </si>
  <si>
    <t>343</t>
  </si>
  <si>
    <t>Mulhouse Ville</t>
  </si>
  <si>
    <t>Bening</t>
  </si>
  <si>
    <t>DGS 62NT</t>
  </si>
  <si>
    <t>344</t>
  </si>
  <si>
    <t>LE DORAT 1/6</t>
  </si>
  <si>
    <t>G1206 DVF n°1552</t>
  </si>
  <si>
    <t>sebastien non habilité à le dorat, Salim Draris a refusé l'habilitation. Il fauit 24H entre l'ETL et la validation
Train calé à St Sulpice Laurière</t>
  </si>
  <si>
    <t>345</t>
  </si>
  <si>
    <t>CHAMPIGNEULLES 1/2</t>
  </si>
  <si>
    <t xml:space="preserve">G12 1124+35 wagons </t>
  </si>
  <si>
    <t>TIME FRET</t>
  </si>
  <si>
    <t>voie courte (615m) / train long (750m) : manoeuvre a l arrivée</t>
  </si>
  <si>
    <t>CAHMPIGNEULLES</t>
  </si>
  <si>
    <t>346</t>
  </si>
  <si>
    <t>BOULOGNE 1/2</t>
  </si>
  <si>
    <t>347</t>
  </si>
  <si>
    <t>348</t>
  </si>
  <si>
    <t>VSG  1/2</t>
  </si>
  <si>
    <t xml:space="preserve">BB60086+10 R93 Eiffage+4 wagon ETF+5EX100 Colas </t>
  </si>
  <si>
    <t>AGENT DE MANŒUVRES EIFFAGE SANS RADIO A L'ARRIVÉE MANŒUVRES IMPOSSIBLE A VSG</t>
  </si>
  <si>
    <t>349</t>
  </si>
  <si>
    <t>350</t>
  </si>
  <si>
    <t>G1206 n°1378</t>
  </si>
  <si>
    <t xml:space="preserve">3 arret moteur loco calé à mante la jolie </t>
  </si>
  <si>
    <t xml:space="preserve"> EN opé : Date de  signalement du train calé? 
Signalement Enablon ? 
Faire retour
Plan de reprise ??  </t>
  </si>
  <si>
    <t>LILLE 2/2</t>
  </si>
  <si>
    <t>Annuler car loco calé a mante</t>
  </si>
  <si>
    <t>351</t>
  </si>
  <si>
    <t>2081+REVO</t>
  </si>
  <si>
    <t xml:space="preserve">calé Panne machine /// </t>
  </si>
  <si>
    <t xml:space="preserve">Litige Avec le Sous-traitant ne pas valider le devis pour le moment en attente d'explication. </t>
  </si>
  <si>
    <t>352</t>
  </si>
  <si>
    <t>VET</t>
  </si>
  <si>
    <t>109 FRP Colas</t>
  </si>
  <si>
    <t>353</t>
  </si>
  <si>
    <t>Saint Sulpice  Laurière</t>
  </si>
  <si>
    <r>
      <rPr>
        <b/>
        <strike/>
        <sz val="22"/>
        <color theme="1"/>
        <rFont val="Calibri"/>
        <family val="2"/>
        <scheme val="minor"/>
      </rPr>
      <t>LE DORAT 1/6</t>
    </r>
    <r>
      <rPr>
        <b/>
        <sz val="22"/>
        <color theme="1"/>
        <rFont val="Calibri"/>
        <family val="2"/>
        <scheme val="minor"/>
      </rPr>
      <t xml:space="preserve"> Limoges </t>
    </r>
  </si>
  <si>
    <t xml:space="preserve">G1206 DVF n°1552+ VAD 365+Porte flèche </t>
  </si>
  <si>
    <t>stationnement à limoges suite PB Niv de Fuel admissible sur Z chantier</t>
  </si>
  <si>
    <t>LES AUBRAIS 2/6</t>
  </si>
  <si>
    <t xml:space="preserve">annulé jour J suite pb niv de Fuel admissible sur le chantier //  sujet sur le poid de la rame sur la ligne.
Litige ?? </t>
  </si>
  <si>
    <t>354</t>
  </si>
  <si>
    <t>Mantes</t>
  </si>
  <si>
    <t>355</t>
  </si>
  <si>
    <t xml:space="preserve">BB60086+5EX100 Colas+4 wagon ETF </t>
  </si>
  <si>
    <t>356</t>
  </si>
  <si>
    <t>357</t>
  </si>
  <si>
    <t>BEAUCHAMP 1/3</t>
  </si>
  <si>
    <t>358</t>
  </si>
  <si>
    <t>G1206 n°1498+SSP230+B45 GCF</t>
  </si>
  <si>
    <t>359</t>
  </si>
  <si>
    <t>ST LEU 3/6</t>
  </si>
  <si>
    <t>PTH 4/6</t>
  </si>
  <si>
    <t xml:space="preserve">G1206 DVF n°1552+  2 Porte flèche </t>
  </si>
  <si>
    <t>360</t>
  </si>
  <si>
    <t xml:space="preserve">G12 1124+10 wagons </t>
  </si>
  <si>
    <t xml:space="preserve">besoin d'un agent au sol pour prise de bloc à vernon pour le TAQ
Impact : Manœuvre non faite à VSG à L'arrivée  1 wagon enterré pour mettre la rame //  vu avec Benjamin OBERT prestation Supplémentaire demandé.  </t>
  </si>
  <si>
    <t>361</t>
  </si>
  <si>
    <t>LAON 2/3</t>
  </si>
  <si>
    <t>BB60020+H88</t>
  </si>
  <si>
    <t>362</t>
  </si>
  <si>
    <t>363</t>
  </si>
  <si>
    <t>Rosny</t>
  </si>
  <si>
    <t>VSG 1/4</t>
  </si>
  <si>
    <t>GIEVRES 2/4</t>
  </si>
  <si>
    <t>wagon sur Fsc DPN et non débranchment - pas d'agent au sol prévu au FDN / départ en HLP</t>
  </si>
  <si>
    <t xml:space="preserve"> à Investiguer sur le lieu renseigner pour le départ des wagons?  </t>
  </si>
  <si>
    <t xml:space="preserve">JEUDI </t>
  </si>
  <si>
    <t>GIEN 3/4</t>
  </si>
  <si>
    <t>POSTE 74 SIRION 2/2</t>
  </si>
  <si>
    <t>Besoin de la loco sur le chantier   // Reprise par S2TF Vendredi</t>
  </si>
  <si>
    <t>Saincaize ??</t>
  </si>
  <si>
    <t xml:space="preserve">  Reprise par S2TF Vendredi</t>
  </si>
  <si>
    <t>CHAMPIGNEULLES 3/3</t>
  </si>
  <si>
    <t xml:space="preserve">G12 1124+11 wagons </t>
  </si>
  <si>
    <t>Wagon a recupérer à VSG</t>
  </si>
  <si>
    <t>ARGENTEUIL 3/3</t>
  </si>
  <si>
    <t>364</t>
  </si>
  <si>
    <t>365</t>
  </si>
  <si>
    <t>Stab 42N</t>
  </si>
  <si>
    <t>décalé a vendredi suite absence C1</t>
  </si>
  <si>
    <t>366</t>
  </si>
  <si>
    <r>
      <rPr>
        <b/>
        <strike/>
        <sz val="22"/>
        <color theme="1"/>
        <rFont val="Calibri"/>
        <family val="2"/>
        <scheme val="minor"/>
      </rPr>
      <t>LONGUEAU</t>
    </r>
    <r>
      <rPr>
        <b/>
        <sz val="22"/>
        <color theme="1"/>
        <rFont val="Calibri"/>
        <family val="2"/>
        <scheme val="minor"/>
      </rPr>
      <t xml:space="preserve"> Argenteuil</t>
    </r>
  </si>
  <si>
    <t>annulé par Romain mercredi à 18h30</t>
  </si>
  <si>
    <t>367</t>
  </si>
  <si>
    <t xml:space="preserve">Reporté  au lundi. </t>
  </si>
  <si>
    <t>368</t>
  </si>
  <si>
    <t>épluches 1/2</t>
  </si>
  <si>
    <t>épluches</t>
  </si>
  <si>
    <t>VIERZON 4/4</t>
  </si>
  <si>
    <t>16</t>
  </si>
  <si>
    <t>369</t>
  </si>
  <si>
    <r>
      <rPr>
        <b/>
        <strike/>
        <sz val="22"/>
        <color theme="1"/>
        <rFont val="Calibri"/>
        <family val="2"/>
        <scheme val="minor"/>
      </rPr>
      <t>ANGOULEME</t>
    </r>
    <r>
      <rPr>
        <b/>
        <sz val="22"/>
        <color theme="1"/>
        <rFont val="Calibri"/>
        <family val="2"/>
        <scheme val="minor"/>
      </rPr>
      <t xml:space="preserve"> Poitiers 1/2</t>
    </r>
  </si>
  <si>
    <t>BR214 + 3 R93 + 4EX100</t>
  </si>
  <si>
    <t>370</t>
  </si>
  <si>
    <t>B66 EIFFAGE</t>
  </si>
  <si>
    <t>371</t>
  </si>
  <si>
    <t xml:space="preserve">G12 1378 </t>
  </si>
  <si>
    <t xml:space="preserve">Retard à la PS. </t>
  </si>
  <si>
    <t xml:space="preserve">retard au départ suite retard A.SOL ( coté chantier ) </t>
  </si>
  <si>
    <t>CHALON SUR SAONE 2/4</t>
  </si>
  <si>
    <t>Pas assez de fuel dans la loco, NC pour arrêt à perrigny pour assurer un fuel</t>
  </si>
  <si>
    <t>372</t>
  </si>
  <si>
    <t xml:space="preserve">LE DORAT </t>
  </si>
  <si>
    <t>VIERZON 2/6</t>
  </si>
  <si>
    <t>Retard au dépard</t>
  </si>
  <si>
    <t>373</t>
  </si>
  <si>
    <t>E4025 fermé à clé</t>
  </si>
  <si>
    <t>374</t>
  </si>
  <si>
    <t>375</t>
  </si>
  <si>
    <t>juvisy 1/2</t>
  </si>
  <si>
    <t>saincaize 2/2</t>
  </si>
  <si>
    <r>
      <rPr>
        <b/>
        <strike/>
        <sz val="22"/>
        <color theme="1"/>
        <rFont val="Calibri"/>
        <family val="2"/>
        <scheme val="minor"/>
      </rPr>
      <t>ANGOULEME</t>
    </r>
    <r>
      <rPr>
        <b/>
        <sz val="22"/>
        <color theme="1"/>
        <rFont val="Calibri"/>
        <family val="2"/>
        <scheme val="minor"/>
      </rPr>
      <t xml:space="preserve"> Poitiers</t>
    </r>
  </si>
  <si>
    <t>MARMANDE 2/2</t>
  </si>
  <si>
    <t xml:space="preserve">CHALON SUR SAONE </t>
  </si>
  <si>
    <t>VSG 3/4</t>
  </si>
  <si>
    <t>G12 1378+ 24 wagons</t>
  </si>
  <si>
    <t>PTH 3/6</t>
  </si>
  <si>
    <t>Problème d'Amor n'allant pas jusqu'à PTH</t>
  </si>
  <si>
    <t>376</t>
  </si>
  <si>
    <t>377</t>
  </si>
  <si>
    <t>Arrêt en ligne et problème de JS des agents (pause)</t>
  </si>
  <si>
    <t>désormais les agents au sol sont 3 
pour mieux gérer l'amplitude</t>
  </si>
  <si>
    <t>378</t>
  </si>
  <si>
    <t>LANDERNEAU</t>
  </si>
  <si>
    <t>Rennes 1/2</t>
  </si>
  <si>
    <t>G1206 n°1121 + G1206 n°1122 + 10R93</t>
  </si>
  <si>
    <t xml:space="preserve">Pas de relevé de compo  faite par l'Agent au sol // BF travaux  </t>
  </si>
  <si>
    <t>LE MANS 2/2</t>
  </si>
  <si>
    <t xml:space="preserve">BF fait jusqu'à Rennes et non le Mans // BF  Refait par S2TF </t>
  </si>
  <si>
    <t>VERNEUIL L'ETANG 4/4</t>
  </si>
  <si>
    <t>annulation client, BA fermé</t>
  </si>
  <si>
    <t>379</t>
  </si>
  <si>
    <t>Argenteuil</t>
  </si>
  <si>
    <t>manœuvre des wagons avec fret car loco ne peut sortir coté paris
+ pb attribution sillon: tracé jusqu'à Epone au lieu d'argenteuil puis la substitution a été tracé jsqu'à bobigny au lieu d'Argenteuil..</t>
  </si>
  <si>
    <t xml:space="preserve">Réclamation à faire </t>
  </si>
  <si>
    <t>ST LEU 4/6</t>
  </si>
  <si>
    <t>un camion heurte le portique de gabarit du passage à niveau n°37 au niveau de Saint Leu d'Esserent (transversale Creil Persan). La caténaire a par ailleurs été amorcée avec une bâche.
Des travaux d'urgence ont été accordés jusqu'à minimum 20h par la SNCF</t>
  </si>
  <si>
    <t>VSG 5/6</t>
  </si>
  <si>
    <t>saincaize 6/6</t>
  </si>
  <si>
    <t xml:space="preserve">annulé suite à la non réalisation des manœuvres le mercredi </t>
  </si>
  <si>
    <t>380</t>
  </si>
  <si>
    <t>381</t>
  </si>
  <si>
    <t>ST DIE</t>
  </si>
  <si>
    <t>CEC 1/5</t>
  </si>
  <si>
    <t xml:space="preserve">G1206 n°1128+VAD 362+361+Porte flèche double </t>
  </si>
  <si>
    <t>Vaires 2/5</t>
  </si>
  <si>
    <t>382</t>
  </si>
  <si>
    <t>calé a Longueau suite panne machine</t>
  </si>
  <si>
    <t>383</t>
  </si>
  <si>
    <t xml:space="preserve">BB60086+10 EX </t>
  </si>
  <si>
    <t>384</t>
  </si>
  <si>
    <t>385</t>
  </si>
  <si>
    <t>V211 581-8 + 10 wagons vides + V211 635-2</t>
  </si>
  <si>
    <t>ETF ARS Sud  //   A.955LOL2575702</t>
  </si>
  <si>
    <t>départ refusé par la régul suite retard 
S2TF nous remont qu'au moment du départ, on demande a leur conducteur de retirer les wagons // départ prévu 08h00 --- trin prêt à 14h00  /// reprise le lendemain</t>
  </si>
  <si>
    <t xml:space="preserve">Sujet AMOR a évoquer avec Christophe </t>
  </si>
  <si>
    <t>PTH 3/5</t>
  </si>
  <si>
    <t>St-Leu 4/5</t>
  </si>
  <si>
    <t>Laon 5/5</t>
  </si>
  <si>
    <t>1 VAD a l'envers / départ avec 2  VAD au lieu de 3</t>
  </si>
  <si>
    <t>386</t>
  </si>
  <si>
    <t>POITIERS 1/2</t>
  </si>
  <si>
    <t>BML 108 3443</t>
  </si>
  <si>
    <t xml:space="preserve">BB60086+G1206 Colas n°1766+10 EX </t>
  </si>
  <si>
    <t>G12 colas sur Fsc reception et non dbr</t>
  </si>
  <si>
    <t>387</t>
  </si>
  <si>
    <t xml:space="preserve">G1206 n°1544 </t>
  </si>
  <si>
    <t>388</t>
  </si>
  <si>
    <t>P74 1/2</t>
  </si>
  <si>
    <t>S2TF ont du prendre la loco avec l'acheminement Le Masn-VSG</t>
  </si>
  <si>
    <t>G12 1885 +G12 1121</t>
  </si>
  <si>
    <t>conforme avec 1 G12 au lieu de 2</t>
  </si>
  <si>
    <t>389</t>
  </si>
  <si>
    <r>
      <rPr>
        <b/>
        <strike/>
        <sz val="22"/>
        <color theme="1"/>
        <rFont val="Calibri"/>
        <family val="2"/>
        <scheme val="minor"/>
      </rPr>
      <t xml:space="preserve">GIEVRES </t>
    </r>
    <r>
      <rPr>
        <b/>
        <sz val="22"/>
        <color theme="1"/>
        <rFont val="Calibri"/>
        <family val="2"/>
        <scheme val="minor"/>
      </rPr>
      <t>VSG 1/2</t>
    </r>
  </si>
  <si>
    <t>G1206 n°1122 + 10 R93</t>
  </si>
  <si>
    <t>parti avec les 2 G12 au lieu de 1</t>
  </si>
  <si>
    <t>390</t>
  </si>
  <si>
    <t>391</t>
  </si>
  <si>
    <t>VERNEUIL L'ETANG</t>
  </si>
  <si>
    <t>392</t>
  </si>
  <si>
    <t>393</t>
  </si>
  <si>
    <t>suite rotation annulé du lundi</t>
  </si>
  <si>
    <t>394</t>
  </si>
  <si>
    <t>Gièvres 22</t>
  </si>
  <si>
    <t>G1206 n°1122 + 10 R93 + 3 wagons</t>
  </si>
  <si>
    <t>395</t>
  </si>
  <si>
    <t>BIGANOS FACTURE</t>
  </si>
  <si>
    <t>MARMADE</t>
  </si>
  <si>
    <t>BML n° (FRA)</t>
  </si>
  <si>
    <t>396</t>
  </si>
  <si>
    <t>G1206 n°1128+60086+G1206 Colas +P95</t>
  </si>
  <si>
    <t>Argenteuil 2/2</t>
  </si>
  <si>
    <t>G1206 n°1128+BB60086</t>
  </si>
  <si>
    <t>397</t>
  </si>
  <si>
    <t>Recommandation SNCF : loco inapte a circuler en US // Autorisé par TMN à Rouler en HLP ( voir mail.)</t>
  </si>
  <si>
    <t>398</t>
  </si>
  <si>
    <r>
      <rPr>
        <b/>
        <strike/>
        <sz val="22"/>
        <color theme="1"/>
        <rFont val="Calibri"/>
        <family val="2"/>
        <scheme val="minor"/>
      </rPr>
      <t>LONGUEAU</t>
    </r>
    <r>
      <rPr>
        <b/>
        <sz val="22"/>
        <color theme="1"/>
        <rFont val="Calibri"/>
        <family val="2"/>
        <scheme val="minor"/>
      </rPr>
      <t xml:space="preserve"> ALBERT</t>
    </r>
  </si>
  <si>
    <t>BML 1077</t>
  </si>
  <si>
    <t>399</t>
  </si>
  <si>
    <t>clermont 1/2</t>
  </si>
  <si>
    <t>Annulé le mercredi pré-op</t>
  </si>
  <si>
    <t>400</t>
  </si>
  <si>
    <t>G12- 2080</t>
  </si>
  <si>
    <t>clermont</t>
  </si>
  <si>
    <t xml:space="preserve">G1206 DVF n°1552+8 wagons D12 </t>
  </si>
  <si>
    <t>401</t>
  </si>
  <si>
    <t>Sillon tracé en dehors des heures d'ouverture de la gare d'Argenteuil. 
Loco stationné à Bobigny jusqu'à 21h30 puis livré à Argenteuil à 22h00</t>
  </si>
  <si>
    <t>402</t>
  </si>
  <si>
    <t>Tergnier</t>
  </si>
  <si>
    <t>403</t>
  </si>
  <si>
    <t>17</t>
  </si>
  <si>
    <t>404</t>
  </si>
  <si>
    <t xml:space="preserve">MARMADE </t>
  </si>
  <si>
    <t xml:space="preserve">LA VACHE </t>
  </si>
  <si>
    <t>DGS 475 NTB n°6586</t>
  </si>
  <si>
    <t>405</t>
  </si>
  <si>
    <t>G1206 Colas n° 1766+ 2 WT3E</t>
  </si>
  <si>
    <t>G1206 n°1766 Colas +H88</t>
  </si>
  <si>
    <t>départ HLP car wagon H88 au rouge</t>
  </si>
  <si>
    <t>G1206 n°1766 Colas</t>
  </si>
  <si>
    <t>406</t>
  </si>
  <si>
    <t xml:space="preserve">MARMANDE </t>
  </si>
  <si>
    <t>limoges 1/3</t>
  </si>
  <si>
    <t>BR12</t>
  </si>
  <si>
    <t xml:space="preserve">LOCO déclarée en panne sur le chantier.
</t>
  </si>
  <si>
    <t>407</t>
  </si>
  <si>
    <t>408</t>
  </si>
  <si>
    <t>Bobigny 2/3</t>
  </si>
  <si>
    <t xml:space="preserve">Verneuil l'étang ferme à 16h00 pas de sillons reçu. </t>
  </si>
  <si>
    <t>409</t>
  </si>
  <si>
    <t>PERRIGNY 1/4</t>
  </si>
  <si>
    <t>G1206 n°1128</t>
  </si>
  <si>
    <t>GIEVRES 2/3</t>
  </si>
  <si>
    <t xml:space="preserve">s2tf </t>
  </si>
  <si>
    <t>410</t>
  </si>
  <si>
    <t>411</t>
  </si>
  <si>
    <t>VSG DEBRANCHEMNT</t>
  </si>
  <si>
    <t xml:space="preserve">VSg Dépôt </t>
  </si>
  <si>
    <t>G1206 n°2080</t>
  </si>
  <si>
    <t>412</t>
  </si>
  <si>
    <t>P3 d'argenteuil fermé à 5h</t>
  </si>
  <si>
    <t>413</t>
  </si>
  <si>
    <t>MECREDI</t>
  </si>
  <si>
    <t>MULHOUSE 2/4</t>
  </si>
  <si>
    <t>VERNEUIL L'ETANG 3/3</t>
  </si>
  <si>
    <t>414</t>
  </si>
  <si>
    <t>415</t>
  </si>
  <si>
    <t>G1206 n°1546 DVF+Porte flèche+VAD257+MFS n°6824+MFS n°6820+WDCO</t>
  </si>
  <si>
    <t xml:space="preserve">AM TEO LARROUDE  // reporté au jeudi avec Claisse Rail </t>
  </si>
  <si>
    <t>416</t>
  </si>
  <si>
    <t>G1206 n°1886</t>
  </si>
  <si>
    <t>VERNEUIL 3/3</t>
  </si>
  <si>
    <t>BR12+ 9R93</t>
  </si>
  <si>
    <t>417</t>
  </si>
  <si>
    <t>G1206 n°1486+ 20 Ballastières</t>
  </si>
  <si>
    <t xml:space="preserve">Agent au sol colas non présent + calé a lumes refus de la régulation car pas de place à Chalon </t>
  </si>
  <si>
    <t>418</t>
  </si>
  <si>
    <t>419</t>
  </si>
  <si>
    <t>420</t>
  </si>
  <si>
    <t xml:space="preserve">Départ de l'agent  avant les essais dynamique. 
</t>
  </si>
  <si>
    <t>421</t>
  </si>
  <si>
    <t>G12+ WAD 361 +WAD 352 +Porte flèche+G12</t>
  </si>
  <si>
    <t>RIEMS</t>
  </si>
  <si>
    <t>422</t>
  </si>
  <si>
    <t xml:space="preserve">Départ HLP car C75 considérée comme de la marchandise roulante et autorisation de la SNCF non reçue // Retard en ligne </t>
  </si>
  <si>
    <t>423</t>
  </si>
  <si>
    <t xml:space="preserve">Etampes </t>
  </si>
  <si>
    <t xml:space="preserve">Juvisy </t>
  </si>
  <si>
    <t>G1206 1885 + 1377</t>
  </si>
  <si>
    <t xml:space="preserve">Panne au départ de la 1377 // plusieurs manœuvres réalisés  départ en retard. </t>
  </si>
  <si>
    <t>424</t>
  </si>
  <si>
    <t>G1206 n°1546 DVF+Porte flèche+MFS n°6824+MFS n°6820+WDCO</t>
  </si>
  <si>
    <t>CLAISSERAIL</t>
  </si>
  <si>
    <t>AM TEO LARROUDE / ST SONDER</t>
  </si>
  <si>
    <t>G1206 n°2101 DVF+Porte flèche+MFS n°6824+MFS n°6820+WDCO</t>
  </si>
  <si>
    <t>PTH 3/3</t>
  </si>
  <si>
    <t>425</t>
  </si>
  <si>
    <t>AREGENTEUIL</t>
  </si>
  <si>
    <t>60072+ 3 wagons</t>
  </si>
  <si>
    <t>426</t>
  </si>
  <si>
    <t>V212 581-8 + 10 wagons chargés + V211 635-2</t>
  </si>
  <si>
    <t>427</t>
  </si>
  <si>
    <t>Reprise du Lumes- Juvisy du 24/04.  train calé au Lumes</t>
  </si>
  <si>
    <t>428</t>
  </si>
  <si>
    <t>NOISY 1/2</t>
  </si>
  <si>
    <t xml:space="preserve">G1206 n°1121 + G1206 11122 + 9 R 93 </t>
  </si>
  <si>
    <t>Conducteur n'est pas venu faire le train à 06h sa prise de service était à 11h00  le sillon lui a été envoyé la veille , Plage travaux, train fait vers 15h, impossibilité de repartir car Verneuil ferme à 16</t>
  </si>
  <si>
    <t>NOISY</t>
  </si>
  <si>
    <t>VERNEUIL L'ETANG 2/2</t>
  </si>
  <si>
    <t>G1206 n°1121 + G12 1122 + 9 R93 +9 D12</t>
  </si>
  <si>
    <t>429</t>
  </si>
  <si>
    <t xml:space="preserve">Présence de moutons sur les voies, plus 2h sur l'acheminement // Dépassement  pour Salah NALOUFI </t>
  </si>
  <si>
    <t>430</t>
  </si>
  <si>
    <t>ARGENTUEIL</t>
  </si>
  <si>
    <t xml:space="preserve">Programmation non envoyé au pré-opérationnel. </t>
  </si>
  <si>
    <t>431</t>
  </si>
  <si>
    <t>432</t>
  </si>
  <si>
    <t>G1206 n°1122</t>
  </si>
  <si>
    <t xml:space="preserve">Annulation Client  suite aux ploblèmes  rencontré avec la BR 214 le lundi. </t>
  </si>
  <si>
    <t>433</t>
  </si>
  <si>
    <t>434</t>
  </si>
  <si>
    <t>CHAMPIGNEULLES</t>
  </si>
  <si>
    <t>G1206 n°1118+BML n°6348</t>
  </si>
  <si>
    <t>435</t>
  </si>
  <si>
    <t>V 211 621-2</t>
  </si>
  <si>
    <t>V 211 621-2+ RGT15</t>
  </si>
  <si>
    <t xml:space="preserve">Loco mal orienté par le poste //  puis panne loco. 
La loco est restée stationnée sur la voie tout le week end  car la régulation n'avait pas de loco pour porter le secours. </t>
  </si>
  <si>
    <t>436</t>
  </si>
  <si>
    <t xml:space="preserve">TFE </t>
  </si>
  <si>
    <t>437</t>
  </si>
  <si>
    <t xml:space="preserve">Noisy </t>
  </si>
  <si>
    <t xml:space="preserve">Verneuil </t>
  </si>
  <si>
    <t>G1206 n°1122 + 1121 + 9 D12 +10 wagons</t>
  </si>
  <si>
    <t xml:space="preserve">Silllon ST obtenu tardivement + aiguille cassé donc manœuvre au pas </t>
  </si>
  <si>
    <t>438</t>
  </si>
  <si>
    <t xml:space="preserve">Suite à l'annulation du Lumes </t>
  </si>
  <si>
    <t>439</t>
  </si>
  <si>
    <t>LAROCHE MIGENNES</t>
  </si>
  <si>
    <t>440</t>
  </si>
  <si>
    <t xml:space="preserve">Stationnemetn à Metz car  arrivée trop tard à Réding. 
L'acheminement aurait du être planifié sur 2 jours. </t>
  </si>
  <si>
    <t>441</t>
  </si>
  <si>
    <t>442</t>
  </si>
  <si>
    <t>VALOGNES</t>
  </si>
  <si>
    <t>BML n°6490</t>
  </si>
  <si>
    <t>18</t>
  </si>
  <si>
    <t>443</t>
  </si>
  <si>
    <t>CARENTAN</t>
  </si>
  <si>
    <t>444</t>
  </si>
  <si>
    <t xml:space="preserve">G1206 n°1546 + Compo + C75 </t>
  </si>
  <si>
    <t>445</t>
  </si>
  <si>
    <t>446</t>
  </si>
  <si>
    <t xml:space="preserve">G1206 n°2131 DVF </t>
  </si>
  <si>
    <t>Le poste ouvre à 13h30, sillon obtenu départ 12h</t>
  </si>
  <si>
    <t>447</t>
  </si>
  <si>
    <t>448</t>
  </si>
  <si>
    <t>METZ 1/2</t>
  </si>
  <si>
    <t>LOCO TFE + C75</t>
  </si>
  <si>
    <t>449</t>
  </si>
  <si>
    <t>RGT 15 arrivée dans le mauvais sens, retournement prévu pour le mardi 29/04</t>
  </si>
  <si>
    <t>450</t>
  </si>
  <si>
    <t>R21 47008</t>
  </si>
  <si>
    <t>TFE avait obtenu le sillon, mais en raison du sens de circulation, ils ont dû le substituer. Le départ initial était prévu à 5h, avec un agent au sol programmé pour la réception. Finalement, le départ a été reprogrammé à 15h, ce qui a entraîné la déprogrammation de l’agent.</t>
  </si>
  <si>
    <t>451</t>
  </si>
  <si>
    <t>452</t>
  </si>
  <si>
    <t>Panne Machine, RGT 15 récupérée avec la 60105 le mercredi</t>
  </si>
  <si>
    <t>453</t>
  </si>
  <si>
    <r>
      <rPr>
        <b/>
        <strike/>
        <sz val="22"/>
        <color theme="1"/>
        <rFont val="Calibri"/>
        <family val="2"/>
        <scheme val="minor"/>
      </rPr>
      <t>VSG</t>
    </r>
    <r>
      <rPr>
        <b/>
        <sz val="22"/>
        <color theme="1"/>
        <rFont val="Calibri"/>
        <family val="2"/>
        <scheme val="minor"/>
      </rPr>
      <t xml:space="preserve"> POMPADOUR 1/3</t>
    </r>
  </si>
  <si>
    <t>V212 n°531-3 + 11R93</t>
  </si>
  <si>
    <t>POMPADOUR</t>
  </si>
  <si>
    <t>VERNEUIL 2/3</t>
  </si>
  <si>
    <t>V212 n°531-3</t>
  </si>
  <si>
    <t>MODANE 2/2</t>
  </si>
  <si>
    <t>G1206 n°2131 DVF + 1 Wagon (31 82 3936 201-1)</t>
  </si>
  <si>
    <t>454</t>
  </si>
  <si>
    <t>456</t>
  </si>
  <si>
    <t>R21 GCF 47053</t>
  </si>
  <si>
    <t>457</t>
  </si>
  <si>
    <t>BADAN</t>
  </si>
  <si>
    <t>LANGEAC</t>
  </si>
  <si>
    <t>erreur sur le sens de travail au départ entraînant un retard puis régul nous a calé au Puy-en-Velay</t>
  </si>
  <si>
    <t>458</t>
  </si>
  <si>
    <t>60105+RGT 15</t>
  </si>
  <si>
    <r>
      <rPr>
        <b/>
        <strike/>
        <sz val="22"/>
        <color theme="1"/>
        <rFont val="Calibri"/>
        <family val="2"/>
        <scheme val="minor"/>
      </rPr>
      <t>VSG</t>
    </r>
    <r>
      <rPr>
        <b/>
        <sz val="22"/>
        <color theme="1"/>
        <rFont val="Calibri"/>
        <family val="2"/>
        <scheme val="minor"/>
      </rPr>
      <t xml:space="preserve"> POMPADOUR 3/3</t>
    </r>
  </si>
  <si>
    <t>V212 n°531-3 + 9R93</t>
  </si>
  <si>
    <t>459</t>
  </si>
  <si>
    <t xml:space="preserve"> POMPADOUR</t>
  </si>
  <si>
    <t xml:space="preserve">VSG fsc Debranchement </t>
  </si>
  <si>
    <t>460</t>
  </si>
  <si>
    <t>461</t>
  </si>
  <si>
    <t>Loco + Compo prepa TEVO</t>
  </si>
  <si>
    <t>462</t>
  </si>
  <si>
    <t>G12 1486+ 10 EX</t>
  </si>
  <si>
    <t>463</t>
  </si>
  <si>
    <t>Bourreuse ZC EIFFAGE</t>
  </si>
  <si>
    <t>464</t>
  </si>
  <si>
    <t>465</t>
  </si>
  <si>
    <t>AUREC</t>
  </si>
  <si>
    <t>B66 UC</t>
  </si>
  <si>
    <t>466</t>
  </si>
  <si>
    <t xml:space="preserve">Puy en velay </t>
  </si>
  <si>
    <t>467</t>
  </si>
  <si>
    <t xml:space="preserve">VIERZON </t>
  </si>
  <si>
    <t>PANNE KVB</t>
  </si>
  <si>
    <t>468</t>
  </si>
  <si>
    <t>EURO 4000+compo TEVO</t>
  </si>
  <si>
    <t>469</t>
  </si>
  <si>
    <t xml:space="preserve">Non réalisé suite absence Agent au sol </t>
  </si>
  <si>
    <t>VERNOUILLET 1/2</t>
  </si>
  <si>
    <t>BB60072 + 24 wagons</t>
  </si>
  <si>
    <t>VIERZION</t>
  </si>
  <si>
    <t>GIEVRES 1/4</t>
  </si>
  <si>
    <t>Ne pas envoyer pour le moment V212 Panne KVB à VSG</t>
  </si>
  <si>
    <t xml:space="preserve">non réalisé suite panne EM le vendredi </t>
  </si>
  <si>
    <t xml:space="preserve">GIEVRES  </t>
  </si>
  <si>
    <t>VIERZON 2/4</t>
  </si>
  <si>
    <t>suite du sillon a confirmer</t>
  </si>
  <si>
    <t>V212 n°531-3 + 1 R93 (33 87 399 7 108-7)</t>
  </si>
  <si>
    <t xml:space="preserve">annulation du besoin chantier </t>
  </si>
  <si>
    <t>Ok</t>
  </si>
  <si>
    <t>POITIERS 3/4</t>
  </si>
  <si>
    <t>V212 n°531-3 + 1 wagon</t>
  </si>
  <si>
    <t>POISSY</t>
  </si>
  <si>
    <t>ACHERES 1/2</t>
  </si>
  <si>
    <t>BML n°6347</t>
  </si>
  <si>
    <t>MARMANDE 4/4</t>
  </si>
  <si>
    <t>annulé J-1 par pré-op</t>
  </si>
  <si>
    <t xml:space="preserve">rame non prête </t>
  </si>
  <si>
    <t>Reprise prévu Vendredi car impossibilité de décharger avant 16h et js agent</t>
  </si>
  <si>
    <t>G12 2081+G12 1837+ Compo + REVO</t>
  </si>
  <si>
    <t xml:space="preserve">Révo  // sujet  sur le retard au départ  de Lille </t>
  </si>
  <si>
    <t>MORIGNY-CHAMPIGNY 2/2</t>
  </si>
  <si>
    <t>2 locos + Compo+ DEG</t>
  </si>
  <si>
    <t xml:space="preserve">4H de retard  // </t>
  </si>
  <si>
    <t>REIMS 1/4</t>
  </si>
  <si>
    <t>G12+DEG C75 GCF + BOURREUSE TMN 108475 N°1077+Compo+G12</t>
  </si>
  <si>
    <t>refuse agent sféris + Ags manquant</t>
  </si>
  <si>
    <t>LAON 2/4</t>
  </si>
  <si>
    <t>REIMS 3/4</t>
  </si>
  <si>
    <t>LAON 4/4</t>
  </si>
  <si>
    <t>60015+ SSP 230</t>
  </si>
  <si>
    <t xml:space="preserve">                                                                                                                                                                                                                 </t>
  </si>
  <si>
    <t>wesley+ramzi</t>
  </si>
  <si>
    <t>20</t>
  </si>
  <si>
    <t>493</t>
  </si>
  <si>
    <t>494</t>
  </si>
  <si>
    <t>Sotteville</t>
  </si>
  <si>
    <t>60105+G1206 n°1128</t>
  </si>
  <si>
    <t xml:space="preserve">Train non formé </t>
  </si>
  <si>
    <t>495</t>
  </si>
  <si>
    <t>Bercy</t>
  </si>
  <si>
    <t>496</t>
  </si>
  <si>
    <t>G12 1546 + 60020</t>
  </si>
  <si>
    <t xml:space="preserve">G12 1546 </t>
  </si>
  <si>
    <t>497</t>
  </si>
  <si>
    <t>498</t>
  </si>
  <si>
    <t>Pompadour 2/2</t>
  </si>
  <si>
    <t>499</t>
  </si>
  <si>
    <t>Venissieux</t>
  </si>
  <si>
    <t>ST Hilaires au temple 2/2</t>
  </si>
  <si>
    <t xml:space="preserve">calé à VSG // pas de sillon cause travaux ( acheminement de base prévu à Lizy sur Ourcq modifé le vendredi soirt en S-1) </t>
  </si>
  <si>
    <t>500</t>
  </si>
  <si>
    <t>501</t>
  </si>
  <si>
    <t>Champigneulles</t>
  </si>
  <si>
    <t>Benning 1/3</t>
  </si>
  <si>
    <t>G12 1124+13 Wagons</t>
  </si>
  <si>
    <t>Benning</t>
  </si>
  <si>
    <t>CEC 2/3</t>
  </si>
  <si>
    <t xml:space="preserve">G12 1124 </t>
  </si>
  <si>
    <t>502</t>
  </si>
  <si>
    <t xml:space="preserve">Annulation car agent GTIS absent </t>
  </si>
  <si>
    <t xml:space="preserve">réalisé sur une grosse amplitude </t>
  </si>
  <si>
    <t>503</t>
  </si>
  <si>
    <t>504</t>
  </si>
  <si>
    <t>Manduel</t>
  </si>
  <si>
    <t>SGMO 1/3</t>
  </si>
  <si>
    <t>RGT35</t>
  </si>
  <si>
    <t>calé a st rambert suite panne Engin</t>
  </si>
  <si>
    <t>506</t>
  </si>
  <si>
    <t>507</t>
  </si>
  <si>
    <t xml:space="preserve">VSG  DN </t>
  </si>
  <si>
    <t xml:space="preserve">Mapo </t>
  </si>
  <si>
    <t>V211 635-2</t>
  </si>
  <si>
    <t>508</t>
  </si>
  <si>
    <t>509</t>
  </si>
  <si>
    <r>
      <rPr>
        <b/>
        <strike/>
        <sz val="22"/>
        <color theme="1"/>
        <rFont val="Calibri"/>
        <family val="2"/>
        <scheme val="minor"/>
      </rPr>
      <t xml:space="preserve">Boulogne </t>
    </r>
    <r>
      <rPr>
        <b/>
        <sz val="22"/>
        <color theme="1"/>
        <rFont val="Calibri"/>
        <family val="2"/>
        <scheme val="minor"/>
      </rPr>
      <t xml:space="preserve"> Longueau </t>
    </r>
  </si>
  <si>
    <t>2 locos + Compo</t>
  </si>
  <si>
    <t>510</t>
  </si>
  <si>
    <t>Laon 1/2</t>
  </si>
  <si>
    <t xml:space="preserve">60 000 + porte flèche </t>
  </si>
  <si>
    <t>Frein du wagon porte flèche non fonctionnel (wagon etiqueté)</t>
  </si>
  <si>
    <t xml:space="preserve">Qui a mis l'étiquette ? </t>
  </si>
  <si>
    <t>Laon</t>
  </si>
  <si>
    <t>Longueau 2/2</t>
  </si>
  <si>
    <t>Suite NC</t>
  </si>
  <si>
    <t>511</t>
  </si>
  <si>
    <t>St Rambert</t>
  </si>
  <si>
    <t>SGMO 1/3  suite</t>
  </si>
  <si>
    <t>512</t>
  </si>
  <si>
    <t>Boulogne</t>
  </si>
  <si>
    <t>G1206 n+ + Rame Rail+ compo</t>
  </si>
  <si>
    <t xml:space="preserve">Sans fuel //  Manœuvres non effectuée </t>
  </si>
  <si>
    <t>Laroche Migennes 2/3</t>
  </si>
  <si>
    <t>Laroche Miche</t>
  </si>
  <si>
    <t>???</t>
  </si>
  <si>
    <t>513</t>
  </si>
  <si>
    <t>Plus de besoin côté chantier</t>
  </si>
  <si>
    <t>514</t>
  </si>
  <si>
    <t>Morigny Champigny</t>
  </si>
  <si>
    <t>515</t>
  </si>
  <si>
    <t>Etampes</t>
  </si>
  <si>
    <t>G12 1378 + wagon 33 87 393 6 288-1</t>
  </si>
  <si>
    <t>516</t>
  </si>
  <si>
    <t>517</t>
  </si>
  <si>
    <t>Lille</t>
  </si>
  <si>
    <t xml:space="preserve">Train dans le sens inverse que prévu. </t>
  </si>
  <si>
    <t>518</t>
  </si>
  <si>
    <t>Clermont Ferrand</t>
  </si>
  <si>
    <t>G1206 n°1771 Colas</t>
  </si>
  <si>
    <t>G12 1124+RGT 15</t>
  </si>
  <si>
    <t>mauvais sens de travail au départ/tracé modifié en OP</t>
  </si>
  <si>
    <t>BB 60105</t>
  </si>
  <si>
    <t>ARGENETUIL</t>
  </si>
  <si>
    <t>b66uc</t>
  </si>
  <si>
    <t>REIMS BETHNY 1/2</t>
  </si>
  <si>
    <t>G12 1378 + 2 WAGONS</t>
  </si>
  <si>
    <t>ok (loco doit etre mise poste L la veille)</t>
  </si>
  <si>
    <t xml:space="preserve">Loco fsc Equipement </t>
  </si>
  <si>
    <t>MAPO</t>
  </si>
  <si>
    <t>PARIS BERCY 1/2</t>
  </si>
  <si>
    <t>V211 635</t>
  </si>
  <si>
    <t>LAROCHE 1/2</t>
  </si>
  <si>
    <t>G1206 n°1546 + Rame Rail</t>
  </si>
  <si>
    <t xml:space="preserve">rame non prête // annulation client la veille </t>
  </si>
  <si>
    <t>HAGONDANGE 2/2</t>
  </si>
  <si>
    <t>b66UC</t>
  </si>
  <si>
    <t>VERT DE MAISON</t>
  </si>
  <si>
    <t>substit pr TAQ a bercy</t>
  </si>
  <si>
    <t>G1206 + 20R93</t>
  </si>
  <si>
    <t>substit en OP pour TAQ a bercy</t>
  </si>
  <si>
    <t>retard suite besoin de SOL pour faire le point coté Fsc Equip
finalement il a pu partir de l'autre coté car les travaux ont été rendu plutôt</t>
  </si>
  <si>
    <t>Longueau 3/2</t>
  </si>
  <si>
    <t>REIMS BETHNY</t>
  </si>
  <si>
    <t>PARIS CONFLANS</t>
  </si>
  <si>
    <t>SAINTES</t>
  </si>
  <si>
    <t>VERNOUILLET 1/3</t>
  </si>
  <si>
    <t>G1206 n°1377 + 20 R93</t>
  </si>
  <si>
    <t>manœuvres au départ + poste ouvre à 8h</t>
  </si>
  <si>
    <t>G1206 n°1377 + 10 R93</t>
  </si>
  <si>
    <t xml:space="preserve"> poste ouvre à 8h à Vernouillet + calé aux aubrais - saturation triage // </t>
  </si>
  <si>
    <t xml:space="preserve"> VSG</t>
  </si>
  <si>
    <t>G1206 n°1121 + 20 R93</t>
  </si>
  <si>
    <t>retard au départ car compo non conforme 21 wagons au lieu de 20</t>
  </si>
  <si>
    <t>LE BOURGET 1/3</t>
  </si>
  <si>
    <t>RIEMS 1/2</t>
  </si>
  <si>
    <t>BML n°3399</t>
  </si>
  <si>
    <t>G1206 n°1379+VAD 352+361+365+2 Portes flèches Doubles</t>
  </si>
  <si>
    <t>retard au départ car besoin de faire TAQ/ les VAD sont arrivés a l'envers du chantier</t>
  </si>
  <si>
    <t>MONTEREAU 2/2</t>
  </si>
  <si>
    <t>AUBRAIS</t>
  </si>
  <si>
    <t>COUTRAS 3/3</t>
  </si>
  <si>
    <t>Pas de marche possible pour cause de travaux</t>
  </si>
  <si>
    <t>G1206 n°1516+1498+TTX Finition</t>
  </si>
  <si>
    <t xml:space="preserve">Annulé car besoin du matériel sur le chantier une nuit de plus. </t>
  </si>
  <si>
    <t>COUTRAS 1/2</t>
  </si>
  <si>
    <t xml:space="preserve">Ferrotract </t>
  </si>
  <si>
    <t>pas de manœuvre réalisée à l'arrivée / ferrotract n'était pas au courant</t>
  </si>
  <si>
    <t>MASSY 2/3</t>
  </si>
  <si>
    <t>60072+2 wagons</t>
  </si>
  <si>
    <t>client Externe  //   A955.LOL2595702</t>
  </si>
  <si>
    <t>chargement non conforme/desserte Massy annulée</t>
  </si>
  <si>
    <t xml:space="preserve">Bourget </t>
  </si>
  <si>
    <r>
      <rPr>
        <b/>
        <strike/>
        <sz val="22"/>
        <color theme="1"/>
        <rFont val="Calibri"/>
        <family val="2"/>
        <scheme val="minor"/>
      </rPr>
      <t>TRAPPES Juvisy</t>
    </r>
    <r>
      <rPr>
        <b/>
        <sz val="22"/>
        <color theme="1"/>
        <rFont val="Calibri"/>
        <family val="2"/>
        <scheme val="minor"/>
      </rPr>
      <t xml:space="preserve"> Achères 3/3</t>
    </r>
  </si>
  <si>
    <t xml:space="preserve">REIMS  </t>
  </si>
  <si>
    <r>
      <rPr>
        <b/>
        <strike/>
        <sz val="22"/>
        <color theme="1"/>
        <rFont val="Calibri"/>
        <family val="2"/>
        <scheme val="minor"/>
      </rPr>
      <t>VET</t>
    </r>
    <r>
      <rPr>
        <b/>
        <sz val="22"/>
        <color theme="1"/>
        <rFont val="Calibri"/>
        <family val="2"/>
        <scheme val="minor"/>
      </rPr>
      <t xml:space="preserve"> Juvisy</t>
    </r>
  </si>
  <si>
    <t xml:space="preserve">G12 1124  </t>
  </si>
  <si>
    <t xml:space="preserve">Lille </t>
  </si>
  <si>
    <t xml:space="preserve">Longueau </t>
  </si>
  <si>
    <t xml:space="preserve">Régaleuse dans le mauvais sens au départ retourné en opérationel. </t>
  </si>
  <si>
    <t>G12 1885 +1486</t>
  </si>
  <si>
    <t>22</t>
  </si>
  <si>
    <t>551</t>
  </si>
  <si>
    <t>552</t>
  </si>
  <si>
    <t>553</t>
  </si>
  <si>
    <t>Vincent s'est trompé dans le numéro de la loco. 
Il est partit avec la 60015 ai lieu de la  60105</t>
  </si>
  <si>
    <t>60105+60020</t>
  </si>
  <si>
    <t xml:space="preserve">60000 pas prêt au depart et manœuvre pour la sortir </t>
  </si>
  <si>
    <t>554</t>
  </si>
  <si>
    <t>555</t>
  </si>
  <si>
    <t>BML 108-32 U n°3443</t>
  </si>
  <si>
    <t>556</t>
  </si>
  <si>
    <t>ETAMPES</t>
  </si>
  <si>
    <t>557</t>
  </si>
  <si>
    <t>G1206 n°+TTX Finition</t>
  </si>
  <si>
    <t>561</t>
  </si>
  <si>
    <t>SSP 230</t>
  </si>
  <si>
    <t xml:space="preserve">Pas de chef de machine </t>
  </si>
  <si>
    <t>558</t>
  </si>
  <si>
    <t>G12 1378 + 10 EX</t>
  </si>
  <si>
    <t>tfe</t>
  </si>
  <si>
    <t>559</t>
  </si>
  <si>
    <t>G1206 1377 + 10WAGONS</t>
  </si>
  <si>
    <t>560</t>
  </si>
  <si>
    <t>562</t>
  </si>
  <si>
    <t>retard a l'arrivée</t>
  </si>
  <si>
    <t>LA CHAPELLE 2/2</t>
  </si>
  <si>
    <t xml:space="preserve">Vincent s'est trompé dans le numéro de la loco. 
Il est partit avec la 60015 ai lieu de la  60105// Organisation de Longueau à revoir
</t>
  </si>
  <si>
    <t>POITIERS 2/3</t>
  </si>
  <si>
    <t>VERNOUILLET 2/2</t>
  </si>
  <si>
    <t>563</t>
  </si>
  <si>
    <t>60093 + B45</t>
  </si>
  <si>
    <t>564</t>
  </si>
  <si>
    <t xml:space="preserve">JUVISY  </t>
  </si>
  <si>
    <t xml:space="preserve">Suite NC du lundi, c'est la 60105 qui a été acheminée à Juvisy
</t>
  </si>
  <si>
    <t>565</t>
  </si>
  <si>
    <t>G1038 + 6EX100 + 5R93+BML 3485</t>
  </si>
  <si>
    <t>ferrotract</t>
  </si>
  <si>
    <t>G1038 + BML 3485</t>
  </si>
  <si>
    <t>Les aubrais + VSG</t>
  </si>
  <si>
    <t>Problème d'horaire de marche pour CDT et C2// Attention anticipation sur l'enchainement des sillons avec la ST</t>
  </si>
  <si>
    <t>566</t>
  </si>
  <si>
    <t>567</t>
  </si>
  <si>
    <t>TOURY</t>
  </si>
  <si>
    <t>568</t>
  </si>
  <si>
    <t>569</t>
  </si>
  <si>
    <t>570</t>
  </si>
  <si>
    <t>V211 581-8 + 2 wagons + V211 635-2</t>
  </si>
  <si>
    <t>571</t>
  </si>
  <si>
    <t>572</t>
  </si>
  <si>
    <t>573</t>
  </si>
  <si>
    <t>MARMANDE</t>
  </si>
  <si>
    <t>ST GERMAIN LES FOSSES</t>
  </si>
  <si>
    <t>G1206 n°1122 + G1038</t>
  </si>
  <si>
    <t>MERCRDI</t>
  </si>
  <si>
    <t>574</t>
  </si>
  <si>
    <t xml:space="preserve">LONGUEAU  </t>
  </si>
  <si>
    <t>calé à PTH suite heurt sanglier</t>
  </si>
  <si>
    <t>575</t>
  </si>
  <si>
    <t>acheminement donné à S2TF //nous recuperons le VSG - Paris Bercy</t>
  </si>
  <si>
    <t>576</t>
  </si>
  <si>
    <t>577</t>
  </si>
  <si>
    <t>Sollicitation AMO TIGHILT pour reception</t>
  </si>
  <si>
    <t>578</t>
  </si>
  <si>
    <t>579</t>
  </si>
  <si>
    <t>Pas de presta / tableau des sols</t>
  </si>
  <si>
    <t>G1206 n°1886+WDCO</t>
  </si>
  <si>
    <t>580</t>
  </si>
  <si>
    <t>581</t>
  </si>
  <si>
    <t xml:space="preserve">BOULOGNE </t>
  </si>
  <si>
    <t>BB60093</t>
  </si>
  <si>
    <t>BB60093+B4520</t>
  </si>
  <si>
    <t>582</t>
  </si>
  <si>
    <t>G1206 n° 1379+ R21 n°47005</t>
  </si>
  <si>
    <t xml:space="preserve">Loco au mauvais endoit ( les engins étaient à Longueau au lieu de Boulogne) </t>
  </si>
  <si>
    <t>583</t>
  </si>
  <si>
    <t>G1206 n°1886+DGS 72NR n°378</t>
  </si>
  <si>
    <t xml:space="preserve">Disfonctionnement  sur la ligne à engendré un premier retard, puis absence d'agent au sol pour faire refouler le train à VSG a engendré un deuxième retard. 
Conséquence pas de sortie le vendredi soir. </t>
  </si>
  <si>
    <t>584</t>
  </si>
  <si>
    <t>UM G12</t>
  </si>
  <si>
    <t xml:space="preserve">REX à venir </t>
  </si>
  <si>
    <t>Mauvaise interprétation des manœuvres à réaliser</t>
  </si>
  <si>
    <t>585</t>
  </si>
  <si>
    <t>Réding</t>
  </si>
  <si>
    <t>Colmar</t>
  </si>
  <si>
    <t>g12 1837 + r21</t>
  </si>
  <si>
    <t>23</t>
  </si>
  <si>
    <t>586</t>
  </si>
  <si>
    <t>589</t>
  </si>
  <si>
    <t>WOIPPY</t>
  </si>
  <si>
    <t xml:space="preserve">G12 1118		</t>
  </si>
  <si>
    <t>590</t>
  </si>
  <si>
    <t>ETAMPES 1/2</t>
  </si>
  <si>
    <t>60015+Bourreuse 6347</t>
  </si>
  <si>
    <t>591</t>
  </si>
  <si>
    <t>592</t>
  </si>
  <si>
    <t xml:space="preserve">G12 1379+R21 n°47005 </t>
  </si>
  <si>
    <t>593</t>
  </si>
  <si>
    <t xml:space="preserve">G1206 n°1516+DGS 72NR </t>
  </si>
  <si>
    <t>594</t>
  </si>
  <si>
    <t>595</t>
  </si>
  <si>
    <t>596</t>
  </si>
  <si>
    <t>ST HILAIRE AU TEMPLE</t>
  </si>
  <si>
    <t>PERRIGNY 1/2</t>
  </si>
  <si>
    <t>597</t>
  </si>
  <si>
    <t>60015 + 60000</t>
  </si>
  <si>
    <t>598</t>
  </si>
  <si>
    <r>
      <rPr>
        <b/>
        <strike/>
        <sz val="22"/>
        <color theme="1"/>
        <rFont val="Calibri"/>
        <family val="2"/>
        <scheme val="minor"/>
      </rPr>
      <t>TOURY</t>
    </r>
    <r>
      <rPr>
        <b/>
        <sz val="22"/>
        <color theme="1"/>
        <rFont val="Calibri"/>
        <family val="2"/>
        <scheme val="minor"/>
      </rPr>
      <t xml:space="preserve"> LAB</t>
    </r>
  </si>
  <si>
    <t>599</t>
  </si>
  <si>
    <t>600</t>
  </si>
  <si>
    <t>G12 1546 + DGS 62N</t>
  </si>
  <si>
    <t>60093 + DGS 72NR</t>
  </si>
  <si>
    <t>601</t>
  </si>
  <si>
    <t>Sablé P74</t>
  </si>
  <si>
    <t>602</t>
  </si>
  <si>
    <t>603</t>
  </si>
  <si>
    <t>MONSOULT</t>
  </si>
  <si>
    <t>VRNT</t>
  </si>
  <si>
    <t>60020+60105</t>
  </si>
  <si>
    <r>
      <rPr>
        <b/>
        <strike/>
        <sz val="22"/>
        <color theme="1"/>
        <rFont val="Calibri"/>
        <family val="2"/>
        <scheme val="minor"/>
      </rPr>
      <t>VENISSIEUX</t>
    </r>
    <r>
      <rPr>
        <b/>
        <sz val="22"/>
        <color theme="1"/>
        <rFont val="Calibri"/>
        <family val="2"/>
        <scheme val="minor"/>
      </rPr>
      <t xml:space="preserve"> St Qeuntin Fallavier 2/2</t>
    </r>
  </si>
  <si>
    <t>604</t>
  </si>
  <si>
    <t>605</t>
  </si>
  <si>
    <t>Bourreuse 1362</t>
  </si>
  <si>
    <t>606</t>
  </si>
  <si>
    <t>607</t>
  </si>
  <si>
    <t>Reims 1/2</t>
  </si>
  <si>
    <t xml:space="preserve">BML 108 4S n°3399 </t>
  </si>
  <si>
    <t>608</t>
  </si>
  <si>
    <t>DGS72NR</t>
  </si>
  <si>
    <t>609</t>
  </si>
  <si>
    <t xml:space="preserve">REDING </t>
  </si>
  <si>
    <t>G1206 n°2081+ Wagon C</t>
  </si>
  <si>
    <t>REDING 2/2</t>
  </si>
  <si>
    <t>610</t>
  </si>
  <si>
    <t>611</t>
  </si>
  <si>
    <t>CHARTRES</t>
  </si>
  <si>
    <t>612</t>
  </si>
  <si>
    <t>Trappes 1/2</t>
  </si>
  <si>
    <t>613</t>
  </si>
  <si>
    <t>Gannat</t>
  </si>
  <si>
    <t>Montceau</t>
  </si>
  <si>
    <t>614</t>
  </si>
  <si>
    <t>Valognes</t>
  </si>
  <si>
    <t>Juvisy 1/3</t>
  </si>
  <si>
    <t xml:space="preserve">BML n°6490		</t>
  </si>
  <si>
    <t>SGF 3/3</t>
  </si>
  <si>
    <t>615</t>
  </si>
  <si>
    <t>BDC hourcade</t>
  </si>
  <si>
    <t>Coutras 1/2</t>
  </si>
  <si>
    <t xml:space="preserve">G1206 n*1121 + 1377	</t>
  </si>
  <si>
    <t>Coutras</t>
  </si>
  <si>
    <t>ballastieres 2/2</t>
  </si>
  <si>
    <t>Reims</t>
  </si>
  <si>
    <t>Réding 2/2</t>
  </si>
  <si>
    <t>616</t>
  </si>
  <si>
    <t>617</t>
  </si>
  <si>
    <t>60105+10 EX</t>
  </si>
  <si>
    <t>618</t>
  </si>
  <si>
    <t>MARLY</t>
  </si>
  <si>
    <t>MARLY 2/2</t>
  </si>
  <si>
    <t>24</t>
  </si>
  <si>
    <t>Marly</t>
  </si>
  <si>
    <t>619</t>
  </si>
  <si>
    <t>620</t>
  </si>
  <si>
    <t>621</t>
  </si>
  <si>
    <t>622</t>
  </si>
  <si>
    <t>chalon 1/4</t>
  </si>
  <si>
    <t>623</t>
  </si>
  <si>
    <r>
      <rPr>
        <b/>
        <strike/>
        <sz val="22"/>
        <color theme="1"/>
        <rFont val="Calibri"/>
        <family val="2"/>
        <scheme val="minor"/>
      </rPr>
      <t xml:space="preserve">VERNOUILLET </t>
    </r>
    <r>
      <rPr>
        <b/>
        <sz val="22"/>
        <color theme="1"/>
        <rFont val="Calibri"/>
        <family val="2"/>
        <scheme val="minor"/>
      </rPr>
      <t>Juvisy</t>
    </r>
  </si>
  <si>
    <t>LISON 1/4</t>
  </si>
  <si>
    <t>624</t>
  </si>
  <si>
    <t>SAINCAIZE 1/5</t>
  </si>
  <si>
    <t>Mouvement sans autorisationde LARROUDE</t>
  </si>
  <si>
    <t>625</t>
  </si>
  <si>
    <t>MONTSOULT</t>
  </si>
  <si>
    <t>Marquise 2/2</t>
  </si>
  <si>
    <t>R21 GCF</t>
  </si>
  <si>
    <t>G1206 n°1378+ 18 wagons</t>
  </si>
  <si>
    <t xml:space="preserve">reprise à organiser  // retard au départ suite ajout de matéreil à la dernière minute. </t>
  </si>
  <si>
    <t>LONGUEAU 2/5  BIS</t>
  </si>
  <si>
    <t>G1206 n°1378+ 2 wagons</t>
  </si>
  <si>
    <t xml:space="preserve">reprise à organiser </t>
  </si>
  <si>
    <t>SAINCAIZE 2/4</t>
  </si>
  <si>
    <t>60105+9 R93</t>
  </si>
  <si>
    <t>CHALON</t>
  </si>
  <si>
    <t>CHAMPIGNEULLES 2/4</t>
  </si>
  <si>
    <t>Retard au départ car fuel à effectuer et plan de prévention non à jour puis travaux.
Arrivée tardive + manœuvres à l'arrivée = impact sur le départ du jeudi 12/06</t>
  </si>
  <si>
    <t>626</t>
  </si>
  <si>
    <t>627</t>
  </si>
  <si>
    <t>déraillement de l'euro 4025</t>
  </si>
  <si>
    <t>628</t>
  </si>
  <si>
    <t>Longueau 3/4</t>
  </si>
  <si>
    <t>60105+15 R93</t>
  </si>
  <si>
    <t>Annulé car lié avec le champigneulles&gt;VSG = Wagon du Champigneulles manquant</t>
  </si>
  <si>
    <t>G1206 n°1124+ 32 Wagons</t>
  </si>
  <si>
    <t>retard au depart + Calé à Chalons-en-champagne cause travaux</t>
  </si>
  <si>
    <t>629</t>
  </si>
  <si>
    <t>G12 1885 + 10 Tombereaux</t>
  </si>
  <si>
    <t>630</t>
  </si>
  <si>
    <t>Marquise</t>
  </si>
  <si>
    <t>631</t>
  </si>
  <si>
    <t>632</t>
  </si>
  <si>
    <t>LONGUEAU 4/4</t>
  </si>
  <si>
    <t>633</t>
  </si>
  <si>
    <t>ABANCOURT 2/2</t>
  </si>
  <si>
    <t>MORET 2/2</t>
  </si>
  <si>
    <t>G1206 n°1124 + 60072 + 25 Wagons</t>
  </si>
  <si>
    <t>Retard au départ suite maneouvres</t>
  </si>
  <si>
    <t>G1206 n°1378+ 18 wagons +60105</t>
  </si>
  <si>
    <t>Somain 4/4</t>
  </si>
  <si>
    <t>634</t>
  </si>
  <si>
    <t>COLMAR</t>
  </si>
  <si>
    <t>635</t>
  </si>
  <si>
    <t>25</t>
  </si>
  <si>
    <t>636</t>
  </si>
  <si>
    <t>637</t>
  </si>
  <si>
    <t>638</t>
  </si>
  <si>
    <t>G12 1378+ 3 wagons</t>
  </si>
  <si>
    <t>639</t>
  </si>
  <si>
    <t>SELESTAT</t>
  </si>
  <si>
    <t>G1206 n°1837+REVO</t>
  </si>
  <si>
    <t>640</t>
  </si>
  <si>
    <t>pas de C2</t>
  </si>
  <si>
    <t>641</t>
  </si>
  <si>
    <t>642</t>
  </si>
  <si>
    <t>G1206 n°2081+VAIACAR</t>
  </si>
  <si>
    <t>ctsf</t>
  </si>
  <si>
    <t>643</t>
  </si>
  <si>
    <t>CREIL 1/2</t>
  </si>
  <si>
    <t>machiniste prévu en après midi alors que départ prévue à 7h</t>
  </si>
  <si>
    <t>CREIL</t>
  </si>
  <si>
    <t>BOULOGNE 2/2</t>
  </si>
  <si>
    <t>R21 n°47010</t>
  </si>
  <si>
    <t>644</t>
  </si>
  <si>
    <t>645</t>
  </si>
  <si>
    <t>646</t>
  </si>
  <si>
    <t>647</t>
  </si>
  <si>
    <t>648</t>
  </si>
  <si>
    <t>train non préparé en BA de Longueau</t>
  </si>
  <si>
    <t>649</t>
  </si>
  <si>
    <t>650</t>
  </si>
  <si>
    <t>651</t>
  </si>
  <si>
    <t>MARLY LE ROI</t>
  </si>
  <si>
    <t>652</t>
  </si>
  <si>
    <t>653</t>
  </si>
  <si>
    <t xml:space="preserve"> CHALON EN CHAMPAGNE 1/2</t>
  </si>
  <si>
    <t>654</t>
  </si>
  <si>
    <t xml:space="preserve"> CHALON EN CHAMPAGNE</t>
  </si>
  <si>
    <t>SELESTAT 2/2</t>
  </si>
  <si>
    <t>655</t>
  </si>
  <si>
    <t>STAB 82 BG</t>
  </si>
  <si>
    <t>656</t>
  </si>
  <si>
    <t>CHAOUILLOUE</t>
  </si>
  <si>
    <t>657</t>
  </si>
  <si>
    <t>V211 n°512-3</t>
  </si>
  <si>
    <t>V211 n°512-4</t>
  </si>
  <si>
    <t>658</t>
  </si>
  <si>
    <t>Marles</t>
  </si>
  <si>
    <t xml:space="preserve">Laon </t>
  </si>
  <si>
    <t>BB60000+4 Wagons</t>
  </si>
  <si>
    <t>train ajouté en opé puis annulé le jeudi 19/06</t>
  </si>
  <si>
    <t>GANNAT 2/2</t>
  </si>
  <si>
    <t>659</t>
  </si>
  <si>
    <t>Somain</t>
  </si>
  <si>
    <t>B600105</t>
  </si>
  <si>
    <t>26</t>
  </si>
  <si>
    <t>660</t>
  </si>
  <si>
    <r>
      <t xml:space="preserve">V212 581-8 + 10 wagons </t>
    </r>
    <r>
      <rPr>
        <b/>
        <sz val="11"/>
        <color rgb="FFFF0000"/>
        <rFont val="Calibri"/>
        <family val="2"/>
        <scheme val="minor"/>
      </rPr>
      <t xml:space="preserve">chargés </t>
    </r>
    <r>
      <rPr>
        <b/>
        <sz val="11"/>
        <color rgb="FF1F497D"/>
        <rFont val="Calibri"/>
        <family val="2"/>
        <scheme val="minor"/>
      </rPr>
      <t>+ V211 635-2</t>
    </r>
  </si>
  <si>
    <t>661</t>
  </si>
  <si>
    <t>662</t>
  </si>
  <si>
    <t>vernouillet</t>
  </si>
  <si>
    <t>train calé à Busigny suite arbre sur les voies</t>
  </si>
  <si>
    <t>663</t>
  </si>
  <si>
    <t xml:space="preserve">G1206 + 12 wagons  Chargés </t>
  </si>
  <si>
    <t xml:space="preserve">Retard au départ - 09h40 </t>
  </si>
  <si>
    <t>G1206 + 12 wagons  vides</t>
  </si>
  <si>
    <t>664</t>
  </si>
  <si>
    <t>MARQUISE</t>
  </si>
  <si>
    <t>Marquise non prévenu du stationnement de la bourreuse par le TTMV. Arrangement en opérationnel.</t>
  </si>
  <si>
    <t>665</t>
  </si>
  <si>
    <t>Busigny</t>
  </si>
  <si>
    <t>666</t>
  </si>
  <si>
    <t>MARQUISE Boulogne</t>
  </si>
  <si>
    <t>ETAPLES 1/2</t>
  </si>
  <si>
    <t xml:space="preserve">Machine non mise à disposition dans le délai prévu pour le départ - Retard au départ </t>
  </si>
  <si>
    <t>ETAPLES</t>
  </si>
  <si>
    <t>Boulogne MARQUISE 2/2</t>
  </si>
  <si>
    <t>667</t>
  </si>
  <si>
    <t>668</t>
  </si>
  <si>
    <t>Moulins 1/2</t>
  </si>
  <si>
    <t>g1038</t>
  </si>
  <si>
    <t>Gilly</t>
  </si>
  <si>
    <t>g10381</t>
  </si>
  <si>
    <t>669</t>
  </si>
  <si>
    <t>670</t>
  </si>
  <si>
    <t>671</t>
  </si>
  <si>
    <t>SGDF</t>
  </si>
  <si>
    <t>MORET</t>
  </si>
  <si>
    <t>train calé à sotteville suyite alerte météo de la SNCF</t>
  </si>
  <si>
    <t>672</t>
  </si>
  <si>
    <t>673</t>
  </si>
  <si>
    <t>suite rame calé du mercredi</t>
  </si>
  <si>
    <t>reeprise de la rotation de la rame calée de mercredi</t>
  </si>
  <si>
    <t>674</t>
  </si>
  <si>
    <t>675</t>
  </si>
  <si>
    <t>G1029 + 6EX</t>
  </si>
  <si>
    <t>676</t>
  </si>
  <si>
    <t xml:space="preserve">GIEVRES </t>
  </si>
  <si>
    <t>BR214 + 4EX + 4R93</t>
  </si>
  <si>
    <t xml:space="preserve">train calé à SP suite  intempéries  // Sujet wagon </t>
  </si>
  <si>
    <t xml:space="preserve">VIERZON   </t>
  </si>
  <si>
    <t>677</t>
  </si>
  <si>
    <t>MONTCEAU</t>
  </si>
  <si>
    <t xml:space="preserve">GANNAT  </t>
  </si>
  <si>
    <t>678</t>
  </si>
  <si>
    <t>679</t>
  </si>
  <si>
    <t>BR214 + 3Wagons</t>
  </si>
  <si>
    <t>680</t>
  </si>
  <si>
    <t xml:space="preserve">SPDC </t>
  </si>
  <si>
    <t>681</t>
  </si>
  <si>
    <t>serquiny</t>
  </si>
  <si>
    <t>682</t>
  </si>
  <si>
    <t>G106 + RAME RAIL</t>
  </si>
  <si>
    <t>départ de outreau et non la BA + sillon non reçu</t>
  </si>
  <si>
    <t>683</t>
  </si>
  <si>
    <t>Moret</t>
  </si>
  <si>
    <t>684</t>
  </si>
  <si>
    <t xml:space="preserve">G1206 + RAME RAIL </t>
  </si>
  <si>
    <t xml:space="preserve">PB machine à vérifier </t>
  </si>
  <si>
    <t>27</t>
  </si>
  <si>
    <t>685</t>
  </si>
  <si>
    <t>BR214 + 10 wagons chargés + V211 635-2</t>
  </si>
  <si>
    <t>686</t>
  </si>
  <si>
    <t>687</t>
  </si>
  <si>
    <t>688</t>
  </si>
  <si>
    <t>V211 n°581-8 + (33873947054-4 + 33873938333-3) + n* 33873940263-8</t>
  </si>
  <si>
    <t>689</t>
  </si>
  <si>
    <t>CSS 1/3</t>
  </si>
  <si>
    <t>109 3X DYN n°3546</t>
  </si>
  <si>
    <t>690</t>
  </si>
  <si>
    <t>691</t>
  </si>
  <si>
    <t>Modification dernières minutes pour origine : Boulogne</t>
  </si>
  <si>
    <t>692</t>
  </si>
  <si>
    <t>BR214 + 3WGS</t>
  </si>
  <si>
    <t>693</t>
  </si>
  <si>
    <t xml:space="preserve">G1206 n° + 108 4S </t>
  </si>
  <si>
    <t>Bourreuse arrivée dans le mauvais sens</t>
  </si>
  <si>
    <t>JOIGNY 2/3</t>
  </si>
  <si>
    <t>G1206 n°1378 + V211 n°581-8</t>
  </si>
  <si>
    <t>fusion avec vsg joigny du lundi</t>
  </si>
  <si>
    <t>694</t>
  </si>
  <si>
    <t>JOINGY</t>
  </si>
  <si>
    <t>G12076 n°1378+ V211 : 9EX100</t>
  </si>
  <si>
    <t>retard au départ (+ de 90min)</t>
  </si>
  <si>
    <t>695</t>
  </si>
  <si>
    <t>G1206 n°1498+ 1546 + 25 Wagons</t>
  </si>
  <si>
    <t>Surchauffe moteur G1206 1516 demande de secours en cours</t>
  </si>
  <si>
    <t>696</t>
  </si>
  <si>
    <t xml:space="preserve">BOULOGNE  </t>
  </si>
  <si>
    <t>G1206 n°1546+1498</t>
  </si>
  <si>
    <t>697</t>
  </si>
  <si>
    <t>SENS 2/2</t>
  </si>
  <si>
    <t>698</t>
  </si>
  <si>
    <t>PANNE GSM-GFU</t>
  </si>
  <si>
    <t>699</t>
  </si>
  <si>
    <t>MEZIDON 1/3</t>
  </si>
  <si>
    <t>G1206 n°1124</t>
  </si>
  <si>
    <t xml:space="preserve">Le convoi est à l’arrêt à Mantes jusqu’à 12H30 suite un problème de signalisation </t>
  </si>
  <si>
    <t>700</t>
  </si>
  <si>
    <t xml:space="preserve">Acheminement vendu a S2TF en OP </t>
  </si>
  <si>
    <t>701</t>
  </si>
  <si>
    <t>702</t>
  </si>
  <si>
    <t>G1206 n°1379+Porte flèche + VAD 258</t>
  </si>
  <si>
    <t>agent au sol sans radio + conducteur sans radio de manœuvre : a vigiler 
Gros retard au départ - machine non mise à disposition Y8000 qui empeche la sortie du depôt. Début de l manœuvre a 16H40 - départ 17H40</t>
  </si>
  <si>
    <t>703</t>
  </si>
  <si>
    <t>BOULOGNE 3/3</t>
  </si>
  <si>
    <t>704</t>
  </si>
  <si>
    <t>UMG12 + wagons</t>
  </si>
  <si>
    <t xml:space="preserve">Fuite G12 1547 -  G12 n°2080 et n°1498 ne communiquent pas                                                                                               </t>
  </si>
  <si>
    <t xml:space="preserve">UMG12  </t>
  </si>
  <si>
    <t>705</t>
  </si>
  <si>
    <t>MEZIDON</t>
  </si>
  <si>
    <t>G1206 n°1124+15 wagons</t>
  </si>
  <si>
    <t>710</t>
  </si>
  <si>
    <t>ctsf + sncf</t>
  </si>
  <si>
    <t>706</t>
  </si>
  <si>
    <t>retard arbre couché sur les voies</t>
  </si>
  <si>
    <t>707</t>
  </si>
  <si>
    <t>708</t>
  </si>
  <si>
    <t>NABONNE 1/2</t>
  </si>
  <si>
    <t>709</t>
  </si>
  <si>
    <t>SVG</t>
  </si>
  <si>
    <t>G1206 1118</t>
  </si>
  <si>
    <t>greve sur secteur IDF - 3h de retard a l'arrivée</t>
  </si>
  <si>
    <t>711</t>
  </si>
  <si>
    <t>G12 COLAS + 20 WAGONS</t>
  </si>
  <si>
    <t>UM G12 COLAS</t>
  </si>
  <si>
    <t>712</t>
  </si>
  <si>
    <t>713</t>
  </si>
  <si>
    <t>NABONNE</t>
  </si>
  <si>
    <t>ARLES 2/2</t>
  </si>
  <si>
    <t>714</t>
  </si>
  <si>
    <t xml:space="preserve">G12 COLAS  </t>
  </si>
  <si>
    <t>715</t>
  </si>
  <si>
    <t>G1206 n°+ Rame Rail</t>
  </si>
  <si>
    <t>LONGUE1U</t>
  </si>
  <si>
    <t>716</t>
  </si>
  <si>
    <t>G1206 + 12 wagons  Vides</t>
  </si>
  <si>
    <t>SOMAIN 1/3</t>
  </si>
  <si>
    <t>G12 1486 + 5 wagons</t>
  </si>
  <si>
    <t xml:space="preserve">Rame non mise à disposition par le chantier. 
+ de 2h de retard  au départ. 
Calé à Longueau reprise le lendemain. </t>
  </si>
  <si>
    <t xml:space="preserve">Calé à longeau </t>
  </si>
  <si>
    <r>
      <rPr>
        <b/>
        <strike/>
        <sz val="22"/>
        <color theme="1"/>
        <rFont val="Calibri"/>
        <family val="2"/>
        <scheme val="minor"/>
      </rPr>
      <t>VSG</t>
    </r>
    <r>
      <rPr>
        <b/>
        <sz val="22"/>
        <color theme="1"/>
        <rFont val="Calibri"/>
        <family val="2"/>
        <scheme val="minor"/>
      </rPr>
      <t xml:space="preserve"> </t>
    </r>
    <r>
      <rPr>
        <b/>
        <strike/>
        <sz val="22"/>
        <color theme="1"/>
        <rFont val="Calibri"/>
        <family val="2"/>
        <scheme val="minor"/>
      </rPr>
      <t xml:space="preserve">PTH 1/2  </t>
    </r>
    <r>
      <rPr>
        <b/>
        <sz val="22"/>
        <color theme="1"/>
        <rFont val="Calibri"/>
        <family val="2"/>
        <scheme val="minor"/>
      </rPr>
      <t>Longueau 1/3</t>
    </r>
  </si>
  <si>
    <t>G12 1547 + 13 Wagons</t>
  </si>
  <si>
    <t>G12 1378 + G12 1118 + 9EX</t>
  </si>
  <si>
    <t>G1206 Colas n°1764+ 2 WT3E</t>
  </si>
  <si>
    <t>Accident caténaire train bloqué à PTH</t>
  </si>
  <si>
    <t xml:space="preserve">Boulogne </t>
  </si>
  <si>
    <t>Longueau 1/2</t>
  </si>
  <si>
    <t>G1206 n°2080+109 3X</t>
  </si>
  <si>
    <t xml:space="preserve">Bourreuse arrivée à l'envers. </t>
  </si>
  <si>
    <t>Boulogne 2/2</t>
  </si>
  <si>
    <t>G12 2080</t>
  </si>
  <si>
    <t>MASSY 3/3</t>
  </si>
  <si>
    <t>VSG PTH</t>
  </si>
  <si>
    <t>MASSY  3/3</t>
  </si>
  <si>
    <t>mutualisé</t>
  </si>
  <si>
    <t>G12 1547 + G12 1486 + 5 wagons</t>
  </si>
  <si>
    <t>G1206 Colas 1764 + 13 wagons TBA</t>
  </si>
  <si>
    <t xml:space="preserve">St-Leu </t>
  </si>
  <si>
    <t xml:space="preserve">G1206 Colas 1764 </t>
  </si>
  <si>
    <t>G1206 n° 2080+1838+ TTX KB</t>
  </si>
  <si>
    <t>Longueau  2/2</t>
  </si>
  <si>
    <t>substitué car ordre inversé</t>
  </si>
  <si>
    <t>G12</t>
  </si>
  <si>
    <t>Boulogne 1/2</t>
  </si>
  <si>
    <t>celui la en 1er</t>
  </si>
  <si>
    <t>G12 + 109 3X</t>
  </si>
  <si>
    <r>
      <rPr>
        <b/>
        <strike/>
        <sz val="22"/>
        <color theme="1"/>
        <rFont val="Calibri"/>
        <family val="2"/>
        <scheme val="minor"/>
      </rPr>
      <t xml:space="preserve">Massy  </t>
    </r>
    <r>
      <rPr>
        <b/>
        <sz val="22"/>
        <color theme="1"/>
        <rFont val="Calibri"/>
        <family val="2"/>
        <scheme val="minor"/>
      </rPr>
      <t>VSG  1/3</t>
    </r>
  </si>
  <si>
    <t>60072+25 wagons</t>
  </si>
  <si>
    <t xml:space="preserve">Rame non mise à disposition. </t>
  </si>
  <si>
    <t>Train dans domaine fermé - pas de départ possible</t>
  </si>
  <si>
    <t>Massy 2/3</t>
  </si>
  <si>
    <t>60072+13 wagons</t>
  </si>
  <si>
    <t>Massy</t>
  </si>
  <si>
    <t>Longueau 3/3</t>
  </si>
  <si>
    <t>G1206 Colas + 3 wagons</t>
  </si>
  <si>
    <t>wagon non prêt (1 w sur place + 1 sur un acheminement et 1 introuvable)</t>
  </si>
  <si>
    <t>G1206 n°1544+1wagon encadrant+RDF 2+1 Wagon encadrant</t>
  </si>
  <si>
    <t>G1206 n°1544 + 2 Wagons encadrants</t>
  </si>
  <si>
    <t>Train non mis a disposition</t>
  </si>
  <si>
    <t>a remonter</t>
  </si>
  <si>
    <r>
      <rPr>
        <b/>
        <strike/>
        <sz val="22"/>
        <color theme="1"/>
        <rFont val="Calibri"/>
        <family val="2"/>
        <scheme val="minor"/>
      </rPr>
      <t>Lens</t>
    </r>
    <r>
      <rPr>
        <b/>
        <sz val="22"/>
        <color theme="1"/>
        <rFont val="Calibri"/>
        <family val="2"/>
        <scheme val="minor"/>
      </rPr>
      <t xml:space="preserve"> Longueau</t>
    </r>
  </si>
  <si>
    <t>Baroncourt</t>
  </si>
  <si>
    <t>annulé suite train calé la veille</t>
  </si>
  <si>
    <t>annulé jour J</t>
  </si>
  <si>
    <r>
      <rPr>
        <b/>
        <strike/>
        <sz val="22"/>
        <color theme="1"/>
        <rFont val="Calibri"/>
        <family val="2"/>
        <scheme val="minor"/>
      </rPr>
      <t xml:space="preserve">Longueau </t>
    </r>
    <r>
      <rPr>
        <b/>
        <sz val="22"/>
        <color theme="1"/>
        <rFont val="Calibri"/>
        <family val="2"/>
        <scheme val="minor"/>
      </rPr>
      <t>Argenteuil</t>
    </r>
  </si>
  <si>
    <t>modification terminus</t>
  </si>
  <si>
    <t xml:space="preserve">7heures de naoeuvres à VSG car la rame n'était pas trié. </t>
  </si>
  <si>
    <t xml:space="preserve">ANNUL2 </t>
  </si>
  <si>
    <t>60093 + 7 Wagons</t>
  </si>
  <si>
    <t xml:space="preserve">Cause G.I : erreur de compréhension du régulateur. </t>
  </si>
  <si>
    <t>arrêté a juvisy suite absence sillon sncf</t>
  </si>
  <si>
    <t>Woippy 2/2</t>
  </si>
  <si>
    <t>G1206 1764</t>
  </si>
  <si>
    <t>annulé suite train calé du mercredi</t>
  </si>
  <si>
    <t xml:space="preserve">Ferrotract n'a pas mis la loco à disposition. </t>
  </si>
  <si>
    <t>calé au départ suite fermeture EP Ferrotract + travaux a Ruffec</t>
  </si>
  <si>
    <t>Les Mureaux 2/2</t>
  </si>
  <si>
    <t xml:space="preserve">Calé à Juvisy suite absence d'agent au sol à Massy </t>
  </si>
  <si>
    <t>29</t>
  </si>
  <si>
    <t>749</t>
  </si>
  <si>
    <t>MASSY 1/2</t>
  </si>
  <si>
    <t>60072 + 13 wagons</t>
  </si>
  <si>
    <t>750</t>
  </si>
  <si>
    <t>751</t>
  </si>
  <si>
    <t>752</t>
  </si>
  <si>
    <t>G121544 + R21</t>
  </si>
  <si>
    <t>753</t>
  </si>
  <si>
    <t>G12 1128 RAME RAIL</t>
  </si>
  <si>
    <t>G12 9 TBA</t>
  </si>
  <si>
    <t>G12 1764</t>
  </si>
  <si>
    <t>754</t>
  </si>
  <si>
    <t>755</t>
  </si>
  <si>
    <t>756</t>
  </si>
  <si>
    <t>Problème avec la RST
Acheminement vendu a CTSF le jour même car S.MICHELAND doit aller a WOIPPY</t>
  </si>
  <si>
    <t>reprise CTSF</t>
  </si>
  <si>
    <t>757</t>
  </si>
  <si>
    <t>G12 1372 + 2 wagons</t>
  </si>
  <si>
    <t>Machine au rouge lors de la PC + problème de ttraction + départ avec 2h de retard</t>
  </si>
  <si>
    <t>758</t>
  </si>
  <si>
    <t>759</t>
  </si>
  <si>
    <t>BOUR 1077</t>
  </si>
  <si>
    <t xml:space="preserve">Radio portative défaillante + 4h de retard au départ + un agent ETF a fait un VSG - Beauchamp - VSG pour venir chercher une radio </t>
  </si>
  <si>
    <t>760</t>
  </si>
  <si>
    <t>BRETIGNY</t>
  </si>
  <si>
    <t>G12 COLAS</t>
  </si>
  <si>
    <t>761</t>
  </si>
  <si>
    <t xml:space="preserve">ST LEU  </t>
  </si>
  <si>
    <t>G12 COLAS + MTC</t>
  </si>
  <si>
    <t xml:space="preserve">non attribution sillon </t>
  </si>
  <si>
    <t xml:space="preserve">stationnement à PTH refusé par le poste/train calé à st leu </t>
  </si>
  <si>
    <t>762</t>
  </si>
  <si>
    <t>BOURGET</t>
  </si>
  <si>
    <t>763</t>
  </si>
  <si>
    <t>HZB</t>
  </si>
  <si>
    <t>panne EM / amplitude cdr</t>
  </si>
  <si>
    <t>764</t>
  </si>
  <si>
    <t>60020 + 2 wagons</t>
  </si>
  <si>
    <t xml:space="preserve">TRAPPES  </t>
  </si>
  <si>
    <r>
      <rPr>
        <b/>
        <strike/>
        <sz val="22"/>
        <color theme="1"/>
        <rFont val="Calibri"/>
        <family val="2"/>
        <scheme val="minor"/>
      </rPr>
      <t>TRAPPES</t>
    </r>
    <r>
      <rPr>
        <b/>
        <sz val="22"/>
        <color theme="1"/>
        <rFont val="Calibri"/>
        <family val="2"/>
        <scheme val="minor"/>
      </rPr>
      <t xml:space="preserve">  ARGENTEUIL 2/2</t>
    </r>
  </si>
  <si>
    <t>Train annulé car Massy a pris trop de temps pour nous réceptionner / machine déposé a Trappes</t>
  </si>
  <si>
    <t>765</t>
  </si>
  <si>
    <t xml:space="preserve">STAB BIGRUE </t>
  </si>
  <si>
    <t>766</t>
  </si>
  <si>
    <t>767</t>
  </si>
  <si>
    <t xml:space="preserve">G12 + RAME RAIL </t>
  </si>
  <si>
    <t>768</t>
  </si>
  <si>
    <t>108 4S</t>
  </si>
  <si>
    <t>769</t>
  </si>
  <si>
    <t>770</t>
  </si>
  <si>
    <t>771</t>
  </si>
  <si>
    <t>772</t>
  </si>
  <si>
    <t>SELESTAT 1/2</t>
  </si>
  <si>
    <t>colmar 2/2</t>
  </si>
  <si>
    <t>773</t>
  </si>
  <si>
    <t>GANNAT</t>
  </si>
  <si>
    <t>G1038 + G11122</t>
  </si>
  <si>
    <t>774</t>
  </si>
  <si>
    <r>
      <rPr>
        <b/>
        <strike/>
        <sz val="22"/>
        <color theme="1"/>
        <rFont val="Calibri"/>
        <family val="2"/>
        <scheme val="minor"/>
      </rPr>
      <t>HAZEBROUCK</t>
    </r>
    <r>
      <rPr>
        <b/>
        <sz val="22"/>
        <color theme="1"/>
        <rFont val="Calibri"/>
        <family val="2"/>
        <scheme val="minor"/>
      </rPr>
      <t xml:space="preserve"> Longueau</t>
    </r>
  </si>
  <si>
    <t xml:space="preserve">G12 1372  </t>
  </si>
  <si>
    <t>775</t>
  </si>
  <si>
    <t>St- Leu</t>
  </si>
  <si>
    <t>VNDREDI</t>
  </si>
  <si>
    <t>776</t>
  </si>
  <si>
    <t>RIOM</t>
  </si>
  <si>
    <t>G12 124 + 129</t>
  </si>
  <si>
    <t>777</t>
  </si>
  <si>
    <t>G12 1544 RAME RAIM</t>
  </si>
  <si>
    <t>Réalisé avec 1 jour d'avance</t>
  </si>
  <si>
    <t>30</t>
  </si>
  <si>
    <t>778</t>
  </si>
  <si>
    <t>V212 581-8 + 10 wagons chargés + BR214</t>
  </si>
  <si>
    <t>779</t>
  </si>
  <si>
    <t>780</t>
  </si>
  <si>
    <t>LONGEAU</t>
  </si>
  <si>
    <t>781</t>
  </si>
  <si>
    <t xml:space="preserve">BB60015 + BB60086 +5 R93 + B45 GCF </t>
  </si>
  <si>
    <t>782</t>
  </si>
  <si>
    <t>G1206 n°124+129 COLAS</t>
  </si>
  <si>
    <t>G1206 n°124+129 COLAS  + STAB 42N + 10EX +10 R93</t>
  </si>
  <si>
    <t>Train on prêt/retard sortie du chantier</t>
  </si>
  <si>
    <t>783</t>
  </si>
  <si>
    <t>BB60086+B4532</t>
  </si>
  <si>
    <t>784</t>
  </si>
  <si>
    <t>785</t>
  </si>
  <si>
    <t>786</t>
  </si>
  <si>
    <t xml:space="preserve">Sillon tracé dans les travaux </t>
  </si>
  <si>
    <t xml:space="preserve">travaux triage de Juvisy pas de possibilité de sortir </t>
  </si>
  <si>
    <t>787</t>
  </si>
  <si>
    <t>CLERMONT-SUR-OISE 1/2</t>
  </si>
  <si>
    <t>BML n°108 32U</t>
  </si>
  <si>
    <t>annulé</t>
  </si>
  <si>
    <t>CLERMONT-SUR-OISE</t>
  </si>
  <si>
    <t>788</t>
  </si>
  <si>
    <t>789</t>
  </si>
  <si>
    <r>
      <t xml:space="preserve">VSG </t>
    </r>
    <r>
      <rPr>
        <b/>
        <strike/>
        <sz val="22"/>
        <color theme="1"/>
        <rFont val="Calibri"/>
        <family val="2"/>
        <scheme val="minor"/>
      </rPr>
      <t>LAROCHE-MIGENNES</t>
    </r>
    <r>
      <rPr>
        <b/>
        <sz val="22"/>
        <color theme="1"/>
        <rFont val="Calibri"/>
        <family val="2"/>
        <scheme val="minor"/>
      </rPr>
      <t xml:space="preserve"> 1/3</t>
    </r>
  </si>
  <si>
    <t>R21 n°47005</t>
  </si>
  <si>
    <t>LAROCHES 1/3 BIS</t>
  </si>
  <si>
    <t>790</t>
  </si>
  <si>
    <t>G1206 n° 1544+ Rame Rail</t>
  </si>
  <si>
    <t>791</t>
  </si>
  <si>
    <t>BB60086 + B4532 GCF</t>
  </si>
  <si>
    <t xml:space="preserve">Annuler demande chantier </t>
  </si>
  <si>
    <t>COMPIEGNE</t>
  </si>
  <si>
    <t>792</t>
  </si>
  <si>
    <t>793</t>
  </si>
  <si>
    <t>REIMS 2/3</t>
  </si>
  <si>
    <t xml:space="preserve">G1206 n°1372+BB60072+3 wagons </t>
  </si>
  <si>
    <t>LAROCHE-MIGENNES</t>
  </si>
  <si>
    <t>CSS 2/3</t>
  </si>
  <si>
    <t>794</t>
  </si>
  <si>
    <t>V211 581-8 + 10 wagons vides + BR21</t>
  </si>
  <si>
    <t>795</t>
  </si>
  <si>
    <t>796</t>
  </si>
  <si>
    <t>V212 n°581-8</t>
  </si>
  <si>
    <t>G1206 n°1498+1516+B4520+R21 n°47009+ Rame Ecolo</t>
  </si>
  <si>
    <t>797</t>
  </si>
  <si>
    <t>G1206 n°1498+1516+TTX Finition</t>
  </si>
  <si>
    <t>G1206 n°1498+1516</t>
  </si>
  <si>
    <t>798</t>
  </si>
  <si>
    <t>BARONCOURT 3/3</t>
  </si>
  <si>
    <t xml:space="preserve">impossibilité de stationner à Baroncourt à cause des travaux </t>
  </si>
  <si>
    <t>LES LUMES</t>
  </si>
  <si>
    <t>PORTES-LES-VALENCE 3/3</t>
  </si>
  <si>
    <t>799</t>
  </si>
  <si>
    <t>BARONCOURT</t>
  </si>
  <si>
    <t>G12 1372 + 60072</t>
  </si>
  <si>
    <t>800</t>
  </si>
  <si>
    <t>ABANCOURT</t>
  </si>
  <si>
    <t>bml 1077</t>
  </si>
  <si>
    <t>801</t>
  </si>
  <si>
    <t>CHAUMONT</t>
  </si>
  <si>
    <t>802</t>
  </si>
  <si>
    <t>803</t>
  </si>
  <si>
    <t xml:space="preserve">CSS </t>
  </si>
  <si>
    <t xml:space="preserve">G1206 n°1837+ 2081 + REVO </t>
  </si>
  <si>
    <t>31</t>
  </si>
  <si>
    <t>804</t>
  </si>
  <si>
    <t>805</t>
  </si>
  <si>
    <t>LONUGEAU</t>
  </si>
  <si>
    <t>G12 + Bourreuse+G12</t>
  </si>
  <si>
    <t>806</t>
  </si>
  <si>
    <t>807</t>
  </si>
  <si>
    <t>PORTES</t>
  </si>
  <si>
    <t>G1206 n°2081+1837+REVO</t>
  </si>
  <si>
    <t>808</t>
  </si>
  <si>
    <t>G12+Bourreuse 108 32 U N°2617+G12</t>
  </si>
  <si>
    <t>809</t>
  </si>
  <si>
    <t>810</t>
  </si>
  <si>
    <t>V211 N° 621-2</t>
  </si>
  <si>
    <t>811</t>
  </si>
  <si>
    <t>LMX</t>
  </si>
  <si>
    <t>G12 127 COLAS</t>
  </si>
  <si>
    <t>812</t>
  </si>
  <si>
    <t>813</t>
  </si>
  <si>
    <t>814</t>
  </si>
  <si>
    <t>G12 COLAS + 4EX</t>
  </si>
  <si>
    <t>Mise a disposition tardive de la rame + Ecartement de voie sur Longueau - départ refusé</t>
  </si>
  <si>
    <t>815</t>
  </si>
  <si>
    <t>816</t>
  </si>
  <si>
    <t>B6348</t>
  </si>
  <si>
    <t>817</t>
  </si>
  <si>
    <t>818</t>
  </si>
  <si>
    <t>G1206 n°1544+ MFS n°6820+MFS n°6824+VAD 252+VAD 361+ Porte flèche Double n° 83873936 012-4</t>
  </si>
  <si>
    <t>819</t>
  </si>
  <si>
    <t>REGALEUSE TSO</t>
  </si>
  <si>
    <t>820</t>
  </si>
  <si>
    <t>MEZY 1/2</t>
  </si>
  <si>
    <t>60086 + B4532</t>
  </si>
  <si>
    <t xml:space="preserve">Annulation chantier </t>
  </si>
  <si>
    <t>MEZY</t>
  </si>
  <si>
    <t>821</t>
  </si>
  <si>
    <t>822</t>
  </si>
  <si>
    <t>B109FRP</t>
  </si>
  <si>
    <t>interdiction de circulation sur Longueau / reprise vendredi</t>
  </si>
  <si>
    <t>823</t>
  </si>
  <si>
    <t>824</t>
  </si>
  <si>
    <t>BOURREUSE 6347</t>
  </si>
  <si>
    <t>825</t>
  </si>
  <si>
    <t>826</t>
  </si>
  <si>
    <t>pas de sillon obtenu</t>
  </si>
  <si>
    <t>G12 127 + 4EX</t>
  </si>
  <si>
    <t>annulation suite pas de sillon précédent</t>
  </si>
  <si>
    <t>827</t>
  </si>
  <si>
    <t>828</t>
  </si>
  <si>
    <t>G12 1546 + Bourreuse n°2617</t>
  </si>
  <si>
    <t>829</t>
  </si>
  <si>
    <t>retard important suite pb lanterne de queue sur un wagon</t>
  </si>
  <si>
    <t>830</t>
  </si>
  <si>
    <t>831</t>
  </si>
  <si>
    <t>832</t>
  </si>
  <si>
    <t xml:space="preserve"> LONGUEAU 1/2</t>
  </si>
  <si>
    <t>833</t>
  </si>
  <si>
    <t xml:space="preserve">G12+ Bourreuse n°2617 </t>
  </si>
  <si>
    <t>834</t>
  </si>
  <si>
    <t>LES MUREAUX 2/2</t>
  </si>
  <si>
    <t>G12 127</t>
  </si>
  <si>
    <t>835</t>
  </si>
  <si>
    <t>G12 1122 - G1029</t>
  </si>
  <si>
    <t>Retard au départ problème d'aiguillage</t>
  </si>
  <si>
    <t xml:space="preserve">SAMEDI </t>
  </si>
  <si>
    <t>836</t>
  </si>
  <si>
    <t>parti en HLP sans les wagons</t>
  </si>
  <si>
    <t>G12 1546 + 60086</t>
  </si>
  <si>
    <t>32</t>
  </si>
  <si>
    <t>837</t>
  </si>
  <si>
    <t xml:space="preserve">Poste fermé </t>
  </si>
  <si>
    <t>poste fermé</t>
  </si>
  <si>
    <t>838</t>
  </si>
  <si>
    <t>839</t>
  </si>
  <si>
    <t xml:space="preserve">G1206 n°1544+ MFS n°6820+MFS n°6824+VAD 252+VAD 361+ Porte flèche Double n° 83873936 012-4 </t>
  </si>
  <si>
    <t>840</t>
  </si>
  <si>
    <t>colmar</t>
  </si>
  <si>
    <t>cec 1/2</t>
  </si>
  <si>
    <t>Bourreuse  N°5851</t>
  </si>
  <si>
    <t>841</t>
  </si>
  <si>
    <t>842</t>
  </si>
  <si>
    <t>G12 2102 + G12 2103+ EURO 4029</t>
  </si>
  <si>
    <t>G12 COLAS 124 (2004) + G12 COLAS 129 (2008)</t>
  </si>
  <si>
    <t>843</t>
  </si>
  <si>
    <t xml:space="preserve">SSP 230 + VGS </t>
  </si>
  <si>
    <t>844</t>
  </si>
  <si>
    <t>RAME RAIL ETF + NOVIUM</t>
  </si>
  <si>
    <t>851</t>
  </si>
  <si>
    <t>boulogne 1/2</t>
  </si>
  <si>
    <t>G12 1379+6 wagons</t>
  </si>
  <si>
    <t xml:space="preserve">Train non formé car pas de loco de manœuvre </t>
  </si>
  <si>
    <t>boulogne</t>
  </si>
  <si>
    <t>longueau 2/2</t>
  </si>
  <si>
    <t>ETFS</t>
  </si>
  <si>
    <t>845</t>
  </si>
  <si>
    <t>846</t>
  </si>
  <si>
    <r>
      <rPr>
        <b/>
        <strike/>
        <sz val="22"/>
        <color theme="1"/>
        <rFont val="Calibri"/>
        <family val="2"/>
        <scheme val="minor"/>
      </rPr>
      <t>JUVISY</t>
    </r>
    <r>
      <rPr>
        <b/>
        <sz val="22"/>
        <color theme="1"/>
        <rFont val="Calibri"/>
        <family val="2"/>
        <scheme val="minor"/>
      </rPr>
      <t xml:space="preserve">  VSG 1/3</t>
    </r>
  </si>
  <si>
    <t>Bourreuse 3485</t>
  </si>
  <si>
    <t>calé a epluche suite panne des installations dans le secteur des mureaux
Reprise circulation a 19h30</t>
  </si>
  <si>
    <r>
      <rPr>
        <b/>
        <strike/>
        <sz val="22"/>
        <color theme="1"/>
        <rFont val="Calibri"/>
        <family val="2"/>
        <scheme val="minor"/>
      </rPr>
      <t>JUVISY</t>
    </r>
    <r>
      <rPr>
        <b/>
        <sz val="22"/>
        <color theme="1"/>
        <rFont val="Calibri"/>
        <family val="2"/>
        <scheme val="minor"/>
      </rPr>
      <t xml:space="preserve">  VSG</t>
    </r>
  </si>
  <si>
    <t>847</t>
  </si>
  <si>
    <t>COMPIEGNE 1/2</t>
  </si>
  <si>
    <t xml:space="preserve">Amor Bourreuse 2617 Manquante 1h30 retard au départ + incident sur Bourreuse </t>
  </si>
  <si>
    <t>848</t>
  </si>
  <si>
    <t>VIERZON 1/3</t>
  </si>
  <si>
    <t>849</t>
  </si>
  <si>
    <t>Dénégament</t>
  </si>
  <si>
    <t>850</t>
  </si>
  <si>
    <t>HOURCADE 2/2</t>
  </si>
  <si>
    <t>852</t>
  </si>
  <si>
    <t>853</t>
  </si>
  <si>
    <t>854</t>
  </si>
  <si>
    <t>855</t>
  </si>
  <si>
    <t>B 66</t>
  </si>
  <si>
    <t>MANTES 1/2</t>
  </si>
  <si>
    <t>857</t>
  </si>
  <si>
    <t>858</t>
  </si>
  <si>
    <t>CHAILLOUE</t>
  </si>
  <si>
    <t>EURO 4000</t>
  </si>
  <si>
    <t>859</t>
  </si>
  <si>
    <t>860</t>
  </si>
  <si>
    <t xml:space="preserve">COMPIEGNE  </t>
  </si>
  <si>
    <t>861</t>
  </si>
  <si>
    <t>862</t>
  </si>
  <si>
    <t>DGS</t>
  </si>
  <si>
    <t>verberie 3/3</t>
  </si>
  <si>
    <t>R21 - 14H</t>
  </si>
  <si>
    <t>863</t>
  </si>
  <si>
    <t>864</t>
  </si>
  <si>
    <t>G12 + 4EX</t>
  </si>
  <si>
    <t>865</t>
  </si>
  <si>
    <t xml:space="preserve">MONTCEAU LES MINES  </t>
  </si>
  <si>
    <t>866</t>
  </si>
  <si>
    <t>867</t>
  </si>
  <si>
    <t>868</t>
  </si>
  <si>
    <t>G12 1498 + B4519</t>
  </si>
  <si>
    <t>869</t>
  </si>
  <si>
    <t>BOURREIUSE 6346</t>
  </si>
  <si>
    <t>870</t>
  </si>
  <si>
    <t>871</t>
  </si>
  <si>
    <t>872</t>
  </si>
  <si>
    <t>873</t>
  </si>
  <si>
    <t>CREIL 1/4</t>
  </si>
  <si>
    <t>EURO4029</t>
  </si>
  <si>
    <t>VERBERIE 2/4</t>
  </si>
  <si>
    <t>CREIL 3/4</t>
  </si>
  <si>
    <t>VERBERIE 4/4</t>
  </si>
  <si>
    <t>874</t>
  </si>
  <si>
    <t>Verberie via compiege (retournement 1)</t>
  </si>
  <si>
    <t>G12 + compo + G12</t>
  </si>
  <si>
    <t>Verberie via compiege (retournement 2)</t>
  </si>
  <si>
    <t xml:space="preserve">Verberie via compiege </t>
  </si>
  <si>
    <t>33</t>
  </si>
  <si>
    <t>875</t>
  </si>
  <si>
    <t>876</t>
  </si>
  <si>
    <t>877</t>
  </si>
  <si>
    <t>878</t>
  </si>
  <si>
    <t>G12 1886 + 4 EX</t>
  </si>
  <si>
    <t>879</t>
  </si>
  <si>
    <t>880</t>
  </si>
  <si>
    <t>sens</t>
  </si>
  <si>
    <t>CEC 2/2</t>
  </si>
  <si>
    <t>Hagondange 2/2</t>
  </si>
  <si>
    <t>881</t>
  </si>
  <si>
    <t>882</t>
  </si>
  <si>
    <t>883</t>
  </si>
  <si>
    <t>Ormoy 1/2</t>
  </si>
  <si>
    <t>G12 1379 +1886 +KB</t>
  </si>
  <si>
    <t>Ormoy</t>
  </si>
  <si>
    <t>G12 1379 +1886</t>
  </si>
  <si>
    <t>884</t>
  </si>
  <si>
    <t>G12 1838 +B4519</t>
  </si>
  <si>
    <t>885</t>
  </si>
  <si>
    <t>886</t>
  </si>
  <si>
    <t>G12 1486 + 9 EX</t>
  </si>
  <si>
    <t>sam oublié sur la voie</t>
  </si>
  <si>
    <t>887</t>
  </si>
  <si>
    <t>888</t>
  </si>
  <si>
    <t>889</t>
  </si>
  <si>
    <t>890</t>
  </si>
  <si>
    <t>G12 1665</t>
  </si>
  <si>
    <t>acheminement modifié en Les Mureaux - PTh AR pour test machine au lieu de Les Mureaux - Ormoy</t>
  </si>
  <si>
    <t>892</t>
  </si>
  <si>
    <t xml:space="preserve"> G12 1838 +G12 1124+SSP230+B4519+WDCO+ 1WGS</t>
  </si>
  <si>
    <t>G1206 n°1838+1379+1124+B4519+72NR+SSP230+4EX100</t>
  </si>
  <si>
    <t>34</t>
  </si>
  <si>
    <t>ELBEUF 1/2</t>
  </si>
  <si>
    <t>externe</t>
  </si>
  <si>
    <t>700 Litre de fuel dans la loco // suspision de siphonage // complément GNR le mardi</t>
  </si>
  <si>
    <t>LORAILLE 2/2</t>
  </si>
  <si>
    <t>700 Litre de fuel dans la loco</t>
  </si>
  <si>
    <t>1498+B4519+72NR</t>
  </si>
  <si>
    <t>supprimer</t>
  </si>
  <si>
    <t>G1206 n°1372+BB60105</t>
  </si>
  <si>
    <t>G1206 n°1128+1372</t>
  </si>
  <si>
    <t>BB60086+ 2 wagons ( 33 87 394 2 181-0 et 33 87 394 0 192-9)</t>
  </si>
  <si>
    <t>VDG DBR</t>
  </si>
  <si>
    <t>Depot</t>
  </si>
  <si>
    <t xml:space="preserve">EVO </t>
  </si>
  <si>
    <t>VSG DBR 2/2</t>
  </si>
  <si>
    <t>CEC 1/4</t>
  </si>
  <si>
    <t>G1206 n°1516+20 Tombereaux</t>
  </si>
  <si>
    <t>G12 3EX</t>
  </si>
  <si>
    <t>retard 11 min suite probleme de chargement + proposition de la régulation pour dép 17h --&gt;refus des agents SNCF</t>
  </si>
  <si>
    <t>G1206 n° 1128+1546+ Rame Rail</t>
  </si>
  <si>
    <t xml:space="preserve">Béning 2/4 </t>
  </si>
  <si>
    <t>G1206 n°1516+ 20 Tomberaux+ 3 wagons R90</t>
  </si>
  <si>
    <t>Metz 3/4</t>
  </si>
  <si>
    <t>G1206 1516</t>
  </si>
  <si>
    <t xml:space="preserve">60086 + R21 </t>
  </si>
  <si>
    <t>Grand pont</t>
  </si>
  <si>
    <t xml:space="preserve">G12 1378 + G12 1547 </t>
  </si>
  <si>
    <t>VERBERIE via Compiègne</t>
  </si>
  <si>
    <t>G1206 n°2102+2103+wagon R90+REF7+wagon R90+WAD 257+DGS 62N</t>
  </si>
  <si>
    <t>non realisé - pas de personnel dispo</t>
  </si>
  <si>
    <t xml:space="preserve">G1206 n°1124+ 2 wagons encadrant </t>
  </si>
  <si>
    <t>G1206 n°1124+ 1 wgs+RF3+1 wgs</t>
  </si>
  <si>
    <t>Verberie 4/4</t>
  </si>
  <si>
    <t xml:space="preserve">Retard en ligne  extinction de signal (signal éteint) vers l'approche médizon </t>
  </si>
  <si>
    <t xml:space="preserve">acheminement modifié jour J en Longueau - MTB  Rame non prête alors que prévénu 3h à l'avance pour préparer la rames </t>
  </si>
  <si>
    <t>Soisson</t>
  </si>
  <si>
    <t xml:space="preserve">diffusion tardif du sillon par CTSF au mauvais contact sans le pc dans la boucle </t>
  </si>
  <si>
    <t>Les Murreaux</t>
  </si>
  <si>
    <t>g12 1665</t>
  </si>
  <si>
    <t>2080+1544+ TTX Finition</t>
  </si>
  <si>
    <t>*</t>
  </si>
  <si>
    <t>35</t>
  </si>
  <si>
    <t>sillons non reçu + PS cdr a Bercy or le train est sur VSG + train vide selon le conducteur, il fallait le charger et le décharger</t>
  </si>
  <si>
    <t>V212 581-8 + 10 wagons VIDES + BR214</t>
  </si>
  <si>
    <t>absence de dernière minute de DEOZAME MILSON - pas de remplacement possible pour lundi et mardi // Train calé à Elbeuf</t>
  </si>
  <si>
    <t>G1206 n°1516+ DEG C75</t>
  </si>
  <si>
    <t>RAIL ADVENTURE</t>
  </si>
  <si>
    <t xml:space="preserve">Marche obtenu tardivement - train  non prêt sur la base arrière. 
Composition faites avec Bourreuse derrière la G12 - rebroussement impossible a Mantes. 
Train calé et repris le lendemain </t>
  </si>
  <si>
    <t>MONTEREAU 1/3</t>
  </si>
  <si>
    <t>G12 + P95</t>
  </si>
  <si>
    <t>Arrret moteur de la G1206 1885 calé à Sotteville</t>
  </si>
  <si>
    <t xml:space="preserve">MONTEREAU  </t>
  </si>
  <si>
    <t>V212 n° 621-2</t>
  </si>
  <si>
    <t>Bourreuse posotionné derrière la machine de tete - Impossible de faire le rebroussement a Mantes - Reprise le mercredi avec les agents de maneouvre</t>
  </si>
  <si>
    <t>MANTES-LA-JOLIE</t>
  </si>
  <si>
    <t>Pas de presta - a ajouter pour DEVIS - cdt TRIFFI</t>
  </si>
  <si>
    <t>ormoy 1/2</t>
  </si>
  <si>
    <t>???????</t>
  </si>
  <si>
    <t>code compo erroné (HLP au lieu de MA100) modifié avant le départ</t>
  </si>
  <si>
    <t>G12 1516 + DEG</t>
  </si>
  <si>
    <t>SOTEEVILLE</t>
  </si>
  <si>
    <t xml:space="preserve">LORAILLE  </t>
  </si>
  <si>
    <t xml:space="preserve">MASSY </t>
  </si>
  <si>
    <t xml:space="preserve">v211 POSTIONNE derriere la machine de tete - pas possible de faire le rebroussement a Creil car R.GHANNOUCCHI n'est pas habilité V211. 
Sollicitation faites a G.Vanneste pour manœuvrer sur Creil </t>
  </si>
  <si>
    <t>REPOUSSE A VENDREDI</t>
  </si>
  <si>
    <t xml:space="preserve">V212 581-8 </t>
  </si>
  <si>
    <t>Vernouillet</t>
  </si>
  <si>
    <t xml:space="preserve">Verberie </t>
  </si>
  <si>
    <t>difficulté pour obtenir le sillon + arrachage catenaire sur l'itinéraire = retard à l'arrivée + prestation prévu le jeudi de base repoussée au vendredi finalement</t>
  </si>
  <si>
    <t>MLJ</t>
  </si>
  <si>
    <t>BML 6346</t>
  </si>
  <si>
    <t xml:space="preserve">problème a la réception </t>
  </si>
  <si>
    <t>??</t>
  </si>
  <si>
    <t>RENNES (voie 11 et 14)</t>
  </si>
  <si>
    <t>36</t>
  </si>
  <si>
    <t>Panne machine au départ de Beauchamp</t>
  </si>
  <si>
    <t>Train calé Accident de personne au niveau d'Argenton et pas de rétablissement avant 13h</t>
  </si>
  <si>
    <t>manque agent au sol pour point à METZ // calé à Woippy</t>
  </si>
  <si>
    <t>REPRISE TRAIN CALE LUNDI PAR CTSF</t>
  </si>
  <si>
    <t>Demande de secours sur G12-1885 // le train a été déposé à Elbeuf voie de service</t>
  </si>
  <si>
    <t>2 G1206 COLAS</t>
  </si>
  <si>
    <t>woippy</t>
  </si>
  <si>
    <t>absence de l'agent au sol // Bendibha belfodil sollicité en OP</t>
  </si>
  <si>
    <t>En raison de la demande de secours de la veille, la voie sur laquelle la SNCF nous a garés au garage d’Elbeuf fait que nous ne pouvons pas sortir sans la présence d’agents habilités, disponibles seulement le lendemain</t>
  </si>
  <si>
    <t>DREUX</t>
  </si>
  <si>
    <t>LYON GUILLOTIERE</t>
  </si>
  <si>
    <t>MLM 2/2</t>
  </si>
  <si>
    <t>Annulation Client jour J</t>
  </si>
  <si>
    <t>Annulation Client  jour J</t>
  </si>
  <si>
    <t>ELBEUF (voie service)</t>
  </si>
  <si>
    <t>Aiguille cassée ou en dérangement. Ils n’arrivaient pas à réparer à Bercy.</t>
  </si>
  <si>
    <t>Pont de Garigliano</t>
  </si>
  <si>
    <t>BB60093+ 7 wagons</t>
  </si>
  <si>
    <t>Montereau</t>
  </si>
  <si>
    <t>V211 n°531-3</t>
  </si>
  <si>
    <t>V211 n°580-0</t>
  </si>
  <si>
    <t>Grand-Pont Garage</t>
  </si>
  <si>
    <t>SOISSONS</t>
  </si>
  <si>
    <t>relance faites</t>
  </si>
  <si>
    <t>CTSF n'arrive pas à obtenir de sillon ce mardi. 
Ils vont retenter la presta pour mercredi</t>
  </si>
  <si>
    <t>BECON</t>
  </si>
  <si>
    <t>G1206 n°1118 + 60086</t>
  </si>
  <si>
    <t xml:space="preserve">Personne au poste pour sortir le train à cause de la grève </t>
  </si>
  <si>
    <t>ABANCOURT2/2</t>
  </si>
  <si>
    <t>G1206 n°1118 + 60086+7 wagons</t>
  </si>
  <si>
    <t>aucun agent SNCF présent à Soissons cause grève</t>
  </si>
  <si>
    <t>PANNE 60000</t>
  </si>
  <si>
    <t>Manœuvre</t>
  </si>
  <si>
    <t>BB60105+3 wagons</t>
  </si>
  <si>
    <t>G12 n°1372</t>
  </si>
  <si>
    <t>spot du jeudi avancé au mercredi suite panne de la 60000</t>
  </si>
  <si>
    <t>BERCY 3/3</t>
  </si>
  <si>
    <t>-Bloqué par les travaux cause Manœuvres au départ
- Non respect de la compo demandée
-Problème de réception a Paris Bercy (SECURAIL habilité que sur Charenton)
- mauvais tracé de l'AC train dirigé en direction de GDL
 - le train est reparti en direction de VSG</t>
  </si>
  <si>
    <t>SPOT SUPPLEMENTAIRE SUITE A LA PANNE DE 60015 A ARGENTUEIL // PAS DE PRESTATION A AJOUTER POUR FACTURATION</t>
  </si>
  <si>
    <t>ROMILLY</t>
  </si>
  <si>
    <t>109 FRP</t>
  </si>
  <si>
    <t>G12 n°1128</t>
  </si>
  <si>
    <t>G1206 n°1128 + BB60020</t>
  </si>
  <si>
    <t>RIVE DE GIER</t>
  </si>
  <si>
    <t>Euro 4029</t>
  </si>
  <si>
    <t>pour le devis, ne pas facturer de ressources supplémentaire</t>
  </si>
  <si>
    <t>BB66UCD</t>
  </si>
  <si>
    <t>SECURAIL</t>
  </si>
  <si>
    <t>G12 + KB</t>
  </si>
  <si>
    <t xml:space="preserve">ok  </t>
  </si>
  <si>
    <t>VERSAILLE</t>
  </si>
  <si>
    <t>G12 1379 + TTX</t>
  </si>
  <si>
    <t>SPDC 1/3</t>
  </si>
  <si>
    <t>V211 580-0 + G12 2131 + G12 2105 + G12 1975+ 5 EX</t>
  </si>
  <si>
    <t xml:space="preserve">MTB  </t>
  </si>
  <si>
    <t>V211 n°635-2</t>
  </si>
  <si>
    <t>1886+ RDF 3 + 2 wagons encadrant</t>
  </si>
  <si>
    <t>V211 580-0 + G12 2131 + G12 2105 + G12 1975+ 18 R93</t>
  </si>
  <si>
    <t>SAINCAIZE 3/3</t>
  </si>
  <si>
    <t>xx</t>
  </si>
  <si>
    <t>PORTES 2/2</t>
  </si>
  <si>
    <t>Train calé à Surdon suite à problème avec loco</t>
  </si>
  <si>
    <t xml:space="preserve">BML n°6348 </t>
  </si>
  <si>
    <t>60093+6 wagons</t>
  </si>
  <si>
    <t xml:space="preserve">sillon obtenu jusqu’à Laroche </t>
  </si>
  <si>
    <t>mais 7h d'arrêts à Perrigny</t>
  </si>
  <si>
    <t>G12 2081</t>
  </si>
  <si>
    <t>Pas possible d'aller jusqu'à Laroche pour cause de Travaux</t>
  </si>
  <si>
    <t>VERBEIRE</t>
  </si>
  <si>
    <t xml:space="preserve">Yazid Absent </t>
  </si>
  <si>
    <t>SURDON</t>
  </si>
  <si>
    <t>LISIEUX 3/3</t>
  </si>
  <si>
    <t>109 3 X n°3546</t>
  </si>
  <si>
    <t>G1206 Colas 123+ 1 wagons (33873947071-8)</t>
  </si>
  <si>
    <t xml:space="preserve">Hausbergen </t>
  </si>
  <si>
    <t xml:space="preserve">Mulhouse </t>
  </si>
  <si>
    <t>ST LEU 1/4</t>
  </si>
  <si>
    <t>LONGUEAU 2/4</t>
  </si>
  <si>
    <t>G1206 n°1838+9 TBA</t>
  </si>
  <si>
    <t>MICHELAND + NEBOUT</t>
  </si>
  <si>
    <t xml:space="preserve">Cosne </t>
  </si>
  <si>
    <t>COSNE</t>
  </si>
  <si>
    <t>BML ZC2000</t>
  </si>
  <si>
    <t xml:space="preserve">Chalon-sur-Saône </t>
  </si>
  <si>
    <t xml:space="preserve">non réalisé </t>
  </si>
  <si>
    <t xml:space="preserve">sera repris semaine pro </t>
  </si>
  <si>
    <t>Nouveau plan de transport ne permettant d'aller jusqu'à SQF. Reprise avec Transifer le 22/09</t>
  </si>
  <si>
    <t>HAZEBROUCK 3/4</t>
  </si>
  <si>
    <t>NEVERS 1/2</t>
  </si>
  <si>
    <t>stationnement sur voie 3</t>
  </si>
  <si>
    <t>AMIENS</t>
  </si>
  <si>
    <t>Pas d'agent RATP pour nous réceptionner</t>
  </si>
  <si>
    <t>MASSY 1/3</t>
  </si>
  <si>
    <t>G12 COLAS 123</t>
  </si>
  <si>
    <t xml:space="preserve">contacté clients pour reprise semaine pro </t>
  </si>
  <si>
    <t>LE BOURGET 2/3</t>
  </si>
  <si>
    <t>G1206 Colas n°123+ 2 wagons</t>
  </si>
  <si>
    <t>G12 n°1498</t>
  </si>
  <si>
    <t xml:space="preserve">G12 06 1498 + 1516 + DEG C75 </t>
  </si>
  <si>
    <t xml:space="preserve">Sous-traitant a tracé le sillon dans le mauvais sens, + sujet RAT (élément trouvé dans l'essieux)  </t>
  </si>
  <si>
    <t xml:space="preserve">Contact rail adventure pour litige sur la réalisation de la prestation </t>
  </si>
  <si>
    <r>
      <rPr>
        <b/>
        <strike/>
        <sz val="22"/>
        <color theme="1"/>
        <rFont val="Calibri"/>
        <family val="2"/>
        <scheme val="minor"/>
      </rPr>
      <t>CHALONS EN CHAMPAGNE</t>
    </r>
    <r>
      <rPr>
        <b/>
        <sz val="22"/>
        <color theme="1"/>
        <rFont val="Calibri"/>
        <family val="2"/>
        <scheme val="minor"/>
      </rPr>
      <t xml:space="preserve"> // LEROUVILLE</t>
    </r>
  </si>
  <si>
    <t>suppression partielle pour garage à Lérouville pour cause de mouvement social sur CEC</t>
  </si>
  <si>
    <t>ST QUENTIN FALLAVIER</t>
  </si>
  <si>
    <t>BESANCON 2/2</t>
  </si>
  <si>
    <t>VERBERIE 3/3</t>
  </si>
  <si>
    <t>ARGENTEUIL 1/2</t>
  </si>
  <si>
    <t>G12 1124+60105</t>
  </si>
  <si>
    <t xml:space="preserve">fermeture depot de longueau cause absence agent SNCF 
Locos enterrées par la SNCF  sur le Relais Paris. </t>
  </si>
  <si>
    <t>G12 1124 + 60000</t>
  </si>
  <si>
    <t>br214</t>
  </si>
  <si>
    <t>probleme electronique à la pompe du depot pour fueler la loco</t>
  </si>
  <si>
    <t>br 214 + 3 wago,ns</t>
  </si>
  <si>
    <t>COMPO</t>
  </si>
  <si>
    <t>G1206  + 10 wagons VIDES + 60 000</t>
  </si>
  <si>
    <t xml:space="preserve">manque 1 conducteur pour sortir de Bercy / rame non prête / BR 214 non fuelé. </t>
  </si>
  <si>
    <t xml:space="preserve">A reboucler avec le chantier  //  plus de lanterne de queue. 
Train pas prêt, position du train. </t>
  </si>
  <si>
    <t>retard au départ suite attente GNR</t>
  </si>
  <si>
    <t>br 214 + 2 wagons</t>
  </si>
  <si>
    <t xml:space="preserve">fermeture depot de longueau </t>
  </si>
  <si>
    <t>G12 1124 + 2 wagons</t>
  </si>
  <si>
    <t xml:space="preserve">wagons non prêts/ départ en HLP </t>
  </si>
  <si>
    <t xml:space="preserve">Reboucler avec la base arrière. </t>
  </si>
  <si>
    <t>VIERZON 3/3</t>
  </si>
  <si>
    <t>La BR214 ne descend pas</t>
  </si>
  <si>
    <t xml:space="preserve">BENING  </t>
  </si>
  <si>
    <t xml:space="preserve">Mauvais itinéraire mis  sur la presta - agent non habilité (mahdi layachi) // </t>
  </si>
  <si>
    <t xml:space="preserve">sujet sur la communiction entre planif EM et Planif Humain. </t>
  </si>
  <si>
    <t>METZ 3/4</t>
  </si>
  <si>
    <t>G12 1124+18 wgs</t>
  </si>
  <si>
    <t xml:space="preserve">Gievres </t>
  </si>
  <si>
    <t>BA ferme à 21h, or le train prévoyait une arrivée à 21h22
aucun agent dispo pour la réception
finalement, il est arrivé en avance (20h55), sajjid a été dépêché pour revenir en BA pour faire le point</t>
  </si>
  <si>
    <t xml:space="preserve">jusqu'à quel heure sont présents les agents. </t>
  </si>
  <si>
    <t>BML  1077</t>
  </si>
  <si>
    <t xml:space="preserve">VENDREDI </t>
  </si>
  <si>
    <t>SAINT DIZIER</t>
  </si>
  <si>
    <t>G1206 1486 +600793</t>
  </si>
  <si>
    <t>Lyon</t>
  </si>
  <si>
    <t>Bourreuse n°6490</t>
  </si>
  <si>
    <t xml:space="preserve">Bourreuse arrivée à l'envers, </t>
  </si>
  <si>
    <t xml:space="preserve">Litige avec CTSF. </t>
  </si>
  <si>
    <t>G12 1372+60020+20 R39 + 5 EX</t>
  </si>
  <si>
    <t>Train calé a Gèvre - manoeuvre trop longue + fin de service des ags a 12h</t>
  </si>
  <si>
    <t xml:space="preserve">Identification du temps de manœuvres sur les prestas ??
Pour compréhension du GPC </t>
  </si>
  <si>
    <t>Chalons 2/2</t>
  </si>
  <si>
    <t>stab 82 bg</t>
  </si>
  <si>
    <t>40</t>
  </si>
  <si>
    <t xml:space="preserve">UM G1206 + 16 wagons pleins </t>
  </si>
  <si>
    <t xml:space="preserve">UM G1206 + 16 wagons vides </t>
  </si>
  <si>
    <t xml:space="preserve">BR 214 + 12 wagons FERROTRACT </t>
  </si>
  <si>
    <t>LE HAVRE 2/2</t>
  </si>
  <si>
    <t>Vierzon 1/2</t>
  </si>
  <si>
    <t>G1206 Colas 123 + Couplage VAD + Triplette + Porte flèche</t>
  </si>
  <si>
    <t>rame non prête</t>
  </si>
  <si>
    <t>SAINCAIZE 1/2</t>
  </si>
  <si>
    <t xml:space="preserve">UM G1206 + 12 D12 VIDES </t>
  </si>
  <si>
    <t>COSNE 2/2</t>
  </si>
  <si>
    <t>UM G1206 + 12 D12 CHARGES</t>
  </si>
  <si>
    <t xml:space="preserve">G12 1372+60020+20 R39 + 5 EX </t>
  </si>
  <si>
    <t>panne en ligne G12 1372</t>
  </si>
  <si>
    <t>CEC 3/4</t>
  </si>
  <si>
    <t>REDING 4/4</t>
  </si>
  <si>
    <t>VIERZON 2/2</t>
  </si>
  <si>
    <t>SGMO 2/2</t>
  </si>
  <si>
    <t xml:space="preserve">G1206 10wagons chargés  </t>
  </si>
  <si>
    <t xml:space="preserve">G1206 10wagons vides </t>
  </si>
  <si>
    <t>GP</t>
  </si>
  <si>
    <t xml:space="preserve"> LAROCHE 1/4</t>
  </si>
  <si>
    <t>G1206 Colas 123 + Triplette VAD + Triplette + Porte flèche + Bourreuse n°5851</t>
  </si>
  <si>
    <t>les TTX RGI ont été priorisé sur le spot puis trop de retard travaux + refus régule</t>
  </si>
  <si>
    <t xml:space="preserve">  CSS 2/4</t>
  </si>
  <si>
    <t>SGMO 3/4</t>
  </si>
  <si>
    <t>PORTES 4/4</t>
  </si>
  <si>
    <t xml:space="preserve"> Bourreuse n°5851</t>
  </si>
  <si>
    <t>MALAUNAY 2/2</t>
  </si>
  <si>
    <t xml:space="preserve">G12 1486+ 60093 </t>
  </si>
  <si>
    <t>COSNE 1/2</t>
  </si>
  <si>
    <t>VSG fsc débranchement 1/2</t>
  </si>
  <si>
    <t>BML ZC 2000 AZURAIL</t>
  </si>
  <si>
    <r>
      <rPr>
        <b/>
        <strike/>
        <sz val="22"/>
        <color theme="1"/>
        <rFont val="Calibri"/>
        <family val="2"/>
        <scheme val="minor"/>
      </rPr>
      <t xml:space="preserve">VERBERIE </t>
    </r>
    <r>
      <rPr>
        <b/>
        <sz val="22"/>
        <color theme="1"/>
        <rFont val="Calibri"/>
        <family val="2"/>
        <scheme val="minor"/>
      </rPr>
      <t xml:space="preserve">Lérouville </t>
    </r>
    <r>
      <rPr>
        <b/>
        <strike/>
        <sz val="22"/>
        <color theme="1"/>
        <rFont val="Calibri"/>
        <family val="2"/>
        <scheme val="minor"/>
      </rPr>
      <t>1/2</t>
    </r>
  </si>
  <si>
    <t>Chalon</t>
  </si>
  <si>
    <t>Annulation suite nombreuse absence sur RGI, Barreau a été réquisitionné pour faire des trains</t>
  </si>
  <si>
    <t>oublie de la dépeche a l'arrivée par le client</t>
  </si>
  <si>
    <t>G12 1486+ 60093 +10 wagons</t>
  </si>
  <si>
    <t>CHALON SUR SAONE 2/2</t>
  </si>
  <si>
    <t>fait le jeudi suite modification du point de départ</t>
  </si>
  <si>
    <t>MALAUNAY</t>
  </si>
  <si>
    <t xml:space="preserve">G12 1837 + G12 1838 + Compo </t>
  </si>
  <si>
    <t xml:space="preserve">G1206 + BOURREUSE </t>
  </si>
  <si>
    <t>Le havre</t>
  </si>
  <si>
    <t>Le Havres</t>
  </si>
  <si>
    <t xml:space="preserve">le havre </t>
  </si>
  <si>
    <t>BOURREUSE</t>
  </si>
  <si>
    <t>VON 1/2</t>
  </si>
  <si>
    <t>VON</t>
  </si>
  <si>
    <t>CSS 2/2</t>
  </si>
  <si>
    <t>HOURCADE 1/2</t>
  </si>
  <si>
    <t xml:space="preserve">Bourreuse n°3485 </t>
  </si>
  <si>
    <t>retard du pilote</t>
  </si>
  <si>
    <t>41</t>
  </si>
  <si>
    <t>ELBEUF  1/2</t>
  </si>
  <si>
    <t xml:space="preserve">G1206 15 wagons chargés  </t>
  </si>
  <si>
    <t xml:space="preserve">G1206 15 wagons vides </t>
  </si>
  <si>
    <t>Malaunay</t>
  </si>
  <si>
    <t xml:space="preserve"> Bourreuse n°6346</t>
  </si>
  <si>
    <t>Demande de suppresion du TaQ a Valenton pour changer sens de travail en OP</t>
  </si>
  <si>
    <t>CREUTZWALD</t>
  </si>
  <si>
    <t xml:space="preserve">BML n°3399 </t>
  </si>
  <si>
    <t xml:space="preserve">Personne de prévu pour faire le point à la sortie de framafer
Demande faite à SNCF </t>
  </si>
  <si>
    <t>HLP G12 2081</t>
  </si>
  <si>
    <t>G12 Colas 123</t>
  </si>
  <si>
    <t>SOTTEVILLE 1/2</t>
  </si>
  <si>
    <t xml:space="preserve">b </t>
  </si>
  <si>
    <t>HLP 60086</t>
  </si>
  <si>
    <t>G12 1118+7wagons</t>
  </si>
  <si>
    <t>VSG FSC DEB</t>
  </si>
  <si>
    <t>VSG FDN 2/2</t>
  </si>
  <si>
    <t>EVO AVEC G12 1118</t>
  </si>
  <si>
    <t>Machine non déposé au fasiceau FDN - prise de service avancé le mardi de M.GHANNOUCHI pour faire la manœuvre</t>
  </si>
  <si>
    <t xml:space="preserve">Apelé Loic WILLERVAL pour explication </t>
  </si>
  <si>
    <t>G12 + 10 D12 VIDES</t>
  </si>
  <si>
    <t>G12 + 10 D12 CHARGES</t>
  </si>
  <si>
    <t>SGMO 1/2</t>
  </si>
  <si>
    <t>G 1498 +Triplette VAD + Porte flèche + Bourreuse n°5851</t>
  </si>
  <si>
    <t xml:space="preserve">SGMO </t>
  </si>
  <si>
    <t>G1206 n° 1498+ BML n°5851</t>
  </si>
  <si>
    <t>intervention maintenance jusqu’à 9h + la G12 1885 a dû être inversé avec la 1546 pour la mise en UM
calé à Surdon suite panne EM + Plats aux roues</t>
  </si>
  <si>
    <t>LE HAVRE</t>
  </si>
  <si>
    <t>VSG fsc réception 1/3</t>
  </si>
  <si>
    <t>HLP 60093</t>
  </si>
  <si>
    <t xml:space="preserve">VSG fsc réception </t>
  </si>
  <si>
    <t>Metz  2/3</t>
  </si>
  <si>
    <t>BERCY 1/4</t>
  </si>
  <si>
    <t>G1206 n°1486+ 10 wagons vides + BB60093</t>
  </si>
  <si>
    <t>retard sur l'evo VSG DBR-VSG FDN cause: PS agent SNCF+erreur poste+régul pointe</t>
  </si>
  <si>
    <t>G12 1486 + 10 wagons chargés + 60093</t>
  </si>
  <si>
    <t>BERCY 3/4</t>
  </si>
  <si>
    <t>G1206 15 wagons chargés  ,</t>
  </si>
  <si>
    <t>Rotation annulée - Surdon - L'oraille fait en refoulant</t>
  </si>
  <si>
    <t xml:space="preserve">Metz </t>
  </si>
  <si>
    <t>STRASBOURG CRONENBOURG 3/3</t>
  </si>
  <si>
    <t>LE MANS 1/2</t>
  </si>
  <si>
    <t xml:space="preserve">Bourreuse n°3486 </t>
  </si>
  <si>
    <t>VERBERIE VIA COMPIEGNE</t>
  </si>
  <si>
    <t xml:space="preserve">G1206 n°+ 109TSO+72NR+B4520+G1206 n° </t>
  </si>
  <si>
    <t>RGT 15 "CAT A"</t>
  </si>
  <si>
    <t>CHAGNY 1/2</t>
  </si>
  <si>
    <t>V211 531-3 "CAT A"  MARCHE D'ESSAI</t>
  </si>
  <si>
    <t>Demande de modification horaire alors que nous avions déjà les sillons</t>
  </si>
  <si>
    <t>MONTCEAU LES MINES 2/2</t>
  </si>
  <si>
    <t>RENNES 2/2</t>
  </si>
  <si>
    <t xml:space="preserve">US G1206 10 wagons chargés  </t>
  </si>
  <si>
    <t xml:space="preserve">US G1206 10 wagons vides </t>
  </si>
  <si>
    <t>BERCY1/2</t>
  </si>
  <si>
    <t>VSG2/2</t>
  </si>
  <si>
    <t>G12 1486 + 10 wagons chargés + BB60093</t>
  </si>
  <si>
    <t xml:space="preserve">BEAUCHAMP </t>
  </si>
  <si>
    <t>DOLE,,, à confirmer</t>
  </si>
  <si>
    <t>BML 1093x</t>
  </si>
  <si>
    <t>BEAUCHAMP via PERSAN</t>
  </si>
  <si>
    <t xml:space="preserve">ROTATION 1 : V211 n°635-2 </t>
  </si>
  <si>
    <t>ROTATION 2: V211 n°512-3</t>
  </si>
  <si>
    <t>annulé J-2 par pré-op</t>
  </si>
  <si>
    <t>Commentry</t>
  </si>
  <si>
    <t>INFRA RAIL</t>
  </si>
  <si>
    <t>Strasbourg-Cronenbourg</t>
  </si>
  <si>
    <t>REDING 1/2</t>
  </si>
  <si>
    <t>Reding VS 11</t>
  </si>
  <si>
    <t>Reding VS 15</t>
  </si>
  <si>
    <t>REDING VS 15</t>
  </si>
  <si>
    <t>LUTZELBOURG V4 2/2</t>
  </si>
  <si>
    <t>VSG FDN 1/3</t>
  </si>
  <si>
    <t xml:space="preserve">BR 214 +BML ZC 2000+ 12 wagons FERROTRACT </t>
  </si>
  <si>
    <t>pas de compo envoyée/BR214 non raccordée/Attelage a refaire</t>
  </si>
  <si>
    <t>VSG FDN</t>
  </si>
  <si>
    <t>VSG FSC V17 2/3</t>
  </si>
  <si>
    <t>BR214 + BML ZC 2000</t>
  </si>
  <si>
    <t xml:space="preserve">Relance faites </t>
  </si>
  <si>
    <t>à Aymane</t>
  </si>
  <si>
    <t>VSG FSC V17</t>
  </si>
  <si>
    <t>BR214 + 3 wagons</t>
  </si>
  <si>
    <t>Pas possible d'obtenir un sillon</t>
  </si>
  <si>
    <t>G12 1486 + BR 214 + 3 wagons</t>
  </si>
  <si>
    <t>securail</t>
  </si>
  <si>
    <t>Mail envoyé le jeudi par le pré-op pour sollicitation d'un agent chantier
pas d'agent au sol sollicité pour la sortie/yilmaz sollicité le matin mm</t>
  </si>
  <si>
    <t>R21 47009</t>
  </si>
  <si>
    <t>annulé J-2 par pré-op puis ré-activé à 18h la veille</t>
  </si>
  <si>
    <t>Ormoy (suite retournement)</t>
  </si>
  <si>
    <t>G1206 + 109+72NR</t>
  </si>
  <si>
    <t>POSTE 74 SIRION</t>
  </si>
  <si>
    <t>G12 1029</t>
  </si>
  <si>
    <t>ORMOY VIA COMPIEGNE</t>
  </si>
  <si>
    <t>train KB</t>
  </si>
  <si>
    <t>42</t>
  </si>
  <si>
    <t>ANNECY</t>
  </si>
  <si>
    <t>MULHOUSE 1/3</t>
  </si>
  <si>
    <t>METZ 2/3</t>
  </si>
  <si>
    <t>60072 + 60015 en panne</t>
  </si>
  <si>
    <t xml:space="preserve">ORMOY </t>
  </si>
  <si>
    <t>G1206 n°2081+ B4520+109 TSO</t>
  </si>
  <si>
    <t xml:space="preserve">CSS  </t>
  </si>
  <si>
    <t>G1206 n°1771 COLAS</t>
  </si>
  <si>
    <t>G12 1486 + 24 wagons</t>
  </si>
  <si>
    <t>Annuler Mail Romain</t>
  </si>
  <si>
    <t xml:space="preserve">METZ </t>
  </si>
  <si>
    <t>Longueau  2/3</t>
  </si>
  <si>
    <t>pas de complément GNR fait à l'arrivée à Longueau</t>
  </si>
  <si>
    <t>60072+ 14 Ballastières</t>
  </si>
  <si>
    <t>G1206 n°1498+BML 5851</t>
  </si>
  <si>
    <t xml:space="preserve">sécurail </t>
  </si>
  <si>
    <t>G1206 n° + R21 n°47009+VAD257+Porte flèche + G1206 n°</t>
  </si>
  <si>
    <t>Boulogne 3/3</t>
  </si>
  <si>
    <t>BR 214 + G12 COLAS</t>
  </si>
  <si>
    <t xml:space="preserve">G1206 n°1486 </t>
  </si>
  <si>
    <t xml:space="preserve">reste 500L dans la g12 // fuel demandé au depot // Sécurail a laissé la loco avec 500L  </t>
  </si>
  <si>
    <t xml:space="preserve">SPDC 2/2 </t>
  </si>
  <si>
    <t xml:space="preserve">Grand pont </t>
  </si>
  <si>
    <t>G1206 1486</t>
  </si>
  <si>
    <t>60086+2 wagons chargés</t>
  </si>
  <si>
    <t>départ en HLP / pas d'agent pour prise de bloc</t>
  </si>
  <si>
    <t xml:space="preserve">V211 </t>
  </si>
  <si>
    <t xml:space="preserve">Persan </t>
  </si>
  <si>
    <t>retard suite pb clé enfermé dans la VS + arrêt a serquigny suite pb signalisation sur la voie+ occupation voie à l'oraille récup clé</t>
  </si>
  <si>
    <t>60086+2 wagons vides</t>
  </si>
  <si>
    <t>Bloc non reserve  ,,, depose au FSC reception sur V16</t>
  </si>
  <si>
    <r>
      <rPr>
        <b/>
        <strike/>
        <sz val="24"/>
        <color theme="1"/>
        <rFont val="Calibri"/>
        <family val="2"/>
        <scheme val="minor"/>
      </rPr>
      <t xml:space="preserve">TRAPPES </t>
    </r>
    <r>
      <rPr>
        <b/>
        <sz val="24"/>
        <color theme="1"/>
        <rFont val="Calibri"/>
        <family val="2"/>
        <scheme val="minor"/>
      </rPr>
      <t>VSG</t>
    </r>
  </si>
  <si>
    <t>COMMENTRY</t>
  </si>
  <si>
    <t xml:space="preserve">COSNE  </t>
  </si>
  <si>
    <t>BOURREUSE 6490</t>
  </si>
  <si>
    <t xml:space="preserve">AC pas au courant. </t>
  </si>
  <si>
    <t xml:space="preserve">Sotteville </t>
  </si>
  <si>
    <t>G1206 1124</t>
  </si>
  <si>
    <t>BML AZURAIL</t>
  </si>
  <si>
    <t xml:space="preserve">GRAND PONT  </t>
  </si>
  <si>
    <t xml:space="preserve">G1206 n° + VAD257+PORTE FLECHE+RDF5+G1206 </t>
  </si>
  <si>
    <t>43</t>
  </si>
  <si>
    <t xml:space="preserve">Train calé a Elbeuf pas de sable + pluie + intervention maintenance pour régler pb de mise en UM. </t>
  </si>
  <si>
    <t>SAVERNE</t>
  </si>
  <si>
    <t>G12 + 6 EX</t>
  </si>
  <si>
    <t>ORMOY 1/3</t>
  </si>
  <si>
    <t>G1206 n°1498 +B4520+6EX 100</t>
  </si>
  <si>
    <t>G1206 n°1498 +6EX</t>
  </si>
  <si>
    <t>G1206 n°+BML1077+G1206</t>
  </si>
  <si>
    <t>annulation client // info de R Sané</t>
  </si>
  <si>
    <t>108 32 275 EIFFAGE n°3489</t>
  </si>
  <si>
    <t>60000 + 8 WAGONS</t>
  </si>
  <si>
    <t>g12 Colas</t>
  </si>
  <si>
    <t>BR</t>
  </si>
  <si>
    <t>GIEVRES 1/2</t>
  </si>
  <si>
    <t>G 1206</t>
  </si>
  <si>
    <t>aller suprime suite à calage Elbeuf la veille</t>
  </si>
  <si>
    <t>BOURR 3485</t>
  </si>
  <si>
    <t>Avignon 1/2</t>
  </si>
  <si>
    <t xml:space="preserve">ABANCOURT  </t>
  </si>
  <si>
    <t>NOISY 2/2</t>
  </si>
  <si>
    <t>BR + 2 WAGONS</t>
  </si>
  <si>
    <t>passage par CSS pour récupérer 3 wagons supplémentaires</t>
  </si>
  <si>
    <t>BR + 5 WAGONS</t>
  </si>
  <si>
    <t>Avignon</t>
  </si>
  <si>
    <t>CARNOULES  2/2</t>
  </si>
  <si>
    <t>BML 3399</t>
  </si>
  <si>
    <t>somain 1/2</t>
  </si>
  <si>
    <t>SPOT SUPP demandé par Paul</t>
  </si>
  <si>
    <t>somain</t>
  </si>
  <si>
    <t>boulogne 2/2</t>
  </si>
  <si>
    <t>60000 + 10 wagons</t>
  </si>
  <si>
    <t>verberie via compiegne</t>
  </si>
  <si>
    <t>G1206 n°2103+BML 2617+G1206 n°2102</t>
  </si>
  <si>
    <t>Retard au départ à Verberie suite à l'attente de l'AMOR ,,, départ prévu vers 15h00,</t>
  </si>
  <si>
    <t xml:space="preserve">Circulation interdite dans le secteur Normandie suite aux intempéries </t>
  </si>
  <si>
    <t>initialement prevu le mercredi, décalé au jeudi pour utiliser la ressource sur un spot le mercredi</t>
  </si>
  <si>
    <t>G12 + 108 4S</t>
  </si>
  <si>
    <t>verberie 2/2</t>
  </si>
  <si>
    <t>ORMOY 1/4</t>
  </si>
  <si>
    <t>verberie 2/4</t>
  </si>
  <si>
    <t>LES MUREAUX 3/4</t>
  </si>
  <si>
    <t>MTB 4/4</t>
  </si>
  <si>
    <t>G12 + BML</t>
  </si>
  <si>
    <t>train calé suite retard + pointe voyageur au départ des mureaux</t>
  </si>
  <si>
    <t xml:space="preserve">CEC </t>
  </si>
  <si>
    <t xml:space="preserve">G12 1372+60020+20 R39 + 5 EX  </t>
  </si>
  <si>
    <t xml:space="preserve">CEC - VSG rajouté en opé à la suite du Reding - CEC + manœuvre avec à VSG pour écarter la 60000 à VSG </t>
  </si>
  <si>
    <t>BOURREUSE 3485</t>
  </si>
  <si>
    <t xml:space="preserve">ABANCOURT </t>
  </si>
  <si>
    <t xml:space="preserve">G1206 n°1118+ 60086 </t>
  </si>
  <si>
    <t xml:space="preserve">G12 1372 + 20 R39 + 5 EX  </t>
  </si>
  <si>
    <t>OXYGENE DU RAIL</t>
  </si>
  <si>
    <t>44</t>
  </si>
  <si>
    <t xml:space="preserve">G1206 10wagons chargés </t>
  </si>
  <si>
    <t>G12 1118+6 wagons</t>
  </si>
  <si>
    <t>EURO 4025</t>
  </si>
  <si>
    <t>absence de CDT sur Chailloué, Larfi récupérer pour faire le Chailloué</t>
  </si>
  <si>
    <t>60020+12 wagons</t>
  </si>
  <si>
    <t>panne loco</t>
  </si>
  <si>
    <t>G1206 n°1372+25 wagons</t>
  </si>
  <si>
    <t>ORM 2/2</t>
  </si>
  <si>
    <t>60072+ BR 5851</t>
  </si>
  <si>
    <t xml:space="preserve">G12 1372 + 6 wagons </t>
  </si>
  <si>
    <t xml:space="preserve">EURO 4025 + 16 wagons chargés </t>
  </si>
  <si>
    <t>Poour incorporation Euro 4000</t>
  </si>
  <si>
    <t xml:space="preserve">EURO 4025 + 16 wagons vides </t>
  </si>
  <si>
    <t>VSG DBR Voie16</t>
  </si>
  <si>
    <t>VSG FSC Nord 1/2</t>
  </si>
  <si>
    <t>VSG FSC Nord</t>
  </si>
  <si>
    <t>Somain 2/2</t>
  </si>
  <si>
    <t>G12 1665+2081</t>
  </si>
  <si>
    <t xml:space="preserve">G12 2081	</t>
  </si>
  <si>
    <t>initialement MTB - Verberie mais refus de la maintenance de circuler en autonome du coup on fait un VEB - MTB pour reprise mercredi par A Team</t>
  </si>
  <si>
    <t>compiègne 1/4</t>
  </si>
  <si>
    <t>G12+Porte flèche+WAD 257</t>
  </si>
  <si>
    <t>Cause client</t>
  </si>
  <si>
    <t>compiègne</t>
  </si>
  <si>
    <t>ORMOY3/4</t>
  </si>
  <si>
    <t>G12 1886 + 4 WAGONS</t>
  </si>
  <si>
    <t>Sablé  2/2</t>
  </si>
  <si>
    <t>A team non hab ilité pour rentré à P74</t>
  </si>
  <si>
    <t xml:space="preserve"> P74 2/2</t>
  </si>
  <si>
    <t>SPOT supp pour rentrer à P74</t>
  </si>
  <si>
    <t xml:space="preserve">  Le Bourget 1/3</t>
  </si>
  <si>
    <t>g1206 1378</t>
  </si>
  <si>
    <t>train annulé le mardi car la loco 60020 est resté à VSG suite panne, reprise avec une autre loco depuis vaires,</t>
  </si>
  <si>
    <r>
      <rPr>
        <b/>
        <strike/>
        <sz val="24"/>
        <color theme="1"/>
        <rFont val="Calibri"/>
        <family val="2"/>
        <scheme val="minor"/>
      </rPr>
      <t xml:space="preserve">Massy 2/3 </t>
    </r>
    <r>
      <rPr>
        <b/>
        <sz val="24"/>
        <color theme="1"/>
        <rFont val="Calibri"/>
        <family val="2"/>
        <scheme val="minor"/>
      </rPr>
      <t xml:space="preserve">Vaires </t>
    </r>
  </si>
  <si>
    <t>g1206 1378 + 2 Wagons</t>
  </si>
  <si>
    <t>pb serrage wagon / dprt en HLP pour vaires</t>
  </si>
  <si>
    <t>Juvisy ou vaires 3/3</t>
  </si>
  <si>
    <t>supprimé suite NC</t>
  </si>
  <si>
    <t>V212 n°635-2</t>
  </si>
  <si>
    <t>Annulé par Laforge</t>
  </si>
  <si>
    <t>V212 n°635-3</t>
  </si>
  <si>
    <t xml:space="preserve">absence </t>
  </si>
  <si>
    <t>absence condc</t>
  </si>
  <si>
    <t>Verberie 1/2</t>
  </si>
  <si>
    <t>G1206 077 Colas+ Porte flèche Double</t>
  </si>
  <si>
    <t>Machine non prete
Train non formé
Amor manquante</t>
  </si>
  <si>
    <t>Les Mureaux 2/2 terminus PTH</t>
  </si>
  <si>
    <t>G1206 077 Colas</t>
  </si>
  <si>
    <t>suite retard, train caler à PTH le 30/10
 retard sur le spot suite manque AMOR + trajet récup VS
JS : Sabre 13h</t>
  </si>
  <si>
    <t xml:space="preserve">PERSAN  </t>
  </si>
  <si>
    <t xml:space="preserve">Bourreuse n°6348 </t>
  </si>
  <si>
    <t xml:space="preserve">Mauvais Sens au départ donné par le C2 ce qui a alors faussé le sens de travail à l'arriver  </t>
  </si>
  <si>
    <t>Les aubrais 1/2</t>
  </si>
  <si>
    <t>VERBERIE 1/3 via compiegne et longueuil</t>
  </si>
  <si>
    <t>G1206 n°1886+VAD 258+Porte flèche + G12</t>
  </si>
  <si>
    <t>ORMOY 2/3</t>
  </si>
  <si>
    <t>G1206 n°1886+DGS62N+DGS 72NR</t>
  </si>
  <si>
    <t>Loco HS, rentré au dépôt le mercredi suite spot Somain - Longueau</t>
  </si>
  <si>
    <t>COSNES</t>
  </si>
  <si>
    <t xml:space="preserve">Bourreuse  </t>
  </si>
  <si>
    <t>Les aubrais</t>
  </si>
  <si>
    <t>bercy 2/2</t>
  </si>
  <si>
    <t>sillon trop tard, micheland priorisé pour faire arriver la bourreuse en avance</t>
  </si>
  <si>
    <t>suite retard, train caler à PTH le 30/10</t>
  </si>
  <si>
    <r>
      <t xml:space="preserve">EURO 4025 + </t>
    </r>
    <r>
      <rPr>
        <b/>
        <sz val="22"/>
        <color rgb="FFC00000"/>
        <rFont val="Calibri"/>
        <family val="2"/>
        <scheme val="minor"/>
      </rPr>
      <t>G12 1546 en cv</t>
    </r>
    <r>
      <rPr>
        <b/>
        <sz val="22"/>
        <color theme="1"/>
        <rFont val="Calibri"/>
        <family val="2"/>
        <scheme val="minor"/>
      </rPr>
      <t xml:space="preserve">+16 wagons chargés </t>
    </r>
  </si>
  <si>
    <t>EURO 4025 +16 wagons vides</t>
  </si>
  <si>
    <t>absence agent sol</t>
  </si>
  <si>
    <t>GRAND PONT 1/2</t>
  </si>
  <si>
    <t>V212 n°531-3+635-2+ 5 EX 100+ 11 R93+5EX100</t>
  </si>
  <si>
    <t xml:space="preserve">annuler par Laforge </t>
  </si>
  <si>
    <t>G1206 n° 1497</t>
  </si>
  <si>
    <t>Loco+62N+4RDF+2MFS+1 WAD</t>
  </si>
  <si>
    <t>VBE 2/2</t>
  </si>
  <si>
    <t>loco ?</t>
  </si>
  <si>
    <t>CRONENBOURG</t>
  </si>
  <si>
    <t>STRASBOURG 1/2</t>
  </si>
  <si>
    <t>G1206 + 60093</t>
  </si>
  <si>
    <t>STRASBOURG</t>
  </si>
  <si>
    <t>CONENBOURG 1/2</t>
  </si>
  <si>
    <t>verberie 1/2</t>
  </si>
  <si>
    <t>ormoy 2/2</t>
  </si>
  <si>
    <t>G1206 + BML</t>
  </si>
  <si>
    <t>Bourreuse n°3485</t>
  </si>
  <si>
    <t>DIMANCHE</t>
  </si>
  <si>
    <t>45</t>
  </si>
  <si>
    <t>suite train calé vendredi 31/10 à Elbeuf</t>
  </si>
  <si>
    <t xml:space="preserve">LES AUBRAIS </t>
  </si>
  <si>
    <t>PERSAN  1/3</t>
  </si>
  <si>
    <t>60086+ Stab 82BG+ Bourreuse n°6348</t>
  </si>
  <si>
    <t>GRAND-PONT</t>
  </si>
  <si>
    <t>G12 2131+ V212 n°531-3+ 5 EX 100+ 11 R93</t>
  </si>
  <si>
    <t>VERBERIE // BOB</t>
  </si>
  <si>
    <t>G1206 n°2081+1665</t>
  </si>
  <si>
    <t>sillon arrive à 22H, la BA ferme à 21h? Train va caler à BOB</t>
  </si>
  <si>
    <t xml:space="preserve">G1206 n°1497		</t>
  </si>
  <si>
    <t>G1206 n°1886+RDF+MFS+VAD+Porte flèch</t>
  </si>
  <si>
    <t>train trop lourd, ne peut pas circuler sans UM, pas de 2ème loco dispo pour un UM</t>
  </si>
  <si>
    <t>G1206 n°1516 + B45GCF+R21 47009+G1206 n° 1379</t>
  </si>
  <si>
    <t>G1206 n°1516+1379</t>
  </si>
  <si>
    <t>BOB</t>
  </si>
  <si>
    <t>sillon arrive à 22H, la BA ferme à 21h</t>
  </si>
  <si>
    <t>G1206 n°1665+2081+1886+DGS 62N+VAD+PORTE FLECHE +4 RDF+2 MFS</t>
  </si>
  <si>
    <t>G1206 n°1886+2081+VAD+PORTE FLECHE +4 RDF+2 MFS</t>
  </si>
  <si>
    <t>trop de retard + Vernouillet ferme à 17h</t>
  </si>
  <si>
    <t xml:space="preserve">VET </t>
  </si>
  <si>
    <t>VATRY 3/3</t>
  </si>
  <si>
    <t xml:space="preserve">annulé entrée impossible à Vatry </t>
  </si>
  <si>
    <t xml:space="preserve">R21 n°47005 </t>
  </si>
  <si>
    <t>Bourreuse AZURAIL</t>
  </si>
  <si>
    <t>Annulé par F.Barbin jour J</t>
  </si>
  <si>
    <t xml:space="preserve">VSG 1/2 débranchement </t>
  </si>
  <si>
    <t xml:space="preserve">BR214+VAD+Porte flèche </t>
  </si>
  <si>
    <t xml:space="preserve">Loco au mauvais endroit </t>
  </si>
  <si>
    <t>uel sur la BR214 est en dessous de la moitié et n’est pas suffisant pour effecteur l’acheminement
manque la clé pour gonfler le frein sur la BR214
Un des VAD n’as pas été dégagé (Le VAD 99879352579-6 est chargé voir photo ci-joint), Le 2eme VAD ne peux pas partir en l’état</t>
  </si>
  <si>
    <t>loco récupéré pour pour faire acheminement ORMOY Verberie</t>
  </si>
  <si>
    <t xml:space="preserve">mercredi </t>
  </si>
  <si>
    <t>REMILLY 2/2</t>
  </si>
  <si>
    <t>VSG fsc debran</t>
  </si>
  <si>
    <t>VSG fsc DN</t>
  </si>
  <si>
    <t>G12 1885+16 wagons</t>
  </si>
  <si>
    <t>G1206 n°1886+RDF+MFS+VAD+Porte flèche</t>
  </si>
  <si>
    <t>train aller du 04 callé</t>
  </si>
  <si>
    <t>stationné sur voie 1R au Bourget suite a un problème de préannonce du côté SNCF</t>
  </si>
  <si>
    <t>G1206 n°1497+WDCO</t>
  </si>
  <si>
    <t>G1206 n°1497+BR214</t>
  </si>
  <si>
    <t>G1206 n°1886+RDF+MFS+VAD+Porte flèche vides</t>
  </si>
  <si>
    <t>CEC 1/3</t>
  </si>
  <si>
    <t>GRAND-PONT 1/2</t>
  </si>
  <si>
    <t>V212 580-0</t>
  </si>
  <si>
    <t>60015+2 wagons</t>
  </si>
  <si>
    <t>LANGON 2/2</t>
  </si>
  <si>
    <t>G1206 n°1665</t>
  </si>
  <si>
    <t>G1206 n°1665+DGS 62N</t>
  </si>
  <si>
    <t xml:space="preserve">SOTTEVILLE </t>
  </si>
  <si>
    <t>G1206 n°1497+BR214Stab 82BG</t>
  </si>
  <si>
    <t>CHATILLLON</t>
  </si>
  <si>
    <t>SAINCAZE</t>
  </si>
  <si>
    <t>G1206 DVF n°1626+2131</t>
  </si>
  <si>
    <t>NOISY 3/3</t>
  </si>
  <si>
    <t>perrigny 1/2</t>
  </si>
  <si>
    <t>B66U n°6609 Delcourt Rail</t>
  </si>
  <si>
    <t>VSG  2/2</t>
  </si>
  <si>
    <t>G12 1665+ BML n°5851</t>
  </si>
  <si>
    <t>MONTEROLIER BUCHY</t>
  </si>
  <si>
    <t xml:space="preserve">Bourreuse n°6346		</t>
  </si>
  <si>
    <t>46</t>
  </si>
  <si>
    <t>G12 n°1665 + BML n°5851</t>
  </si>
  <si>
    <t>mauvais sens au départ/DNC pour TAQ a saincaize</t>
  </si>
  <si>
    <t xml:space="preserve">G1206 n° + 62N </t>
  </si>
  <si>
    <t>G12 + B4519</t>
  </si>
  <si>
    <t>mauvais sens à l'arrivée - pas de TAQ a Compiègne comme prévu dans la commande de marche // retournement effectué le mardi avec DRIF + SAGID</t>
  </si>
  <si>
    <t>JUVISY 1/3</t>
  </si>
  <si>
    <t>LAB 2/3</t>
  </si>
  <si>
    <t>G12 + BR214</t>
  </si>
  <si>
    <t>GP 3/3</t>
  </si>
  <si>
    <t xml:space="preserve">EURO 4025 + 15 wagons chargés </t>
  </si>
  <si>
    <t xml:space="preserve">EURO 4025 + 15 wagons vides </t>
  </si>
  <si>
    <t>EPLUCHES 1/2</t>
  </si>
  <si>
    <t>READING</t>
  </si>
  <si>
    <t>G1206 + BML 2617</t>
  </si>
  <si>
    <t>retard mise à dispo documents + réquisition loco pour porter secrous</t>
  </si>
  <si>
    <t>SOTEVILLE</t>
  </si>
  <si>
    <t>MONTROUGE CHATILLON</t>
  </si>
  <si>
    <t>CHALONS EN CHAMPAGNE 1/2</t>
  </si>
  <si>
    <t>BOULOGNE VILLE</t>
  </si>
  <si>
    <t>47</t>
  </si>
  <si>
    <t>manque sable + mise a disposition tardive de la rame</t>
  </si>
  <si>
    <t>LIZY SUR OURCQ</t>
  </si>
  <si>
    <t>V211 580-0+13 R93</t>
  </si>
  <si>
    <t>SPDC IMATEQ</t>
  </si>
  <si>
    <t>G1206 n° 1379+ Rame LRS</t>
  </si>
  <si>
    <t>Ormoy 2/2</t>
  </si>
  <si>
    <t>60105 + 13R93</t>
  </si>
  <si>
    <t>G1206 DVF 1626+V211 n°531-3+11R93+5EX</t>
  </si>
  <si>
    <t>MONTPELLIER</t>
  </si>
  <si>
    <t>CHALONS SUR SAONE</t>
  </si>
  <si>
    <t>G1206 n° 1886</t>
  </si>
  <si>
    <t>G1206 n°1886+VAD361+365+Porte flèche+WDCO</t>
  </si>
  <si>
    <t>ormoy</t>
  </si>
  <si>
    <t>g12 + b45</t>
  </si>
  <si>
    <t xml:space="preserve">verberie  </t>
  </si>
  <si>
    <t>Rentrée tardive suite a une demande de secours sur notre itinéraire</t>
  </si>
  <si>
    <t xml:space="preserve">Le conducteur a-team est parti avant la fin des manœuvres à l'arrivée. C'est le conducteur claisserail qui a terminé les manœuvres. </t>
  </si>
  <si>
    <t xml:space="preserve">Voir avec A-team pourquoi son conducteur est partit.  </t>
  </si>
  <si>
    <t>DUNKERQUE</t>
  </si>
  <si>
    <t>BML COLAS</t>
  </si>
  <si>
    <t>MONTROUGE CHATILLON 2/2</t>
  </si>
  <si>
    <t>Dépassement JS pour M.TIGHILT 15h // RC déposé en S48</t>
  </si>
  <si>
    <t>VERBERIE (via compiègne)</t>
  </si>
  <si>
    <t>G1206 n°1886+WAD257+Porte flèche +G1206 n°1665</t>
  </si>
  <si>
    <t>G1206 n°1886+1 wgs+RDF 5+RDF3+1 wgs +G1206 n°1665</t>
  </si>
  <si>
    <t>G1206 n° 1886+1 wgs+RDF3+RDF ? + 1 wgs</t>
  </si>
  <si>
    <t>PANTIN</t>
  </si>
  <si>
    <t>V211 512-3</t>
  </si>
  <si>
    <t>G12-2080</t>
  </si>
  <si>
    <t>BML n°6348</t>
  </si>
  <si>
    <t xml:space="preserve">Fuel  non réalisé, </t>
  </si>
  <si>
    <t>G1206 n°1886 + 9TBA</t>
  </si>
  <si>
    <t>amor manquante</t>
  </si>
  <si>
    <t xml:space="preserve">Voir pour faire un rappel Sur l' AMOR </t>
  </si>
  <si>
    <t xml:space="preserve">BML 3485 </t>
  </si>
  <si>
    <t>Annulé par LAFORGE le 20/11 a 19h00</t>
  </si>
  <si>
    <t>MUHLOUSE 2/2</t>
  </si>
  <si>
    <t xml:space="preserve">CHATILLON </t>
  </si>
  <si>
    <t>48</t>
  </si>
  <si>
    <t>retard suite panne loco + incident sur la voie
agent refuse d'aller jusqu'au bout suite état de fatigue et cale à sotteville</t>
  </si>
  <si>
    <t>Gièvrees</t>
  </si>
  <si>
    <t>angers</t>
  </si>
  <si>
    <t>v211 531-3</t>
  </si>
  <si>
    <t>g12 1379</t>
  </si>
  <si>
    <t>les mureaux 2/2</t>
  </si>
  <si>
    <t xml:space="preserve">G1206 n°1379+1544+Porte flèche Double </t>
  </si>
  <si>
    <t>rotation annulée // reprise de sotteville non effectuée la veille</t>
  </si>
  <si>
    <t>sablé 2/3</t>
  </si>
  <si>
    <t xml:space="preserve"> G12 1378+V212 n° 635-2</t>
  </si>
  <si>
    <t>marche supprimée par erreur entre sablé et poste 74 + demande Marche indeterminée entre Sablé - P74 vu avec régulation</t>
  </si>
  <si>
    <t xml:space="preserve">dépassement de JS </t>
  </si>
  <si>
    <t>angers 3/3</t>
  </si>
  <si>
    <t>V212 n° 635-2</t>
  </si>
  <si>
    <t xml:space="preserve">x </t>
  </si>
  <si>
    <t>reorganisation suite manque C1 + pointe voyageurs
12h d'amplitude pour M.THEVENET</t>
  </si>
  <si>
    <t>GIEVRES 1/3</t>
  </si>
  <si>
    <t>G12 n°1630+1552 DVF+ 18 wagons</t>
  </si>
  <si>
    <t>G1206 n°2102+1 wgs+RDF 7+1 wgs+G1206 n°2103</t>
  </si>
  <si>
    <t>VIERZON 2/3</t>
  </si>
  <si>
    <t>G1206 n°1630+1552+1898 DVF</t>
  </si>
  <si>
    <t>Annulation de M.LAFORGE LE 21/11</t>
  </si>
  <si>
    <t>ANGERS</t>
  </si>
  <si>
    <t>QUIMPER</t>
  </si>
  <si>
    <t>V212 n° 531-3+635-2</t>
  </si>
  <si>
    <t>retard à l'arrivée car un train est stationné dans l'EP STREF et non devons attendre le sortie de celui-ci (14h) - livraison effectué vers 15h00</t>
  </si>
  <si>
    <t xml:space="preserve">FS a 3h pour l'équipe de l'après midi suite retard du matin </t>
  </si>
  <si>
    <t xml:space="preserve">dépassement  de JS des agents </t>
  </si>
  <si>
    <t>G1206 n°1497+ DGS 62N</t>
  </si>
  <si>
    <t>un camion renversé sur un PN sur notre itinéraire</t>
  </si>
  <si>
    <t>LMU</t>
  </si>
  <si>
    <t>G12 1516+VAD352+Porte flèche double</t>
  </si>
  <si>
    <t>agent CAPTRAIN AJOUTE A LA PRESTA</t>
  </si>
  <si>
    <t>CHERBOURG</t>
  </si>
  <si>
    <t>Repoussé au 28/11 à la demande client</t>
  </si>
  <si>
    <t>annulé par C.Laforge lundi 24/11</t>
  </si>
  <si>
    <t>Repoussé à la S+1 le 25/11</t>
  </si>
  <si>
    <t xml:space="preserve">AJOUT d'un agent TES G TRANSIFER entre chagny - nevers suite à la modification de l'itinéraire.  </t>
  </si>
  <si>
    <t>49</t>
  </si>
  <si>
    <t>loco HS</t>
  </si>
  <si>
    <t>GOUSSAINVILLE</t>
  </si>
  <si>
    <t>G1206  DVF n°1552+BML n°5851</t>
  </si>
  <si>
    <t>G12 2081+ B4520</t>
  </si>
  <si>
    <t>50</t>
  </si>
  <si>
    <t>retard suite panne VS Radwan</t>
  </si>
  <si>
    <t>COURTALAIN</t>
  </si>
  <si>
    <t>Bourreuse 109 3X</t>
  </si>
  <si>
    <t>VSG TECHNICENTRE</t>
  </si>
  <si>
    <t>reprise train calé</t>
  </si>
  <si>
    <t>ST Leu ESSERENT 1/3</t>
  </si>
  <si>
    <t>G12-1544</t>
  </si>
  <si>
    <t>ST-LEU ESSERENT</t>
  </si>
  <si>
    <t>ST-LEU ESSERENT 2/2</t>
  </si>
  <si>
    <t>Rassemblement sur une seul voie Tapis Canon; Sauterrelle 2000 et Jicad 2 // Contact Yohan Bouche 0669620270</t>
  </si>
  <si>
    <t>manœuvres non réalisés/cécile n'a pas eu l'accès à l'EP // triage saturé</t>
  </si>
  <si>
    <t>Verberie 3/3</t>
  </si>
  <si>
    <t>MNV+SOMAIN</t>
  </si>
  <si>
    <t>VSG FSC DEPART NORD 1/2</t>
  </si>
  <si>
    <t>G12 1118 + 15 wagons</t>
  </si>
  <si>
    <t>VSG FSC DEPART NORD</t>
  </si>
  <si>
    <t>VSG FSC DEB+MNV 2/2</t>
  </si>
  <si>
    <t>G12 1118 + 3 wagons</t>
  </si>
  <si>
    <t>REDON</t>
  </si>
  <si>
    <t>V211 531-3+V211 635-2</t>
  </si>
  <si>
    <t xml:space="preserve">ormoy  </t>
  </si>
  <si>
    <t>Regaleuse R21</t>
  </si>
  <si>
    <t>Train TTX 300M et 150T en G1206</t>
  </si>
  <si>
    <t>ajouter en op par Medhi Allam</t>
  </si>
  <si>
    <t xml:space="preserve">G12 n°1544 + 1WGS+RDF 4+1WGS </t>
  </si>
  <si>
    <t>Ormoy 1/3</t>
  </si>
  <si>
    <t>G1206 DVF 1552+ RGT 35</t>
  </si>
  <si>
    <t>RGT15 non prete pour le depart // Uniquement départ de la G12</t>
  </si>
  <si>
    <t>Valenton</t>
  </si>
  <si>
    <t>G1206 DVF 1552</t>
  </si>
  <si>
    <t>Chalons sur Saone</t>
  </si>
  <si>
    <t>G12 n°1544 + 1WGS+RDF 4+1WGS</t>
  </si>
  <si>
    <t>Retard au départ car déraillemen sur triage d'Achères - mise a disposition de la rame tardif - 2h30 d retard au départ</t>
  </si>
  <si>
    <t xml:space="preserve">G1206 n° + 109 3X+G1206 </t>
  </si>
  <si>
    <t>G12 1118 + wagon 33 87 393 6 236-0</t>
  </si>
  <si>
    <t>PARIS BATIGNOLLES</t>
  </si>
  <si>
    <t>Annulé le 3/12 par %/LAFORGE</t>
  </si>
  <si>
    <t>G12 1124+6EX</t>
  </si>
  <si>
    <t>V212 n°580-0+13 R93</t>
  </si>
  <si>
    <t>G1206 n°1497+108 4S 5851</t>
  </si>
  <si>
    <t>G1206 n°1497+RGT 35 ou R21</t>
  </si>
  <si>
    <t xml:space="preserve">STAB 82BG </t>
  </si>
  <si>
    <t>VSG fsc débranchement V16</t>
  </si>
  <si>
    <t>Les Aubrais 2/2</t>
  </si>
  <si>
    <t>MNV POUR FORMATION RAME G12 1118 + V212 n°580-0+13 R93</t>
  </si>
  <si>
    <t>Grand pont 2/2</t>
  </si>
  <si>
    <t>CARNOULES</t>
  </si>
  <si>
    <t>AVIGNON 1/2</t>
  </si>
  <si>
    <t>dimanche</t>
  </si>
  <si>
    <t>AVIGNON</t>
  </si>
  <si>
    <t>ST JORY 2/2</t>
  </si>
  <si>
    <t>probème avec la boite de vitesse de la machine // Arrêt a St Aignan de 08h - 13h puis reprise verq Gièvres // 12h d'amplitude pour Sebastien NEBOUT</t>
  </si>
  <si>
    <t>G1206 n°1124+6 EX</t>
  </si>
  <si>
    <t>bourr 1077</t>
  </si>
  <si>
    <t>TERGNIER 1/2</t>
  </si>
  <si>
    <t>G1206 n°1544+DGS 72NR</t>
  </si>
  <si>
    <t>G1206 n°1544 + DGS62N</t>
  </si>
  <si>
    <t xml:space="preserve">Loco partit du chantier avec 50%  et  laissé à Coutras avec 13% sans avoir prévenu le PC </t>
  </si>
  <si>
    <t xml:space="preserve">Ouverture litige avec S2TF. </t>
  </si>
  <si>
    <t xml:space="preserve">ORMOY  </t>
  </si>
  <si>
    <t xml:space="preserve">G1206 n° + 109 3 X+ G1206 n° </t>
  </si>
  <si>
    <t>Probleme de KvB sur la machine - rapatriement d'une loco de Verberie pour faire l'acheminement</t>
  </si>
  <si>
    <t>loco requisitionne par la sncf pour assurer un secours</t>
  </si>
  <si>
    <t xml:space="preserve">V211 n°580-0+V211 n°531-3+4 R93 </t>
  </si>
  <si>
    <t xml:space="preserve">V211 n°531-3+4 R93 </t>
  </si>
  <si>
    <t>PORTES 3/3</t>
  </si>
  <si>
    <t>G1206 n° 1516+ RDF 6,7 et 8</t>
  </si>
  <si>
    <t>60105 + 13 WAGONS</t>
  </si>
  <si>
    <t>V211 528-9+V211 527-1</t>
  </si>
  <si>
    <t>G1206 n° +1 WGS+RDF2+1WGS+MFS6820</t>
  </si>
  <si>
    <t>Panne machine Reprise Jeudi</t>
  </si>
  <si>
    <t>BOURR 109</t>
  </si>
  <si>
    <t>Reprise de la rame calé de la veille</t>
  </si>
  <si>
    <t>SABLE P74 2/2</t>
  </si>
  <si>
    <t>G12 1486+20 wagons</t>
  </si>
  <si>
    <t>G1206 n°1544 + B4519</t>
  </si>
  <si>
    <t>BML 6490</t>
  </si>
  <si>
    <t>G12 1486+60015</t>
  </si>
  <si>
    <t>G12 1486+60020</t>
  </si>
  <si>
    <t>Stab arrivé dans le mauvais sens suite mauvais itinéraire tracé par Valenton
Demande faite auprès du CDTX en opérationnel si besoin de retourner mais pas d'impacts sur le chantier</t>
  </si>
  <si>
    <t>51</t>
  </si>
  <si>
    <t>EU4025</t>
  </si>
  <si>
    <t xml:space="preserve">G12 1547+ Bourreuse n°1362 </t>
  </si>
  <si>
    <t>PBERCY</t>
  </si>
  <si>
    <t>LES MUREAUX 1/2</t>
  </si>
  <si>
    <t>G1206 n°1665+1498</t>
  </si>
  <si>
    <t>G12 1498</t>
  </si>
  <si>
    <t xml:space="preserve">G1206 n°2081+2102 + RDF 6+7+8 </t>
  </si>
  <si>
    <t>G1206 n° + WAD 352 +Porte flèche</t>
  </si>
  <si>
    <t>Panne Moteur BML n°993</t>
  </si>
  <si>
    <t>G12 1497+Compo (109 3X+B4519+72NR+RGT35)</t>
  </si>
  <si>
    <t>portes</t>
  </si>
  <si>
    <t>sgmo</t>
  </si>
  <si>
    <t xml:space="preserve">V211 581-8+4 wagons </t>
  </si>
  <si>
    <t xml:space="preserve">VATRY 2/2 </t>
  </si>
  <si>
    <t>G12 1118 + 4 wagons</t>
  </si>
  <si>
    <t>La pression d’air du réservoir de démarrage est insuffisante (5 bars).</t>
  </si>
  <si>
    <t>G12 1665 + G12 1886</t>
  </si>
  <si>
    <t xml:space="preserve">V211 581-8+531-3+5 wagons </t>
  </si>
  <si>
    <t xml:space="preserve">G1206 n°1122+15 R93 </t>
  </si>
  <si>
    <t>VEB 1/2</t>
  </si>
  <si>
    <t xml:space="preserve">G1206 n° 2080+2081 </t>
  </si>
  <si>
    <t>AMM</t>
  </si>
  <si>
    <t xml:space="preserve">Machine non prete </t>
  </si>
  <si>
    <t>G12 + 60000</t>
  </si>
  <si>
    <t>G1206 1665</t>
  </si>
  <si>
    <t>Machine non prête repoussé au jeudi</t>
  </si>
  <si>
    <t>DGS 72NR</t>
  </si>
  <si>
    <t>G1206 n°1837+1838 + REVO</t>
  </si>
  <si>
    <t>Perrigny 2/2</t>
  </si>
  <si>
    <t xml:space="preserve">G1206 n° 1544+1 WGS+RDF2+1WGS+MFS6820 </t>
  </si>
  <si>
    <t>Hourcade</t>
  </si>
  <si>
    <t>Grand Pont</t>
  </si>
  <si>
    <t>G1206 n°1379+TEVO</t>
  </si>
  <si>
    <t>G12 2103</t>
  </si>
  <si>
    <t xml:space="preserve">G1206 n° 1837+1838 </t>
  </si>
  <si>
    <t>Étiquettes de lignes</t>
  </si>
  <si>
    <t>Nombre de NC</t>
  </si>
  <si>
    <t>Nombre de CONF</t>
  </si>
  <si>
    <t>janv</t>
  </si>
  <si>
    <t>févr</t>
  </si>
  <si>
    <t>mars</t>
  </si>
  <si>
    <t>avr</t>
  </si>
  <si>
    <t>mai</t>
  </si>
  <si>
    <t>juin</t>
  </si>
  <si>
    <t>juil</t>
  </si>
  <si>
    <t>Total général</t>
  </si>
  <si>
    <t>Colonne1</t>
  </si>
  <si>
    <t>ST2F</t>
  </si>
  <si>
    <t>CSTF</t>
  </si>
  <si>
    <t>Réunion prod Spot 2024</t>
  </si>
  <si>
    <t>dinamic</t>
  </si>
  <si>
    <t>Releve de compo</t>
  </si>
  <si>
    <t>Calé</t>
  </si>
  <si>
    <t>reprise rame calée</t>
  </si>
  <si>
    <t>taxi autorisé en opé</t>
  </si>
  <si>
    <t xml:space="preserve">Commentaires </t>
  </si>
  <si>
    <t>Actions</t>
  </si>
  <si>
    <t>Règles RH</t>
  </si>
  <si>
    <t>oui</t>
  </si>
  <si>
    <t>autorisé par GQ</t>
  </si>
  <si>
    <t>TRAPPES 1/3</t>
  </si>
  <si>
    <t>REDING 3/3</t>
  </si>
  <si>
    <t>CAHORS</t>
  </si>
  <si>
    <t xml:space="preserve"> travaux méca ( 701)</t>
  </si>
  <si>
    <t>Les ATTX sont habilités et auraient pu sortir la machine / Colas facturation à 50% pour TMN</t>
  </si>
  <si>
    <t xml:space="preserve">Zone Dense (702) </t>
  </si>
  <si>
    <t xml:space="preserve"> Sujet sur l'entrée à St Leu  //Un arbre est couché sur la voie 1 et 2 entre Jouy et la Villette St PRIEST (évènement durandal 320243) // réclamation OK par Younes</t>
  </si>
  <si>
    <t xml:space="preserve">Sablé </t>
  </si>
  <si>
    <t xml:space="preserve">trappes </t>
  </si>
  <si>
    <t xml:space="preserve">St Flo </t>
  </si>
  <si>
    <t>Dépassement JS Mahdi Layachi</t>
  </si>
  <si>
    <t>ST FLORENTIN SECOURS</t>
  </si>
  <si>
    <t>achères 1/2</t>
  </si>
  <si>
    <t>Reporté au 10 suite AM SAGID</t>
  </si>
  <si>
    <t xml:space="preserve">Montceau les M. </t>
  </si>
  <si>
    <t>strasbourg</t>
  </si>
  <si>
    <t>St florentin</t>
  </si>
  <si>
    <t>Mézy 2/2</t>
  </si>
  <si>
    <t>Metz 1/2</t>
  </si>
  <si>
    <t>PTH 1/4</t>
  </si>
  <si>
    <t>LES AUBRAIS 2/4</t>
  </si>
  <si>
    <t>ANGOULEME 3/4</t>
  </si>
  <si>
    <t>Raon l'étape 2/2</t>
  </si>
  <si>
    <t>Cannes 2/3</t>
  </si>
  <si>
    <t>spot annulé par le client</t>
  </si>
  <si>
    <t>ETF DR Sud  (706)</t>
  </si>
  <si>
    <t xml:space="preserve">annulation client le 09/01/2024 </t>
  </si>
  <si>
    <t>THIVIERS 4/4</t>
  </si>
  <si>
    <t xml:space="preserve">Cannes </t>
  </si>
  <si>
    <t>Vintimille  3/3</t>
  </si>
  <si>
    <t xml:space="preserve">annulation client 06/01/2024 </t>
  </si>
  <si>
    <t xml:space="preserve">Etf Haucancourt ( 701) </t>
  </si>
  <si>
    <t xml:space="preserve">Absence I. MORDI, remplacé par expert métier M. KAOUAH, départ avec 04h de retard. </t>
  </si>
  <si>
    <t xml:space="preserve">SGMO 1/2 </t>
  </si>
  <si>
    <t>Loco en panne de batterrie  partie avec 03h30 de retard.</t>
  </si>
  <si>
    <t xml:space="preserve">Suite à la panne de batterie la loco est arrivée trop tard à SGMO. 
Les manœuvres finissent à 16h00. </t>
  </si>
  <si>
    <t>MASSY PALAISEAU</t>
  </si>
  <si>
    <t xml:space="preserve">Samedi </t>
  </si>
  <si>
    <t>ST FLORENTIN (Secours)</t>
  </si>
  <si>
    <t>réalisé le 12/01</t>
  </si>
  <si>
    <t xml:space="preserve">longueil </t>
  </si>
  <si>
    <t>montigny beauchamp</t>
  </si>
  <si>
    <t>lens</t>
  </si>
  <si>
    <t>gievre</t>
  </si>
  <si>
    <t>allasac</t>
  </si>
  <si>
    <t>Incident matériel</t>
  </si>
  <si>
    <t>Retard au départ suite panne machine</t>
  </si>
  <si>
    <t>von</t>
  </si>
  <si>
    <t>Creil 1/2</t>
  </si>
  <si>
    <t xml:space="preserve">Creil </t>
  </si>
  <si>
    <t xml:space="preserve">calais 2/2 </t>
  </si>
  <si>
    <t xml:space="preserve">Externe ( 704) </t>
  </si>
  <si>
    <t xml:space="preserve">K. HENNEBBERD absent. Ce train était pour Transifer. 
Ahmed a confié la réalisaion du train à ST2F </t>
  </si>
  <si>
    <t>Avignon  font 1/2</t>
  </si>
  <si>
    <t>calé en opérationnel suite dérangement d'installation voir urandal 321725 / / Réclamation fait</t>
  </si>
  <si>
    <t>st flo</t>
  </si>
  <si>
    <t xml:space="preserve">ALLASAC </t>
  </si>
  <si>
    <t xml:space="preserve">VIERZON 1/2 </t>
  </si>
  <si>
    <t xml:space="preserve">sgmo </t>
  </si>
  <si>
    <t xml:space="preserve">Calé à Marseille suite panne machine </t>
  </si>
  <si>
    <t>calais</t>
  </si>
  <si>
    <t>valenton</t>
  </si>
  <si>
    <t>Ahmed a confié le train  à ST2F suite à la non réalisation du lundi. RAS</t>
  </si>
  <si>
    <t>marseille</t>
  </si>
  <si>
    <t>La maintenance s'est déplacée sur place main n'a pas pu dépanner.  Ils ont conclu que la loco devait être acheminée en véhicule</t>
  </si>
  <si>
    <t xml:space="preserve">Tessonière </t>
  </si>
  <si>
    <t xml:space="preserve">Narbonne  1/3 </t>
  </si>
  <si>
    <t xml:space="preserve">Jeudi </t>
  </si>
  <si>
    <t xml:space="preserve">Bezier </t>
  </si>
  <si>
    <t>Valencienne 2/3</t>
  </si>
  <si>
    <t>evo</t>
  </si>
  <si>
    <t>St Florentin</t>
  </si>
  <si>
    <t xml:space="preserve">Vendredi </t>
  </si>
  <si>
    <t xml:space="preserve">Lyon guillotiere </t>
  </si>
  <si>
    <t xml:space="preserve">Mantes Plaine </t>
  </si>
  <si>
    <t xml:space="preserve">Poissy </t>
  </si>
  <si>
    <t xml:space="preserve">Marseille </t>
  </si>
  <si>
    <t>annulation client  // CTSF n'a pas été en mesure de rapatrier la loco qui devait tracter la loco en panne.</t>
  </si>
  <si>
    <t xml:space="preserve">Vernouillet </t>
  </si>
  <si>
    <t>Garolille</t>
  </si>
  <si>
    <t xml:space="preserve">:  Aiguille bloquée à cause des intempéries, la régulation n’est pas en mesure de nous communiquer un horaire pour la reprise. </t>
  </si>
  <si>
    <t>Auxerre (retournement)</t>
  </si>
  <si>
    <t>AMOR non conforme</t>
  </si>
  <si>
    <t xml:space="preserve">Il s'agissait de retourner le 42N qui est arrivé à l'envers l'AMOR n'était pas à la bonne date.  Les ressources uilisées étaient  celle prévues pour retourner le T2vo initialement </t>
  </si>
  <si>
    <t xml:space="preserve">Lille St Sauveur </t>
  </si>
  <si>
    <t>Rame non préparé</t>
  </si>
  <si>
    <t xml:space="preserve">annulé et reporté au mardi car la rame n'avait pas été formée </t>
  </si>
  <si>
    <t>JY</t>
  </si>
  <si>
    <t xml:space="preserve">St Flo // Laroche M. </t>
  </si>
  <si>
    <t xml:space="preserve">St flo </t>
  </si>
  <si>
    <t>St-Flo</t>
  </si>
  <si>
    <t>Trappes 1/4</t>
  </si>
  <si>
    <t>Sotteville 2/4</t>
  </si>
  <si>
    <t>St-Flo 4/4</t>
  </si>
  <si>
    <t>Départ en retard  Agent  non présente à Trappes.  // Cécile sur répondeur car AMO (à reoucler avec Cécile)</t>
  </si>
  <si>
    <t>La loco a été mise sur un TTX. A la place d'être mis sur le train. Programmation non suivie en BA (Action Mehdi ALLAM)</t>
  </si>
  <si>
    <t>MONTIGNY BEAUCHAMP 1/2</t>
  </si>
  <si>
    <t xml:space="preserve">Reporté au 25/01 </t>
  </si>
  <si>
    <t xml:space="preserve">ST FLORENTIN 2/2 </t>
  </si>
  <si>
    <r>
      <t xml:space="preserve">calé à Melun (retard au départ + travaux sur axe PN) // </t>
    </r>
    <r>
      <rPr>
        <sz val="11"/>
        <color rgb="FFFF0000"/>
        <rFont val="Calibri"/>
        <family val="2"/>
        <scheme val="minor"/>
      </rPr>
      <t>Réclamation à faire</t>
    </r>
  </si>
  <si>
    <t>TRAPPES1/2</t>
  </si>
  <si>
    <t xml:space="preserve">ST LEU </t>
  </si>
  <si>
    <t>Décision St Leu</t>
  </si>
  <si>
    <t xml:space="preserve">Vierzon </t>
  </si>
  <si>
    <t xml:space="preserve">Montceau </t>
  </si>
  <si>
    <t>annulé suite  au calage du St Flo // Beauchamp  //Reprise S+1</t>
  </si>
  <si>
    <t>Evènement sécurité</t>
  </si>
  <si>
    <t>2 prises en charge KVB / Manœuvres rajoutées en début de mission (1h en plus)</t>
  </si>
  <si>
    <t>Melun</t>
  </si>
  <si>
    <t>MORET 1/2</t>
  </si>
  <si>
    <t>MARSEILLE</t>
  </si>
  <si>
    <t xml:space="preserve">La  VA de la V211 581 HS  pas de TES G   sur place pour reprende l'acheminement </t>
  </si>
  <si>
    <t>st flo . 1/3</t>
  </si>
  <si>
    <t xml:space="preserve">Retenu en ligne suite à  une demande de secrous d'un train Eurocargo à St Flo train est arrivé à St Flo avec 3h de retards, la suite ne s'est pas faite </t>
  </si>
  <si>
    <t>Von 2/3</t>
  </si>
  <si>
    <t xml:space="preserve">Non réalisé </t>
  </si>
  <si>
    <t>LMU 1/2</t>
  </si>
  <si>
    <t>ST FLO 2/2</t>
  </si>
  <si>
    <t xml:space="preserve">Melun </t>
  </si>
  <si>
    <t xml:space="preserve">VON </t>
  </si>
  <si>
    <t>POSTE 74 3/3</t>
  </si>
  <si>
    <t>non réalisé suite au train calé ( St Flo // Von du 29/01.</t>
  </si>
  <si>
    <t>ST-FLO</t>
  </si>
  <si>
    <r>
      <t xml:space="preserve">JOIGNY  </t>
    </r>
    <r>
      <rPr>
        <b/>
        <sz val="20"/>
        <color theme="1"/>
        <rFont val="Calibri"/>
        <family val="2"/>
        <scheme val="minor"/>
      </rPr>
      <t>Laroche 1/2</t>
    </r>
  </si>
  <si>
    <t>acheminement repris par colas suite à suspension CDT.</t>
  </si>
  <si>
    <r>
      <t xml:space="preserve">JOIGNY </t>
    </r>
    <r>
      <rPr>
        <b/>
        <sz val="20"/>
        <color theme="1"/>
        <rFont val="Calibri"/>
        <family val="2"/>
        <scheme val="minor"/>
      </rPr>
      <t xml:space="preserve">Laroches </t>
    </r>
  </si>
  <si>
    <t>ST-FLO 2/2</t>
  </si>
  <si>
    <t xml:space="preserve">Absence de Roonei </t>
  </si>
  <si>
    <t>VON-  VSG</t>
  </si>
  <si>
    <t xml:space="preserve">S2TF </t>
  </si>
  <si>
    <t>MONTLUCON 1/2</t>
  </si>
  <si>
    <t xml:space="preserve">DEG non sortit du domaine fermé </t>
  </si>
  <si>
    <t>MONTLUCON</t>
  </si>
  <si>
    <t>Laroche 1/2</t>
  </si>
  <si>
    <t xml:space="preserve">Laroches </t>
  </si>
  <si>
    <t>ST ETIENNE 1/2</t>
  </si>
  <si>
    <t>ST ETIENNE</t>
  </si>
  <si>
    <t xml:space="preserve">Chalon </t>
  </si>
  <si>
    <t xml:space="preserve">Sens  1/2 </t>
  </si>
  <si>
    <t>MBP 2/2</t>
  </si>
  <si>
    <t xml:space="preserve">Non réalisé la loco 60093 qui devait partir était utilisée pour les manœuvres </t>
  </si>
  <si>
    <t xml:space="preserve">Sens </t>
  </si>
  <si>
    <t>Villefranche</t>
  </si>
  <si>
    <t xml:space="preserve">P74 </t>
  </si>
  <si>
    <t>Sablé 1/3</t>
  </si>
  <si>
    <t>ANGERS 2/3</t>
  </si>
  <si>
    <t xml:space="preserve">Beauchamp </t>
  </si>
  <si>
    <t>Reporté en pré-op faute disponibiltié CDT</t>
  </si>
  <si>
    <t xml:space="preserve">St FLO </t>
  </si>
  <si>
    <t>Wagons non conforme</t>
  </si>
  <si>
    <t xml:space="preserve">Dimanche </t>
  </si>
  <si>
    <t xml:space="preserve">Valenton </t>
  </si>
  <si>
    <t xml:space="preserve">St Flo ( Secours) </t>
  </si>
  <si>
    <t>Secours annulé, l'ache initial s'étant bien déroulé</t>
  </si>
  <si>
    <t>ST Florentin</t>
  </si>
  <si>
    <t>ST MICHEL VALLOIRE</t>
  </si>
  <si>
    <t xml:space="preserve">Plannifié en P74 // Beauvais. 
Modifié en opé en P74 // PTH  car plage travaux  Creil // Beauvais 
lz suite réalisé le mercredi 07/02. </t>
  </si>
  <si>
    <t xml:space="preserve">MMI </t>
  </si>
  <si>
    <t>Paray 1/2</t>
  </si>
  <si>
    <t xml:space="preserve">Transifer </t>
  </si>
  <si>
    <t xml:space="preserve">Paray </t>
  </si>
  <si>
    <t xml:space="preserve">MMI  2/2 </t>
  </si>
  <si>
    <t>TOLBIAC 1/2</t>
  </si>
  <si>
    <t>TOLBIAC</t>
  </si>
  <si>
    <t xml:space="preserve">calé à Tolbiac  suite à une DFV posée sur l'entrée du triage empêchant l'accès aux voies. </t>
  </si>
  <si>
    <t xml:space="preserve">supprimé </t>
  </si>
  <si>
    <t xml:space="preserve">Annulé suite à une panne loco. V211 580  </t>
  </si>
  <si>
    <t>BRIVE LA GAILLARDE 2/2</t>
  </si>
  <si>
    <t>annulé  reporté au 08/02.</t>
  </si>
  <si>
    <t xml:space="preserve">Nevers </t>
  </si>
  <si>
    <t>MONTARGIS 2/5</t>
  </si>
  <si>
    <t xml:space="preserve">Train de reprise de S. MICHELAND </t>
  </si>
  <si>
    <t xml:space="preserve">BEAUVAIS </t>
  </si>
  <si>
    <t xml:space="preserve">Repreise du P74 // PTH </t>
  </si>
  <si>
    <t xml:space="preserve">PTH 1/2 </t>
  </si>
  <si>
    <t>LYON</t>
  </si>
  <si>
    <t>LAROCHE 1/3</t>
  </si>
  <si>
    <t xml:space="preserve">LAROCHE </t>
  </si>
  <si>
    <t>TRAPPES 2/3</t>
  </si>
  <si>
    <t xml:space="preserve">Ronnei pas habilité sur la ligne  Etude de ligne réalisé + acheminement décallé au lendemain </t>
  </si>
  <si>
    <t>loco et wagons stationnées voie 33 poste 4-5  // Nombreuses manœuvres pour dégarer la rame, une fois présenté au départ la régulation à refusé le départ, cause plage travaux.</t>
  </si>
  <si>
    <t>VSG 3/5</t>
  </si>
  <si>
    <t>GIEVRES 5/5</t>
  </si>
  <si>
    <t>Juvisy 6/6</t>
  </si>
  <si>
    <t xml:space="preserve">Sens de travail non  respecté </t>
  </si>
  <si>
    <t xml:space="preserve">Tolbiac </t>
  </si>
  <si>
    <t>Repris depuis la voie 33 poste 4-5</t>
  </si>
  <si>
    <t>Tonnerre</t>
  </si>
  <si>
    <t>St flo</t>
  </si>
  <si>
    <t xml:space="preserve">Colas </t>
  </si>
  <si>
    <t xml:space="preserve">Loco enterrée sur le chantier </t>
  </si>
  <si>
    <t>VRZ 1/2</t>
  </si>
  <si>
    <t xml:space="preserve">Reprise du 11/02/2024  </t>
  </si>
  <si>
    <t xml:space="preserve">Retard au départ car la machine n'avait plus de fuel. 
S2TF ne s'est pas rendu compte que la machine était vide, un petit rappel "amical" a été fait à Othman pour sensibiliser ses conducteurs. </t>
  </si>
  <si>
    <t>ST GEORGES D'AURAC 2/3</t>
  </si>
  <si>
    <t xml:space="preserve">V211 580 en panne au moment du départ. </t>
  </si>
  <si>
    <t xml:space="preserve">annulé suite absence de place à St- LEU  : 
Sébastien RIPPON s'est rendu à St leu dans la matinée  et il a constaté qu'il n'y avait pas de voies assez longues pour accueillir la rame de wagons. 
P. CARPENTIER a décidé d'annuler l'cheminement 
et de faire un St Flo // Laroche // St FLO 
Un devis pour le paiement de l'acheminement en entier a été envoyé </t>
  </si>
  <si>
    <t xml:space="preserve">St LEU </t>
  </si>
  <si>
    <t xml:space="preserve">achères </t>
  </si>
  <si>
    <t xml:space="preserve">BY </t>
  </si>
  <si>
    <t>changement de machine</t>
  </si>
  <si>
    <t>TRA</t>
  </si>
  <si>
    <t xml:space="preserve">Dépassement de JS  de S. MICHELAND  Stéphane réalisait un Beauchamp // Trappes pour récupérer un wagon et ensuite Trappes // St FLo. 
une fois arrivé à Trappes le portail pour entrée sur la base arrière était fermé, l'agent sol ne pouvait pas accéder à la rame ( à Pied). 
Une solution a été trouvée cependant l'achemienement a prit du retard. </t>
  </si>
  <si>
    <t>Paris Tolbiac</t>
  </si>
  <si>
    <t>p74 3/3</t>
  </si>
  <si>
    <t xml:space="preserve">VSG  1/2 </t>
  </si>
  <si>
    <t xml:space="preserve">Lille D 2/2 </t>
  </si>
  <si>
    <t xml:space="preserve">Le Bourget </t>
  </si>
  <si>
    <t>sous-Traitanace</t>
  </si>
  <si>
    <t>2 heures de retard / Pb de commande OSS par la SNCF cause SNCF</t>
  </si>
  <si>
    <t xml:space="preserve">Réception Massy </t>
  </si>
  <si>
    <t>Cécile effectue la rentrée d'un train  TFE - Pb métier sol à la réception (mail de Cécile à traiter par le pôle expert) + Sujet de conception par TFE (engin non enregistré pour accéder aux voies ratp)</t>
  </si>
  <si>
    <t>St Flo</t>
  </si>
  <si>
    <t>X </t>
  </si>
  <si>
    <r>
      <t>701</t>
    </r>
    <r>
      <rPr>
        <b/>
        <sz val="16"/>
        <color rgb="FF000000"/>
        <rFont val="Inherit"/>
      </rPr>
      <t> </t>
    </r>
  </si>
  <si>
    <r>
      <t> </t>
    </r>
    <r>
      <rPr>
        <sz val="11"/>
        <color rgb="FF242424"/>
        <rFont val="Calibri"/>
        <family val="2"/>
      </rPr>
      <t>Manquait la date sur l’AMOR / reprise le jour même</t>
    </r>
  </si>
  <si>
    <t>Brive</t>
  </si>
  <si>
    <r>
      <t> </t>
    </r>
    <r>
      <rPr>
        <sz val="11"/>
        <color rgb="FF242424"/>
        <rFont val="Calibri"/>
        <family val="2"/>
      </rPr>
      <t>Problématique Sens de travail / Pas d’impact annoncé</t>
    </r>
  </si>
  <si>
    <t>tolbiac</t>
  </si>
  <si>
    <t> X</t>
  </si>
  <si>
    <t>Compiègne</t>
  </si>
  <si>
    <t>Montreau</t>
  </si>
  <si>
    <r>
      <t> </t>
    </r>
    <r>
      <rPr>
        <b/>
        <sz val="20"/>
        <color rgb="FF000000"/>
        <rFont val="Inherit"/>
      </rPr>
      <t>X</t>
    </r>
  </si>
  <si>
    <t>Mardi</t>
  </si>
  <si>
    <r>
      <t>pas de marche obtenu</t>
    </r>
    <r>
      <rPr>
        <sz val="11"/>
        <color rgb="FF242424"/>
        <rFont val="Calibri"/>
        <family val="2"/>
      </rPr>
      <t>e-reportée au lendemain</t>
    </r>
  </si>
  <si>
    <r>
      <t> </t>
    </r>
    <r>
      <rPr>
        <sz val="11"/>
        <color rgb="FF242424"/>
        <rFont val="Calibri"/>
        <family val="2"/>
      </rPr>
      <t>idem</t>
    </r>
  </si>
  <si>
    <t>Etaples</t>
  </si>
  <si>
    <t>X ?</t>
  </si>
  <si>
    <t xml:space="preserve">probleme d'aiguille au départ </t>
  </si>
  <si>
    <t>X GI</t>
  </si>
  <si>
    <t>Reding</t>
  </si>
  <si>
    <t>Blainville 1/2</t>
  </si>
  <si>
    <t>annulé incompréhension avec ETF, demande pour vendredi</t>
  </si>
  <si>
    <t>Blainville</t>
  </si>
  <si>
    <t>sablé</t>
  </si>
  <si>
    <t>X client</t>
  </si>
  <si>
    <r>
      <t> </t>
    </r>
    <r>
      <rPr>
        <sz val="11"/>
        <color rgb="FF242424"/>
        <rFont val="Calibri"/>
        <family val="2"/>
      </rPr>
      <t>Le puscal est resté sur place car n’a pas pu être reprofilé cause chargement</t>
    </r>
  </si>
  <si>
    <t>St Flo 2/2</t>
  </si>
  <si>
    <r>
      <t>X</t>
    </r>
    <r>
      <rPr>
        <b/>
        <sz val="20"/>
        <color rgb="FF808080"/>
        <rFont val="Inherit"/>
      </rPr>
      <t> </t>
    </r>
  </si>
  <si>
    <r>
      <t> </t>
    </r>
    <r>
      <rPr>
        <sz val="11"/>
        <color rgb="FF242424"/>
        <rFont val="Calibri"/>
        <family val="2"/>
      </rPr>
      <t>Besoin client a changé</t>
    </r>
  </si>
  <si>
    <t>Montereau 1/2</t>
  </si>
  <si>
    <r>
      <t>X</t>
    </r>
    <r>
      <rPr>
        <b/>
        <sz val="20"/>
        <color rgb="FF000000"/>
        <rFont val="Inherit"/>
      </rPr>
      <t> </t>
    </r>
  </si>
  <si>
    <t> X ?</t>
  </si>
  <si>
    <r>
      <t> </t>
    </r>
    <r>
      <rPr>
        <sz val="11"/>
        <color rgb="FF242424"/>
        <rFont val="Calibri"/>
        <family val="2"/>
      </rPr>
      <t>Annulé ; à confirmer pour la cause / reporté S+1</t>
    </r>
  </si>
  <si>
    <t>Reding 2/2</t>
  </si>
  <si>
    <t>St Florentin 2/2</t>
  </si>
  <si>
    <t>ook</t>
  </si>
  <si>
    <t>Vernouillet 2/2</t>
  </si>
  <si>
    <t>ETAPLES 2/2</t>
  </si>
  <si>
    <t xml:space="preserve">pas d'agent au sol au départ // Départ trop tôt  l'agent au sol n'était pas  la. 
A noter des contrainte pour sortir de Mézy , travaux entre 08h et 16h  au niveau du terminus une fermeture d'Argenteuil à 16h30. 
</t>
  </si>
  <si>
    <t>MANTES LA JOLIE 1/2</t>
  </si>
  <si>
    <t xml:space="preserve">Compo :  BB 6000 + Bourreuse. 
sujet 1 pas de lanterne de queue, Driss en a apporté. 
sujet 2  Mais La loco était positionnée coté province il n'y avait pas d'agent SNCF dispo pour manœuvrer l'aiguille coté province; 
Après discussion avec Vincent CHAHMERIAN il a envoyé d' urgence un C1 à Compiègne  et la bourreuse a pu partir en autonome. 
</t>
  </si>
  <si>
    <t>St-Florentin 2/2</t>
  </si>
  <si>
    <t xml:space="preserve">ETF Suite rapide nationale ( 705) </t>
  </si>
  <si>
    <t xml:space="preserve">non pris en compte par Colas / plan de reprise monté avec S; MICHELAND qui a monté la loco à Metz. </t>
  </si>
  <si>
    <r>
      <rPr>
        <b/>
        <strike/>
        <sz val="20"/>
        <color theme="1"/>
        <rFont val="Calibri"/>
        <family val="2"/>
        <scheme val="minor"/>
      </rPr>
      <t xml:space="preserve">VAIRES </t>
    </r>
    <r>
      <rPr>
        <b/>
        <sz val="20"/>
        <color theme="1"/>
        <rFont val="Calibri"/>
        <family val="2"/>
        <scheme val="minor"/>
      </rPr>
      <t>MTB</t>
    </r>
  </si>
  <si>
    <r>
      <rPr>
        <b/>
        <strike/>
        <sz val="20"/>
        <color theme="1"/>
        <rFont val="Calibri"/>
        <family val="2"/>
        <scheme val="minor"/>
      </rPr>
      <t xml:space="preserve">REDING </t>
    </r>
    <r>
      <rPr>
        <b/>
        <sz val="20"/>
        <color theme="1"/>
        <rFont val="Calibri"/>
        <family val="2"/>
        <scheme val="minor"/>
      </rPr>
      <t>Metz 1/4</t>
    </r>
  </si>
  <si>
    <t>St fLorentin</t>
  </si>
  <si>
    <t xml:space="preserve">Laroche </t>
  </si>
  <si>
    <t>Réding 2/4</t>
  </si>
  <si>
    <t>ST Vaires  3/4</t>
  </si>
  <si>
    <t>Calé suite plage travaux à Champigneulle. Crochet négatif</t>
  </si>
  <si>
    <t xml:space="preserve"> ETF Lens ( 701) </t>
  </si>
  <si>
    <t xml:space="preserve">Non réalisé panne machine </t>
  </si>
  <si>
    <t>MANTES LA JOLIE</t>
  </si>
  <si>
    <t xml:space="preserve">Compiègne </t>
  </si>
  <si>
    <t xml:space="preserve">ST FLORENTIN </t>
  </si>
  <si>
    <t>MONTEREAU 1/2</t>
  </si>
  <si>
    <t>ST FLORENTIN 2/2</t>
  </si>
  <si>
    <t xml:space="preserve">annulation client </t>
  </si>
  <si>
    <t>Champigneules</t>
  </si>
  <si>
    <t xml:space="preserve">Repris par Stéphane </t>
  </si>
  <si>
    <t>ST Flo 4/4</t>
  </si>
  <si>
    <t xml:space="preserve">annulé suite au calage de l'acheminement précédent // la ressource a été réutilisé et placé sur le Argenteuil // Lille. </t>
  </si>
  <si>
    <t>DRANCY</t>
  </si>
  <si>
    <t>a remonter suite rame calée</t>
  </si>
  <si>
    <t xml:space="preserve">TES G  non planifié.  </t>
  </si>
  <si>
    <t xml:space="preserve">annulé par le chantier de Sablé </t>
  </si>
  <si>
    <t xml:space="preserve">Argenteuil </t>
  </si>
  <si>
    <t>Lille D</t>
  </si>
  <si>
    <t>Thiviers</t>
  </si>
  <si>
    <t>NEVERS 2/2</t>
  </si>
  <si>
    <r>
      <rPr>
        <b/>
        <strike/>
        <sz val="20"/>
        <color theme="1"/>
        <rFont val="Calibri"/>
        <family val="2"/>
        <scheme val="minor"/>
      </rPr>
      <t xml:space="preserve">Juvisy   </t>
    </r>
    <r>
      <rPr>
        <b/>
        <sz val="20"/>
        <color theme="1"/>
        <rFont val="Calibri"/>
        <family val="2"/>
        <scheme val="minor"/>
      </rPr>
      <t>Trappes1/2</t>
    </r>
  </si>
  <si>
    <t>St FLO</t>
  </si>
  <si>
    <t>AUNEAU</t>
  </si>
  <si>
    <t>ST Georges d'Aurac</t>
  </si>
  <si>
    <t xml:space="preserve">oui S. Nebout </t>
  </si>
  <si>
    <t xml:space="preserve">Les mureaux </t>
  </si>
  <si>
    <t>Entree massy</t>
  </si>
  <si>
    <t>Becon les bruyères</t>
  </si>
  <si>
    <t xml:space="preserve">Etaples </t>
  </si>
  <si>
    <t>Von 1/2</t>
  </si>
  <si>
    <t>Von</t>
  </si>
  <si>
    <t>Montargis 2/2</t>
  </si>
  <si>
    <t xml:space="preserve">Mézy </t>
  </si>
  <si>
    <r>
      <t xml:space="preserve">Dans la plannification l'acheminement était un Perrigny // Trappes. Modifié en Opé  en Mézy // Trappes  - Changement de dernière minute </t>
    </r>
    <r>
      <rPr>
        <sz val="11"/>
        <color rgb="FFFF0000"/>
        <rFont val="Calibri"/>
        <family val="2"/>
        <scheme val="minor"/>
      </rPr>
      <t>// A CONFIRMER</t>
    </r>
    <r>
      <rPr>
        <sz val="11"/>
        <color theme="1"/>
        <rFont val="Calibri"/>
        <family val="2"/>
        <scheme val="minor"/>
      </rPr>
      <t xml:space="preserve"> @ Rackie</t>
    </r>
  </si>
  <si>
    <t>Epernay  1/3</t>
  </si>
  <si>
    <t xml:space="preserve">Epernay </t>
  </si>
  <si>
    <t>Mezy 2/3</t>
  </si>
  <si>
    <t>Mezy</t>
  </si>
  <si>
    <t>Juvisy 3/3</t>
  </si>
  <si>
    <t xml:space="preserve">Montereau </t>
  </si>
  <si>
    <t>St FLO 2/2</t>
  </si>
  <si>
    <t xml:space="preserve">Chartres 2/3 </t>
  </si>
  <si>
    <t>Chartres</t>
  </si>
  <si>
    <t>Juvisy 2/3</t>
  </si>
  <si>
    <t xml:space="preserve">Cartouche du wagon non-conforme (sujet propriétaire Ermewa) / A confirmer si fait </t>
  </si>
  <si>
    <t>Gievre 2/2</t>
  </si>
  <si>
    <t xml:space="preserve">calé à Blois suite panne EM / Panne GNR suite panne jauge </t>
  </si>
  <si>
    <t xml:space="preserve">Persan 1/2 </t>
  </si>
  <si>
    <t xml:space="preserve">Longueau 2/2 </t>
  </si>
  <si>
    <t>Gievres 3/3</t>
  </si>
  <si>
    <t>Dépassement JS Ronnei 14h30 // Rackie reboucle avec Ronnei afin de ne plus reproduire ce type de dépassement</t>
  </si>
  <si>
    <t>Blois</t>
  </si>
  <si>
    <t>Gievres</t>
  </si>
  <si>
    <t>loco on réparé</t>
  </si>
  <si>
    <t>Nimes</t>
  </si>
  <si>
    <t>Les mureaux</t>
  </si>
  <si>
    <t>reding</t>
  </si>
  <si>
    <t xml:space="preserve">annulé   à j-1 loco pas prête </t>
  </si>
  <si>
    <t>La garenne colombes</t>
  </si>
  <si>
    <t>Genevilliers</t>
  </si>
  <si>
    <t>Montargis</t>
  </si>
  <si>
    <t>Brive Croix st Jacques</t>
  </si>
  <si>
    <t xml:space="preserve">Lens </t>
  </si>
  <si>
    <t>BRIVE LA GAILLARDE</t>
  </si>
  <si>
    <t>Vierzon  1/3</t>
  </si>
  <si>
    <t>Blois1 /4</t>
  </si>
  <si>
    <t xml:space="preserve">Blois </t>
  </si>
  <si>
    <t>Pas de lanterne de queue (G1206 n°1128) / JS de 11h30 pour Stéphane (dont 3h de temps d'arrêt à Sens + temps d'arrêt à LAR trop court pour faire un TàQ : 20 min au lieu de 45')</t>
  </si>
  <si>
    <t>Valenton 2/3</t>
  </si>
  <si>
    <t xml:space="preserve">Lison </t>
  </si>
  <si>
    <t>Montereau 2/2</t>
  </si>
  <si>
    <t>montereau</t>
  </si>
  <si>
    <t>SGO</t>
  </si>
  <si>
    <t>Besancon</t>
  </si>
  <si>
    <t xml:space="preserve">Loco non fuelé un fuel a été fait à Perrigny  + Incident sur la ligne  évenement durandal  329215 </t>
  </si>
  <si>
    <t>Départ avec 2h de retard pour que Stéphane puisse respecter son temps de repos.</t>
  </si>
  <si>
    <t xml:space="preserve">Dijon Perrigny </t>
  </si>
  <si>
    <t xml:space="preserve">Besançon </t>
  </si>
  <si>
    <t>SPDC  3/4</t>
  </si>
  <si>
    <t>ANGOULEME 4/4</t>
  </si>
  <si>
    <t xml:space="preserve">BESANCON </t>
  </si>
  <si>
    <t xml:space="preserve">reporté au 13/03 </t>
  </si>
  <si>
    <t>reporté au 13/04</t>
  </si>
  <si>
    <t>Mézy</t>
  </si>
  <si>
    <t xml:space="preserve">Laroche M 1/3 </t>
  </si>
  <si>
    <t>Juvisy 01/03</t>
  </si>
  <si>
    <t>la NUIT 1/2</t>
  </si>
  <si>
    <t>transifer</t>
  </si>
  <si>
    <t xml:space="preserve">annulé par le client car la machine devait intégrer le TTX  le soir même. 
Le client nous a prévenu  au moment du départ </t>
  </si>
  <si>
    <t>la nuit</t>
  </si>
  <si>
    <t>ST Florentin  2/2</t>
  </si>
  <si>
    <t xml:space="preserve">Voir Presta au lundi </t>
  </si>
  <si>
    <t>Metz 2/3</t>
  </si>
  <si>
    <t xml:space="preserve">Laroche M </t>
  </si>
  <si>
    <t>St Florentin 2/3</t>
  </si>
  <si>
    <t>Besancon 3/3</t>
  </si>
  <si>
    <t>Annulation client la rame les vad et la deg qui était dans le convoi n'était pas dans le même sens.  Il a fallut monter un nouvel acheminement St- Laroche -St Flo . Retournement aurait dû être fait le jour d'avant mais plantage de Colas à J-1 ou jour J.Stéphane est venu récup machine calée à LAR, mais n'a pas pu aller à BN car rame non retournée; STéphane aurait dû être prévenu plus tôt qu'il n'allait pas jusqu'à Besançon pour organisation de son trajet. Stéphane a dû faire le retournement et du cioup une autre JS de 11h30. Sébastien a été déclenché pour faire le retournement avec Stéphane, JS conforme mais départ avec 01h40 de retard (pas de BF ni EF fait dans les temps).</t>
  </si>
  <si>
    <t xml:space="preserve">Epluches </t>
  </si>
  <si>
    <t>Longueau 1/3</t>
  </si>
  <si>
    <t>Lens 2/3</t>
  </si>
  <si>
    <t>Montceau les mines</t>
  </si>
  <si>
    <t>Angouleme</t>
  </si>
  <si>
    <t xml:space="preserve">Ruffec </t>
  </si>
  <si>
    <t>Laroche  1/2</t>
  </si>
  <si>
    <t>Départ avec du retard</t>
  </si>
  <si>
    <t xml:space="preserve">St Flo  2/2 </t>
  </si>
  <si>
    <t>Caen 1/2</t>
  </si>
  <si>
    <t>Caen</t>
  </si>
  <si>
    <t>Lison 2/2</t>
  </si>
  <si>
    <t>Thionville 3/3</t>
  </si>
  <si>
    <t>Pas de lanterne de queue, Sébastien RIPPON a donné les siennes.</t>
  </si>
  <si>
    <t>Lison</t>
  </si>
  <si>
    <t>Pas de Lanterne de queue Cécile à laissé ses lanternes</t>
  </si>
  <si>
    <t>montargis</t>
  </si>
  <si>
    <t xml:space="preserve">Juisy </t>
  </si>
  <si>
    <t>acheres</t>
  </si>
  <si>
    <t xml:space="preserve">Mantes </t>
  </si>
  <si>
    <t>persan</t>
  </si>
  <si>
    <t>Annulé, la SNCF a retiré l'agent sol à Vernouillet (info donnée à J-1, reprise prévue le LU 18/03)</t>
  </si>
  <si>
    <t>annulé et reporté au 19/03</t>
  </si>
  <si>
    <t>PERSAN 1/3</t>
  </si>
  <si>
    <t>Achères 2/3</t>
  </si>
  <si>
    <t xml:space="preserve">Achères </t>
  </si>
  <si>
    <t>Vernouillet 3/3</t>
  </si>
  <si>
    <t>Sillons SNCF n'étaient pas bons (départ avant dispo des machines)</t>
  </si>
  <si>
    <t>Tolbiac 1/2</t>
  </si>
  <si>
    <t>Tolbiac</t>
  </si>
  <si>
    <t>Juvisy 2/2</t>
  </si>
  <si>
    <t>Arrivée tardive, fermeture du poste</t>
  </si>
  <si>
    <t>Joigny 1/3</t>
  </si>
  <si>
    <t>jOIGNY</t>
  </si>
  <si>
    <t>Laroche 2/3</t>
  </si>
  <si>
    <t>non plannifié</t>
  </si>
  <si>
    <t xml:space="preserve">non réalisé S2TF n'a pas réussi à avoir les sillons.  </t>
  </si>
  <si>
    <t>Caffiers</t>
  </si>
  <si>
    <t xml:space="preserve">Prévenir la B.A. que la machine soit prête le lundi </t>
  </si>
  <si>
    <t>Epinal</t>
  </si>
  <si>
    <t>Laroche M</t>
  </si>
  <si>
    <t>Chartres 1/2</t>
  </si>
  <si>
    <t xml:space="preserve">Audit EPSF  CHEZ S2TF LE 19/03, conclusion  ils n'ont pas le droit de conduire des loco sans KVB </t>
  </si>
  <si>
    <t xml:space="preserve">calé à  Laroche   suite à l'oublie du Joigny - Laroche.   Remonté le lendemain </t>
  </si>
  <si>
    <t>Verberie 2/3</t>
  </si>
  <si>
    <t xml:space="preserve">reporté </t>
  </si>
  <si>
    <t xml:space="preserve">Lens 1/2 </t>
  </si>
  <si>
    <t xml:space="preserve">orchies 2/2 </t>
  </si>
  <si>
    <t>PTH  3/3</t>
  </si>
  <si>
    <t xml:space="preserve">Retard à la PS du conducteur. </t>
  </si>
  <si>
    <t xml:space="preserve">Perrigny </t>
  </si>
  <si>
    <t>Europorte restituait la loco trop tardivement  pour qu'on la reprenne le jeudi. 
Europorte n'a finalement pas restitué la loco.</t>
  </si>
  <si>
    <t>LONGUYON</t>
  </si>
  <si>
    <t xml:space="preserve">annulé  et reporté </t>
  </si>
  <si>
    <t>annulé C2 malade</t>
  </si>
  <si>
    <t xml:space="preserve">Ressource ré-utilisé  pour faire le St Flo -PTH </t>
  </si>
  <si>
    <t xml:space="preserve">Sillon long mais les arrêts ont été supprimés </t>
  </si>
  <si>
    <t>brive</t>
  </si>
  <si>
    <t xml:space="preserve">gièvres  </t>
  </si>
  <si>
    <t xml:space="preserve">Annulé par le client suite déraillement sur le chantier </t>
  </si>
  <si>
    <t>Départ de 06h00 a nnulé  car les engins de chantier était encore sur le TTX  //  Repris par Sébastien NEBOUT à 16h00 arrivé  à PTH  22:40 + Manouevres +trajet  fs 00:30. Sébastien n'a pas eu son repos.</t>
  </si>
  <si>
    <t xml:space="preserve">PTH  </t>
  </si>
  <si>
    <t>CAFFIERS</t>
  </si>
  <si>
    <t xml:space="preserve">Annulé car le  la partie précédent n'a pas été réalisé. </t>
  </si>
  <si>
    <t>VERNOUILLET - DEMENAGEMENT</t>
  </si>
  <si>
    <t xml:space="preserve">Temps de repos insuffisant </t>
  </si>
  <si>
    <t xml:space="preserve">MONTARGIS </t>
  </si>
  <si>
    <t>BRIVE</t>
  </si>
  <si>
    <t xml:space="preserve">Eifffage </t>
  </si>
  <si>
    <t>LILLE 1/3  2/3</t>
  </si>
  <si>
    <r>
      <t xml:space="preserve">calé à Lille D cause travaux , le train est partit avec 20 min de retard(impact sur le chantier sur le chantier Champ de Chêne); </t>
    </r>
    <r>
      <rPr>
        <b/>
        <sz val="16"/>
        <color rgb="FFFF0000"/>
        <rFont val="Calibri"/>
        <family val="2"/>
      </rPr>
      <t>Pourquoi le retard @Paul</t>
    </r>
  </si>
  <si>
    <t xml:space="preserve">ORCHIE  3/3 </t>
  </si>
  <si>
    <t>Juvisy  loco + 10wagons</t>
  </si>
  <si>
    <r>
      <t xml:space="preserve">A son arrivée à Juvisy le poste à stationné le train sur la mauvaise voie.  Ce qui ne permettait pas de repartir le lendemain sans avoir un agent habilité. 
</t>
    </r>
    <r>
      <rPr>
        <b/>
        <sz val="16"/>
        <color rgb="FFFF0000"/>
        <rFont val="Calibri"/>
        <family val="2"/>
      </rPr>
      <t>Bon de commande à bloquer côté Ferrotract</t>
    </r>
  </si>
  <si>
    <t xml:space="preserve">Calé à Juvisy  suite à un incident sur la ligne. Repris le lendemain </t>
  </si>
  <si>
    <t>Juvisy  ( RGT 15)</t>
  </si>
  <si>
    <t xml:space="preserve">Sécurail </t>
  </si>
  <si>
    <t>Montargis (RGT 15)</t>
  </si>
  <si>
    <t xml:space="preserve">pas couvert </t>
  </si>
  <si>
    <r>
      <rPr>
        <u/>
        <sz val="16"/>
        <color rgb="FF000000"/>
        <rFont val="Calibri"/>
        <family val="2"/>
      </rPr>
      <t xml:space="preserve">impossible de couvrir l'acheminement. </t>
    </r>
    <r>
      <rPr>
        <sz val="16"/>
        <color rgb="FF000000"/>
        <rFont val="Calibri"/>
        <family val="2"/>
      </rPr>
      <t xml:space="preserve">
Refus de Michael MARIE -Françoise de faire l'acheminement alors qu'il était en trajet  ce jour là.
 (Impact sur le chantier de Montargis ) 
</t>
    </r>
    <r>
      <rPr>
        <b/>
        <u/>
        <sz val="16"/>
        <color rgb="FF000000"/>
        <rFont val="Calibri"/>
        <family val="2"/>
      </rPr>
      <t xml:space="preserve">Sujet  plus général : </t>
    </r>
    <r>
      <rPr>
        <sz val="16"/>
        <color rgb="FF000000"/>
        <rFont val="Calibri"/>
        <family val="2"/>
      </rPr>
      <t xml:space="preserve">
Les délais d'acheminements prévus par les clients entre 2 chantiers est parfois trop juste. 
exemple : 
Vendredi 22/03 le St Flo-PTH-Boulogne :  les machines rentraient du chantier vers 07h00 pour repartir qu'à partir de 16h00 pour passer les plages travaux. ce qui rend l'acheminement impossible à  faire en 1 journée. 
'-Pareil pour cet acheminement de la RGT 15 la machine finit à Epinal le Samedi et doit être à Montargis le mardi.
'-Pareil pour le Montargis - PTH-Lille -Orchies  du lundi 25/03/2024 : La réalisation en une journée n'est pas réaliste. 
-Pareil pour le Verberie -Epinal du vendredi 29/03 : les délais se révèlent trop court en opérationnel. 
</t>
    </r>
    <r>
      <rPr>
        <sz val="16"/>
        <color rgb="FFFF0000"/>
        <rFont val="Calibri"/>
        <family val="2"/>
      </rPr>
      <t>1 journée de production de perdue</t>
    </r>
  </si>
  <si>
    <t xml:space="preserve">Sujet S2tf sur la refacturation des acheminements calés cause GI. 
Deux devis non imputable au client : 
Brive -Gièvre du 22/03 et S2TF
 Juvisy / Vernouillet26/03.S2F
Et peut être meme le Juvisy -Corbeil du mardi 26 ( pas encore recu le devis).
Discussion avec Outhman à ce sujet  le jeudi, il ne veut pas annuler ses devis. 
Il estime que c'est à nous de faire la réclamation. 
</t>
  </si>
  <si>
    <t xml:space="preserve">Corbeil ( loco + 10wagons) </t>
  </si>
  <si>
    <t>La veille lorsque le train a été stationné par le poste L de Juvisy,  il a été garé sur une voie nécessitant un agent habilité au point. 
Lors du départ aujourd’hui le poste refuse de nous faire le point pour sortir le train, nous avons demandé à différentes EF de nous faire la prestation aucune EF ne sont dispos. 
(Impact sur le chantier de Corbeille)</t>
  </si>
  <si>
    <t>Montargis  ( RGT 15)</t>
  </si>
  <si>
    <t xml:space="preserve">Lille D. </t>
  </si>
  <si>
    <t xml:space="preserve">Lille S </t>
  </si>
  <si>
    <t xml:space="preserve">LILLE st Sauveur </t>
  </si>
  <si>
    <t xml:space="preserve">Orchie </t>
  </si>
  <si>
    <t xml:space="preserve">Attention aux agents TES G entre Chagny et Nevers. </t>
  </si>
  <si>
    <t xml:space="preserve">Corbeil  ( loco + 10wagons) </t>
  </si>
  <si>
    <t xml:space="preserve">PERSAN  1/2 </t>
  </si>
  <si>
    <t xml:space="preserve">MTB  2/2 </t>
  </si>
  <si>
    <t xml:space="preserve">MONTEREAU 1/2 </t>
  </si>
  <si>
    <t xml:space="preserve">SNCF </t>
  </si>
  <si>
    <t xml:space="preserve">ST FLORENTIN  2/2 </t>
  </si>
  <si>
    <t>Sablé  1/3</t>
  </si>
  <si>
    <t xml:space="preserve">Vaires  2/3 </t>
  </si>
  <si>
    <t xml:space="preserve">Lumes 2/3 </t>
  </si>
  <si>
    <t xml:space="preserve">BRIVE </t>
  </si>
  <si>
    <t xml:space="preserve">Montargis 1/2 </t>
  </si>
  <si>
    <t xml:space="preserve">Montargis </t>
  </si>
  <si>
    <t xml:space="preserve">Corbeille 2/2 </t>
  </si>
  <si>
    <t>dijon</t>
  </si>
  <si>
    <t xml:space="preserve">LUMES </t>
  </si>
  <si>
    <t>MEZY 3/3</t>
  </si>
  <si>
    <t>ORCHIES</t>
  </si>
  <si>
    <t>GENNEVILLIERS</t>
  </si>
  <si>
    <t>CORBEIL ESSONNES</t>
  </si>
  <si>
    <t>BLAINVILLE 1/2</t>
  </si>
  <si>
    <t xml:space="preserve">Corbeille </t>
  </si>
  <si>
    <t>Retard TTX</t>
  </si>
  <si>
    <t xml:space="preserve">montereau  </t>
  </si>
  <si>
    <t xml:space="preserve">pas d'ac a Orchies jour férié </t>
  </si>
  <si>
    <t>Retournement</t>
  </si>
  <si>
    <t>Romain nous signale que l'E4000 reste a Montereau</t>
  </si>
  <si>
    <t>LANGEAC 2/2</t>
  </si>
  <si>
    <t>SP 1/4</t>
  </si>
  <si>
    <t>initialement prévu le 03/04</t>
  </si>
  <si>
    <t xml:space="preserve">
Info niveau fuel (600L) transmise par S2TF dès l'arrivée, mais commande gasoil demandée tardivement
Malgré la livraison, pas assez de fuel pour faire l'acheminement car une majeure partie a été attribuée à Ferrotract, le restant pour ETF mais pas suffisant (cause : demande tardive, a priorisé Ferrotract dont la demande a été faite avant)</t>
  </si>
  <si>
    <t>ORCHIES 2/2</t>
  </si>
  <si>
    <t>SP</t>
  </si>
  <si>
    <t>GIEVRE 2/4</t>
  </si>
  <si>
    <t>GIEVRE</t>
  </si>
  <si>
    <t>CHALONS 3/4</t>
  </si>
  <si>
    <t>par le client</t>
  </si>
  <si>
    <t xml:space="preserve">ETF Matériel (703) </t>
  </si>
  <si>
    <t>machine non dispo - reporté au lundi</t>
  </si>
  <si>
    <t>suite annulation SGMO-V</t>
  </si>
  <si>
    <t>Suite du SGMO</t>
  </si>
  <si>
    <t>CHALONS</t>
  </si>
  <si>
    <t>BENING 3/3</t>
  </si>
  <si>
    <t xml:space="preserve">Départ théorique 09h00, sillon S2TF tracé à 06h20, obtenu et communiqué la veille à 20h30.
Lorsque le CDT se présente pour départ à 06h20, train pas encore prêt. Pas prêt non plus à 09h, ni même à 11h. (déchargement + nettoyage) 
Puis plage travaux accordée jusqu'à 15h, pas de conducteur dispo
Sous traitance 1837€  non refacturable </t>
  </si>
  <si>
    <r>
      <t xml:space="preserve">Pas de sillon obtenu  (non facturé) 
Cause du calage : marche non obtenue 
-	Une marche a été commandé jeudi à 21h17 (suite à déjà plusieurs refus) 
-	Refus reçu à 00h52 – Pas de poste de nuit – non traité
-	2 Nouvelles marches commandées à 7h39 pour un départ à 09h00 (+60) – une via GC NORD et une via Creil 
-	Marche obtenue à 11h05 qui n’est pas bonne (réception d’un Valenton – Le Havre) 
-	11h45 le COGC me communique la bonne marche qui a un départ à 10h10 soit 4h de traitement par les COGC. 
-	Les travaux ont été accordés et nous ne pouvons plus passer par la GC Nord – la régulation me propose de commander un départ entre 14h – 15h. 
-	M.MICHELAND étant sur place depuis 7h, j’ai décidé d’annuler l’acheminement // </t>
    </r>
    <r>
      <rPr>
        <b/>
        <sz val="20"/>
        <color rgb="FFFF0000"/>
        <rFont val="Calibri"/>
        <family val="2"/>
      </rPr>
      <t>Réclamation à faire</t>
    </r>
  </si>
  <si>
    <t>MONTEREAU1/2</t>
  </si>
  <si>
    <r>
      <t xml:space="preserve">train calé suite retard au départ cause dérangement installation GI + travaux accordé  </t>
    </r>
    <r>
      <rPr>
        <b/>
        <sz val="20"/>
        <color rgb="FFFF0000"/>
        <rFont val="Calibri"/>
        <family val="2"/>
      </rPr>
      <t>(Réclamation à faire)</t>
    </r>
    <r>
      <rPr>
        <b/>
        <sz val="20"/>
        <color rgb="FF000000"/>
        <rFont val="Calibri"/>
        <family val="2"/>
      </rPr>
      <t xml:space="preserve"> </t>
    </r>
  </si>
  <si>
    <t xml:space="preserve">Annulé suite au déraillement du week end le triage d'Orchie est fermé. </t>
  </si>
  <si>
    <t xml:space="preserve">ST FLO </t>
  </si>
  <si>
    <t>Annulé loco pas prête</t>
  </si>
  <si>
    <t>Corbeil</t>
  </si>
  <si>
    <t xml:space="preserve">Douai </t>
  </si>
  <si>
    <t>PARIS BATIGNOLLES 2/2</t>
  </si>
  <si>
    <t xml:space="preserve">Dépassement de JS Stéphane </t>
  </si>
  <si>
    <r>
      <t xml:space="preserve">Non réalisé. Retard à l'arrivée du sillon précédent (problème de puissance sur la machine, convoi limité à 80km/h). Manœuvres à Vierzon ont donc aussi pris du retard, refus de SPDC de recevoir la rame pour TàQ car aurait impacté des travaux.
</t>
    </r>
    <r>
      <rPr>
        <b/>
        <sz val="20"/>
        <color rgb="FFFF0000"/>
        <rFont val="Calibri"/>
        <family val="2"/>
      </rPr>
      <t>Confirmer avec Ronnei à quelle heure il s'est présenté (Rackie)</t>
    </r>
  </si>
  <si>
    <t>Rachid pas habilité jusqu'à Vernouillet mais jusqu'à Achères. 
Il a été accompagné par M. KAOUAH. 
En OPE</t>
  </si>
  <si>
    <t>Train trop long pour la voie médiane</t>
  </si>
  <si>
    <t xml:space="preserve">Badan </t>
  </si>
  <si>
    <t>Manœuvres</t>
  </si>
  <si>
    <t xml:space="preserve">evo </t>
  </si>
  <si>
    <t>non réalisé suite à problème sur le site mail de Cécile transféré à Laura le 11/04/2024 14:07
Attelage manquant</t>
  </si>
  <si>
    <t>GOURDON</t>
  </si>
  <si>
    <t>NARBONNE</t>
  </si>
  <si>
    <t>xxx</t>
  </si>
  <si>
    <t>xxxx</t>
  </si>
  <si>
    <t xml:space="preserve">AVIGNON </t>
  </si>
  <si>
    <t xml:space="preserve">vierzon </t>
  </si>
  <si>
    <t>St jory</t>
  </si>
  <si>
    <t xml:space="preserve">beauchamp </t>
  </si>
  <si>
    <t>Stationné à Trappes repris Lundi,  Pas possible pour le conducteur de rester jusqu'à 20h00</t>
  </si>
  <si>
    <t xml:space="preserve">dimanche </t>
  </si>
  <si>
    <t xml:space="preserve">St Jory </t>
  </si>
  <si>
    <t>VON 1/3</t>
  </si>
  <si>
    <r>
      <t xml:space="preserve">Sillon obtenu pour un départ 07h00, le conducteur avait une PS à 11h00 il ne s'est pas présenté plus tot. 
Un nouveau sillon a été obtenu pour partir à 18h00. 
La loco a circulé // mais le plan de transport a été repris. 
</t>
    </r>
    <r>
      <rPr>
        <b/>
        <sz val="20"/>
        <color rgb="FFFF0000"/>
        <rFont val="Calibri"/>
        <family val="2"/>
      </rPr>
      <t>Cdr : Soufiane SAGID (à reboucler)</t>
    </r>
    <r>
      <rPr>
        <b/>
        <sz val="20"/>
        <color rgb="FF000000"/>
        <rFont val="Calibri"/>
        <family val="2"/>
      </rPr>
      <t xml:space="preserve">
</t>
    </r>
    <r>
      <rPr>
        <b/>
        <sz val="20"/>
        <color rgb="FFFF0000"/>
        <rFont val="Calibri"/>
        <family val="2"/>
      </rPr>
      <t>Reboucler également la fiche de prestation</t>
    </r>
  </si>
  <si>
    <t>CANNES</t>
  </si>
  <si>
    <t>BRIVE 3/4</t>
  </si>
  <si>
    <r>
      <t xml:space="preserve">Loco partit avec du retard de la BASE Arrière de St FLO. </t>
    </r>
    <r>
      <rPr>
        <b/>
        <sz val="20"/>
        <color rgb="FFFF0000"/>
        <rFont val="Calibri"/>
        <family val="2"/>
      </rPr>
      <t>Non prête</t>
    </r>
    <r>
      <rPr>
        <b/>
        <sz val="20"/>
        <color rgb="FF000000"/>
        <rFont val="Calibri"/>
        <family val="2"/>
      </rPr>
      <t xml:space="preserve">
La machine est arrivée avec du retard à Montereau et n'a pas pu être incorpée au TTX </t>
    </r>
  </si>
  <si>
    <t>ST-JORY 4/4</t>
  </si>
  <si>
    <r>
      <t xml:space="preserve">Repos du conducteur non conforme </t>
    </r>
    <r>
      <rPr>
        <b/>
        <sz val="20"/>
        <color rgb="FFFF0000"/>
        <rFont val="Calibri"/>
        <family val="2"/>
      </rPr>
      <t>(avis post réalisation)</t>
    </r>
    <r>
      <rPr>
        <b/>
        <sz val="20"/>
        <color rgb="FF000000"/>
        <rFont val="Calibri"/>
        <family val="2"/>
      </rPr>
      <t xml:space="preserve">, il a fini plus tard que prévu la veille et il n'y a avait pas d'autre créneau pour pouvoir partir vers St Jory.
</t>
    </r>
    <r>
      <rPr>
        <b/>
        <sz val="20"/>
        <color rgb="FFFF0000"/>
        <rFont val="Calibri"/>
        <family val="2"/>
      </rPr>
      <t xml:space="preserve">Conducteur : Ronnei </t>
    </r>
  </si>
  <si>
    <t xml:space="preserve">Mezy </t>
  </si>
  <si>
    <t>ST GERMAIN DES FOSSES 1/2</t>
  </si>
  <si>
    <t>BENING Voie 9</t>
  </si>
  <si>
    <t>BENING Site SGM 1/3</t>
  </si>
  <si>
    <t>BATIGNOLLES 3/3</t>
  </si>
  <si>
    <r>
      <t xml:space="preserve">Sillon obtenu tardivement 08h00 pour départ 07h00. 
Puis la loco est resté coincée a Cause des travaux à Chartres. 
La loco est arrivée 
</t>
    </r>
    <r>
      <rPr>
        <b/>
        <sz val="20"/>
        <color rgb="FFFF0000"/>
        <rFont val="Calibri"/>
        <family val="2"/>
      </rPr>
      <t>Dépassement de JS pour Sébastien NEBOUT // Réclamation à faire</t>
    </r>
  </si>
  <si>
    <t>ST JORY</t>
  </si>
  <si>
    <t>carcassone</t>
  </si>
  <si>
    <t>Port la nouvelle 1/2</t>
  </si>
  <si>
    <t xml:space="preserve">Port la nouvelle </t>
  </si>
  <si>
    <t xml:space="preserve">carcassone 2/2 </t>
  </si>
  <si>
    <t xml:space="preserve">Non réalisé : 
Sillon SNCF avec une amplitude trop importante ( 13h00 d'amplitude) 
A leur PS La rame n'était pas prête. 
Pas d'Amor </t>
  </si>
  <si>
    <t>BATIGNOLLES</t>
  </si>
  <si>
    <t xml:space="preserve">Wagons tombereaux suchargés et charges  suite à un problème sur le chantier.  Les wagons tombereaux sont rstés sur place. </t>
  </si>
  <si>
    <t>Retournement annulé</t>
  </si>
  <si>
    <t xml:space="preserve">samedi </t>
  </si>
  <si>
    <t>VIERZON 1/4</t>
  </si>
  <si>
    <t>VIERZON 3/4</t>
  </si>
  <si>
    <t xml:space="preserve">La rame a été stationné la semaine passée par TFE sur une voie en impasse. 
L'info ne nous est pas parvenue. 
Il n'y avait personne pour faire refouler la rame. </t>
  </si>
  <si>
    <t>St FLO  ( suite du déménagement)</t>
  </si>
  <si>
    <t>Vernouillet (retournement)</t>
  </si>
  <si>
    <t>ST JORY 4/4</t>
  </si>
  <si>
    <t>Le temps que Ronnei fasse le frein  +  fuel + manœuvres il s'est présenté avec 1h de retard. 
La régul a refusé de le prendre cause travaux Christophe et Philippe vont échanger pour l'OTP</t>
  </si>
  <si>
    <t>CHALON 1/3</t>
  </si>
  <si>
    <t xml:space="preserve">CHALON </t>
  </si>
  <si>
    <t>CARCASSONNE 3/3</t>
  </si>
  <si>
    <t>calé a Narbonne pas s'ags pour reception</t>
  </si>
  <si>
    <t xml:space="preserve">l’horaire d’arrivée du TTX et l’horaire du départ de l’acheminement n’ont pas permit le départ de la rame avant le commencement des travaux sur la ligne entre Montereau et St FLo. </t>
  </si>
  <si>
    <t>SABLE 2/3</t>
  </si>
  <si>
    <t>CLAISSE RAIL</t>
  </si>
  <si>
    <t xml:space="preserve">Laroche M.  1/2 </t>
  </si>
  <si>
    <t xml:space="preserve">LMX </t>
  </si>
  <si>
    <t>CARCASSONNE</t>
  </si>
  <si>
    <t>BRIVE 1/3</t>
  </si>
  <si>
    <t xml:space="preserve">Captrain a annulé sa prestation lapour la RAT+ EF la veille </t>
  </si>
  <si>
    <t xml:space="preserve">Pas de sillon obtenu pendant la nuit pour rejoindre Brive,  acheminement remonté par Avignon avec S.NEBOUT </t>
  </si>
  <si>
    <t xml:space="preserve">Avignon </t>
  </si>
  <si>
    <t>par Romain en op</t>
  </si>
  <si>
    <t xml:space="preserve">MARSEILLE </t>
  </si>
  <si>
    <t>SABLE 1/3</t>
  </si>
  <si>
    <t xml:space="preserve">loco  pas prête au tour en fosse d'Eiffage. </t>
  </si>
  <si>
    <t>PTH  1/2</t>
  </si>
  <si>
    <t>ORCHIES 1/2</t>
  </si>
  <si>
    <t>VSG (sucy ?)</t>
  </si>
  <si>
    <t>GOURDON 1/2</t>
  </si>
  <si>
    <t>SUB 2/2</t>
  </si>
  <si>
    <t>Gourdon</t>
  </si>
  <si>
    <t>RUFFEC 2/2</t>
  </si>
  <si>
    <t>pth</t>
  </si>
  <si>
    <t>SQF</t>
  </si>
  <si>
    <t>Gièvres  1/2</t>
  </si>
  <si>
    <t xml:space="preserve">Orchies </t>
  </si>
  <si>
    <t xml:space="preserve">Ruffes </t>
  </si>
  <si>
    <t>Sucy 2/2</t>
  </si>
  <si>
    <t>Batignolles</t>
  </si>
  <si>
    <t>Sucy</t>
  </si>
  <si>
    <t xml:space="preserve">vendredi </t>
  </si>
  <si>
    <t>Trappes 2/3</t>
  </si>
  <si>
    <t>P74  3/3</t>
  </si>
  <si>
    <t>LMU  1/2</t>
  </si>
  <si>
    <t>VET 2/2</t>
  </si>
  <si>
    <t>Marseille</t>
  </si>
  <si>
    <t>VET (RETOIURNEMENT)</t>
  </si>
  <si>
    <t>PORT LA NOUVELLE</t>
  </si>
  <si>
    <t>NARBONNE 1/2</t>
  </si>
  <si>
    <t>VP non à jour</t>
  </si>
  <si>
    <t>Lerouville</t>
  </si>
  <si>
    <t>CHARTRES 1/4</t>
  </si>
  <si>
    <t>PARIS LANDY</t>
  </si>
  <si>
    <t>cause GI car refus si pas de sillon reprenant</t>
  </si>
  <si>
    <t xml:space="preserve">Incident durant l'acheminement </t>
  </si>
  <si>
    <t>ETF RRI (707)</t>
  </si>
  <si>
    <t>Calé à Ormoy suite frein serré de la bourreuse / elle avait une AMOR et Johan BRAYER était chargé du départ (sujet pris en main par la traction) // Impact financier ? L'AMM analyse actuellement le sujet</t>
  </si>
  <si>
    <t>CHALONS SUR SAONE 3/3</t>
  </si>
  <si>
    <t>ANGERS ST LAUD 2/4</t>
  </si>
  <si>
    <t>ST LEU 2/2</t>
  </si>
  <si>
    <t>Avignon (retournement) 1/2</t>
  </si>
  <si>
    <t>3 silons pour le retournement</t>
  </si>
  <si>
    <t>Montauban 2/2</t>
  </si>
  <si>
    <t>bourreuse HLP car pas d'ags pour ESF et RAT (pas de ressource en pré op)</t>
  </si>
  <si>
    <t>HAZEBROUK 1/2</t>
  </si>
  <si>
    <t>HAZEBROUK</t>
  </si>
  <si>
    <t>CAFFIERS 2/2</t>
  </si>
  <si>
    <t>NARBONNES</t>
  </si>
  <si>
    <t>ST FLO 1/2</t>
  </si>
  <si>
    <t>Montauban</t>
  </si>
  <si>
    <t>ANGERS ST LAUD</t>
  </si>
  <si>
    <t xml:space="preserve">OCP sur Angoulème de mercredi à samedi 16h, impossibilité d'obtenir un sillon ni de calé à Ruffec car saturé car base travaux de l'OCP </t>
  </si>
  <si>
    <t>la deg sort sur un train vendredi, démenagement secours sera utilisé samedi</t>
  </si>
  <si>
    <t>EPINAL</t>
  </si>
  <si>
    <t>LEROUVILLE 1/2</t>
  </si>
  <si>
    <t>EPINAL 2/2</t>
  </si>
  <si>
    <t xml:space="preserve">Pas possible de descendre jusqu'à Bordeaux - Le train ira jusqu’à Le mans puis reprise jsuqu'à SPDC lundi </t>
  </si>
  <si>
    <t>VERNOUILLET (secours)</t>
  </si>
  <si>
    <t>annulé car AM conducteur, les wagons les plus importants ont été mit sur l'autre déménagement</t>
  </si>
  <si>
    <t>Vernouilet</t>
  </si>
  <si>
    <t>HLP pour BA ZD</t>
  </si>
  <si>
    <t>Le mans</t>
  </si>
  <si>
    <t>Monterau</t>
  </si>
  <si>
    <t xml:space="preserve">Absence Roonei </t>
  </si>
  <si>
    <t>TES G  manquante mais réalisé</t>
  </si>
  <si>
    <t>Lérouville 1/2</t>
  </si>
  <si>
    <t xml:space="preserve">TES G  manquante sébastien Rippon envoyé à la dernière minute. </t>
  </si>
  <si>
    <t>Lérouville</t>
  </si>
  <si>
    <t>Epinal 2/2</t>
  </si>
  <si>
    <t>VRNT 2/2</t>
  </si>
  <si>
    <t>SGDF 2/3</t>
  </si>
  <si>
    <t xml:space="preserve">Bourreuse déposée à SPDC pour l'enoyer en fin de semaine à Marseille. </t>
  </si>
  <si>
    <t>annulé par le client la loco car la ZD en avait besoin ( remplacé par VSG-St FLO)</t>
  </si>
  <si>
    <t>ST-FLORENTIN</t>
  </si>
  <si>
    <t>CULOZ 3/3</t>
  </si>
  <si>
    <t xml:space="preserve">Montceau les Mines </t>
  </si>
  <si>
    <t xml:space="preserve">panne loco </t>
  </si>
  <si>
    <t xml:space="preserve">Boulogne  2/2 </t>
  </si>
  <si>
    <t>Temps de manœuvre trop logn à VSG la régulation a refusé le départ cause pointe voyageur (impact suite panne chantier ZD) Sujet facturation</t>
  </si>
  <si>
    <t>annulation client le lundi car ils avaient besoin de la loco.  7 ressources étaient planifiés sur cet acheminement.</t>
  </si>
  <si>
    <t>LIMOGES 2/3</t>
  </si>
  <si>
    <t>BORDEAUX</t>
  </si>
  <si>
    <t>loco non restitué par le chantier ( conséquence sur les spots suivants) Il manquait un OSS pour sortir la machine de la BA</t>
  </si>
  <si>
    <t xml:space="preserve">spdc </t>
  </si>
  <si>
    <t xml:space="preserve">SGDF </t>
  </si>
  <si>
    <t xml:space="preserve">Acheminement donné à S2TF, il y avait une bourreuse dans le convoi impossible pour eux de reprendre. 
Sébastien positionné sur l'acheminement // suite à l'annulation du matin la bourreuse est partie en autonome. 
Sébastien nous acontacté à 11h00 car il avait du retard sur son voyageur, Roonei est partit à SPDC  pour faire la première partie de l'acheminement jusqu'à Vierzon. 
</t>
  </si>
  <si>
    <t>Non réalisé car la loco qui devait réaliser l'acheminement est rentrée tardivement (arrachage caténaire sur la ligne)</t>
  </si>
  <si>
    <t xml:space="preserve">oui Pascal </t>
  </si>
  <si>
    <t>Temps de repos non respecté pour Stéphane car plusieurs trajets voitures voir VP. + dépassement JS 13h</t>
  </si>
  <si>
    <t xml:space="preserve">BDX </t>
  </si>
  <si>
    <t xml:space="preserve">Annulation j-1  repris le 17/01  par la ST en direct avec C. LAFORGE </t>
  </si>
  <si>
    <t xml:space="preserve">reporté au 17/05 et mutualisé  avec le Vernouillet -Boulogne </t>
  </si>
  <si>
    <t>MONTAUBAN 3/3</t>
  </si>
  <si>
    <t>Dépassement de JS de Sébastien 13h</t>
  </si>
  <si>
    <t>Sablé 2/2</t>
  </si>
  <si>
    <t xml:space="preserve">Lérouville </t>
  </si>
  <si>
    <t xml:space="preserve">Epinal </t>
  </si>
  <si>
    <t>Orchies 1/3</t>
  </si>
  <si>
    <t xml:space="preserve">Caffier  2/3 </t>
  </si>
  <si>
    <t xml:space="preserve">Caffier </t>
  </si>
  <si>
    <t>Boulogne  3/3</t>
  </si>
  <si>
    <t>PLN</t>
  </si>
  <si>
    <t xml:space="preserve">non réalisé car S. NEBOUT réalisé l'acheminement pour Marseille le vendredi avec un gros dépassement de JS, il n'avait pas son repos et n'était pas en mesure de réaliser l' acheminement. </t>
  </si>
  <si>
    <t>VZ</t>
  </si>
  <si>
    <t xml:space="preserve">VZ </t>
  </si>
  <si>
    <t xml:space="preserve">DPY </t>
  </si>
  <si>
    <t xml:space="preserve">VERNOUILLET  </t>
  </si>
  <si>
    <t>MBP 1/2</t>
  </si>
  <si>
    <t xml:space="preserve">Sucy </t>
  </si>
  <si>
    <t xml:space="preserve">vz </t>
  </si>
  <si>
    <t>P74 1/4</t>
  </si>
  <si>
    <t>VIERZON2/4</t>
  </si>
  <si>
    <t xml:space="preserve">dépassement de JS de Ronnei car l'EP Eiffage n'a pas formé corecctement le train, ils ont du refaire les manœuvres. </t>
  </si>
  <si>
    <t>BATIGNOLLES 1/2</t>
  </si>
  <si>
    <t xml:space="preserve">SGMO  1/2 </t>
  </si>
  <si>
    <t>BATIGNOLLES 1/3</t>
  </si>
  <si>
    <t>LEVALOIS 2/3</t>
  </si>
  <si>
    <t xml:space="preserve">LEVALOIS </t>
  </si>
  <si>
    <t>SUB</t>
  </si>
  <si>
    <t>ACH 2/2</t>
  </si>
  <si>
    <r>
      <t xml:space="preserve">Amplitude Stéphane Micheland / </t>
    </r>
    <r>
      <rPr>
        <b/>
        <sz val="20"/>
        <color rgb="FFFF0000"/>
        <rFont val="Calibri"/>
        <family val="2"/>
      </rPr>
      <t>Repos compensateur à donner + réserve à reboucler / Rappel GPC sur les horaires réels en temps réel</t>
    </r>
  </si>
  <si>
    <t xml:space="preserve">SGMO  </t>
  </si>
  <si>
    <t xml:space="preserve">Montceau les Mines 2/2 </t>
  </si>
  <si>
    <t>st Jory  3/4</t>
  </si>
  <si>
    <t xml:space="preserve">st Jory  3/3 </t>
  </si>
  <si>
    <t>Montauban 4/4</t>
  </si>
  <si>
    <t>DPY 2/3</t>
  </si>
  <si>
    <t xml:space="preserve">nnulé </t>
  </si>
  <si>
    <t xml:space="preserve">loco en panne </t>
  </si>
  <si>
    <t>MONTAUBAN</t>
  </si>
  <si>
    <t xml:space="preserve">La loco n'était pas rentrée du chantier.  
Nous avons été mis au courant // Non bouclage des horaires en lien avec les TTX + pas de réponse des agents ETF sur chantier lors de la réception de la marche </t>
  </si>
  <si>
    <t xml:space="preserve">la garenne Colombes </t>
  </si>
  <si>
    <t xml:space="preserve">La garenne colombes </t>
  </si>
  <si>
    <t>BOULOGNES</t>
  </si>
  <si>
    <t>Pth  1/2</t>
  </si>
  <si>
    <t>DPY</t>
  </si>
  <si>
    <t>Metz  3/3</t>
  </si>
  <si>
    <t xml:space="preserve">Pth </t>
  </si>
  <si>
    <t xml:space="preserve">La garenne C. </t>
  </si>
  <si>
    <t>ACH</t>
  </si>
  <si>
    <t xml:space="preserve">Loco pas prête  reporté au lundi </t>
  </si>
  <si>
    <t>SP 1/2</t>
  </si>
  <si>
    <t xml:space="preserve">JY 2/2 </t>
  </si>
  <si>
    <t>GISORS</t>
  </si>
  <si>
    <t>calé à PTH le soir suite à des soucis de machines</t>
  </si>
  <si>
    <t xml:space="preserve">Feromove </t>
  </si>
  <si>
    <t>ORCHIE</t>
  </si>
  <si>
    <t>NANTERRE</t>
  </si>
  <si>
    <t xml:space="preserve">LANDY </t>
  </si>
  <si>
    <t xml:space="preserve">Corbeil </t>
  </si>
  <si>
    <t xml:space="preserve">annulation client problème d'attelage. </t>
  </si>
  <si>
    <t xml:space="preserve">Montauban </t>
  </si>
  <si>
    <t>Vierzon 1/3</t>
  </si>
  <si>
    <t>NUIT ST GEORGE</t>
  </si>
  <si>
    <t>ST FLO 1/3</t>
  </si>
  <si>
    <t xml:space="preserve">absence C2 : le bouclage a été fait le lundi soir le C2 avait répondu présent. 
Un agent au sol spot positionné à St Flo pour réceptionner en dehors des heures d'ouverture. 
Un dirigeant de base arrère à répondu à mon mail pour dire qu'ils éaient fermé, le C2 a comprit que c'était annulé. </t>
  </si>
  <si>
    <t>VERNOUILLET 2/3</t>
  </si>
  <si>
    <t>ST FLO 3/3</t>
  </si>
  <si>
    <t>Montchanin  2/3</t>
  </si>
  <si>
    <t>Montceau les Mines 3/3</t>
  </si>
  <si>
    <t>BENING 1/2</t>
  </si>
  <si>
    <t xml:space="preserve">La rame n'a pas été trié par Fret SNCF départ impossible acheminement reporté en S24 car la loco était attendu sur le chantier d'achères le lendemain. </t>
  </si>
  <si>
    <t xml:space="preserve">TRAPPES ( Bourreuse </t>
  </si>
  <si>
    <t>retard retour TTX + travaux PRG (Sujet BA à confirmer par Mehdi ALLAM : sujet de contrordre?)</t>
  </si>
  <si>
    <t xml:space="preserve">Limoges 1/3 </t>
  </si>
  <si>
    <t>INFRA</t>
  </si>
  <si>
    <t>CASTELNAUDARY 3/3</t>
  </si>
  <si>
    <t xml:space="preserve">La TES G de S2TF était en AM toute la semaine. 
Les postes du mardi et mercredi ont été couvert. 
J'ai zapé la TES G du vendredi. Salim DRARIS était la pour faire un KN1 à Ronnei il est resté en cabine pour la TES G </t>
  </si>
  <si>
    <t xml:space="preserve">Limoge </t>
  </si>
  <si>
    <t xml:space="preserve">Vierzon 2/3 </t>
  </si>
  <si>
    <t>MTE 1/2  Formation</t>
  </si>
  <si>
    <t>ok MI 10h</t>
  </si>
  <si>
    <t>MTE</t>
  </si>
  <si>
    <t>VET 2/2 pratique HLP</t>
  </si>
  <si>
    <t xml:space="preserve">vernouillet1/3 </t>
  </si>
  <si>
    <t xml:space="preserve">MANTES 2/3  ( via epone ) </t>
  </si>
  <si>
    <t>VERNOUILLET3/3</t>
  </si>
  <si>
    <t xml:space="preserve">Auneau 3/3 </t>
  </si>
  <si>
    <t xml:space="preserve">Prévu de de base jusque Vireux, modifiéé en Strasbourg // Metz suite plage tx </t>
  </si>
  <si>
    <t>Em restituée trop tardivement, nous sommes tombé dans les travaux</t>
  </si>
  <si>
    <t xml:space="preserve">ACHERES 1/2 </t>
  </si>
  <si>
    <t xml:space="preserve">Achères  2/2 </t>
  </si>
  <si>
    <t>BEZIERS</t>
  </si>
  <si>
    <t>Bourreuse oublié à Trappes/reprise le lundi</t>
  </si>
  <si>
    <t>Lumes 1/2</t>
  </si>
  <si>
    <t xml:space="preserve">a traiter en réunion  </t>
  </si>
  <si>
    <t xml:space="preserve">Lumes </t>
  </si>
  <si>
    <t>Vireux  2/2</t>
  </si>
  <si>
    <t>Fuel non réalisé à Metz, pas de trabsmission du BC</t>
  </si>
  <si>
    <t>VALENTION</t>
  </si>
  <si>
    <t>NUITS ST GEORGES</t>
  </si>
  <si>
    <t>CAFFIERS 1/2</t>
  </si>
  <si>
    <t>TAQ retiré en opé et absence de remontée du conducteur avant le départ // Action pré op : mention TAQ pour sens de travail à mettre en évidence // NC EVENT via TMN</t>
  </si>
  <si>
    <t>Calé à SPDC voie 345  suite panne loco</t>
  </si>
  <si>
    <t xml:space="preserve">Non réalisé suite à la panne </t>
  </si>
  <si>
    <t>Juvisy  2/2</t>
  </si>
  <si>
    <t xml:space="preserve">Nuit St Georges </t>
  </si>
  <si>
    <t>sillon demandé pour 17h45  refusé plusieurs fois suite à des plages travaux a différents endroits du parcour // Non facturé - attention à la prise de risques 100% sur ETFS</t>
  </si>
  <si>
    <t xml:space="preserve">vaires </t>
  </si>
  <si>
    <t xml:space="preserve">annulation client suite à la panne de la V211 </t>
  </si>
  <si>
    <t xml:space="preserve">Joigny </t>
  </si>
  <si>
    <t xml:space="preserve">Caffiers </t>
  </si>
  <si>
    <t xml:space="preserve">reporté en opé pour privilégier la Nuit St George Beauchamp car la G12 était attendu à Achères pour le Chantier d' A. PAULAIS </t>
  </si>
  <si>
    <t xml:space="preserve">Allassac </t>
  </si>
  <si>
    <t xml:space="preserve">réalisé de nuit suite au refus des guichets de partir le matin </t>
  </si>
  <si>
    <t>STR FLORENTIN</t>
  </si>
  <si>
    <t xml:space="preserve">VSG 1/2 </t>
  </si>
  <si>
    <t>TTX rentré avec 3h de retard (restitution tardive)</t>
  </si>
  <si>
    <r>
      <t xml:space="preserve">Sillon tracé dans un eplage travaux mais sans pour la suite. </t>
    </r>
    <r>
      <rPr>
        <b/>
        <sz val="20"/>
        <color rgb="FFFF0000"/>
        <rFont val="Calibri"/>
        <family val="2"/>
      </rPr>
      <t>Réclamation à faire (à confirmer)</t>
    </r>
  </si>
  <si>
    <t xml:space="preserve">Juvisy 2/2 </t>
  </si>
  <si>
    <t>Orchie</t>
  </si>
  <si>
    <t xml:space="preserve">LAB </t>
  </si>
  <si>
    <t xml:space="preserve">St LFO </t>
  </si>
  <si>
    <t xml:space="preserve">Lab </t>
  </si>
  <si>
    <t xml:space="preserve">Cahors </t>
  </si>
  <si>
    <t xml:space="preserve">Infra </t>
  </si>
  <si>
    <t>GAROLILLE</t>
  </si>
  <si>
    <t xml:space="preserve">Passage par Amiens pour  sens de travail. </t>
  </si>
  <si>
    <t xml:space="preserve">doit arriver avant 07h00 </t>
  </si>
  <si>
    <t>VET 1/2</t>
  </si>
  <si>
    <t>Metz 2/2</t>
  </si>
  <si>
    <t>Lérouville 1/6</t>
  </si>
  <si>
    <t>St Jory 2/2</t>
  </si>
  <si>
    <t>VON  1/2</t>
  </si>
  <si>
    <t>Le bourget 1/3</t>
  </si>
  <si>
    <t xml:space="preserve">plage travaux ORMOY de 08h00- 18h00  sillon tracé par erreur dans les travaux;  
La planification de base était un Ormoy // Les Aubrais. 
Et a été modifié en opérationnel en un Ormoy // Le Bourget pour dégager la zone de travaux. 
</t>
  </si>
  <si>
    <t xml:space="preserve">Le bourget </t>
  </si>
  <si>
    <t xml:space="preserve">Reprise de la veille Layachi a réalisé la partie Le BOURGET // Juvisy car Ronnei n'était pas habilité. </t>
  </si>
  <si>
    <t>Brétigny</t>
  </si>
  <si>
    <t xml:space="preserve">loco TSO en panne à Bourges 
Plan de reprise monté pour le jeudi. 
Sujet concernant les frais supplémentaires liés à la panne </t>
  </si>
  <si>
    <t>Paris landy  2/2</t>
  </si>
  <si>
    <t>MONTSOULT 2/2</t>
  </si>
  <si>
    <t xml:space="preserve">malgrés plusieurs bouclage en pré-op et en opé,  à l'arrivée de Stéphane la rame n'était pas formée. 
Stéphane à du manœuvrer pour former son train, et est partit avec 3h de retard. </t>
  </si>
  <si>
    <t>CHALON s. Saone 4/6</t>
  </si>
  <si>
    <t>Avignon 5/6</t>
  </si>
  <si>
    <t>Montauban 3/3</t>
  </si>
  <si>
    <t>calé suite AT Roonei</t>
  </si>
  <si>
    <t>Carcassonne 6/6</t>
  </si>
  <si>
    <t xml:space="preserve">Event réalisé pour les débris trouvés à Avignon </t>
  </si>
  <si>
    <t>Bourges</t>
  </si>
  <si>
    <t>Panne machine de nouveau</t>
  </si>
  <si>
    <t>Longueuil</t>
  </si>
  <si>
    <t>Montsoult</t>
  </si>
  <si>
    <t>Mantes 1/2  ( test conducteur)</t>
  </si>
  <si>
    <t xml:space="preserve">Mantes  </t>
  </si>
  <si>
    <t xml:space="preserve">Vernouillet  2/2 </t>
  </si>
  <si>
    <t>Chalon en ch 1/2</t>
  </si>
  <si>
    <t>Vernouillet 1/2</t>
  </si>
  <si>
    <t xml:space="preserve">Pantin </t>
  </si>
  <si>
    <t xml:space="preserve">Eiffage </t>
  </si>
  <si>
    <t xml:space="preserve">Angoulême </t>
  </si>
  <si>
    <t>St Jory 1/2</t>
  </si>
  <si>
    <t xml:space="preserve">Tessonniere  2/2 </t>
  </si>
  <si>
    <t xml:space="preserve">CHALON  EN ch </t>
  </si>
  <si>
    <t>Conflans jarny2/2</t>
  </si>
  <si>
    <t xml:space="preserve">CSS 1/2 </t>
  </si>
  <si>
    <t>caffiers</t>
  </si>
  <si>
    <t>Avignon2/2</t>
  </si>
  <si>
    <t>Lundi</t>
  </si>
  <si>
    <t>BESANCON</t>
  </si>
  <si>
    <t>LAROCHE MIGENNES 1/2</t>
  </si>
  <si>
    <t>TRAPPES 1/5</t>
  </si>
  <si>
    <t>TRAPPES 1/6</t>
  </si>
  <si>
    <t xml:space="preserve">CLUSES </t>
  </si>
  <si>
    <t xml:space="preserve">Sens de travail erroné  // Les DNC sont uniquement à demander en opérationnel. 
Sinon il faut recommander les sillons. </t>
  </si>
  <si>
    <t>ANNULE</t>
  </si>
  <si>
    <t>Suite à l'absence de roonei pas de C1.</t>
  </si>
  <si>
    <t>BERCY 2/2</t>
  </si>
  <si>
    <t xml:space="preserve">Juvisy 2/5 </t>
  </si>
  <si>
    <t>CSS 4/5</t>
  </si>
  <si>
    <t xml:space="preserve">2 fuels effectués une camion à P74 et un  au dépôt de Perrigny. 
1500L à P74
Problème de jauge sur la loco entre la jauge intérieur extérieur. 
</t>
  </si>
  <si>
    <t>LENS 2/2</t>
  </si>
  <si>
    <t>MEAUX</t>
  </si>
  <si>
    <t>OKO</t>
  </si>
  <si>
    <t>reprise parSalim  DRARIS de BRIVE</t>
  </si>
  <si>
    <t>Epernay</t>
  </si>
  <si>
    <t xml:space="preserve">Parcours de base Lérouville - Beauchamp.  Pas de sillon obtenu suite à des plages travaux sur le parcours. 
Transformé en Lérouville // Epernay pour faire avancer un peu la machine. </t>
  </si>
  <si>
    <t>METZ SABLONS 2/2</t>
  </si>
  <si>
    <t>CULOZ 5/5</t>
  </si>
  <si>
    <t>AMBERIEU 1/2</t>
  </si>
  <si>
    <t>REPRISE CSS-CULOZ VOIR PRESTA DU LUNDI</t>
  </si>
  <si>
    <t>PERRIGNY 2/2</t>
  </si>
  <si>
    <t>calé à Perrigny suit à un Problème KVB  (Loco G1206)</t>
  </si>
  <si>
    <t xml:space="preserve">PSDC </t>
  </si>
  <si>
    <t>ACHERES dépôt</t>
  </si>
  <si>
    <t>Achères voie 32 à 39  1/3</t>
  </si>
  <si>
    <t>Calé à Melun suite panne machine.  (Sujet financier) / action en cours ST : attente de son retour sur le problème conducteur</t>
  </si>
  <si>
    <t>VAL D'OR 1/2</t>
  </si>
  <si>
    <t>VAL D'OR</t>
  </si>
  <si>
    <t xml:space="preserve">(Transfert du P 95).  Loco positionnée dans le mauvais sens  en sortie de Beauchamp. 
La loco a été positionnée en tête de convoi alors qu'elle aurait dû être en queue pour pouvoir partir en direction de Pontoise.  </t>
  </si>
  <si>
    <t>Probleme AMOR (mauvaise indication parcours sur l'AMOR) + fuel non réalisé malgré demande</t>
  </si>
  <si>
    <t xml:space="preserve">VSG ( reprise des 2 v211) </t>
  </si>
  <si>
    <t>Orchies</t>
  </si>
  <si>
    <t xml:space="preserve">Une lanterne de queue volée, alors que 2 étaient présentes le VE S-1. Impact : les wagons n'ayant pu être récuprés pour cette raison, ache à la charge d'ETFS </t>
  </si>
  <si>
    <t>ST Flo</t>
  </si>
  <si>
    <t>Landy</t>
  </si>
  <si>
    <t xml:space="preserve">Loco arrivée avec du retard de Melun, Le conducteur S2tf ne savait pas rentrer au faisceau débranchement puis plage travaux accordée pour partir au Landy </t>
  </si>
  <si>
    <t xml:space="preserve">Courtalin </t>
  </si>
  <si>
    <t>P74 Sirion</t>
  </si>
  <si>
    <t>Vierzon  2/3</t>
  </si>
  <si>
    <t>St Jory 3/3</t>
  </si>
  <si>
    <t xml:space="preserve">St Denis </t>
  </si>
  <si>
    <r>
      <rPr>
        <b/>
        <strike/>
        <sz val="20"/>
        <color rgb="FF000000"/>
        <rFont val="Calibri"/>
        <family val="2"/>
        <scheme val="minor"/>
      </rPr>
      <t>Panne machine //</t>
    </r>
    <r>
      <rPr>
        <b/>
        <sz val="20"/>
        <color rgb="FF000000"/>
        <rFont val="Calibri"/>
        <family val="2"/>
        <scheme val="minor"/>
      </rPr>
      <t xml:space="preserve"> ou mauvaise utilisation par S2TF ?? Voir pour organiser point S2TF/ETFS sur mise en véhicule ou en UM 635-2 / </t>
    </r>
    <r>
      <rPr>
        <b/>
        <u/>
        <sz val="20"/>
        <color rgb="FF000000"/>
        <rFont val="Calibri"/>
        <family val="2"/>
        <scheme val="minor"/>
      </rPr>
      <t>Cause S2TF car mise en UM pour rien</t>
    </r>
  </si>
  <si>
    <t xml:space="preserve">Landy </t>
  </si>
  <si>
    <t>Panne machine // ou mauvaise utilisation par S2TF ?? Voir pour organiser point S2TF/ETFS sur mise en véhicule ou en UM 635-2</t>
  </si>
  <si>
    <t>Juvisy 1/2</t>
  </si>
  <si>
    <t>Le mans 2/2</t>
  </si>
  <si>
    <t xml:space="preserve">Calé a Trappes cause pointe voyageur, Il y avait un crochet négatif entre le sillon Eparnay-Juvisy et Juvisy - Le Mans </t>
  </si>
  <si>
    <t xml:space="preserve">Montigny </t>
  </si>
  <si>
    <t>Pantin</t>
  </si>
  <si>
    <t xml:space="preserve">Bourreuse vandalisée. Acheminement non effectué </t>
  </si>
  <si>
    <t>Gargenville</t>
  </si>
  <si>
    <t xml:space="preserve">Chartres  </t>
  </si>
  <si>
    <t xml:space="preserve">Montchanin </t>
  </si>
  <si>
    <t>Culoz 2/2</t>
  </si>
  <si>
    <r>
      <rPr>
        <b/>
        <strike/>
        <sz val="20"/>
        <color rgb="FF000000"/>
        <rFont val="Calibri"/>
        <family val="2"/>
        <scheme val="minor"/>
      </rPr>
      <t xml:space="preserve">KVB HS //  panne ou </t>
    </r>
    <r>
      <rPr>
        <b/>
        <sz val="20"/>
        <color rgb="FF000000"/>
        <rFont val="Calibri"/>
        <family val="2"/>
        <scheme val="minor"/>
      </rPr>
      <t xml:space="preserve">mauvaise utilisation de la loco ? Voir pour organiser point S2TF/ETFS </t>
    </r>
  </si>
  <si>
    <t xml:space="preserve">Le MANS </t>
  </si>
  <si>
    <t>Meaux</t>
  </si>
  <si>
    <t xml:space="preserve">Le LANDY </t>
  </si>
  <si>
    <t>Tessonieres</t>
  </si>
  <si>
    <t xml:space="preserve">le </t>
  </si>
  <si>
    <t>Plaisir 1/2</t>
  </si>
  <si>
    <t xml:space="preserve">Pas de carte C2 valide sur le testeur GTIF et sur le testé, impossibilité de prendre le départ </t>
  </si>
  <si>
    <t>Plaisir</t>
  </si>
  <si>
    <t>Acheminement réalisé avec près de 2h de retard cause incompatibilité sillon et restitution train (cause 100% SNCF)</t>
  </si>
  <si>
    <t xml:space="preserve">lundi </t>
  </si>
  <si>
    <t xml:space="preserve">Culoz </t>
  </si>
  <si>
    <t xml:space="preserve">SQF </t>
  </si>
  <si>
    <t xml:space="preserve">Moret </t>
  </si>
  <si>
    <t xml:space="preserve">landy </t>
  </si>
  <si>
    <t xml:space="preserve">Les aubrais </t>
  </si>
  <si>
    <t>annulé par le client le jour J wagons non déchargé remonté en opé pour le jeudi</t>
  </si>
  <si>
    <t>annule</t>
  </si>
  <si>
    <t>annulé par le client</t>
  </si>
  <si>
    <t xml:space="preserve">Besancon </t>
  </si>
  <si>
    <t xml:space="preserve">annulé par le chantier le jour J cause absence de c2 pour  pouvoir utiliser la G2000
Remonté en opérationel  : 
Besançon // VSG //Joingy à partir du mercredi </t>
  </si>
  <si>
    <t xml:space="preserve">Chartres </t>
  </si>
  <si>
    <t xml:space="preserve">Conflans Jarny </t>
  </si>
  <si>
    <t xml:space="preserve">LMU </t>
  </si>
  <si>
    <t xml:space="preserve">mardi </t>
  </si>
  <si>
    <t xml:space="preserve">M. FABRE a bien été habilité. </t>
  </si>
  <si>
    <t xml:space="preserve">suite annulation de la sortie de Besançon </t>
  </si>
  <si>
    <t xml:space="preserve">annulé par le chantier en opérationel  pour travailler une journée supplémentaire </t>
  </si>
  <si>
    <t xml:space="preserve">calé à Beauchamp suite circulation à revers </t>
  </si>
  <si>
    <t>Bezier</t>
  </si>
  <si>
    <t xml:space="preserve"> partit avec 2 heures de retard car la bourreuse était dans le TTX  le premier jour. 
Le deuxième jour  Calé à Chalon S; Saone   suite plage travaux sur le triage. </t>
  </si>
  <si>
    <t>Laroche  1/4</t>
  </si>
  <si>
    <t>c</t>
  </si>
  <si>
    <t xml:space="preserve">Acheminement de la G1000 + wagons. 
Wagons rendus non nettoyé, chargés . 
Avec une masse  à la limite du RT  pour la G1000. 
Une fois la décision prise d'envoyer la G1000 HLP, le poste de Besançon avait fermé </t>
  </si>
  <si>
    <t xml:space="preserve">Vireux </t>
  </si>
  <si>
    <t xml:space="preserve">Chalon en CH </t>
  </si>
  <si>
    <t xml:space="preserve">annulé suite au calage  du Beauchamp- SPDC </t>
  </si>
  <si>
    <t xml:space="preserve">LAB 1/3 </t>
  </si>
  <si>
    <t xml:space="preserve">2 et 6 </t>
  </si>
  <si>
    <t xml:space="preserve">VSG  2/3 </t>
  </si>
  <si>
    <t>diffusé jusqu’à Montcghanin, manque 2ème partie</t>
  </si>
  <si>
    <t xml:space="preserve">qui fait sortir la loco à Moret ( elle n'est pas prête au départ). </t>
  </si>
  <si>
    <t xml:space="preserve">Vaires  1/2 </t>
  </si>
  <si>
    <t>G12 non mise en véhicule + non calée</t>
  </si>
  <si>
    <t xml:space="preserve">Cluses </t>
  </si>
  <si>
    <t>JUVISY 1/2  60015</t>
  </si>
  <si>
    <t xml:space="preserve">PTH   60105 </t>
  </si>
  <si>
    <t xml:space="preserve">Johan + Rachid B </t>
  </si>
  <si>
    <t xml:space="preserve">Pour réclamation SVP </t>
  </si>
  <si>
    <t xml:space="preserve">Castelnaudary </t>
  </si>
  <si>
    <t xml:space="preserve">St FLO  2/2 </t>
  </si>
  <si>
    <t>chalons en champagne</t>
  </si>
  <si>
    <t>LIMOGES 1/2</t>
  </si>
  <si>
    <t>PARIS MONTPARNASSE</t>
  </si>
  <si>
    <t>sens de travail   / Envoi du sillon non vérifié par OPE + non vérification terrain par CDR</t>
  </si>
  <si>
    <t xml:space="preserve">annulé par le client jour J ( besoin supplémentaire suite à une panne d'une autre bourreuse) </t>
  </si>
  <si>
    <t>HAUSBERGEN 1/2</t>
  </si>
  <si>
    <t xml:space="preserve">transifer </t>
  </si>
  <si>
    <t>Epones 1/2</t>
  </si>
  <si>
    <t>Epones</t>
  </si>
  <si>
    <t>ORCHIES 1/4</t>
  </si>
  <si>
    <t>MONTAUBAN 2/2</t>
  </si>
  <si>
    <t>BESANCON 1/2</t>
  </si>
  <si>
    <t>HAZBROUCK 2/4</t>
  </si>
  <si>
    <t>OK  (LE 10 ET 11/07)</t>
  </si>
  <si>
    <t xml:space="preserve">non </t>
  </si>
  <si>
    <t xml:space="preserve">couvert </t>
  </si>
  <si>
    <t>CSS 3/4</t>
  </si>
  <si>
    <t>ORCHIES 3/4</t>
  </si>
  <si>
    <r>
      <t xml:space="preserve">CASTELNAUDRAY </t>
    </r>
    <r>
      <rPr>
        <b/>
        <strike/>
        <sz val="20"/>
        <color rgb="FF000000"/>
        <rFont val="Calibri"/>
        <family val="2"/>
      </rPr>
      <t>Villefranche</t>
    </r>
  </si>
  <si>
    <t>modif</t>
  </si>
  <si>
    <t>terminus Castelnau</t>
  </si>
  <si>
    <t>CULMONT 1/3</t>
  </si>
  <si>
    <t>PTH 4/4</t>
  </si>
  <si>
    <t>CULMONT</t>
  </si>
  <si>
    <t>CULOZ 4/6</t>
  </si>
  <si>
    <t>AMBERIEU 5/6</t>
  </si>
  <si>
    <t>SOTTEVILLE 2/3</t>
  </si>
  <si>
    <t>sotteville</t>
  </si>
  <si>
    <t>VERNOUILLET 3/3</t>
  </si>
  <si>
    <t>Travaux sur l'EP ne nous permettant pas de desservir l'EP en tirant comme d'habitude / Reprise lundi 15/07 avec 1 OSS et 1 CDR</t>
  </si>
  <si>
    <t>FEROMOVE</t>
  </si>
  <si>
    <t xml:space="preserve">La rame n'a pas été prépapée par la Sncf et le chantier la veille, Le conducteur feromove est arrivé à 13h30 pour le départ mais la rame n'était pas prête et les agents SNCF sur place finissaient à 14h00. Le train est parti mais avec du retard.
</t>
  </si>
  <si>
    <r>
      <rPr>
        <b/>
        <strike/>
        <sz val="20"/>
        <color rgb="FF000000"/>
        <rFont val="Calibri"/>
        <family val="2"/>
      </rPr>
      <t>ST FLORENTIN 1/2</t>
    </r>
    <r>
      <rPr>
        <b/>
        <sz val="20"/>
        <color rgb="FF000000"/>
        <rFont val="Calibri"/>
        <family val="2"/>
      </rPr>
      <t xml:space="preserve"> Laroche Migenne 1/4</t>
    </r>
  </si>
  <si>
    <t>parti en retard / manœuvres réalisées par transifer : Rame non prête (chantier ESAF avec BA ETMF et conducteur spot transifer)</t>
  </si>
  <si>
    <t>Poitier 1/2</t>
  </si>
  <si>
    <t>panne G12 1378</t>
  </si>
  <si>
    <t>calé PTH suite incendie machine</t>
  </si>
  <si>
    <t>CAHORS 1/2</t>
  </si>
  <si>
    <t>MONTAUBAN 1/2</t>
  </si>
  <si>
    <t>St Florentin 2/4</t>
  </si>
  <si>
    <t xml:space="preserve">sillon a commander </t>
  </si>
  <si>
    <t>PERRIGNY  1/3</t>
  </si>
  <si>
    <t>AMBERIEU 2/3</t>
  </si>
  <si>
    <t xml:space="preserve">Poitiers </t>
  </si>
  <si>
    <t>Saintes 2/2</t>
  </si>
  <si>
    <t>annulé par le client J-1 à 18h</t>
  </si>
  <si>
    <t>temps manœuvres non suffisant / Fret SNCF n'a pas réalisé les manœuvres, pas de vérification en opé par ETFS = situation dégradée</t>
  </si>
  <si>
    <t xml:space="preserve">gros retard au départ - rame non prête </t>
  </si>
  <si>
    <r>
      <rPr>
        <b/>
        <strike/>
        <sz val="20"/>
        <color rgb="FF000000"/>
        <rFont val="Calibri"/>
        <family val="2"/>
      </rPr>
      <t xml:space="preserve">PTH </t>
    </r>
    <r>
      <rPr>
        <b/>
        <sz val="20"/>
        <color rgb="FF000000"/>
        <rFont val="Calibri"/>
        <family val="2"/>
      </rPr>
      <t xml:space="preserve"> Vernouillet</t>
    </r>
  </si>
  <si>
    <t>pas d'AMOR au depart du train</t>
  </si>
  <si>
    <t>NANTES 2/2</t>
  </si>
  <si>
    <t>NICE 2/2</t>
  </si>
  <si>
    <t>AMOR jusqu'à Avignon et non jusqu'à NICE</t>
  </si>
  <si>
    <t>Depart prévu a 14h / restitution du chantier de la machine a 17h00 // Plus possible de receptionner a JUVISY</t>
  </si>
  <si>
    <t>CARCASSONNES</t>
  </si>
  <si>
    <t>sillon ETFS suite modification en OP (pour facturation car prévu initialement GI) / Pascal non prévenu de son annulation-changements</t>
  </si>
  <si>
    <t>sillon ETFS suite modification en OP (pour facturation car prévu initialement GI)</t>
  </si>
  <si>
    <t>Poissy 1/2</t>
  </si>
  <si>
    <t>Poissy</t>
  </si>
  <si>
    <t>CHALON EN CHAMPAGNE 1/2</t>
  </si>
  <si>
    <r>
      <t xml:space="preserve">substitution suite erreur GI / sillon tracé dans plage travaux
Poste B impacté par les travaux
2ème sillon recu pour éviter les travaux mais FS agent sferis 17h, arrivé sillon 17h15 = refus de SFERIS
 train calé à Acheres
</t>
    </r>
    <r>
      <rPr>
        <b/>
        <sz val="20"/>
        <color rgb="FFFF0000"/>
        <rFont val="Calibri"/>
        <family val="2"/>
        <scheme val="minor"/>
      </rPr>
      <t>Réclamation à faire</t>
    </r>
  </si>
  <si>
    <t>SENS 1/2</t>
  </si>
  <si>
    <t>Refus du RLT SNCF ; manque de communication entre le chantier ZD et le chantier d'Alexandre Paulais qui reprenait la BA</t>
  </si>
  <si>
    <t xml:space="preserve">Loco 60086 + bourreuse
Problèmatique obtention de sillon : substitution car par de possibilité de faire le TAQ à Achères sans prestation au sol (Loco + Bourreuse)
demande de passage via la GC Nord refusé, nouvelle demande sillon en cours avec TAQ à épluches
Sillon refusé par épluches + une panne machine s'est ajoutée
Panne 60086 Pb KVB remplacé par une autre machine mais calé cause sillon
</t>
  </si>
  <si>
    <t>THIONVILLE 2/2</t>
  </si>
  <si>
    <t>Panne 60093, incident cause FEROWAY avancé / Analyse en cours par Mohamed KAOUACH</t>
  </si>
  <si>
    <t>Wagons non déchargés à temps / acheminement annulé</t>
  </si>
  <si>
    <t>SENS 1/3</t>
  </si>
  <si>
    <t>SENS</t>
  </si>
  <si>
    <t>LAROCHE 3/3</t>
  </si>
  <si>
    <t>annulé par le client le 22/07</t>
  </si>
  <si>
    <t>SIBELIN 2/3</t>
  </si>
  <si>
    <t>Lanterne de queue laissée sur le train, non rangée en cabine selon nouvelle procédure</t>
  </si>
  <si>
    <t xml:space="preserve">loco arrivé à Hourcade avec peu de fuel, problématique pour suite ache
calé à SPDC suite demande de secours puis reprise par Claisse Rail
</t>
  </si>
  <si>
    <t>reprise du 23/07 mais calé à Epluche suite panne loco (arrachement cable UM loco 60093)</t>
  </si>
  <si>
    <t xml:space="preserve">panne machine, probleme sera résolu mercredi ou jeudi, plan de reprise a prévoir si machine ok </t>
  </si>
  <si>
    <t>SIBELIN</t>
  </si>
  <si>
    <t>PERPIGNAN 3/3</t>
  </si>
  <si>
    <t>annulé cause précédente</t>
  </si>
  <si>
    <t>machine enterré (info Colas Ramfer), reprise S+1</t>
  </si>
  <si>
    <t>Site Colas saturé</t>
  </si>
  <si>
    <t>CULMONT 2/3</t>
  </si>
  <si>
    <t>Stationnement non prévu à Culmont machine + bourreuse trop longue pour dépôt. Stationnement sur voie SGC prévue pour 24h (le train est resté 86h)</t>
  </si>
  <si>
    <t>CHAUMONT 3/3</t>
  </si>
  <si>
    <t>annulé replanifier S31 , NEBOUT liberé plus tot et replanifiévendredi  sur Woippy-Hagondange</t>
  </si>
  <si>
    <t>CHALON 2/2</t>
  </si>
  <si>
    <t xml:space="preserve">Décalage départ sillon avec obtention sillon à 1h du matin le jour de l'acheminement / erreur de liste de diffusion </t>
  </si>
  <si>
    <t>BEAUCHAMPS</t>
  </si>
  <si>
    <t>Woipy 1/2</t>
  </si>
  <si>
    <t>Woipy</t>
  </si>
  <si>
    <t>ST n'arrivait pas à couvrir jusqu’à Hagondange</t>
  </si>
  <si>
    <t>ST JORY 1/2</t>
  </si>
  <si>
    <t>Reprise de la rame calée + PTH - ST LEU sera fait S+1 (29/07)</t>
  </si>
  <si>
    <t>limoges 1/2</t>
  </si>
  <si>
    <t>train parti avec 13 wagons plutôt que 18 car réforme sur le 14eme wagon et pas d'agent au sol pour manœuvrer (uniquement habilite RAT + EF ) / Etat des lieux réalisé par ETF DR Sud mais réformes non identifiées en amont</t>
  </si>
  <si>
    <t xml:space="preserve">arrêt maladie de M. TUONG // reprise avec ClaisseRail le 01/08 </t>
  </si>
  <si>
    <t>LAROCHE 1/4</t>
  </si>
  <si>
    <t>terminus voie 3 CANAL sur fiche de presta alors que la voie 3 canal fait 50m et notre train 179m. 
Dialogue avec BHL pour trouver une voie de service dispo</t>
  </si>
  <si>
    <t>SIBELIN 2/4</t>
  </si>
  <si>
    <t xml:space="preserve">1 wagons sur les 6 placé dans le cœur du train. Vu avec SNCF et R. Sané pour qu'il effectue la presta pour la manœuvre supp // S.NEBOUT pas au courant des manœuvres à faire au départ. 
Contact du technicentre alors que le train ne peut pas stationner là-bas et marche tracée provoquant un problème pour repartir dans le sens d'Avignon. </t>
  </si>
  <si>
    <t>VILLEFRANCHE</t>
  </si>
  <si>
    <t>demande de Romain Sané pour rentrer la machine en atelier // finalement annulé, loco non dispo</t>
  </si>
  <si>
    <t>Impossible à l'AC de récupérer les installations suite au passage de notre train - intervention de la SNCF. 
Aucun impact sur nos entrées/sorties</t>
  </si>
  <si>
    <t>AVIGNON 3/4</t>
  </si>
  <si>
    <t>RIPPON planifié le mercredi alors que la prestation est au jeudi. MAJ de planning faites en operationnel suite à un appel de Sebastien</t>
  </si>
  <si>
    <r>
      <t xml:space="preserve">Nessim Hammani sur place a 7h40 pour départ à 8h10. (relevé de compo préparé la veille)
Rame ayant circulé le 29/07 - Pas de relevé compo reçu ni mail, ni VPGO </t>
    </r>
    <r>
      <rPr>
        <sz val="20"/>
        <color rgb="FFFF0000"/>
        <rFont val="Calibri"/>
        <family val="2"/>
        <scheme val="minor"/>
      </rPr>
      <t>--&gt; Reboucler avec OSS (@Expert métier Sol)</t>
    </r>
    <r>
      <rPr>
        <sz val="20"/>
        <color theme="1"/>
        <rFont val="Calibri"/>
        <family val="2"/>
        <scheme val="minor"/>
      </rPr>
      <t xml:space="preserve">
Docs matériel non transmis en amont à ClaisseRail - envoyé en OP -</t>
    </r>
    <r>
      <rPr>
        <sz val="20"/>
        <color rgb="FFFF0000"/>
        <rFont val="Calibri"/>
        <family val="2"/>
        <scheme val="minor"/>
      </rPr>
      <t>-&gt; Reboucler avec l'OPE sur l'accessibilité des documents</t>
    </r>
    <r>
      <rPr>
        <sz val="20"/>
        <color theme="1"/>
        <rFont val="Calibri"/>
        <family val="2"/>
        <scheme val="minor"/>
      </rPr>
      <t xml:space="preserve">
Lanterne de queue laissée sur la rame et non déposée en machine (Ronnei)</t>
    </r>
  </si>
  <si>
    <t>PERPIGNAN 4/4</t>
  </si>
  <si>
    <t>Lieu de garage modifié à l'arrivée du train pour le Poste A</t>
  </si>
  <si>
    <t>Nice</t>
  </si>
  <si>
    <t xml:space="preserve">Valenton 1/2 </t>
  </si>
  <si>
    <t>1516+tevo</t>
  </si>
  <si>
    <t xml:space="preserve">Départ avec 2heures de retards suite problème voyageur de Roonei.
Plannifié sur 2 jours le spot s'est réalisé en 1 jours. 
1 journée de service  non refacturé ( celle du mercredi) 
 </t>
  </si>
  <si>
    <t xml:space="preserve">Retard récupéré sur la deuxième partie </t>
  </si>
  <si>
    <t>Chaumont</t>
  </si>
  <si>
    <r>
      <t xml:space="preserve">Soufiane est arrivé à 09h00 la loco était en panne de batterie. 
Un technicien ZD est sur place depuis plusieurs jours et doit démarrer les locos, il n'avait pas de booster, il a fallut attendre que la loco de manoeuvre soit dispo pour démarrer avec les cables.
La loco a démarré à 11h44 ( railfleet), loco présentée au départ à 12h00 
L'agent au sol était aà coté de la BA en attente pour réaliser la manœuvre. 
</t>
    </r>
    <r>
      <rPr>
        <sz val="20"/>
        <color rgb="FFFF0000"/>
        <rFont val="Calibri"/>
        <family val="2"/>
        <scheme val="minor"/>
      </rPr>
      <t>A reboucler avec Philippe C</t>
    </r>
    <r>
      <rPr>
        <sz val="20"/>
        <color theme="1"/>
        <rFont val="Calibri"/>
        <family val="2"/>
        <scheme val="minor"/>
      </rPr>
      <t xml:space="preserve">
</t>
    </r>
  </si>
  <si>
    <t>Perpignan</t>
  </si>
  <si>
    <t xml:space="preserve">loco rendu avec 1000L par le chantier. 
Fuel réalisé en opé à Avignon 1900L </t>
  </si>
  <si>
    <t xml:space="preserve">PERRIGNY  </t>
  </si>
  <si>
    <t>Epluches</t>
  </si>
  <si>
    <t xml:space="preserve">VSG  Débranchement </t>
  </si>
  <si>
    <t xml:space="preserve">St Leu </t>
  </si>
  <si>
    <t>G1206 1378 + ssp 230</t>
  </si>
  <si>
    <t>Epluches 1/2</t>
  </si>
  <si>
    <t>109 FRP n°2523</t>
  </si>
  <si>
    <t>ST LEU D'ESSERENT  1/2</t>
  </si>
  <si>
    <t xml:space="preserve">calée  suite panne loco à Dijon Porte Neuve, Reprise en S34 </t>
  </si>
  <si>
    <t xml:space="preserve">ST LEU D'ESSERENT </t>
  </si>
  <si>
    <t>2103 + 2 wagons</t>
  </si>
  <si>
    <t>Le chantier a realise des manœuvres avec la G1206. 
Loco rendue à 12h30 . 
Un autre sillon a  été commandé en parallèle afin de ne pas caler le train.
Départ du train à 14h00 
'-Dépassement de JS pour Pascal THEVENET et Vincent THEVENET</t>
  </si>
  <si>
    <t>Chamumont</t>
  </si>
  <si>
    <t>Perrigny 1/2</t>
  </si>
  <si>
    <t xml:space="preserve">Cette loco a porté le secours a la V211 580-0 </t>
  </si>
  <si>
    <r>
      <t xml:space="preserve">Train calé a Valenton - Impossibilité de réalimenter le train une fois arrivé sur Valenton - Hotline appelé problème non résolu - en attente d'intervention pour remontage. Mastéris n'a pas trouvé de panne. 
Mauvaise utilisation de la ST ? 
</t>
    </r>
    <r>
      <rPr>
        <sz val="20"/>
        <color rgb="FFFF0000"/>
        <rFont val="Calibri"/>
        <family val="2"/>
        <scheme val="minor"/>
      </rPr>
      <t>Devis de la ST mis en attente. Sujet à suivre par Paul</t>
    </r>
    <r>
      <rPr>
        <sz val="20"/>
        <color theme="1"/>
        <rFont val="Calibri"/>
        <family val="2"/>
        <scheme val="minor"/>
      </rPr>
      <t xml:space="preserve"> / pas d'impact ressource ETF et ETFS</t>
    </r>
  </si>
  <si>
    <t>2102+2103</t>
  </si>
  <si>
    <t>1122 + 1377</t>
  </si>
  <si>
    <t>Moret 2/3</t>
  </si>
  <si>
    <t>1 wagon serré dans la rame, isolement non réussi ( le 7eme en partant du début du convoi).  
Les 6 premiers wagons ont été livrés. Les autres wagons sont restés voie 16 à VSG 
Wagon sans étiquette de réforme  (cause non connue)</t>
  </si>
  <si>
    <t>Montereau 3/3</t>
  </si>
  <si>
    <t>VSG  1/3</t>
  </si>
  <si>
    <t xml:space="preserve">Bourreuse 109 FRP </t>
  </si>
  <si>
    <t xml:space="preserve">G1029 + G1038 </t>
  </si>
  <si>
    <t xml:space="preserve">Mardi </t>
  </si>
  <si>
    <t>Perrigny 2/3</t>
  </si>
  <si>
    <t>G1029 + G1038  + 10R93</t>
  </si>
  <si>
    <t>Château Thierry 1/5</t>
  </si>
  <si>
    <t>Acheminement repris en opérationnel Suite plage travau entre château thierry et Epernay  + manœuvres pour récuper la loco à Dijon porte neuve</t>
  </si>
  <si>
    <t>Château Thierry</t>
  </si>
  <si>
    <t>Bening  2/5</t>
  </si>
  <si>
    <t>Metz 3/5</t>
  </si>
  <si>
    <t xml:space="preserve">G1206 n°1378 + 2wagons </t>
  </si>
  <si>
    <t xml:space="preserve">Folligny </t>
  </si>
  <si>
    <t>6000+g1206</t>
  </si>
  <si>
    <t xml:space="preserve">Signalement du conducteur travaux à l'arrivée suite à l'arrivée des locos avec un minimum de fuel.  </t>
  </si>
  <si>
    <t>st rambert  2/4</t>
  </si>
  <si>
    <t>Culoz 3/3</t>
  </si>
  <si>
    <t xml:space="preserve">CEC 1/3 </t>
  </si>
  <si>
    <t>82 BG</t>
  </si>
  <si>
    <t xml:space="preserve">Dijon </t>
  </si>
  <si>
    <t xml:space="preserve">Dijon  porte neuve </t>
  </si>
  <si>
    <t>G1206 1378 + V211 580-0</t>
  </si>
  <si>
    <t>montceau les mines 5/5</t>
  </si>
  <si>
    <t>G1206 1378 + V211 580-0+ 2 wagons R93</t>
  </si>
  <si>
    <t>morlaix 2/2</t>
  </si>
  <si>
    <t xml:space="preserve">Agent au sol plannifié en opérationnel, Securail n'avait pas prévu d'agent au sol </t>
  </si>
  <si>
    <t>Montereau  2/2</t>
  </si>
  <si>
    <t>G1206 + 14 wagons</t>
  </si>
  <si>
    <t xml:space="preserve">St Rambert </t>
  </si>
  <si>
    <t>Marseille 3/4</t>
  </si>
  <si>
    <t xml:space="preserve">Mise en sécurité de la 60 000 car les phares étaitent restés allumés la veille, dépanné de justesse par Virgil , 2eme sujet 60 000 en 2 semaines avec S2TF </t>
  </si>
  <si>
    <t>peséé</t>
  </si>
  <si>
    <t xml:space="preserve">Verndrefdi </t>
  </si>
  <si>
    <t>82BG</t>
  </si>
  <si>
    <t>annulé par pré-op le 21/08</t>
  </si>
  <si>
    <t>Nice 4/4</t>
  </si>
  <si>
    <t>G12 COLAS n°61705</t>
  </si>
  <si>
    <t>BB 60093</t>
  </si>
  <si>
    <t xml:space="preserve">BOB </t>
  </si>
  <si>
    <t>60086 + COMPO</t>
  </si>
  <si>
    <t xml:space="preserve">NICE </t>
  </si>
  <si>
    <t>60020+ VAD n°257 + MFS 6824+ Porte flèche double</t>
  </si>
  <si>
    <t>Wagons non nettoyés, Sébastien NEBOUT a dû procéder au nettoyage de 3 d'entre eux. Cela avait pourtant été signalé à plusieurs reprises le vendredi S-1. Chantier ESAF</t>
  </si>
  <si>
    <t xml:space="preserve">PERRIGNY 1/3 </t>
  </si>
  <si>
    <t>BOURREUSE 3546</t>
  </si>
  <si>
    <t>AULNOYE</t>
  </si>
  <si>
    <t xml:space="preserve">annulation </t>
  </si>
  <si>
    <t xml:space="preserve">client </t>
  </si>
  <si>
    <t>V211 N° 527-1 + V211 N° 528-9 + Bourreuse n°6346</t>
  </si>
  <si>
    <t>VALENCIENNES impasse E</t>
  </si>
  <si>
    <t xml:space="preserve">Aulnoye </t>
  </si>
  <si>
    <t xml:space="preserve">Clermond Ferrand 2/4 </t>
  </si>
  <si>
    <t xml:space="preserve">ST LEU // PTH </t>
  </si>
  <si>
    <t xml:space="preserve">VSG 2/3 </t>
  </si>
  <si>
    <t>Clermont F</t>
  </si>
  <si>
    <t xml:space="preserve">Neussargues  3/4 </t>
  </si>
  <si>
    <t xml:space="preserve">Neussargues  </t>
  </si>
  <si>
    <t xml:space="preserve">SGDF F 4/4 </t>
  </si>
  <si>
    <t>60072+1118</t>
  </si>
  <si>
    <t xml:space="preserve">LIZY 3/3 </t>
  </si>
  <si>
    <t>Manque TES G, mais pas d'impact prod car Sébastien RIPPON a pu assurer la mission TES G</t>
  </si>
  <si>
    <t>Loco Claisse  + 8r93</t>
  </si>
  <si>
    <t xml:space="preserve">claisse rail </t>
  </si>
  <si>
    <t>Viezon 1bis / 3</t>
  </si>
  <si>
    <t>VSG  2/3</t>
  </si>
  <si>
    <t>60020 + 8R93</t>
  </si>
  <si>
    <t>G1206 1378 + Stab 82BG</t>
  </si>
  <si>
    <t xml:space="preserve">Pesée </t>
  </si>
  <si>
    <t xml:space="preserve">pas de sillon </t>
  </si>
  <si>
    <t>sillon</t>
  </si>
  <si>
    <t xml:space="preserve">Double Flux </t>
  </si>
  <si>
    <t>60072+60086</t>
  </si>
  <si>
    <t>INFRARAIL</t>
  </si>
  <si>
    <t>Stationnement de la BML 3485 à Poitiers dépôt, sans avertir qu'il y aurait besoin d'un AM pour en sortir (impact chantier La Rochelle, éventuyellement 3500€, en attente info C. LAFORGE)</t>
  </si>
  <si>
    <t>BML 2617</t>
  </si>
  <si>
    <t>G1206 1372</t>
  </si>
  <si>
    <t xml:space="preserve">Loco 1372 pas prête aux Mureaux, Modification en opérationnel : envoi de la 1128  depuis vernouillet. 
Panne de la 1128 ( RST). </t>
  </si>
  <si>
    <t>MONTLUCON 1/4</t>
  </si>
  <si>
    <t>LA ROCHELLE</t>
  </si>
  <si>
    <r>
      <t xml:space="preserve">Bourreuse  enterré au dépot sans agent au sol pour sortir. // acheminé par infrarail en S-1. 
un deuxième départ a eu lieu en fin de journée.
</t>
    </r>
    <r>
      <rPr>
        <b/>
        <u/>
        <sz val="20"/>
        <color rgb="FF000000"/>
        <rFont val="Calibri"/>
        <family val="2"/>
        <scheme val="minor"/>
      </rPr>
      <t xml:space="preserve">Conséquence financières : une deuxième prestation a été demandé pour l'entrée au port de la ROCHELLE. 
A qui e st imputé cette prestation. </t>
    </r>
  </si>
  <si>
    <t>60015 + 8R93</t>
  </si>
  <si>
    <t>Montlucon</t>
  </si>
  <si>
    <t>G1206 n°1118 + P95GCF</t>
  </si>
  <si>
    <t xml:space="preserve">G1206  1124 </t>
  </si>
  <si>
    <t>G12 1124 + PUSCAL</t>
  </si>
  <si>
    <t xml:space="preserve">Train calé à PTH le wagon ne désserre pas reporté au 04/09/2024 </t>
  </si>
  <si>
    <t>G1206 n°1516+PREPA TEVO</t>
  </si>
  <si>
    <t xml:space="preserve">pas de sillon obtenu, reporté </t>
  </si>
  <si>
    <t>Ferrotract</t>
  </si>
  <si>
    <t>60020+ PUSCAL</t>
  </si>
  <si>
    <t>Bourreuse n°2617</t>
  </si>
  <si>
    <t xml:space="preserve">Demande de secours suite à panne  de la bourreuse en ligne. 
La machine a été stationnée aux Laumes, puis récupérer par un conducteur du chantier le jeudi 05/09
</t>
  </si>
  <si>
    <t>g12 DVF</t>
  </si>
  <si>
    <t xml:space="preserve">PORTES </t>
  </si>
  <si>
    <t>G1206 n°1372+1124+TEVO+Compo</t>
  </si>
  <si>
    <t xml:space="preserve">Retard au départ  mais arrivé à l'heure à Vernouillet </t>
  </si>
  <si>
    <t>MTB  1/2</t>
  </si>
  <si>
    <t>Pas de sillon obtenu // Fabre habilité uniquement par la GC nord et il y a des travaux sur la GC de 10h à 16h (possibilité d'être receptionné a Vernouillet jusqu'à 16h max)</t>
  </si>
  <si>
    <t xml:space="preserve">prépa tévo </t>
  </si>
  <si>
    <t xml:space="preserve">Gevrey </t>
  </si>
  <si>
    <t xml:space="preserve">train calé à Montereau suite à un élément mal fixé. </t>
  </si>
  <si>
    <t>Annulé par client le 03/09 (mail de 21h18)</t>
  </si>
  <si>
    <t xml:space="preserve">l'itinéraire n'a pas été tracé par les agents SNCF du chantier. </t>
  </si>
  <si>
    <t>60020 + 5 wagons</t>
  </si>
  <si>
    <t>G12 DVF + 5 EX100</t>
  </si>
  <si>
    <t>Annulmé par client le 03/09 (mail de 21h18</t>
  </si>
  <si>
    <t>CONFLANS JARNY 2/2</t>
  </si>
  <si>
    <t>G1206 DVF n°1552+1626</t>
  </si>
  <si>
    <t xml:space="preserve">Bourreuse n°6346 </t>
  </si>
  <si>
    <t>G1206 n°1372+1124</t>
  </si>
  <si>
    <t>Neussargues 1/3</t>
  </si>
  <si>
    <t xml:space="preserve">G1206 n°1516 </t>
  </si>
  <si>
    <t>Neussargues</t>
  </si>
  <si>
    <t xml:space="preserve">G1206 n°1516 + VAD 257 +Porte Flèche </t>
  </si>
  <si>
    <t xml:space="preserve">Calé au départ suite à une panne des VAD, Aussi la rame n'avait pas été formée à la rentrée du chantier.  </t>
  </si>
  <si>
    <t>VIERZON 1/5</t>
  </si>
  <si>
    <t xml:space="preserve">G12 1122 + G12 1377 </t>
  </si>
  <si>
    <t xml:space="preserve">G1206 n° 1124+1128+7 wagons </t>
  </si>
  <si>
    <t xml:space="preserve">Calé à Creil suite à une panne machine  / reprise le lendemain </t>
  </si>
  <si>
    <t xml:space="preserve">LA ROCHELLE </t>
  </si>
  <si>
    <t>Retard au départ suite à un problème d' AC  pas à jour. 
Le conducteur a prévenu à Minuit la veille, et ne s'est pas rendu sur place 
le matin. 
Un sillon a été recommandé l'acheminement s'est bien réalisé</t>
  </si>
  <si>
    <t>GEVREY 3/3</t>
  </si>
  <si>
    <t xml:space="preserve">Reporté suite au calage de la veille </t>
  </si>
  <si>
    <t xml:space="preserve">Vernouillet // Creill </t>
  </si>
  <si>
    <t>1128+ BMl 1362 + SSP 230</t>
  </si>
  <si>
    <t xml:space="preserve">Retard au départ car la bourreuse était resté dans le convoi du puscal et </t>
  </si>
  <si>
    <t>GIEVRES 2/5</t>
  </si>
  <si>
    <t>G12 1122 + 2131 DVF + 1377</t>
  </si>
  <si>
    <t>VIERZON 3/5</t>
  </si>
  <si>
    <t xml:space="preserve">G12 1122 + 1377 + 2131 DVF + 8R93 + 6EX </t>
  </si>
  <si>
    <t>NIORT 1/2</t>
  </si>
  <si>
    <t xml:space="preserve">Problème de réception à Niort. Il n'ya que des voies d'équipement à Niort, Des prestations sont a demander à la PSEF. 
L'achemienement a pu qand même être réalisé </t>
  </si>
  <si>
    <t xml:space="preserve">G1206 DVF n°1552+1626+TEVO </t>
  </si>
  <si>
    <t xml:space="preserve">Reporté au lendemain suite à la panne du SSP 230 </t>
  </si>
  <si>
    <t>LE MANS 4/5</t>
  </si>
  <si>
    <t xml:space="preserve">G1206 DVF n°1552+1626+TEVO + SSP 230 + BML 1362 </t>
  </si>
  <si>
    <t>NEUSSARGUES</t>
  </si>
  <si>
    <t>NEVERS 1/3</t>
  </si>
  <si>
    <t xml:space="preserve">DEG GCF+ VAD 258 </t>
  </si>
  <si>
    <t>MORLAIX 5/5</t>
  </si>
  <si>
    <t xml:space="preserve">calé  Au Mans suite à des trappes entrouvertes. 
Repris en S38 </t>
  </si>
  <si>
    <t xml:space="preserve">DGS62N </t>
  </si>
  <si>
    <t xml:space="preserve">Bourreuse n°1362 </t>
  </si>
  <si>
    <t xml:space="preserve">ST AVRE LA CHAMBRE </t>
  </si>
  <si>
    <t xml:space="preserve">Retard au départ suite l'absence de l'AC au poste L ( imprévu) </t>
  </si>
  <si>
    <t>G12 1486 + 60015</t>
  </si>
  <si>
    <t>Retard au départ car la 60 015 était bloquée par la 60086, un switch de loco a  été effectué. G12 finalement parti avec la 60086 à SO et non 60015 qui est parti vers VET. Les pleins GNR n'avaient pas été prévus en ce sens, cela aurait aussi pu proposer problème car agréments envoyés aus chantiers ne correspondaient finalement plus</t>
  </si>
  <si>
    <t>PLOUARET 2/2</t>
  </si>
  <si>
    <t>Hagondange</t>
  </si>
  <si>
    <t>à partir de 15h00</t>
  </si>
  <si>
    <t>Problème d'huile : pas d'alerte sur le niveau bas</t>
  </si>
  <si>
    <t>BML Delcourt</t>
  </si>
  <si>
    <t>BERCY 1/2</t>
  </si>
  <si>
    <t>annulation client, la ressource a été réutilisée</t>
  </si>
  <si>
    <t>LONGUEAU voies 15 à 18</t>
  </si>
  <si>
    <t>G12 1372 + 18 wagons</t>
  </si>
  <si>
    <t xml:space="preserve">Morlaix </t>
  </si>
  <si>
    <t xml:space="preserve">G12 1122 + 2131 DVF + 1377 + 8R93 + 6EX </t>
  </si>
  <si>
    <r>
      <t xml:space="preserve">Securail nous avise dimanche soir que leur conducteur est malade// Acheminement reprit par P. THEVENET le lendemain entre Le MANS et RENNES , sécurail a fait la suite. 
</t>
    </r>
    <r>
      <rPr>
        <b/>
        <sz val="20"/>
        <color rgb="FFFF0000"/>
        <rFont val="Calibri"/>
        <family val="2"/>
      </rPr>
      <t>Sujet du train calé S-1 : en attente retour Lahbib pour analyse de l'incident + sujet à approfondire côté mécanique (Hervé/Christophe)</t>
    </r>
  </si>
  <si>
    <t>PORTES LES VALENCE</t>
  </si>
  <si>
    <t xml:space="preserve">G1028 + 20R93 </t>
  </si>
  <si>
    <t xml:space="preserve">Reporté car la loco est tombée en panne le vendredi soir. </t>
  </si>
  <si>
    <t>PARIS GARAGE DE L'OURCQ</t>
  </si>
  <si>
    <t>60072 + rame LRS</t>
  </si>
  <si>
    <t>Rame non prête cause AMM (maintenance/pesée non terminée)</t>
  </si>
  <si>
    <t>G12 1838</t>
  </si>
  <si>
    <t>Fuite / Gestion AMM</t>
  </si>
  <si>
    <t>G1206 n°1118+VAD+109 COLAS + 1124</t>
  </si>
  <si>
    <t>EPONES</t>
  </si>
  <si>
    <t>gevrey</t>
  </si>
  <si>
    <t>60072+60015 + TTX TERRE</t>
  </si>
  <si>
    <t>Conséquence du retard des Mureaux</t>
  </si>
  <si>
    <t xml:space="preserve">Securail </t>
  </si>
  <si>
    <t>Restitution AMM trop tard / Rame non prête</t>
  </si>
  <si>
    <t>vsg  1/2</t>
  </si>
  <si>
    <t>G1206 Colas+2 wagons</t>
  </si>
  <si>
    <t>laroche 2/2</t>
  </si>
  <si>
    <t>G1206 Colas+ 11 wagons</t>
  </si>
  <si>
    <t>st pierre albigny</t>
  </si>
  <si>
    <t>ambérieu</t>
  </si>
  <si>
    <t>G12 1372 + 17 wagons</t>
  </si>
  <si>
    <t xml:space="preserve">Sujet sur les radios de manœuvres les agents au sol n'en sont plus équipé. Romain et Paul ont fait envoyer des radios à Longueau pour la manœuvre, cela aurait pu poser des difficultés. </t>
  </si>
  <si>
    <t>AULNOYE 2/2</t>
  </si>
  <si>
    <t xml:space="preserve">gevrey  </t>
  </si>
  <si>
    <t>Annulé car la rame n'est pas parti des Mureaux la veille.  La ressource (LAYACHI MAHDI) a fait les MUREAUX-Vernouilet à la place  
Conséquence du retard des Mureaux</t>
  </si>
  <si>
    <t>G12 COLAS 1705</t>
  </si>
  <si>
    <t>G1206 n°1128+ DGS 42N</t>
  </si>
  <si>
    <t>st floretnin 1/3</t>
  </si>
  <si>
    <t>st florentin</t>
  </si>
  <si>
    <t>joigny 2/3</t>
  </si>
  <si>
    <t>G1206 Colas+ 2 wagons +Train usine</t>
  </si>
  <si>
    <t>Pas pu manœuvrer via Pascal au lieu de Vincent / ZEP prise du St Flo</t>
  </si>
  <si>
    <t>CHALONS 1/2</t>
  </si>
  <si>
    <t xml:space="preserve">BML n°993 </t>
  </si>
  <si>
    <t xml:space="preserve">Sécurail a calé la Bourreuse Suite à une panne de la pompe à GNR </t>
  </si>
  <si>
    <t xml:space="preserve">Retard au départ suite à un boyau de sablière détaché, Colas est intervenu avant le départ. </t>
  </si>
  <si>
    <t>Portes les valence</t>
  </si>
  <si>
    <t>Transifer n'était pas au courant pour la réalisation de la prestation. Pas de prestation commandé pour la RAT EF</t>
  </si>
  <si>
    <t xml:space="preserve">VSG FDN </t>
  </si>
  <si>
    <t xml:space="preserve">Paris Bercy </t>
  </si>
  <si>
    <t xml:space="preserve">V211 635 + 581 + Wagons </t>
  </si>
  <si>
    <t xml:space="preserve">Retard de Rénald URBAIN (conducteur)à VSG, nous ne lui avions pas bien transmis les infos. 
Quentin LUCAS prévenu sans impact. </t>
  </si>
  <si>
    <t xml:space="preserve">annulation TMN </t>
  </si>
  <si>
    <t>mtb</t>
  </si>
  <si>
    <t xml:space="preserve">Vernouillet 1/2 </t>
  </si>
  <si>
    <t xml:space="preserve">Gevrey 2/2 </t>
  </si>
  <si>
    <t xml:space="preserve">60072+60015 + TTX TERRE+  R21 </t>
  </si>
  <si>
    <t>Stéphane est arrivé à 13h à Vernouillet, le train n'était pas prêt. 
Les manœuvres se sont terminées à  17h30. 
2 nouveaux sillons ont été demandé pour partir après la pointe. (Voir le chantier)</t>
  </si>
  <si>
    <t xml:space="preserve">G1206 Colas </t>
  </si>
  <si>
    <t xml:space="preserve">retard au départ problème de loco ( boyau de sablière détaché, un agent colas est intervenu pour réparer. </t>
  </si>
  <si>
    <t>g1206 1128</t>
  </si>
  <si>
    <t>G12 1378 +60093 +  Stab 82BG</t>
  </si>
  <si>
    <t xml:space="preserve">Les locos étaient  a Morêt le conducteur travaux ne nous a pas prévenu malgré l'envoi des sillon. 
Conséquence + de 3h de retard . 
2eme sujet : Stab arrivée dans le mauvais sens , le stab était en véhicule ce qui ne permettait pas de tourner. </t>
  </si>
  <si>
    <t xml:space="preserve">PERSAN // PTH </t>
  </si>
  <si>
    <t xml:space="preserve">G1206 1378 + 60093(à déposer à PTH) </t>
  </si>
  <si>
    <t>G126</t>
  </si>
  <si>
    <t>Dupliquer marche 97001 du 02/09</t>
  </si>
  <si>
    <t xml:space="preserve">Si arrivée sens de travail Paris&gt;Province alors ajouté VSG (TAC) entre Pirrefitte et Goussainville </t>
  </si>
  <si>
    <t>Nezel</t>
  </si>
  <si>
    <t>G1206 n°1118+109 Colas+BML  n°6348 +G1206 n°1544</t>
  </si>
  <si>
    <t>Epone</t>
  </si>
  <si>
    <t>St Leu 1/3</t>
  </si>
  <si>
    <t>BB60093+WDCO</t>
  </si>
  <si>
    <t>CONFLANS JARNY</t>
  </si>
  <si>
    <t xml:space="preserve">60020 + 5 Wagons </t>
  </si>
  <si>
    <t>olk</t>
  </si>
  <si>
    <t xml:space="preserve">VSG FSC reception </t>
  </si>
  <si>
    <t xml:space="preserve">r21 </t>
  </si>
  <si>
    <t>LES ARDOINES</t>
  </si>
  <si>
    <t>Tx Juvisy entre 08h et 16h</t>
  </si>
  <si>
    <t>60093 + 2 wgs</t>
  </si>
  <si>
    <t xml:space="preserve">Besoin d'un PPSPS, pour les prochaines fois il faut arriver en refoulant obligatoirement. </t>
  </si>
  <si>
    <t>60020 + 10 WAGONS</t>
  </si>
  <si>
    <t>BB60093 + 3 Wagons</t>
  </si>
  <si>
    <t>Attention le wagon N°838739360231 ne freine pas a encadrer par les deux wagons Ermewa</t>
  </si>
  <si>
    <t>G1206 n°1885 + BML n°6347 + 2 Wagons</t>
  </si>
  <si>
    <t>Cable pendait sous la bourreuse, Brayer OSS était en charge de faire la RAT + EF, 
Boitier ATESS arraché - Pas d'impact production pour l'agence de l'Est semaine dernière / Machine à remettre en état d'ici demain pour poursuivre la production</t>
  </si>
  <si>
    <t xml:space="preserve">BB60020 + G1206 Colas </t>
  </si>
  <si>
    <t xml:space="preserve">Poste de villeneuve devant le DBR fermé suite aux pluies. 
Le guichet n'avait pas de réel prévision de reprise. Il a été décidé pour ne pas prendre de risque vis-à-vis du chantier qui attendait la loco d'envoyer la 60093 qui était à Vernouillet </t>
  </si>
  <si>
    <t xml:space="preserve">Chatillon </t>
  </si>
  <si>
    <t xml:space="preserve">Dreux </t>
  </si>
  <si>
    <t xml:space="preserve">Non réalisé suite à la fermeture du poste de VSG </t>
  </si>
  <si>
    <t>Avoir des annexes permanentes / Identification de la loco pas facile</t>
  </si>
  <si>
    <t>G1206 n°1372 + 2Wagons</t>
  </si>
  <si>
    <t xml:space="preserve">Problème de communication. 
Sur la Presta il était noté Rachid à la conduite. 
Sur VP il était en AMO // puis en AM. 
</t>
  </si>
  <si>
    <t>Reporté au 28/09</t>
  </si>
  <si>
    <t>feromoove</t>
  </si>
  <si>
    <t>Ferromove n'a pas réussi à obtenir un sillon cause travaux, reprise le 30/09</t>
  </si>
  <si>
    <t>PMP VO (rebroussement), Plaisir, Vernouillet</t>
  </si>
  <si>
    <t>Portes</t>
  </si>
  <si>
    <t>V211 580-0</t>
  </si>
  <si>
    <t xml:space="preserve">loco mise au rouge </t>
  </si>
  <si>
    <t xml:space="preserve">Les laumes </t>
  </si>
  <si>
    <t>culoz</t>
  </si>
  <si>
    <t xml:space="preserve">les Laumes </t>
  </si>
  <si>
    <t>Montceau les mines 2/2</t>
  </si>
  <si>
    <t>V211580-0</t>
  </si>
  <si>
    <t xml:space="preserve">loco au rouge </t>
  </si>
  <si>
    <t xml:space="preserve">panne loco colas </t>
  </si>
  <si>
    <t xml:space="preserve">Manœuvres </t>
  </si>
  <si>
    <t xml:space="preserve">MULHOUSE </t>
  </si>
  <si>
    <t xml:space="preserve">Pas de sillon </t>
  </si>
  <si>
    <t xml:space="preserve">BML 6347 </t>
  </si>
  <si>
    <t>BB60020 + 4 wagons</t>
  </si>
  <si>
    <t xml:space="preserve">retard au départ car la rame n'a pas été formée par le fret 
malgrés 3 rappels  + tension basse de la batterie. 
Achemienement réalisé avec 2h de retard. </t>
  </si>
  <si>
    <t>LONGUEAU VS</t>
  </si>
  <si>
    <t>LONGUEAU DP</t>
  </si>
  <si>
    <t>G12 1486 + 60086</t>
  </si>
  <si>
    <t>Laroches 2/3</t>
  </si>
  <si>
    <t>G1206 1886</t>
  </si>
  <si>
    <t xml:space="preserve">culoz </t>
  </si>
  <si>
    <t xml:space="preserve">gevrey </t>
  </si>
  <si>
    <t>G12 1372 + RDF n°5 + 2 wagons enadrant</t>
  </si>
  <si>
    <t>G12 1372 + RDF n°1 + 2 wagons enadrant</t>
  </si>
  <si>
    <t>train resté à Gevrey le wagon RDF n'était pas prêt // Conséquence du décalage du PTH &gt; Culoz en S39 (le 27/09) NC ST de base</t>
  </si>
  <si>
    <t>travaux à partir de 12h entre Breteuil et Longueau</t>
  </si>
  <si>
    <t>Laroches</t>
  </si>
  <si>
    <t xml:space="preserve">Retournement </t>
  </si>
  <si>
    <t xml:space="preserve">Vernouillet // Vernouillet </t>
  </si>
  <si>
    <t>G1206 n°1118+BML n°6348+R21 47009+BML n°1077+R1 Delcourt+G1206 n°1544</t>
  </si>
  <si>
    <t xml:space="preserve">BML n°3486 </t>
  </si>
  <si>
    <t>Retard au départ  suite retard du chantier.</t>
  </si>
  <si>
    <t>st pierre d'albigny</t>
  </si>
  <si>
    <t>Portes les Valence</t>
  </si>
  <si>
    <t>ajouté en OP</t>
  </si>
  <si>
    <t>narbonne</t>
  </si>
  <si>
    <t>reporté au 04/10</t>
  </si>
  <si>
    <t xml:space="preserve">  60000 4 MFS + 1porte fleche. </t>
  </si>
  <si>
    <t>V211 581-8 + V211 635-2+ 3 wagons R39</t>
  </si>
  <si>
    <t>LES ARDOINES 2/2</t>
  </si>
  <si>
    <t xml:space="preserve">G1206 1118 </t>
  </si>
  <si>
    <t>G1206 n°1118+VAD 85+Porte flèche Colas</t>
  </si>
  <si>
    <t>CSS 2/5</t>
  </si>
  <si>
    <t>G1206 COLAS n° 1764</t>
  </si>
  <si>
    <t>Laroches 3/4</t>
  </si>
  <si>
    <t xml:space="preserve">G1206 COLAS n° 1764 + 5 ex </t>
  </si>
  <si>
    <t>Reporté//Priorisation de l'acheminement de la RDF 1 suite au retard du switch des RDF à Gevrey</t>
  </si>
  <si>
    <t xml:space="preserve">Les Mureaux </t>
  </si>
  <si>
    <t>Feromoove</t>
  </si>
  <si>
    <t>G1206 n°+Triplette de WAD+Porte flèche</t>
  </si>
  <si>
    <t>Aiguille cassé aux Mureau mais sans impact ( 1 de retard)</t>
  </si>
  <si>
    <t xml:space="preserve">Biarritz </t>
  </si>
  <si>
    <t xml:space="preserve">reporté à samedi </t>
  </si>
  <si>
    <t>VSG 4/5</t>
  </si>
  <si>
    <t>reporté // conséquence de l'acheminement précédent</t>
  </si>
  <si>
    <t>Hazebrouck 5/5</t>
  </si>
  <si>
    <t>Franchissement de signal fermé avec Vincent SABRE *</t>
  </si>
  <si>
    <t>Train repri par Rachid + Signalement fuite hydrolique (pas d'EVENT pendant le SPOT et pas d'EVENT en chantier lors de l'incident)</t>
  </si>
  <si>
    <t xml:space="preserve">Loco Colas </t>
  </si>
  <si>
    <t>Travaux de Batignolles a Sartrouville de 8h30 a 15h45</t>
  </si>
  <si>
    <t>G1206 COLAS</t>
  </si>
  <si>
    <t xml:space="preserve">du Vernouillet //Trapes </t>
  </si>
  <si>
    <t xml:space="preserve"> BOURREUSE n°6348</t>
  </si>
  <si>
    <t>G12 1486 + STRAB 82BG</t>
  </si>
  <si>
    <t>Retard au départ rame non formée</t>
  </si>
  <si>
    <t>10h30 d'amplitude pour Rachid cause manœuvres au départ qui ont pris plus de temps que prévu car rame non prête au départ. Action mise en place par l'OP : une relève a été faire pour Rachid.</t>
  </si>
  <si>
    <t>LA GARENNE COLOMBES</t>
  </si>
  <si>
    <t>60093 +G12 1486 + 10 wagons</t>
  </si>
  <si>
    <t>G12 1118 + 60093+ Bourreuse n°6348</t>
  </si>
  <si>
    <t>G1206 n°1885+BML n°6347+ 2 wagons chargés</t>
  </si>
  <si>
    <t>60086+Bourreuse n°6346</t>
  </si>
  <si>
    <t xml:space="preserve">LENS </t>
  </si>
  <si>
    <t>ARMENTIERES</t>
  </si>
  <si>
    <t>G1022 Colas</t>
  </si>
  <si>
    <t xml:space="preserve">ST GERMAIN </t>
  </si>
  <si>
    <t>G1022 Colas + Porte flèche</t>
  </si>
  <si>
    <t>G1206 n°1838+Triplette VAD+1 VAD+ G1206 n°1544</t>
  </si>
  <si>
    <t>Annulé en OP</t>
  </si>
  <si>
    <t>G1206 COLAS n°1764 + 5EX100</t>
  </si>
  <si>
    <t>G12 1776 COLAS</t>
  </si>
  <si>
    <t>G1206 COLAS n°1764</t>
  </si>
  <si>
    <t xml:space="preserve">BML Azurail </t>
  </si>
  <si>
    <t>ST GERMAIN</t>
  </si>
  <si>
    <t>G1022 COLAS + VAD 258 + Porte Flèche</t>
  </si>
  <si>
    <t>10h30 d'amplitude pour S. NEBOUT : secours porté à GCF pour bourreuse ne panne à SGF. A/R avec G1000 + manœuvre + plein dépôt avec attente retour loco avec bourreuse, ce qui l'a mis en retard.</t>
  </si>
  <si>
    <t xml:space="preserve">RGT 15 </t>
  </si>
  <si>
    <t xml:space="preserve">Les Laumes  1/2 </t>
  </si>
  <si>
    <t>BML 103 3x</t>
  </si>
  <si>
    <t xml:space="preserve">Les Laumes </t>
  </si>
  <si>
    <t>Le bourget 1/2</t>
  </si>
  <si>
    <t>Le bourget</t>
  </si>
  <si>
    <t xml:space="preserve">Longueau  2/2 </t>
  </si>
  <si>
    <t xml:space="preserve">G1206 1372 + wagons </t>
  </si>
  <si>
    <t>G12 1486 + 60093</t>
  </si>
  <si>
    <t xml:space="preserve"> Infos supplémentaires :  bourreuse arrivée sens province /Paris. Suite à un début d’éboulement entre Versailles et Plaisir Grignon la régulation a refusé le retournement.  Le conducteur de travaux a été prévenu immédiatement pour qu'il puisse s'adapter. </t>
  </si>
  <si>
    <t>AILLE-SUR-NOYE</t>
  </si>
  <si>
    <t>R21 n°47 005</t>
  </si>
  <si>
    <t>G1000 Colas</t>
  </si>
  <si>
    <t>G1000 Colas+ B4520</t>
  </si>
  <si>
    <t>Ferromove n'a pas la ressource pour reprendre vers 19h30 // Repris le 14/10</t>
  </si>
  <si>
    <t>G1206 + BML 63 48</t>
  </si>
  <si>
    <r>
      <t xml:space="preserve">L’agent au sol ne peut pas réaliser la formation du train pour les raisons suivantes : 
Site d’Achères :
Stationnement de la Deg voie 10, alors qu'elle aurait dû dégager la voie mais modif chantier 
Stationnement du Puscal voie 09. 
Les voies 07 et 8 du bloc M utilisées habituellement pour manœuvrer sont interdites suite à un affaissement. 
Pas de reprise possible car pas de voies dispos pour manœuvrer, les trains ne pourront être manœuvrés du week-end. BML de secours sur le chantier pas de conséquence directe
</t>
    </r>
    <r>
      <rPr>
        <b/>
        <sz val="20"/>
        <color rgb="FFFF0000"/>
        <rFont val="Calibri"/>
        <family val="2"/>
        <scheme val="minor"/>
      </rPr>
      <t xml:space="preserve">Question : qui règlera la note sillon + ressources CDT du SA 12/10? Chantier ?
Voir avec Clémence ROMEC si possibilité d'imputer cela à l'affaissement. </t>
    </r>
  </si>
  <si>
    <t>Rachid : 51,5h en S41 mais ce SPOT ayant été annulé, son réel temps de travail n'a pas excédé le plafond légal. Cependant vigilance, si la marche avait été maintenue, dépassement avéré.</t>
  </si>
  <si>
    <t>VET 1/5</t>
  </si>
  <si>
    <t>SPDC 2/5</t>
  </si>
  <si>
    <t>G1206 n°1128 + 2 wagons</t>
  </si>
  <si>
    <t xml:space="preserve">Train non préparé sur la base arrière, 
La priorité a été donnée au ttx suite à une arrivée tardive le matin
Cet acheminement est pour Brive, Conséquence sur la semaine . </t>
  </si>
  <si>
    <t>60086</t>
  </si>
  <si>
    <t>G12 1118+ Bourreuse n°6348</t>
  </si>
  <si>
    <t>annulé car le train aller ne s'est pas fait ( vernouillet -Longueau de samedi)</t>
  </si>
  <si>
    <t>G1206 Colas</t>
  </si>
  <si>
    <t>G1022 Colas+ B4520</t>
  </si>
  <si>
    <t>Bourreuse arrivée à l'envers, Retournement fait le lendemain par les agents chantier / Geste financier à faire</t>
  </si>
  <si>
    <t>G1206 n°1838+VAD +Porte flèche+MFS+G1206 n°1118</t>
  </si>
  <si>
    <t>G1022</t>
  </si>
  <si>
    <t xml:space="preserve">
Mauvaise indication emplacement wagon par Ermewa = retard 1h15 à l'arrivée</t>
  </si>
  <si>
    <t>,"'cc</t>
  </si>
  <si>
    <t>60093</t>
  </si>
  <si>
    <t>G1206 n°1516</t>
  </si>
  <si>
    <t>G1206 1118 + Porte flèche+ VAD352</t>
  </si>
  <si>
    <t>LE VAD 352 mis au déchargement, non dispo pour partir</t>
  </si>
  <si>
    <t>G1206 1118 + Porte flèche</t>
  </si>
  <si>
    <t xml:space="preserve">Reporté </t>
  </si>
  <si>
    <t>PTH 4/5</t>
  </si>
  <si>
    <t>G1022+1 wagon</t>
  </si>
  <si>
    <t>BRIVE 3/5</t>
  </si>
  <si>
    <t>G1206 n°1128 + 12 wagons</t>
  </si>
  <si>
    <t>PORTE LES VALENCE</t>
  </si>
  <si>
    <t>G1206 n°1837+2081+REVO</t>
  </si>
  <si>
    <t>1h35 pour stationner à l'arrivée (manque d'anticipation en BA)  + dépassement de JS</t>
  </si>
  <si>
    <t>NOK, JS de 14h pour S. NEBOUT</t>
  </si>
  <si>
    <t>ST JORY 2/3</t>
  </si>
  <si>
    <t>V211 581-8 + 13 wagons + V211 635-2</t>
  </si>
  <si>
    <t>MONTAUBAN 4/5</t>
  </si>
  <si>
    <t>G1206 n°1128 + 19 wagons</t>
  </si>
  <si>
    <t>HAZEBROUCK 5/6</t>
  </si>
  <si>
    <t>avancé à jeudi, repris par S2tf car 11h d'amplitude pour Rachid</t>
  </si>
  <si>
    <t>Evreux</t>
  </si>
  <si>
    <t>BML Azurail ZC2000</t>
  </si>
  <si>
    <t>G12 1486 + 10 wagons</t>
  </si>
  <si>
    <t>Retard cause panne</t>
  </si>
  <si>
    <t>LALUQUE 5/5</t>
  </si>
  <si>
    <t>G1206 n°1128 + 17 wagons</t>
  </si>
  <si>
    <t>LALUQUE 3/3</t>
  </si>
  <si>
    <t>BB60093+ 2 wagons</t>
  </si>
  <si>
    <t>60020</t>
  </si>
  <si>
    <t>60020+ 33 87 393 6 115-6 + 33 87 394 0 702-5</t>
  </si>
  <si>
    <t xml:space="preserve">Paris Landy </t>
  </si>
  <si>
    <t xml:space="preserve">G1206 1764 </t>
  </si>
  <si>
    <t>1774</t>
  </si>
  <si>
    <t>Travaux à Vierzon, acheminement modifié en opé 
absence de lanterne de queue lors de sa prise de service.</t>
  </si>
  <si>
    <t>reprise de l'acheminement du 15/10 puis reporté au 16 puis au 17</t>
  </si>
  <si>
    <t>Bourreuse 3489</t>
  </si>
  <si>
    <t>CONFLANS</t>
  </si>
  <si>
    <t>Epernay   1/3</t>
  </si>
  <si>
    <t>calé :  greve agent Eiffage au départ</t>
  </si>
  <si>
    <t>1764</t>
  </si>
  <si>
    <t>BOUCAU 1/2</t>
  </si>
  <si>
    <t>BOUCAU</t>
  </si>
  <si>
    <t>LALUQUE 2/2</t>
  </si>
  <si>
    <t>NIMES 3/3</t>
  </si>
  <si>
    <t>RGT 45 n°317</t>
  </si>
  <si>
    <t xml:space="preserve">CONFLANS-EPERNAY calé le 21/10 suite à une grêve en chez eiffage </t>
  </si>
  <si>
    <t xml:space="preserve">La g1206 1124  est restée aux ardoines au lieu de se trouver à Juvisy.  
La BA était bien aux Ardoines mais chantier avisé sur la récupération de la loco à Juvisy en pré-op et pas de contre indications.
Modification de l'acheminement en opé : 
Demande de nouveaux sillons :  Juvisy -Les Ardoines + Ardoines SUCY. </t>
  </si>
  <si>
    <t>G12 1118 + G12 1124</t>
  </si>
  <si>
    <t xml:space="preserve">Montigny B </t>
  </si>
  <si>
    <t xml:space="preserve">Dijon Perrigny 1/2 </t>
  </si>
  <si>
    <t xml:space="preserve">sillon </t>
  </si>
  <si>
    <t xml:space="preserve">à supprimer </t>
  </si>
  <si>
    <t>Suite au déraillement du 72NR la RGT15 à été demandé en urgence, besoin annulé par le groupement au dernier moment</t>
  </si>
  <si>
    <t>V211 + Wgons chargés + V211</t>
  </si>
  <si>
    <t>Train trop lourd ( 1200 tonnes)  . Conducteur de travaux avisé</t>
  </si>
  <si>
    <t>G12 1372 + 11 wagons</t>
  </si>
  <si>
    <t>Train parti sans cale 
Pré-op et PC avisés mais pas de contre indications donnés à S2TF
Mise au point effectuée avec S2TF sur ce sujet
Actions : Rappel à S2TF @Xan
Refacturation cales à reboucler @Paul + reboucler avec Sébastien RIPPON sur la présence de cales</t>
  </si>
  <si>
    <t>G12 1372 + 10 wagons</t>
  </si>
  <si>
    <t xml:space="preserve">Culoz  2/2 </t>
  </si>
  <si>
    <t xml:space="preserve">vernouillet </t>
  </si>
  <si>
    <t>G1206 1118 + RGT 15</t>
  </si>
  <si>
    <t>G1206+ BML +RGT +G1206</t>
  </si>
  <si>
    <t>LILLE 3/3</t>
  </si>
  <si>
    <t>MONTCHANIN 1/2</t>
  </si>
  <si>
    <t>LA CHARITE 2/2</t>
  </si>
  <si>
    <t>LONGUEUIL STE MARIE</t>
  </si>
  <si>
    <t xml:space="preserve">60020 + 2 wagons </t>
  </si>
  <si>
    <t xml:space="preserve">Joingy </t>
  </si>
  <si>
    <t>G12 + BML 6348</t>
  </si>
  <si>
    <t>Mission non conforme : Manœuvres non commandées + Perte du BF lors de la relève (+  mauvais BF GI)</t>
  </si>
  <si>
    <t>PSL 1/3</t>
  </si>
  <si>
    <t>Travaux sur Lens (alerte déjà effectuée en pré-op auprès de TMN et du chantier et demande pour appuyer la demande de sillon envoyée auprès du RLT) et refus du chantier d’accueillir la Bourreuse durant l’OCP.</t>
  </si>
  <si>
    <t xml:space="preserve">PSL </t>
  </si>
  <si>
    <t xml:space="preserve">Annuler vu avec Paul  </t>
  </si>
  <si>
    <t xml:space="preserve">PARIS BERCY </t>
  </si>
  <si>
    <t>VILLENEUVE ST GEORGES</t>
  </si>
  <si>
    <t>vaires 1/2</t>
  </si>
  <si>
    <t>SUCY BONNEUIL 2/2</t>
  </si>
  <si>
    <t xml:space="preserve">G12 1886 + Bourreuse n°6348 </t>
  </si>
  <si>
    <t>Ambérieu</t>
  </si>
  <si>
    <t>Livron</t>
  </si>
  <si>
    <t xml:space="preserve">obtenu </t>
  </si>
  <si>
    <t>1838+1544+VAD n°258 + Porte flèche double+RGT 15+ 8wgs plat</t>
  </si>
  <si>
    <t xml:space="preserve">pas de sillon obtenus. </t>
  </si>
  <si>
    <t xml:space="preserve">reprise de la veille </t>
  </si>
  <si>
    <t>Cavaillon</t>
  </si>
  <si>
    <t>Bi-grue Eiffage</t>
  </si>
  <si>
    <t>Vierzon 2/3 partie 1</t>
  </si>
  <si>
    <t>JUVISY 2/3 partie 2</t>
  </si>
  <si>
    <t>60020 + 2 EX</t>
  </si>
  <si>
    <t>Annulation de S2TF / Impact JS Stéphane MICHELAND (=11h)</t>
  </si>
  <si>
    <t>NOK</t>
  </si>
  <si>
    <t>laroche M.  2/2</t>
  </si>
  <si>
    <t xml:space="preserve">60041 +Porte flèche+VAD+10 Ballastières EX 80 </t>
  </si>
  <si>
    <t>V211 581-8 + 13 wagons R39 chargés? Vides ? + V211 635-2</t>
  </si>
  <si>
    <t>G1206 n°1838+Prepa TEVO</t>
  </si>
  <si>
    <t>annulation client car train précédent arrivé trop tard + composition non conforme</t>
  </si>
  <si>
    <t>BB60020 + 3 Wagons</t>
  </si>
  <si>
    <t xml:space="preserve">mission pour récupérer des wagons, mais les wagons n'ont pas été trouvé </t>
  </si>
  <si>
    <t>LA Chapelle 2/3</t>
  </si>
  <si>
    <t xml:space="preserve">La chapelle </t>
  </si>
  <si>
    <t>BB60020  + 3 Wagons</t>
  </si>
  <si>
    <t>Annulation cause précédente</t>
  </si>
  <si>
    <t>annulation client. ZD a préféré garder la R21</t>
  </si>
  <si>
    <t xml:space="preserve">Vernouillet / Nezel/ mantes </t>
  </si>
  <si>
    <t>1544+VAD+Porte flèche+1378</t>
  </si>
  <si>
    <t>Bulletin de freinage non -Conforme, l’agent au sol de l’après midi n’est plus autorisé a faire Des BF. 
Le temps que l’agent au sol du matin revienne et corrige les documents  la régulation refuse le départ.</t>
  </si>
  <si>
    <t>MMI</t>
  </si>
  <si>
    <t xml:space="preserve"> Bourreuse n°6348 </t>
  </si>
  <si>
    <t>Non respect composition (Régaleuse) / Sangles pendantes en cours d'acheminement / Sujet longueur 650m max (à reboucler avec expert conduite)</t>
  </si>
  <si>
    <t xml:space="preserve">BDX  ou coutras  </t>
  </si>
  <si>
    <t>G1206 n°2101+2103+TEVO</t>
  </si>
  <si>
    <t xml:space="preserve">Non présence des agents en BA : Frein réalisé à 5h30 (Florian GUIGNARD est revenu) </t>
  </si>
  <si>
    <t>BRETIGNY 1/2</t>
  </si>
  <si>
    <t>1547 + MTC 100</t>
  </si>
  <si>
    <t>recommandé via poste R</t>
  </si>
  <si>
    <t xml:space="preserve">1838 + Prepa Tevo </t>
  </si>
  <si>
    <t xml:space="preserve">Train calé à SPDC sujet AMOR + Etiquettes. </t>
  </si>
  <si>
    <t>Manœuvres formation LONGUEAU</t>
  </si>
  <si>
    <t>60072 + 24 wagons</t>
  </si>
  <si>
    <t>SIBELIN 1/5</t>
  </si>
  <si>
    <t xml:space="preserve"> Avignon 2/5</t>
  </si>
  <si>
    <t xml:space="preserve">coutras </t>
  </si>
  <si>
    <t>Bordeaux 1/3</t>
  </si>
  <si>
    <t>G1206 n°2101+2103</t>
  </si>
  <si>
    <t>Bordeaux</t>
  </si>
  <si>
    <t>Coutras 2/3</t>
  </si>
  <si>
    <t>Problème de verrain  ( train réalisé mais amplitude Théo 13h00 : Théo a dû attendre que les tech d'ETF arrivent sur Coutras pour réparer)</t>
  </si>
  <si>
    <t>Epone 1/2</t>
  </si>
  <si>
    <t xml:space="preserve">BRETIGNY </t>
  </si>
  <si>
    <t xml:space="preserve"> Avignon</t>
  </si>
  <si>
    <t>PERPIGNAN  3/5</t>
  </si>
  <si>
    <t xml:space="preserve">G1206 1486 </t>
  </si>
  <si>
    <t>Vincent a dû faire des manœuvres à l'arrivée (non prévues), pour départ du lendemain (à confirmer avec chantier)</t>
  </si>
  <si>
    <t>CAVAILLLON</t>
  </si>
  <si>
    <t>Bourreuse 109 3XR n° 3536</t>
  </si>
  <si>
    <t>G1206 n° + PUSCAL</t>
  </si>
  <si>
    <t>G1206 n°</t>
  </si>
  <si>
    <t>BB60041 EIFFAGE</t>
  </si>
  <si>
    <t xml:space="preserve">Mercredi </t>
  </si>
  <si>
    <t>PERPIGNAN</t>
  </si>
  <si>
    <t>ST JORY 4/5</t>
  </si>
  <si>
    <t xml:space="preserve">CHALONS EN CHAMPAGNE </t>
  </si>
  <si>
    <t>LES LAUMES 2/3</t>
  </si>
  <si>
    <t>G1206 n°1547 + 10 R93</t>
  </si>
  <si>
    <t xml:space="preserve">Bml arrivée à l' envers. Retournement prévu en Pré-OP mais lors de la 2nde demande de sillon (1er refusé cause capa), retournement non prévu puis refusé en OP par les différents régulateurs.
Retournement le 12/11/2024 charge ETFS. </t>
  </si>
  <si>
    <t>CHALONS EN CHAMPAGNE  1/2</t>
  </si>
  <si>
    <r>
      <t xml:space="preserve">Départ avec 45 min de retard, ballastières ont dû être étiquetés modèle K cause trappes ouvertes. Les wagons sortaient du technicentre, mais aucune information n'a été communiquée en ce sens.
</t>
    </r>
    <r>
      <rPr>
        <b/>
        <sz val="20"/>
        <color rgb="FFFF0000"/>
        <rFont val="Calibri"/>
        <family val="2"/>
        <scheme val="minor"/>
      </rPr>
      <t>Pas non plus de livret d'évènement ? A vérifier avec GPC</t>
    </r>
  </si>
  <si>
    <t>G1206 n°1547+10 R93+ Stab82BG</t>
  </si>
  <si>
    <t xml:space="preserve">Panne loco demande de secours. 
Stéphane </t>
  </si>
  <si>
    <t>Suite panne G1206 n°1547</t>
  </si>
  <si>
    <t>BML 108 32U n°3191</t>
  </si>
  <si>
    <t xml:space="preserve">B66UC ( colas) </t>
  </si>
  <si>
    <t xml:space="preserve">G1206 n°1886+1516+Compo </t>
  </si>
  <si>
    <t>Laluque</t>
  </si>
  <si>
    <t>SPDC  1/2</t>
  </si>
  <si>
    <t>G1206 n°1486+BB60086</t>
  </si>
  <si>
    <t>GEVREY 2/2</t>
  </si>
  <si>
    <t>Paris BERCY</t>
  </si>
  <si>
    <t xml:space="preserve">Verberie // Compiègne ( retournement </t>
  </si>
  <si>
    <t>BML 109 3x</t>
  </si>
  <si>
    <t xml:space="preserve">Non facturée reprise suite  du Gevrey // Verberie qui était arri vé à l'envers en S45 </t>
  </si>
  <si>
    <t>G1206 n°1378+ R21 n°47005</t>
  </si>
  <si>
    <t xml:space="preserve">reprit en opé pour un terminus à VSG car Vernouillet fermait à 16h00 </t>
  </si>
  <si>
    <t>BIARRITZ</t>
  </si>
  <si>
    <t xml:space="preserve">G1206 n°1544+ B4520 </t>
  </si>
  <si>
    <t xml:space="preserve">calé à Beauchamp suite à un prbleme de signalisation du G.I  repris mercredi matin </t>
  </si>
  <si>
    <t>Impact sur le repos de Stéphane (9h)</t>
  </si>
  <si>
    <t xml:space="preserve">non réalise </t>
  </si>
  <si>
    <t xml:space="preserve">Contestaton sillon à faire  // dépassement de JS de Stéphane </t>
  </si>
  <si>
    <t>JS de 12h pour Stéphane</t>
  </si>
  <si>
    <t xml:space="preserve">ctsf </t>
  </si>
  <si>
    <t>CTSF a commandé un  premier sillon en dehors des horaires de la base arrières. 
CTSF a transmis le sillon au PC que très tardivement 17h30 la veille alors qu'il l'avait depuis 12h00. 
CTSF a recommandé et obtenu un sillon pour 08h00 mais n'avait pas de TES G.  
Rame calée, reprise le lendemain par Stéphane jusqu'à SP</t>
  </si>
  <si>
    <t>G1118+10 wagons</t>
  </si>
  <si>
    <t>G1206 n°1118+1124+1378</t>
  </si>
  <si>
    <t>SPDC2/3</t>
  </si>
  <si>
    <t>ST FLORENTIN 1/2</t>
  </si>
  <si>
    <t>G1206 n° + Wagon C</t>
  </si>
  <si>
    <t>arrivé dans le mauvais sens, défaut ST  // Retourné par le chantier</t>
  </si>
  <si>
    <t>V211 581-8 + 13 wagons chargés + V211 635-2</t>
  </si>
  <si>
    <t xml:space="preserve">Petit  Quevilly </t>
  </si>
  <si>
    <t>BB60093+24 wagons</t>
  </si>
  <si>
    <t>manœuvres au départ + sujet lanterne de queue réglé en OP (Virgil). // Chantier prévenu en amont du départ de la rame.  Départ avec un peu de retard</t>
  </si>
  <si>
    <t>G1206 n° + B45GCF+R21 Delcourt</t>
  </si>
  <si>
    <t>G1038 + BR214 + 18R93</t>
  </si>
  <si>
    <r>
      <t xml:space="preserve">Train non formé au départ le conducteur a formé le train durant toute la journée. Une fois la rame prête le départ a été refusé.  
</t>
    </r>
    <r>
      <rPr>
        <sz val="11"/>
        <color rgb="FFFF0000"/>
        <rFont val="Calibri"/>
        <family val="2"/>
        <scheme val="minor"/>
      </rPr>
      <t xml:space="preserve">&gt;&gt; Voir avec S2TF/Chantier pourquoi 7h de manœuvre pour formation de la rame 
&gt;&gt; Le client aurait dû être sollicité sur la priorité à donner (manoeuvres ou départ HLP)
</t>
    </r>
  </si>
  <si>
    <t>AURAY</t>
  </si>
  <si>
    <t>G1029 + 3 EX</t>
  </si>
  <si>
    <t xml:space="preserve">loco gardée par le chantier </t>
  </si>
  <si>
    <t>BR214 + 12R93</t>
  </si>
  <si>
    <t xml:space="preserve">Laroche M. </t>
  </si>
  <si>
    <t>perrigny  2/2</t>
  </si>
  <si>
    <t>60072+G1206 n° + B45GCF+R21 Delcourt</t>
  </si>
  <si>
    <t>La 60072 devait initialement être acheminée le vendredi 15/11. Modification en opé pour optimisation.
COLAS n'a pas reçu l'information qu'ils devaient reprendre la 60072</t>
  </si>
  <si>
    <t>CORBIGNY</t>
  </si>
  <si>
    <t>Arrivée impérative avant 11h</t>
  </si>
  <si>
    <t>11h30 de repos (Micheland)</t>
  </si>
  <si>
    <t>G1029 + 1R93</t>
  </si>
  <si>
    <t>Retard a l'arrivé à cause de travaux</t>
  </si>
  <si>
    <t xml:space="preserve">Chalon S. Saone </t>
  </si>
  <si>
    <t>G1038 + BR214 + 18R93 (dont un wagon modèle K+R1 dans le corps du train : 33873997037-8</t>
  </si>
  <si>
    <t>- 20 min de retard au départ
- formation du convoi non conforme : wagons encadrés au lieu de 2EM en tête + dernier wagon isolé
Enquête tripartite en cours : ETFS-S2TF et Transfier</t>
  </si>
  <si>
    <t>le chantier avait besoin de la BB60000</t>
  </si>
  <si>
    <t>Vaires 1/2</t>
  </si>
  <si>
    <t xml:space="preserve">Stab 82BG </t>
  </si>
  <si>
    <t xml:space="preserve">AILLY </t>
  </si>
  <si>
    <t xml:space="preserve"> Bourreuse n°1077</t>
  </si>
  <si>
    <t>Bourreuse stationnée sur Longueau suite impossibilité de stationner sur Ailly (mouvements génants notre arrivée) malgré que le stationnement avait été demandé en S-1 // Réclamation à faire</t>
  </si>
  <si>
    <t>V212 n°635-2 (pas de KVB)  + 13 wagons vides  + V212 n°581-8</t>
  </si>
  <si>
    <t>G1206 n°1118 + 2 wagons</t>
  </si>
  <si>
    <t>depart avec la G1206 HLP car du materiel était encore present sur les wgs</t>
  </si>
  <si>
    <t>retard agent + travaux</t>
  </si>
  <si>
    <t xml:space="preserve">Retard SAGID + travaux accordés / A reboucler avec Soufiane </t>
  </si>
  <si>
    <t xml:space="preserve">BDX Hourcade ( TAQ à St JEAN ) </t>
  </si>
  <si>
    <t>BML 108 32U n°3191 Colas</t>
  </si>
  <si>
    <t xml:space="preserve">BDX Hourcade </t>
  </si>
  <si>
    <t xml:space="preserve">Sillon non obtenu. Travaux identifiés en pré-op départ possible vers 06h ou à partir de 15h selon capacité. Malgré cela sillons commandés en journée suite aux refus subis en J-1.
Impact sur JS de l'équipage et sollicitation d'un 2ème conducteur pour une reprise l'après-midi. Suite refus à 15h pour manque de capa et pour éviter une trop grosse JS acheminement reporté au mercredi sillon obtenu pour un départ à 05h </t>
  </si>
  <si>
    <t>13h de JS (Micheland) : mission modifiée Réding VSG</t>
  </si>
  <si>
    <t>Gievres 1/3</t>
  </si>
  <si>
    <t>G1206 COLAS n°1761 + 19R93</t>
  </si>
  <si>
    <t>compresseur HS sur la G1206 COLAS, demande de secours a SP</t>
  </si>
  <si>
    <t>gievres</t>
  </si>
  <si>
    <t>vierzon 2/3</t>
  </si>
  <si>
    <t xml:space="preserve">G1206 COLAS n°1761 </t>
  </si>
  <si>
    <t>Annulé  suite panne G1206 Colas</t>
  </si>
  <si>
    <t>sablé p74 3/3</t>
  </si>
  <si>
    <t>SENS 3/3</t>
  </si>
  <si>
    <t xml:space="preserve"> p74 3/3</t>
  </si>
  <si>
    <t>Annuler  suite panne G1206 Colas</t>
  </si>
  <si>
    <t>RGT35 2B n°362</t>
  </si>
  <si>
    <t>60049 ( eiffage) + bigrue + wagon atelier</t>
  </si>
  <si>
    <t xml:space="preserve">11h (bouizran) : sujet opé à l'arrivée </t>
  </si>
  <si>
    <t>Gievres 1/2</t>
  </si>
  <si>
    <t>Vierzon 2/2</t>
  </si>
  <si>
    <t xml:space="preserve">SAINTES </t>
  </si>
  <si>
    <t xml:space="preserve">G1038 + 10 EX100B </t>
  </si>
  <si>
    <t>Saintcaize</t>
  </si>
  <si>
    <t xml:space="preserve">Ajouté en opé car 60072 non récupéré par COLAS le dimanche 17/11 sur acheminement </t>
  </si>
  <si>
    <t>POITIERS 1/3</t>
  </si>
  <si>
    <t>Annulé à cause d'une Fuite GNR sur la 1128// Reporté au 21/11</t>
  </si>
  <si>
    <t xml:space="preserve">60049 Eiffage </t>
  </si>
  <si>
    <t>calé Lille / Réclamation à faire</t>
  </si>
  <si>
    <t>changement terminus en OP -&gt; GEVREY au lieu de SAINCAIZE
+ avancé à Jeudi au lieu de Vendredi</t>
  </si>
  <si>
    <t xml:space="preserve">Bordeaux </t>
  </si>
  <si>
    <t>retard important suite demande de secours en ligne// BML non intégrée sur le TEVO le soir  // pas d'incidence prod / ne pas faire de réclamation</t>
  </si>
  <si>
    <t>AILLY SUR NOYE</t>
  </si>
  <si>
    <t>Annulé et reporté au vendredi avec la Bourreuse n°6347 au départ de Sucy</t>
  </si>
  <si>
    <t>ACHRES 3/3</t>
  </si>
  <si>
    <t>V212 n°635-2 (pas de KVB)  + 13 wagons chargés + V212 n°581-8</t>
  </si>
  <si>
    <t>AURAY 2/2</t>
  </si>
  <si>
    <t>Sillon non tracé cause reprise progressive de la circulation (conséquence intempéries de la veille). Après reprise, refus tracé COGC cause pas d'agent à Auray qui était pourtant prévu par chantier. Sillon finalement tracé (mais pas d'agent à Auray à 17h..) / impact = 1J de production</t>
  </si>
  <si>
    <t>etampes</t>
  </si>
  <si>
    <t xml:space="preserve">B66 </t>
  </si>
  <si>
    <t>retard important au depart prevu 6h30 suite poste L fermé
sillon recommandé pour 12h / réclamation à faire</t>
  </si>
  <si>
    <t>Longueu-Trappes modifié en SUB-TRA en OP à la demande du client</t>
  </si>
  <si>
    <t>Suite au gel le conducteur n’a pas pu prendre le raccordement pour aller sur Trappes et par conséquence la Bourreuse n’a pas pu arriver dans le bon sens.
Conductrice travaux avisé le changement de bout devait se faire lors de l'acheminement sur le chantier si pas possible pas de gros impacts à prévoir selon elle</t>
  </si>
  <si>
    <t>Gretz</t>
  </si>
  <si>
    <t>108 32  N3362</t>
  </si>
  <si>
    <t>VSG1/2</t>
  </si>
  <si>
    <t xml:space="preserve">60093		</t>
  </si>
  <si>
    <t>VSG1/4</t>
  </si>
  <si>
    <t>G12 1118+ 13 wagons plats</t>
  </si>
  <si>
    <t xml:space="preserve">Manœuvre a réalisé au départ / retard de 1h au départ / refusé par régulation PSE ensuite + Poste de Vernouillet fermé 
Compo recu le jeudi pour le lundi S+1
+ Sillon non conforme terminus dépôt
</t>
  </si>
  <si>
    <t>Gevrey 2/4</t>
  </si>
  <si>
    <t xml:space="preserve">Gevrey  </t>
  </si>
  <si>
    <t>Joigny 3/4 via monterau</t>
  </si>
  <si>
    <t>G12 1118 + 2wagons+ Rame LRS+Novium+WGS Pousseur</t>
  </si>
  <si>
    <t>Annulation du Gevrey - Joigny a 15h (alors que l'infomation est connu par ETF depuis 11h) 
Demande pour modifier en Gevrey - PTH par le pré-op. 
Pas de possibilité d'obtenir un sillon. 
Gevrey - Valenton effectué avec M.MICHELAND</t>
  </si>
  <si>
    <t xml:space="preserve">11,50 de Nuite par Stéphane MICHELAND </t>
  </si>
  <si>
    <t xml:space="preserve">G12 1118+ 2 wagons		</t>
  </si>
  <si>
    <t>, information transmise au chantier au pré-op et rappel effectué dans la journée</t>
  </si>
  <si>
    <t>Départ avec du retard, rame non prête , malgré que l'information soit transmise au chantier au pré-op et rappel effectué dans la journée</t>
  </si>
  <si>
    <t>LONGUEAU 2/3</t>
  </si>
  <si>
    <t>Longueau relais Paris</t>
  </si>
  <si>
    <t>Longueau dépôt 3/3</t>
  </si>
  <si>
    <t>Montchanin 1/3</t>
  </si>
  <si>
    <t>V212 n°580-0 +4R93</t>
  </si>
  <si>
    <t xml:space="preserve">metz </t>
  </si>
  <si>
    <t xml:space="preserve">hagondange </t>
  </si>
  <si>
    <t>Loco TFE + B66U</t>
  </si>
  <si>
    <t>TFE ont annulés leur sillon de départ car ils ne pouvaient pas la garer à Metz ce jour. Le départ est décalé à demain vers 13h00.</t>
  </si>
  <si>
    <t xml:space="preserve">metz  </t>
  </si>
  <si>
    <t>Persan 1/2</t>
  </si>
  <si>
    <t>Bourreuse B45 n°B4520</t>
  </si>
  <si>
    <t>Calé, bourreuse en panne</t>
  </si>
  <si>
    <t>BB66</t>
  </si>
  <si>
    <t>Manque presta</t>
  </si>
  <si>
    <t>Poitiers 1/3</t>
  </si>
  <si>
    <t>BML 108 32U n°2618</t>
  </si>
  <si>
    <t>Prévu jusqu'à Juvisy de base mais pas possible suite refus sillon / Monté jusqu'au Aubrais reprise le lendemain</t>
  </si>
  <si>
    <t>G12 1118 + 2 wagons</t>
  </si>
  <si>
    <t>Retard la régule la retenue à cause d'un train en panne sur l'itinéraire
Train calé repris le lendemain par S2TF.
Pas d'exploration de piste pour une reprise en après-midi
Rackie reboucle le sujet avec les GPC / réclamation à faire</t>
  </si>
  <si>
    <t>hagondange 1/3</t>
  </si>
  <si>
    <t>Vaires 2/3</t>
  </si>
  <si>
    <t>Somain 3/3</t>
  </si>
  <si>
    <t>G12 1118 + 7 wagons</t>
  </si>
  <si>
    <t>Suite du Von - Longueau non réalisé</t>
  </si>
  <si>
    <t>Le Mans 1/5</t>
  </si>
  <si>
    <t>Pas de lanterne de queue
SPDC Le Mans : Oubli du conducteur de les remettre dans la loco au départ mais aussi du sous traitant la veille qui ne les a pas remis (Transifer)</t>
  </si>
  <si>
    <t>V212 580-0+ 1 R93</t>
  </si>
  <si>
    <t>SPDC 3/5</t>
  </si>
  <si>
    <t>V212 580-0+ 15 R93</t>
  </si>
  <si>
    <t>Gièvres 4/5</t>
  </si>
  <si>
    <t>Vierzon 5/5</t>
  </si>
  <si>
    <t>V212 580-0 + 8 wagons</t>
  </si>
  <si>
    <t xml:space="preserve">Remonté le jour J le jeudi plutôt que vendredi // car Claisse ne pouvait pas réceptionner le Vendredi </t>
  </si>
  <si>
    <t>Sens 3/3</t>
  </si>
  <si>
    <t xml:space="preserve">Somain  </t>
  </si>
  <si>
    <t>Semaine de 49,5 de Rachid B car plannifier sur Lens le Samedi pour couvrir des absences</t>
  </si>
  <si>
    <t>Chalon en CH 1/2</t>
  </si>
  <si>
    <t>Metz Sablons 2/2</t>
  </si>
  <si>
    <t>Auray</t>
  </si>
  <si>
    <t xml:space="preserve">G1038 + 10EX100B </t>
  </si>
  <si>
    <t xml:space="preserve">Somain </t>
  </si>
  <si>
    <t xml:space="preserve">Ormoy </t>
  </si>
  <si>
    <t>sillon tracé dans plage travaux</t>
  </si>
  <si>
    <t>G12 1128 + 1 wagon</t>
  </si>
  <si>
    <t>V212 580-0+8 R93</t>
  </si>
  <si>
    <t>Monté en OP le jeudi plutôt que vendredi</t>
  </si>
  <si>
    <t>G12 1486+BB60020</t>
  </si>
  <si>
    <t>LAON 1/3</t>
  </si>
  <si>
    <t>60015+1 wagon +Bourreuse n°6348</t>
  </si>
  <si>
    <t>60093+Bourreuse n°1077</t>
  </si>
  <si>
    <t>LENS 2/3</t>
  </si>
  <si>
    <t xml:space="preserve">Bourreuse n°6347 </t>
  </si>
  <si>
    <t>V212 n°580-0 + 1EX100</t>
  </si>
  <si>
    <t>BML Eiffage n°3489</t>
  </si>
  <si>
    <t>Annulation client J-1 a 15h15</t>
  </si>
  <si>
    <t>SOMAIN 3/3</t>
  </si>
  <si>
    <t>60015+1 wagon</t>
  </si>
  <si>
    <t>PROBLEME BATTERIE REPORTEE A MERCREDI (visible sur Trackunit) / Panne non liée uniquement à la batterie</t>
  </si>
  <si>
    <t>Vierzon  1/2</t>
  </si>
  <si>
    <t>V211 581-8 + 13 WGS + V211 635-2</t>
  </si>
  <si>
    <t xml:space="preserve">G1206 1626 DVF+4 wagons </t>
  </si>
  <si>
    <t xml:space="preserve">Potiers </t>
  </si>
  <si>
    <t>G1038 + 1EX100B + 2R93</t>
  </si>
  <si>
    <t>Problème de lanterne au départ / M.DE SOUZA sollicité pour passer a Cergy pour récupérer des lanternes pour permettre le départ du train.
 + Train garé sur voie en impasse, nécéssité de manœuvre avant départ 
Retard au départ 40min</t>
  </si>
  <si>
    <t xml:space="preserve">Booster pour démarer, mais boite non craboter. Necessité de craboter moteur tournant : risque élevé avec l'arbre de transmission.  </t>
  </si>
  <si>
    <t xml:space="preserve">annulé depuis le 29/11 - information remontée au PC le 3/12
Sillon obtenu </t>
  </si>
  <si>
    <t>Machine sur voie 6 et non voie 1 comme prévu - nécessité d'avoir un agent au sol pour sortir (info reçu le 4/12). Vu avec le poste pour mettre un agent SNCF</t>
  </si>
  <si>
    <t>MONTCEAU  2/2</t>
  </si>
  <si>
    <t>Réalisé par le ST le 6 et non le 5/12 mais délai OK</t>
  </si>
  <si>
    <t>G1038 + G1206 DVF n°1626</t>
  </si>
  <si>
    <t>Pas d'agent au sol habilité pour nous réceptionner a Grand Pont (cause : Lahbib n'a pu dispenser l'EDS aux OP Sol ETFS car l'agent SNCF devant lui dispenser la veille ne s'est pas présenté) - Sollicitation SNCF pour nous réceptionner</t>
  </si>
  <si>
    <t>V211 581-8 + 13 wgs + V211 635-2</t>
  </si>
  <si>
    <t xml:space="preserve">STRASBOURG </t>
  </si>
  <si>
    <t>G12 1379+1497</t>
  </si>
  <si>
    <t>retard au départ (+120min) suite à un arbre sur les voies secteur PN
Lors de la PC, machine en arrêt d'exploitation ( MAJ non faites par ECE) - autorisation de circulation reçue</t>
  </si>
  <si>
    <t>G1206 n°1886+1516+TEVO</t>
  </si>
  <si>
    <t>retard au depart : wgs a isoler detecté juste avant le depart. Rame calée à Angoulême</t>
  </si>
  <si>
    <t>Wagon isolé / difficulté à faire le frein / coupures de traction en ligne / train calé à Angouleme</t>
  </si>
  <si>
    <t>Strasbourg</t>
  </si>
  <si>
    <t>G1206 n°1885+9 WGS</t>
  </si>
  <si>
    <t>problème dispositif de verrouillage de 3 wagons les agents sur place ont pu remettre les éléments en place, départ avec 120 minutes de retard (BA : FERROTECH/Information auprès de Jassim ETF EST)</t>
  </si>
  <si>
    <t>Pas d'actions</t>
  </si>
  <si>
    <t>Joigny 1/2</t>
  </si>
  <si>
    <t>G1206 n°1544+Rame LRS</t>
  </si>
  <si>
    <t xml:space="preserve">Manoeuvre aux laumes non prévues car compo non conforme : dégarage de la 1547. (BA: ETFS Exploitation) 
Amor non bonne sur le lieu origine
Manoeuvre d aiguille a Sens pour TAQ (le poste 1 doit être ouvert), perte de 2h car aucune info et aucun agent a proximité. Organisation interne avec Johan Brayer pour qu il se rappatrie jusqu'a Sens.Aucune info sur le lieu de stockage de la Loc a Joigny. </t>
  </si>
  <si>
    <t>Conception TAQ point de vigilance</t>
  </si>
  <si>
    <t xml:space="preserve">vincent SABRE 12h00 de JS </t>
  </si>
  <si>
    <t xml:space="preserve">MELUN  </t>
  </si>
  <si>
    <t>retard au départ / machine enfermée / rame non prête (BA : ETFS)</t>
  </si>
  <si>
    <t>Sujet exploitation</t>
  </si>
  <si>
    <t>arrivé trop tard du sillon precedent</t>
  </si>
  <si>
    <t>reprise mardi</t>
  </si>
  <si>
    <t>Calé cause retard sillon précédent + atelier Eiffage fermé + sillon initial transifer tardif</t>
  </si>
  <si>
    <t>B45GCF</t>
  </si>
  <si>
    <t>B45 ne peut pas partir HLP. Voir avec Romain</t>
  </si>
  <si>
    <t>TRANSIFER+H277:Q277</t>
  </si>
  <si>
    <t>B45 pas parti de Gevrey 09/12</t>
  </si>
  <si>
    <t>Acheminement annulé</t>
  </si>
  <si>
    <t>Retard au départ du au sens de travail (retournement TEVO)</t>
  </si>
  <si>
    <t>DGS 62N</t>
  </si>
  <si>
    <t>départ retardé suite retard du machiniste</t>
  </si>
  <si>
    <t>Saincaize 3/3</t>
  </si>
  <si>
    <t>Mauvaise composition du train donc BF fait de nouveau (retard OSS) / sens de travail incorrect / problématique de sangles</t>
  </si>
  <si>
    <t>Sujet Sol + Exploitation</t>
  </si>
  <si>
    <t xml:space="preserve">11:30 de JS  pour S. NEBOUT </t>
  </si>
  <si>
    <t>reste en reprofilage mercredi</t>
  </si>
  <si>
    <t>machine arrivé mardi au lieu de lundi</t>
  </si>
  <si>
    <t>reste en reprofilage mercredi, machine arrivée mardi au lieu de lundi</t>
  </si>
  <si>
    <t>ST Florentin 2/2</t>
  </si>
  <si>
    <t>VON 1/4</t>
  </si>
  <si>
    <t>G1206 n°1886+1WGS+RDF4+1WGS</t>
  </si>
  <si>
    <t>P BERCY</t>
  </si>
  <si>
    <t>SABLE 2/2</t>
  </si>
  <si>
    <t>HAZEBROUK 3/4</t>
  </si>
  <si>
    <t xml:space="preserve"> 11h00 de JS  V. SABRE</t>
  </si>
  <si>
    <t>HAZENROUCK</t>
  </si>
  <si>
    <t>S2TF nous indique que ça partira demain</t>
  </si>
  <si>
    <t>Caler à rennes</t>
  </si>
  <si>
    <t>Grève pas de possibilité de réception au Mans G1029 calée, la G1029 est garée Voie 1 poste E à Rennes (tenter la réclamation)</t>
  </si>
  <si>
    <t>Réclamation</t>
  </si>
  <si>
    <t>LE LANDY</t>
  </si>
  <si>
    <t>ST LEU DESSERENT</t>
  </si>
  <si>
    <t>Reporté au vendredi à la demande du chantier</t>
  </si>
  <si>
    <t>ST  LEU 1/3</t>
  </si>
  <si>
    <t>ST  LEU</t>
  </si>
  <si>
    <t>MBP 2/3</t>
  </si>
  <si>
    <t>BB60015+Porte flèche railmat (99879350000-5)</t>
  </si>
  <si>
    <t>Porte fleche enterré et pas prêt pour le transport
+ Porte-Flèche arrivé à l'envers à Beauchamp
+ Départ tardif (+2h de retard cause manœuvres)</t>
  </si>
  <si>
    <t>Sens de travail planning + mail de mission/sillon
reboucler les contacts sol à St Leu</t>
  </si>
  <si>
    <t xml:space="preserve">11:30 de JS P. THEVENET </t>
  </si>
  <si>
    <t>bourreuse</t>
  </si>
  <si>
    <t>VENDREdi</t>
  </si>
  <si>
    <t xml:space="preserve">calé la veille sur Rennes/ repris par S2TF </t>
  </si>
  <si>
    <t>sablé 2/2</t>
  </si>
  <si>
    <t>Bourreuse n°993</t>
  </si>
  <si>
    <t>Arrivée à St-Leu, pas d'info sur la voie de stationnement (dans le planning mais pas dans mail sillon). Une fois sur place, personne pour indiquer quelle était la V5 + autres informations stationnement données en OP par client</t>
  </si>
  <si>
    <t>Contact à St leu + indication du stationnement</t>
  </si>
  <si>
    <r>
      <rPr>
        <b/>
        <strike/>
        <sz val="20"/>
        <color rgb="FF000000"/>
        <rFont val="Calibri"/>
        <family val="2"/>
      </rPr>
      <t>ST Florentin</t>
    </r>
    <r>
      <rPr>
        <b/>
        <sz val="20"/>
        <color rgb="FF000000"/>
        <rFont val="Calibri"/>
        <family val="2"/>
      </rPr>
      <t xml:space="preserve"> 2/2 LAROCHE</t>
    </r>
  </si>
  <si>
    <t xml:space="preserve">TRA </t>
  </si>
  <si>
    <t>BB60015+Porte flèche</t>
  </si>
  <si>
    <t>retournement car le porte fleche est arrivé a l'envers 12/12 /retard cause Manoeuvres avant le départ, la loco n'était pas dans le bon sens pour partir en direction d'épluches</t>
  </si>
  <si>
    <t xml:space="preserve">10:50 de JS  Y. LARFI </t>
  </si>
  <si>
    <t>MBP via MTE</t>
  </si>
  <si>
    <t>retournement car le porte fleche est arrivé a l'envers 12/12 /retard cause Manoeuvers avant le départ</t>
  </si>
  <si>
    <t>BB60015+VAD+Porte flèche</t>
  </si>
  <si>
    <t>retard au départ suite retard pendant le retournement précédent</t>
  </si>
  <si>
    <t xml:space="preserve">10:30 de JS R. BOUIZRAN </t>
  </si>
  <si>
    <t>LE BOUCAU 1/2</t>
  </si>
  <si>
    <t>LE BOUCEAU</t>
  </si>
  <si>
    <t>G1206 n°1838+ 2 wagon R90</t>
  </si>
  <si>
    <t>60093+ V211 527-1</t>
  </si>
  <si>
    <t>G1206 n°1886+BB60015+1WGS+RDF5+1WGS</t>
  </si>
  <si>
    <t xml:space="preserve">Retard au départ pas d'info sur les Manœuvres; Amor manquante; G12 sur le convois pas d'info la concernant </t>
  </si>
  <si>
    <t>60015 + MFS 6824 +Porte flèche</t>
  </si>
  <si>
    <t>pas de porte flèche à St leu pour récupérer le MFS , et le porte flèche pas dans le même sens que le MFS, il faudra organiser un retournement au préalable</t>
  </si>
  <si>
    <t>V212 581 + 13 WAGONS + V211 635</t>
  </si>
  <si>
    <t xml:space="preserve">NOISY </t>
  </si>
  <si>
    <t>B6347</t>
  </si>
  <si>
    <t xml:space="preserve"> achères 1/2</t>
  </si>
  <si>
    <t>60015 + Porte flèche</t>
  </si>
  <si>
    <t xml:space="preserve">retournement ajouté en OP car porte fleche pas dans le meme sens que le MFS, accouplement impossible.
Retard 1h30 car AMOR pas prète// agent sol non prévenu pour faire refouler à acheres, attente 1h45 </t>
  </si>
  <si>
    <t>St LEU 2/3</t>
  </si>
  <si>
    <t xml:space="preserve">Retard suite au retard de l'acheminement précendent </t>
  </si>
  <si>
    <t>manœuvre à St leu plus longue que prévu car saturé, 1 seul voie de libre</t>
  </si>
  <si>
    <t>G1547</t>
  </si>
  <si>
    <t>calé à Perigny car BA GEVREY ferme à 16h reprise 18/12</t>
  </si>
  <si>
    <t>FOURNEAUX</t>
  </si>
  <si>
    <t>MODANE 1/5</t>
  </si>
  <si>
    <t>G1206 n°1121 + V212 n°531-3 + 12r93</t>
  </si>
  <si>
    <t>Prise de service de NEBOUT à 14h, la G1206 doit être en tête. Le RPTx finit à 15h45 il faut donc arriver à Modane avant.</t>
  </si>
  <si>
    <t xml:space="preserve">MODANE </t>
  </si>
  <si>
    <t>MODANE-BERCHETTE 2/5</t>
  </si>
  <si>
    <t>Tête queue à faire pour placer la G1206 en tête du convoi. Le RPTx commence à 17h. Coordonnées RPTx : Jean-Baptiste DISETTI 06 24 65 61 12.</t>
  </si>
  <si>
    <t>MODANE-BERCHETTE</t>
  </si>
  <si>
    <t>CSS 3/5</t>
  </si>
  <si>
    <r>
      <rPr>
        <b/>
        <strike/>
        <sz val="20"/>
        <color rgb="FF000000"/>
        <rFont val="Calibri"/>
        <family val="2"/>
      </rPr>
      <t>VERBERIE</t>
    </r>
    <r>
      <rPr>
        <b/>
        <sz val="20"/>
        <color rgb="FF000000"/>
        <rFont val="Calibri"/>
        <family val="2"/>
      </rPr>
      <t xml:space="preserve"> PTH 1/7</t>
    </r>
  </si>
  <si>
    <t>rame pas prete a VBE, depart direct vers Metz</t>
  </si>
  <si>
    <r>
      <rPr>
        <b/>
        <strike/>
        <sz val="20"/>
        <color rgb="FF000000"/>
        <rFont val="Calibri"/>
        <family val="2"/>
      </rPr>
      <t>VERBERIE</t>
    </r>
    <r>
      <rPr>
        <b/>
        <sz val="20"/>
        <color rgb="FF000000"/>
        <rFont val="Calibri"/>
        <family val="2"/>
      </rPr>
      <t xml:space="preserve"> PTH</t>
    </r>
  </si>
  <si>
    <t>METZ 2/7</t>
  </si>
  <si>
    <r>
      <t>60093</t>
    </r>
    <r>
      <rPr>
        <b/>
        <strike/>
        <sz val="20"/>
        <color rgb="FF000000"/>
        <rFont val="Calibri"/>
        <family val="2"/>
      </rPr>
      <t>+25 wagons</t>
    </r>
  </si>
  <si>
    <t>60020 + RGT 15</t>
  </si>
  <si>
    <t>ANNULE PAR LE CLIENT car nécessité de garder les engins sur le chantier</t>
  </si>
  <si>
    <t>VIERZON 4/5</t>
  </si>
  <si>
    <t>STAB 6827</t>
  </si>
  <si>
    <t xml:space="preserve">11:00 P. THEVENT </t>
  </si>
  <si>
    <t>Gevrey 1/2</t>
  </si>
  <si>
    <t>reprise rame calé le 17 à DPY</t>
  </si>
  <si>
    <t>G1206 n°1544+1547+KB +Bourreuse n°1362</t>
  </si>
  <si>
    <t>Au départ de Gevrey le train est formé avec l’UM coté Paris, si l’on met l’UM coté Beaune, circulation impossible car la bourreuse se retrouvera en queue.
De plus, le sens de travail au départ est province Paris (arrivé demandée Paris province) et pas de TAQ sur la marche.
Il faut donc retourner la rame complète à Gevrey pour éviter le souci de bourreuse en queue et le souci du sens de travail.
Les agents vont donc retourner la rame, retard prévisible d’1h30, départ vers 14h (au lieu de 12h30)</t>
  </si>
  <si>
    <t>LONGUEAU  2/2</t>
  </si>
  <si>
    <t>LONGUEAU FSC ROUEN 1/3</t>
  </si>
  <si>
    <t xml:space="preserve">11:00 de JS R. BOUIZRAN </t>
  </si>
  <si>
    <t>LONGUEAU FSC ROUEN</t>
  </si>
  <si>
    <t>LONGUEAU VOIE 15 2/3</t>
  </si>
  <si>
    <t>60072 + RAME</t>
  </si>
  <si>
    <t>60072 + 10 Wagons</t>
  </si>
  <si>
    <t>ST LEU  1/2</t>
  </si>
  <si>
    <r>
      <t xml:space="preserve">60015 </t>
    </r>
    <r>
      <rPr>
        <b/>
        <strike/>
        <sz val="20"/>
        <color rgb="FF000000"/>
        <rFont val="Calibri"/>
        <family val="2"/>
      </rPr>
      <t>+ MFS + PORTE FLECHE</t>
    </r>
  </si>
  <si>
    <t>mofif en OP</t>
  </si>
  <si>
    <t>60015 + 2 WGS</t>
  </si>
  <si>
    <t>SAINCAIZE  2/2</t>
  </si>
  <si>
    <t>BENING 3/ 7</t>
  </si>
  <si>
    <t>BENING 4 /7</t>
  </si>
  <si>
    <t>MONTIGNY 3/3</t>
  </si>
  <si>
    <t>ST LEU  PTH</t>
  </si>
  <si>
    <t>G1206 n°1124 + RAME</t>
  </si>
  <si>
    <t>Saturation du site / TOV à faire - procédure à fixer</t>
  </si>
  <si>
    <t>B60015 + P95</t>
  </si>
  <si>
    <t>REDON 1/2</t>
  </si>
  <si>
    <t>GIEVRES 4/5</t>
  </si>
  <si>
    <t>PTH 6/7</t>
  </si>
  <si>
    <t>60093 + B108</t>
  </si>
  <si>
    <t>ST LEU 7/7</t>
  </si>
  <si>
    <t>pas de place à St Leu</t>
  </si>
  <si>
    <t>pas de place a St Leu</t>
  </si>
  <si>
    <t>G1038 + G1206 A944</t>
  </si>
  <si>
    <t>Theo ne voulait pas faire l'acheminement car départ en vacances le lendemain et retour a domicile bcp trop tard pour lui // repris par S2TF</t>
  </si>
  <si>
    <t>RENNES 1/2</t>
  </si>
  <si>
    <t xml:space="preserve">PTH ne voulait pas recevoir la loco car ne savait pas quand elle repartait. S2TF a tenté de joindre le PC/astreinte (RLW) mais joignable qu'après plusieurs tentatives. </t>
  </si>
  <si>
    <t>Annulation le SA 21/12 demandée par AMM</t>
  </si>
  <si>
    <t>BREST 2/2</t>
  </si>
  <si>
    <t xml:space="preserve">faire demande de Subtitution à S2TF pour Brest Port </t>
  </si>
  <si>
    <t>Jour </t>
  </si>
  <si>
    <t>Date </t>
  </si>
  <si>
    <t>STATUT</t>
  </si>
  <si>
    <t>Diffusé</t>
  </si>
  <si>
    <t>Suivi opérationnel</t>
  </si>
  <si>
    <t>Dinamic</t>
  </si>
  <si>
    <t>Conforme </t>
  </si>
  <si>
    <t>non conforme </t>
  </si>
  <si>
    <t>ajouté en opé </t>
  </si>
  <si>
    <t>Commentaires </t>
  </si>
  <si>
    <t>LRY</t>
  </si>
  <si>
    <t>ASL 1/2</t>
  </si>
  <si>
    <r>
      <t> </t>
    </r>
    <r>
      <rPr>
        <b/>
        <sz val="11"/>
        <color rgb="FF000000"/>
        <rFont val="Calibri"/>
        <family val="2"/>
      </rPr>
      <t>X</t>
    </r>
  </si>
  <si>
    <t>Retard au départ, attente de la bourreuse </t>
  </si>
  <si>
    <t>PTH </t>
  </si>
  <si>
    <t>MTB 1/4</t>
  </si>
  <si>
    <t>JS déclaré par l’agent avec une amplitude de 16h (à reboucler) </t>
  </si>
  <si>
    <t>Vernouillet 2/4</t>
  </si>
  <si>
    <t>JS déclaré par l’agent avec une amplitude de 16h (à reboucler)  </t>
  </si>
  <si>
    <t>MANTES 3/4</t>
  </si>
  <si>
    <t>VET 2/2 ( DNC demande pour TAQ Epone)</t>
  </si>
  <si>
    <t>VET 4/4</t>
  </si>
  <si>
    <r>
      <t xml:space="preserve">Calé à Gisros cause tx entre 09h et 16h sur Gisors // </t>
    </r>
    <r>
      <rPr>
        <sz val="11"/>
        <color rgb="FFFF0000"/>
        <rFont val="Calibri"/>
        <family val="2"/>
      </rPr>
      <t>Réclamation à faire</t>
    </r>
  </si>
  <si>
    <t>Trappes </t>
  </si>
  <si>
    <t>P74 ( ou sablé si trop tard) </t>
  </si>
  <si>
    <t>VSG </t>
  </si>
  <si>
    <t>Perrigny </t>
  </si>
  <si>
    <t>LBT</t>
  </si>
  <si>
    <t>Securail</t>
  </si>
  <si>
    <r>
      <t>X</t>
    </r>
    <r>
      <rPr>
        <b/>
        <sz val="11"/>
        <color rgb="FFFFC000"/>
        <rFont val="Calibri"/>
        <family val="2"/>
      </rPr>
      <t> </t>
    </r>
  </si>
  <si>
    <t>TRAPPES ( secours) </t>
  </si>
  <si>
    <t>pas utilisé </t>
  </si>
  <si>
    <t>SGMO 2/3</t>
  </si>
  <si>
    <t>Reprise train calé en interne </t>
  </si>
  <si>
    <t>Château Thierry 1/4</t>
  </si>
  <si>
    <t>Château Thierry </t>
  </si>
  <si>
    <t>VON 2/4</t>
  </si>
  <si>
    <t>ARLES 3/3</t>
  </si>
  <si>
    <t>MORET 3/4</t>
  </si>
  <si>
    <r>
      <t> </t>
    </r>
    <r>
      <rPr>
        <b/>
        <sz val="11"/>
        <color rgb="FF000000"/>
        <rFont val="Calibri"/>
        <family val="2"/>
      </rPr>
      <t>X Planif</t>
    </r>
  </si>
  <si>
    <t>Retard cause planification : 1h de trajet (vigilance quand double mission départ et arrivée) + modèle K+1 sur un wagon non remonté par le PC (RAT précédente TFE + lors de l’état des lieux Mesy)</t>
  </si>
  <si>
    <r>
      <t xml:space="preserve">VET 4/4  </t>
    </r>
    <r>
      <rPr>
        <b/>
        <sz val="20"/>
        <color rgb="FF000000"/>
        <rFont val="Calibri"/>
        <family val="2"/>
      </rPr>
      <t>Trappes 4/4</t>
    </r>
  </si>
  <si>
    <t>calé à SPDC suite retard et travx / 2h de retard OSS CTSF (panne de réveil) + pb de frein sur la bourreuse</t>
  </si>
  <si>
    <t>reprise rame calée la veille (cause à identifier @DUFOND Florent : calé cause travaux)</t>
  </si>
  <si>
    <t>Montceau les Mines 2/2</t>
  </si>
  <si>
    <t>Bourreuse non incorporée, impact du SAINTES-VIERZON calé à SPDC le 07 / Oubli de prévenir Cécile qui s’est déplacé pour rien à Vierzon</t>
  </si>
  <si>
    <t>Arles</t>
  </si>
  <si>
    <t>Cannes</t>
  </si>
  <si>
    <t>Compte - rendu réunion production SPOT</t>
  </si>
  <si>
    <t>Personnes présentes</t>
  </si>
  <si>
    <t>Laura - Benjamin - Younes - Paul</t>
  </si>
  <si>
    <t>Sujets de fond</t>
  </si>
  <si>
    <r>
      <t xml:space="preserve">
FRE Système de sécu : mettre en évidence la dépêche à passer par le conducteur ( par LO) + Rappel auprès des cdr (Abdellah) - OK fait 
</t>
    </r>
    <r>
      <rPr>
        <sz val="9"/>
        <color rgb="FFFF0000"/>
        <rFont val="Calibri"/>
        <family val="2"/>
        <scheme val="minor"/>
      </rPr>
      <t xml:space="preserve">
Rappel à nos sous traitants de ne pas faire de RAT et BF si pas de commande dans ce sens (à faire par LO)
Problématique de propreté : à analyser au cas par cas / signalement par le PC / Essam fait un mail dans ce sens
</t>
    </r>
    <r>
      <rPr>
        <sz val="9"/>
        <rFont val="Calibri"/>
        <family val="2"/>
        <scheme val="minor"/>
      </rPr>
      <t>Lanterne de queue : faire NDS par Laura O // OK fait /</t>
    </r>
    <r>
      <rPr>
        <sz val="9"/>
        <color rgb="FFFF0000"/>
        <rFont val="Calibri"/>
        <family val="2"/>
        <scheme val="minor"/>
      </rPr>
      <t xml:space="preserve"> en cours de diffusion
</t>
    </r>
    <r>
      <rPr>
        <sz val="9"/>
        <rFont val="Calibri"/>
        <family val="2"/>
        <scheme val="minor"/>
      </rPr>
      <t>Sujet formation cdr : dijoncteur --&gt;</t>
    </r>
    <r>
      <rPr>
        <sz val="9"/>
        <color rgb="FFFF0000"/>
        <rFont val="Calibri"/>
        <family val="2"/>
        <scheme val="minor"/>
      </rPr>
      <t xml:space="preserve"> Essam (en cours)
</t>
    </r>
    <r>
      <rPr>
        <sz val="9"/>
        <color theme="1"/>
        <rFont val="Calibri"/>
        <family val="2"/>
        <scheme val="minor"/>
      </rPr>
      <t xml:space="preserve">
</t>
    </r>
    <r>
      <rPr>
        <sz val="9"/>
        <color rgb="FFFF0000"/>
        <rFont val="Calibri"/>
        <family val="2"/>
        <scheme val="minor"/>
      </rPr>
      <t>Données ATESS : en cours / URGENT
Reforme wagon: 2 wagons TMN mod k sur le Boulogne &gt; Gisors pas de remonté d'information avant état des lieux, possibilité de création d'une addresse email pour remonté les réformes wagon ? ex: wagons@etf.fr (communication aux agents de faire remonter pour les wagons équipés de QR Code ETF?) --&gt; FRE à mettre à jour LO
NDS + FRE signalement wagon : @Baptiste
Sous traitant : Mauvais BF LSDR @Baptiste / BF ETFS à communiquer</t>
    </r>
    <r>
      <rPr>
        <sz val="9"/>
        <color theme="1"/>
        <rFont val="Calibri"/>
        <family val="2"/>
        <scheme val="minor"/>
      </rPr>
      <t xml:space="preserve">
</t>
    </r>
  </si>
  <si>
    <t>Points Opérationnel</t>
  </si>
  <si>
    <r>
      <t xml:space="preserve">
</t>
    </r>
    <r>
      <rPr>
        <u/>
        <sz val="9"/>
        <rFont val="Calibri"/>
        <family val="2"/>
        <scheme val="minor"/>
      </rPr>
      <t>Radio de manœuvres :</t>
    </r>
    <r>
      <rPr>
        <sz val="9"/>
        <rFont val="Calibri"/>
        <family val="2"/>
        <scheme val="minor"/>
      </rPr>
      <t xml:space="preserve"> Rappel aux conducteurs du spot qu'ils doivent prendre leur 2 radios de manoeuvres. Action LO + Lahbib (relance Pôle Matériel + Etat des dotations // LO se charge d'envoyer un mail aux OSS faisant du SPOt pour savoir s'ils ont une radio OK
CARDEM : Radio de courtoisie avec le P1 de St Ouen les Docks -&gt;Baptiste la déponse mercredi ou jeudi // OK Fait / </t>
    </r>
    <r>
      <rPr>
        <sz val="9"/>
        <color rgb="FFFF0000"/>
        <rFont val="Calibri"/>
        <family val="2"/>
        <scheme val="minor"/>
      </rPr>
      <t>A récupérer à la fin (Cécile s'en charge)</t>
    </r>
    <r>
      <rPr>
        <sz val="9"/>
        <rFont val="Calibri"/>
        <family val="2"/>
        <scheme val="minor"/>
      </rPr>
      <t xml:space="preserve">
</t>
    </r>
    <r>
      <rPr>
        <sz val="9"/>
        <color rgb="FFFF0000"/>
        <rFont val="Calibri"/>
        <family val="2"/>
        <scheme val="minor"/>
      </rPr>
      <t xml:space="preserve">
</t>
    </r>
    <r>
      <rPr>
        <sz val="10"/>
        <color rgb="FFFF0000"/>
        <rFont val="Calibri"/>
        <family val="2"/>
        <scheme val="minor"/>
      </rPr>
      <t xml:space="preserve">
BF :  diffusé mais non utilisé / Rappel aux OSS / Com' en cours
VPGO : @Jalal (sujet Sébastien NEBOUT)
</t>
    </r>
    <r>
      <rPr>
        <sz val="9"/>
        <color theme="1"/>
        <rFont val="Calibri"/>
        <family val="2"/>
        <scheme val="minor"/>
      </rPr>
      <t xml:space="preserve">
</t>
    </r>
    <r>
      <rPr>
        <sz val="9"/>
        <rFont val="Calibri"/>
        <family val="2"/>
        <scheme val="minor"/>
      </rPr>
      <t>Vaires : demande PC d'avoir une formation site pour comprendre les problématiques de ce site</t>
    </r>
    <r>
      <rPr>
        <sz val="9"/>
        <color rgb="FFFF0000"/>
        <rFont val="Calibri"/>
        <family val="2"/>
        <scheme val="minor"/>
      </rPr>
      <t xml:space="preserve"> @Florent @Martin pour la S45
</t>
    </r>
    <r>
      <rPr>
        <sz val="9"/>
        <rFont val="Calibri"/>
        <family val="2"/>
        <scheme val="minor"/>
      </rPr>
      <t xml:space="preserve">Question pour le 20/11 : quel process  pour les arrivés restant à boucler ? Traité - définition code couleur + rappel GPC 3*8 // </t>
    </r>
    <r>
      <rPr>
        <sz val="9"/>
        <color rgb="FFFF0000"/>
        <rFont val="Calibri"/>
        <family val="2"/>
        <scheme val="minor"/>
      </rPr>
      <t xml:space="preserve">A statuer
</t>
    </r>
  </si>
  <si>
    <t>Point formation</t>
  </si>
  <si>
    <t xml:space="preserve">Voir Plan d'actions TEAMS </t>
  </si>
  <si>
    <t>Point de vigilance</t>
  </si>
  <si>
    <r>
      <t xml:space="preserve">TES G / Archivage SPOT VPGO : Vérification en cours par Younes </t>
    </r>
    <r>
      <rPr>
        <sz val="9"/>
        <color rgb="FFFF0000"/>
        <rFont val="Calibri"/>
        <family val="2"/>
        <scheme val="minor"/>
      </rPr>
      <t>(MORDI ?)</t>
    </r>
    <r>
      <rPr>
        <sz val="9"/>
        <color theme="1"/>
        <rFont val="Calibri"/>
        <family val="2"/>
        <scheme val="minor"/>
      </rPr>
      <t xml:space="preserve"> / St Leu (Gyrophare*3 dns la loge du gardien) Commande en cours - perte sur St leu  / Pointage / Relevé de compo client / BF et bulletin de compo</t>
    </r>
    <r>
      <rPr>
        <sz val="9"/>
        <rFont val="Calibri"/>
        <family val="2"/>
        <scheme val="minor"/>
      </rPr>
      <t xml:space="preserve"> / </t>
    </r>
    <r>
      <rPr>
        <sz val="9"/>
        <color rgb="FFFF0000"/>
        <rFont val="Calibri"/>
        <family val="2"/>
        <scheme val="minor"/>
      </rPr>
      <t>Autorisation de montée en cabine obligatoire (REX + plan d'action)</t>
    </r>
    <r>
      <rPr>
        <sz val="9"/>
        <rFont val="Calibri"/>
        <family val="2"/>
        <scheme val="minor"/>
      </rPr>
      <t xml:space="preserve">
</t>
    </r>
    <r>
      <rPr>
        <sz val="9"/>
        <color rgb="FFFF0000"/>
        <rFont val="Calibri"/>
        <family val="2"/>
        <scheme val="minor"/>
      </rPr>
      <t xml:space="preserve">
</t>
    </r>
    <r>
      <rPr>
        <sz val="9"/>
        <color theme="1"/>
        <rFont val="Calibri"/>
        <family val="2"/>
        <scheme val="minor"/>
      </rPr>
      <t xml:space="preserve">
</t>
    </r>
  </si>
  <si>
    <t xml:space="preserve">cause </t>
  </si>
  <si>
    <t xml:space="preserve">G.I </t>
  </si>
  <si>
    <t xml:space="preserve">Client </t>
  </si>
  <si>
    <t xml:space="preserve">Feroway </t>
  </si>
  <si>
    <t>Relevage</t>
  </si>
  <si>
    <t xml:space="preserve">évènement sortie de chantier </t>
  </si>
  <si>
    <t>OTP /Agences</t>
  </si>
  <si>
    <t>Lumes</t>
  </si>
  <si>
    <t>MTB VIA PERSAN</t>
  </si>
  <si>
    <t xml:space="preserve">LUMES VIA CHARLEVILLE </t>
  </si>
  <si>
    <t>VAIRES 1/3 CEC</t>
  </si>
  <si>
    <t>ARQUES LA BATAILLE 1/2</t>
  </si>
  <si>
    <r>
      <rPr>
        <b/>
        <strike/>
        <sz val="24"/>
        <color theme="1"/>
        <rFont val="Calibri"/>
        <family val="2"/>
        <scheme val="minor"/>
      </rPr>
      <t>VAIRES</t>
    </r>
    <r>
      <rPr>
        <b/>
        <sz val="24"/>
        <color theme="1"/>
        <rFont val="Calibri"/>
        <family val="2"/>
        <scheme val="minor"/>
      </rPr>
      <t xml:space="preserve"> CEC</t>
    </r>
  </si>
  <si>
    <t>BENING 2/3</t>
  </si>
  <si>
    <t>VERIZON 1/2</t>
  </si>
  <si>
    <t xml:space="preserve"> LA BATAILLE </t>
  </si>
  <si>
    <t>VSG DEPOT</t>
  </si>
  <si>
    <t>VSG DEB</t>
  </si>
  <si>
    <t>DOLE 3/3</t>
  </si>
  <si>
    <t>St GEORGES d'AURAC 2/2</t>
  </si>
  <si>
    <t>BOBIGNY 1/2</t>
  </si>
  <si>
    <t>G12 2080+ WAGON C+RAME LRS</t>
  </si>
  <si>
    <t>60086+ SSP TSO</t>
  </si>
  <si>
    <t>Retournement WT3E</t>
  </si>
  <si>
    <t xml:space="preserve"> G1206 n°2080</t>
  </si>
  <si>
    <t>G12 1128+ Bourreuse n°6348</t>
  </si>
  <si>
    <t>REG MATISA R21 LSF 47008/ 225 510-6</t>
  </si>
  <si>
    <t>REG MATISA R21 LSF 47005 / 225 504-9</t>
  </si>
  <si>
    <t>G12 + TEVO</t>
  </si>
  <si>
    <t xml:space="preserve">G1206 n°1544 + 1 wgs+RDF n°1 + 1 wgs </t>
  </si>
  <si>
    <t xml:space="preserve">G1206 n°1885 +1 wgs+RDF 2,3,4+WAD257 +g1206 n° </t>
  </si>
  <si>
    <t xml:space="preserve">G12 1122 </t>
  </si>
  <si>
    <t>G1206 n° 2080+REVO</t>
  </si>
  <si>
    <t xml:space="preserve"> G1206 n°2080+COMPO</t>
  </si>
  <si>
    <t>G12 1122 + 25 Wagons</t>
  </si>
  <si>
    <t>Oxygene du rail</t>
  </si>
  <si>
    <t>BR214 214159</t>
  </si>
  <si>
    <t>G12 1544 +1498+2102+KB</t>
  </si>
  <si>
    <t>G1206 n°2080+REVO</t>
  </si>
  <si>
    <t>Spot annulé, reporté à la S17</t>
  </si>
  <si>
    <t>Annulation dernière minute par M.DOVAL  // repris le lendemain avec S2TF</t>
  </si>
  <si>
    <t>dép10h refusé suite retard+travx, (besoin d'AFR pour manœuvres à VSG+indice compo erroné)</t>
  </si>
  <si>
    <t>Pas de sillon obtenu - repoussé au vendredi</t>
  </si>
  <si>
    <t>Indicateur</t>
  </si>
  <si>
    <t>Nombre</t>
  </si>
  <si>
    <t>%</t>
  </si>
  <si>
    <t>✅ Acheminements conformes</t>
  </si>
  <si>
    <t>❌ Acheminements non conformes</t>
  </si>
  <si>
    <t>Total</t>
  </si>
  <si>
    <t xml:space="preserve">3 wagons restés à VSG  non mis à dispo par Hexafret </t>
  </si>
  <si>
    <t xml:space="preserve">La rame LRS +REVO arrivé dans le mauvais sens ? À confirmer // car les sillons ont été vérifé ? </t>
  </si>
  <si>
    <t xml:space="preserve">P. CARPENTIER explication sur la lecture du sens de travail. </t>
  </si>
  <si>
    <t>ETF ARS Sud  //   A.955BKR2575712</t>
  </si>
  <si>
    <t>ETF direction matériel  //   A955.BKR2695703</t>
  </si>
  <si>
    <t>FRET CHAILLOUE // A955BKR2561701</t>
  </si>
  <si>
    <t>client Externe  //   A955.BKR2695702</t>
  </si>
  <si>
    <t>ETF Grand projets  //   A955.BKR2693705</t>
  </si>
  <si>
    <t>SENS DE TRAVAIL A VERIFIER</t>
  </si>
  <si>
    <t>METZ SABLON</t>
  </si>
  <si>
    <t>LISIEUX 2/2</t>
  </si>
  <si>
    <r>
      <rPr>
        <b/>
        <strike/>
        <sz val="24"/>
        <color theme="1"/>
        <rFont val="Calibri"/>
        <family val="2"/>
        <scheme val="minor"/>
      </rPr>
      <t>ST ETIENN</t>
    </r>
    <r>
      <rPr>
        <b/>
        <sz val="24"/>
        <color theme="1"/>
        <rFont val="Calibri"/>
        <family val="2"/>
        <scheme val="minor"/>
      </rPr>
      <t>E CHALONS SUR SAONE</t>
    </r>
  </si>
  <si>
    <t xml:space="preserve">G1206 n°2081+REVO </t>
  </si>
  <si>
    <t>G12 1128 + V211 512-3</t>
  </si>
  <si>
    <t>G12 DVF1824 + 25 Wagons</t>
  </si>
  <si>
    <t>G1486 + 1665 + COMPO</t>
  </si>
  <si>
    <t>demenagement</t>
  </si>
  <si>
    <t>Pas de sol a st etienne - Train calé à CSS</t>
  </si>
  <si>
    <t xml:space="preserve">arrivé à l'envers suite à détournement </t>
  </si>
  <si>
    <t>60020+ 1885+1547+19 wagons</t>
  </si>
  <si>
    <t>MANTES 1/3</t>
  </si>
  <si>
    <t xml:space="preserve">MANTES </t>
  </si>
  <si>
    <t>CHAMPIGNEULLES 2/3</t>
  </si>
  <si>
    <t>CHAMPIGNEULLE</t>
  </si>
  <si>
    <t>SPDC 4/4</t>
  </si>
  <si>
    <t>MEZIDON 2/2</t>
  </si>
  <si>
    <t>ST FLORENTIN 3/3</t>
  </si>
  <si>
    <t xml:space="preserve">LES MUREAUX </t>
  </si>
  <si>
    <t>Trappes P3</t>
  </si>
  <si>
    <r>
      <rPr>
        <b/>
        <sz val="28"/>
        <color rgb="FF00B0F0"/>
        <rFont val="Calibri"/>
        <family val="2"/>
        <scheme val="minor"/>
      </rPr>
      <t>60072</t>
    </r>
    <r>
      <rPr>
        <b/>
        <sz val="24"/>
        <color theme="1"/>
        <rFont val="Calibri"/>
        <family val="2"/>
        <scheme val="minor"/>
      </rPr>
      <t>+ 1 wagon</t>
    </r>
  </si>
  <si>
    <t>G1206 1546 + 30 wagons</t>
  </si>
  <si>
    <t>G1206 n° 1665+ VAD356+2 Portes flèche Colas+wagon social</t>
  </si>
  <si>
    <t>G1206 n°1975+BML 3486+25 wagons</t>
  </si>
  <si>
    <r>
      <rPr>
        <b/>
        <sz val="28"/>
        <color rgb="FFFF0000"/>
        <rFont val="Calibri"/>
        <family val="2"/>
        <scheme val="minor"/>
      </rPr>
      <t>60020</t>
    </r>
    <r>
      <rPr>
        <b/>
        <sz val="24"/>
        <color rgb="FFFF0000"/>
        <rFont val="Calibri"/>
        <family val="2"/>
        <scheme val="minor"/>
      </rPr>
      <t xml:space="preserve"> </t>
    </r>
    <r>
      <rPr>
        <b/>
        <sz val="24"/>
        <color theme="1"/>
        <rFont val="Calibri"/>
        <family val="2"/>
        <scheme val="minor"/>
      </rPr>
      <t>+</t>
    </r>
    <r>
      <rPr>
        <b/>
        <sz val="28"/>
        <color rgb="FF7030A0"/>
        <rFont val="Calibri"/>
        <family val="2"/>
        <scheme val="minor"/>
      </rPr>
      <t xml:space="preserve"> 1</t>
    </r>
    <r>
      <rPr>
        <b/>
        <sz val="24"/>
        <color theme="1"/>
        <rFont val="Calibri"/>
        <family val="2"/>
        <scheme val="minor"/>
      </rPr>
      <t xml:space="preserve"> wagon</t>
    </r>
  </si>
  <si>
    <t>G1206 n°1813+1665+VAD365+361+Porte flèche double</t>
  </si>
  <si>
    <t>G1206 n°1813+Porte flèche Double</t>
  </si>
  <si>
    <t>G12 1126</t>
  </si>
  <si>
    <t>STAB PLASSER DGS 72NR</t>
  </si>
  <si>
    <t>G1206 n° 1379+1497+Compo</t>
  </si>
  <si>
    <t>G12 COLAS 129-2008</t>
  </si>
  <si>
    <t>BOUR-APP FRAMAFER 108-475S 6348</t>
  </si>
  <si>
    <t>panne radio</t>
  </si>
  <si>
    <t>départ de 05h non effectué car les wagons étaient dans un TTX/ nouveau sillon pr 10h00</t>
  </si>
  <si>
    <t>reporté à lundi</t>
  </si>
  <si>
    <t>Le chantier de Lumes n’aura pas besoin de la BML 6348.</t>
  </si>
  <si>
    <t>rame enterrée par loco SNCF</t>
  </si>
  <si>
    <t>retard au départ / travaux accordé
le train a été présenté au départ après avoir expédié les TTX pour les travaux sur la même ligne</t>
  </si>
  <si>
    <t>rcuperation de rame callée du 27</t>
  </si>
  <si>
    <t>REPRISE 60020</t>
  </si>
  <si>
    <t>recuperation des 3 wgs bloqués sur vsg</t>
  </si>
  <si>
    <t>PB DE COMPO ET HABILITATION (CDR PAS HABILITE ENTRE EPRNAY ET REIMS)</t>
  </si>
  <si>
    <t>PB carte habilitation C2</t>
  </si>
  <si>
    <t>1 wagon inapte + 1 wagon modèle K externe enterrait les wagons que l'on devait récupérer</t>
  </si>
  <si>
    <t>19</t>
  </si>
  <si>
    <t>SAINT FLORENTIN</t>
  </si>
  <si>
    <t>VALENCIENNES</t>
  </si>
  <si>
    <t>GRAND PONT 2/3</t>
  </si>
  <si>
    <t xml:space="preserve">ST DENIS </t>
  </si>
  <si>
    <t>JUVISY 3/3</t>
  </si>
  <si>
    <t>LUMES 2/3</t>
  </si>
  <si>
    <t>UCKANGE</t>
  </si>
  <si>
    <t>MEAUX 2/2</t>
  </si>
  <si>
    <t>TRA 2/2</t>
  </si>
  <si>
    <r>
      <t xml:space="preserve">TERGNIER </t>
    </r>
    <r>
      <rPr>
        <b/>
        <sz val="24"/>
        <color rgb="FFFF0000"/>
        <rFont val="Calibri"/>
        <family val="2"/>
        <scheme val="minor"/>
      </rPr>
      <t>11h38</t>
    </r>
  </si>
  <si>
    <t>MITRY</t>
  </si>
  <si>
    <r>
      <t xml:space="preserve">LAON 2/2 </t>
    </r>
    <r>
      <rPr>
        <b/>
        <sz val="24"/>
        <color rgb="FFFF0000"/>
        <rFont val="Calibri"/>
        <family val="2"/>
        <scheme val="minor"/>
      </rPr>
      <t>11h24</t>
    </r>
  </si>
  <si>
    <t xml:space="preserve">G1206 n°1372+1118+ PUSCAL </t>
  </si>
  <si>
    <t xml:space="preserve">G1206 n°1128 +V211 512-3  </t>
  </si>
  <si>
    <t>BOUR-LIG FRAMAFER 109 FRP</t>
  </si>
  <si>
    <t>G1206 1379 +porte flèche+VAD 257+6 wagons plats</t>
  </si>
  <si>
    <t>G1206 n°1126</t>
  </si>
  <si>
    <t>G12 1378+WAD 324+252 COLAS+ Porte flèche 000-5</t>
  </si>
  <si>
    <t>G12 1372 + G12 1118</t>
  </si>
  <si>
    <t>G12 1128 + 8 wagons</t>
  </si>
  <si>
    <t>BOUR-LIG FRAMAFER n°6490</t>
  </si>
  <si>
    <t>G12 1372+G12 1118+10 wagons</t>
  </si>
  <si>
    <t>60086+8 wagons</t>
  </si>
  <si>
    <t>G12 1886+ Rame Novium</t>
  </si>
  <si>
    <t>G12 1378+ G12 1128</t>
  </si>
  <si>
    <t>loco enterré / Presta deamndée à colas pour AFR a Sucy</t>
  </si>
  <si>
    <t>annulation suite sillon aller trop tard car demande client de partir plus tard</t>
  </si>
  <si>
    <t>Agent non habilité pour passer la dépêche de la sortie du triage // repousé au mardi</t>
  </si>
  <si>
    <t>Miramas</t>
  </si>
  <si>
    <t>Sotteville 1/2</t>
  </si>
  <si>
    <t xml:space="preserve">MEAUX  </t>
  </si>
  <si>
    <t>CEC2/3</t>
  </si>
  <si>
    <t>NANCY</t>
  </si>
  <si>
    <t>TERGNIER 3/3</t>
  </si>
  <si>
    <t>Tergnier ou Laon (LUMES)</t>
  </si>
  <si>
    <t xml:space="preserve">LAON </t>
  </si>
  <si>
    <t>les Mureaux</t>
  </si>
  <si>
    <t>GLOS SUR RISLE 2/2</t>
  </si>
  <si>
    <t>POSTE 74 2/2</t>
  </si>
  <si>
    <t>Abbeville</t>
  </si>
  <si>
    <t>BOUR-APP FRAMAFER 108-475ST n°1362</t>
  </si>
  <si>
    <t>BOUR-LIG FRAMAFER 108-32U 2617</t>
  </si>
  <si>
    <t>G12 1885+wagons</t>
  </si>
  <si>
    <t xml:space="preserve">BOUR-APP FRAMAFER 108-475S 6348		</t>
  </si>
  <si>
    <t>G1206 n°1547+1486</t>
  </si>
  <si>
    <t>BML 108 32 Colas</t>
  </si>
  <si>
    <t>G1206 n°1547+1wgs+RDF7+1 wgs</t>
  </si>
  <si>
    <t>G1206 n° 1144</t>
  </si>
  <si>
    <t xml:space="preserve">G1206 n° 1144+1 WGS+RDF1+1 WGS </t>
  </si>
  <si>
    <t xml:space="preserve">G1206 n° + VAD 257+Porte flèche+ G1206 </t>
  </si>
  <si>
    <t>G1206 n° + 1 wgs plat + RDF 6+RDF 7+RDF 8+ 1wagons plat</t>
  </si>
  <si>
    <t xml:space="preserve">BOUR-APP PLASSER 108 32/4S N°5851		</t>
  </si>
  <si>
    <t>G1206 n°2080+2081+REVO+RAME LRS</t>
  </si>
  <si>
    <t>Fuel a 15H</t>
  </si>
  <si>
    <t>panne machinbe</t>
  </si>
  <si>
    <t xml:space="preserve">Le fueleur a ELBEUF s'est trompé d'horaire // fuel non réalisé au départ - Impact sur la rotation du lendemain </t>
  </si>
  <si>
    <t>Anulation client  // le chantier n'en avait plus besoin</t>
  </si>
  <si>
    <t>TERGNIER 1/3</t>
  </si>
  <si>
    <t>GLOS SUR RISLE 2/3</t>
  </si>
  <si>
    <t>GLOS SUR RISLE</t>
  </si>
  <si>
    <t>SERQUIGNY 3/3</t>
  </si>
  <si>
    <t>NANCY VILLE 2/2</t>
  </si>
  <si>
    <r>
      <rPr>
        <b/>
        <strike/>
        <sz val="24"/>
        <color theme="1"/>
        <rFont val="Calibri"/>
        <family val="2"/>
        <scheme val="minor"/>
      </rPr>
      <t xml:space="preserve">ST ETIENNE </t>
    </r>
    <r>
      <rPr>
        <b/>
        <sz val="24"/>
        <color theme="1"/>
        <rFont val="Calibri"/>
        <family val="2"/>
        <scheme val="minor"/>
      </rPr>
      <t xml:space="preserve"> CSS</t>
    </r>
    <r>
      <rPr>
        <b/>
        <strike/>
        <sz val="24"/>
        <color theme="1"/>
        <rFont val="Calibri"/>
        <family val="2"/>
        <scheme val="minor"/>
      </rPr>
      <t xml:space="preserve"> </t>
    </r>
    <r>
      <rPr>
        <b/>
        <sz val="24"/>
        <color theme="1"/>
        <rFont val="Calibri"/>
        <family val="2"/>
        <scheme val="minor"/>
      </rPr>
      <t>2/2</t>
    </r>
  </si>
  <si>
    <t>St Quentin Fallavier</t>
  </si>
  <si>
    <t>ARQUES LA BATAILLE</t>
  </si>
  <si>
    <t>CHASSE SUR RHONE 2/2</t>
  </si>
  <si>
    <t>21</t>
  </si>
  <si>
    <t>G12 1546+Bourreuse n°1077</t>
  </si>
  <si>
    <t>BOUR-APP FRAMAFER 108-475S  993</t>
  </si>
  <si>
    <t>G12 1377+30 wagons</t>
  </si>
  <si>
    <t>G1206 n°1144</t>
  </si>
  <si>
    <t>EURO 4033+ 20 wagons chargés</t>
  </si>
  <si>
    <t>G12 COLAS n°129- 2008+V211 635-2</t>
  </si>
  <si>
    <t>BOUR-APP FRAMAFER 108-475S 6347</t>
  </si>
  <si>
    <t>EURO 4033 + 20 wagons vide</t>
  </si>
  <si>
    <t>G1206 n°1449+bourreuse 3486+20 wagons</t>
  </si>
  <si>
    <t>g12-1449</t>
  </si>
  <si>
    <t xml:space="preserve">Bourreuse n°2617 </t>
  </si>
  <si>
    <t>G1206 n°1449+635-2+20 wagons</t>
  </si>
  <si>
    <t>G12 11144</t>
  </si>
  <si>
    <t xml:space="preserve">cause FEROWAY </t>
  </si>
  <si>
    <t>455</t>
  </si>
  <si>
    <t>470</t>
  </si>
  <si>
    <t>471</t>
  </si>
  <si>
    <t>472</t>
  </si>
  <si>
    <t>473</t>
  </si>
  <si>
    <t xml:space="preserve">les wagons non nettoyés ; + 1 modèle K </t>
  </si>
  <si>
    <t>BB60072+R21 47009+B4519</t>
  </si>
  <si>
    <t>BR214+WAD 365+ Porte flèche</t>
  </si>
  <si>
    <t>G12 1378+Bourreuse n°6347</t>
  </si>
  <si>
    <t>G12 COLAS n°1813</t>
  </si>
  <si>
    <t>TERMINUS JUVISY AU LIEU DE ST FLO ,, REPRISE MERCREDI</t>
  </si>
  <si>
    <t>BOBIGNY 1/3</t>
  </si>
  <si>
    <t xml:space="preserve">G12 1122+10 wagons +5EX </t>
  </si>
  <si>
    <t>G1206 2103 + RDF 1 + 2 wagons encadrant</t>
  </si>
  <si>
    <t>Detournement en ligne suite accident de personne</t>
  </si>
  <si>
    <t>SARREGUEMINES</t>
  </si>
  <si>
    <t xml:space="preserve">G1206 n°1837+1838 +DEG </t>
  </si>
  <si>
    <t>G1206 1144</t>
  </si>
  <si>
    <t>G12 1122+10 wagons +5EX</t>
  </si>
  <si>
    <t>G1206 n°1547 + wagon c</t>
  </si>
  <si>
    <t>G1122 + 10 WAGONS</t>
  </si>
  <si>
    <t>G12 1837+VAD 258+ G12 1838</t>
  </si>
  <si>
    <t>60072 + Rame Novium</t>
  </si>
  <si>
    <t xml:space="preserve">INCIDENT SUR LA LIGNE // train calé a Sarreguemines </t>
  </si>
  <si>
    <t>panne locotracteur a Elbeuf - reprise lundi</t>
  </si>
  <si>
    <t>RETOURNEMENT PLSU N2CESSAIRE, annulation client</t>
  </si>
  <si>
    <t>474</t>
  </si>
  <si>
    <t>475</t>
  </si>
  <si>
    <t>476</t>
  </si>
  <si>
    <t>477</t>
  </si>
  <si>
    <t>478</t>
  </si>
  <si>
    <t>479</t>
  </si>
  <si>
    <t>480</t>
  </si>
  <si>
    <t>481</t>
  </si>
  <si>
    <t>482</t>
  </si>
  <si>
    <t>483</t>
  </si>
  <si>
    <t>484</t>
  </si>
  <si>
    <t>485</t>
  </si>
  <si>
    <t>486</t>
  </si>
  <si>
    <t>487</t>
  </si>
  <si>
    <t>488</t>
  </si>
  <si>
    <t>489</t>
  </si>
  <si>
    <t>490</t>
  </si>
  <si>
    <t>491</t>
  </si>
  <si>
    <t>492</t>
  </si>
  <si>
    <t xml:space="preserve">Réclamation </t>
  </si>
  <si>
    <t xml:space="preserve"> Wagon dans le mauvais sens au départ  information erroné transmise par le chantier //</t>
  </si>
  <si>
    <t xml:space="preserve">Annulation client / Prolongation du chantier </t>
  </si>
  <si>
    <t xml:space="preserve">Annulation client / reporté S+1 </t>
  </si>
  <si>
    <t>OTP CALE</t>
  </si>
  <si>
    <t>CALE</t>
  </si>
  <si>
    <t>SENS DE TRAVAIL CONFORME</t>
  </si>
  <si>
    <t>SENS DE TRAVAIL NON CONFORME</t>
  </si>
  <si>
    <t>ST LEU 2/4</t>
  </si>
  <si>
    <t>PTH 3/4</t>
  </si>
  <si>
    <t>GERZAT</t>
  </si>
  <si>
    <t>TRAPPES 4/4</t>
  </si>
  <si>
    <t>St-Etienne</t>
  </si>
  <si>
    <t>ARQUES  1/2</t>
  </si>
  <si>
    <t xml:space="preserve">LUMES  </t>
  </si>
  <si>
    <t xml:space="preserve">ARQUES </t>
  </si>
  <si>
    <t xml:space="preserve">G1206 n° 1544+PUSCAL </t>
  </si>
  <si>
    <t>G1206 n° 1544</t>
  </si>
  <si>
    <t>G1206 n° 1838+BB60072+VAD 361+257+ Porte flèche</t>
  </si>
  <si>
    <t>TEAM A</t>
  </si>
  <si>
    <t>BB60072+Rame Novium</t>
  </si>
  <si>
    <t xml:space="preserve">G1206 n° 1886+1128+Compo Finition </t>
  </si>
  <si>
    <t>G1206 n°1379+2102 + KB + PREPA DEG</t>
  </si>
  <si>
    <t xml:space="preserve">G1206 n°+VAD258+Porte flèche+G1206 n° </t>
  </si>
  <si>
    <t>G1206 n° 2103+1 wgs+RDF1+1 wgs</t>
  </si>
  <si>
    <t>INFARAIL</t>
  </si>
  <si>
    <t xml:space="preserve">  </t>
  </si>
  <si>
    <t>G12 N*1377+18 WGS</t>
  </si>
  <si>
    <t>G1206 n°+Rame Novium</t>
  </si>
  <si>
    <t>G1206 n° 2103+ 1544+1 wgs+RDF1+1 wgs</t>
  </si>
  <si>
    <t>G1206 n°1128+2 wagons encadrant</t>
  </si>
  <si>
    <t>G1206 n°1128+4 wagons</t>
  </si>
  <si>
    <t>G1206 n°+ VAD 258</t>
  </si>
  <si>
    <t>PRESTAFER</t>
  </si>
  <si>
    <t>Reprise suite panne machine de déchargement le vendredi 29/05</t>
  </si>
  <si>
    <t>calé à PTH suite fermeture St leu après 17h</t>
  </si>
  <si>
    <t>rame non prête  + travaux accordé sur l'itinéraire + demande de détournement +  sollicitation d'agent au sol à Reims + Tergnier + Creil pour tete a queue car bourreuse dans la rame</t>
  </si>
  <si>
    <t>les 2 locos n'ont pas assez de fuel.</t>
  </si>
  <si>
    <t>calé à juvisy suite absence sol à Massy</t>
  </si>
  <si>
    <t>obligation de livrer à l'envers // manque de GNR - train calé a Montereau</t>
  </si>
  <si>
    <t>ATEAM</t>
  </si>
  <si>
    <t>calé à laroche/sillon arrive à 15h53 (FS SOL 13h)</t>
  </si>
  <si>
    <t>505</t>
  </si>
  <si>
    <t>519</t>
  </si>
  <si>
    <t>520</t>
  </si>
  <si>
    <t>521</t>
  </si>
  <si>
    <t>522</t>
  </si>
  <si>
    <t>523</t>
  </si>
  <si>
    <t>JS de 11h pour M.MICHELAND</t>
  </si>
  <si>
    <t>refus au départ suite à retard, loco entérré + demande à la base de préparé la machine - non fait par la base arrière // repos des 11h a respecter pour Ramzy (marche à 04h - agent dispo à partir de 05h00)</t>
  </si>
  <si>
    <t xml:space="preserve">sens de travail </t>
  </si>
  <si>
    <t xml:space="preserve">Mauvaise expression du sens de la part du client </t>
  </si>
  <si>
    <t xml:space="preserve">Pas de conducteur de manœuvre pour préparer le train  //  Planification Dé-ozame absent ?  </t>
  </si>
  <si>
    <t xml:space="preserve">G1206 1886 </t>
  </si>
  <si>
    <t xml:space="preserve">G1206 1544 + BML GCF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</si>
</sst>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d/m;@"/>
    <numFmt numFmtId="165" formatCode="[$-F400]h:mm:ss\ AM/PM"/>
  </numFmts>
  <fonts count="230">
    <font>
      <sz val="11"/>
      <color theme="1"/>
      <name val="Calibri"/>
      <family val="2"/>
      <scheme val="minor"/>
    </font>
    <font>
      <b/>
      <sz val="20"/>
      <color rgb="FFFFFFFF"/>
      <name val="Calibri"/>
      <family val="2"/>
    </font>
    <font>
      <b/>
      <sz val="16"/>
      <color rgb="FF000000"/>
      <name val="Calibri"/>
      <family val="2"/>
    </font>
    <font>
      <sz val="9"/>
      <color theme="1"/>
      <name val="Calibri"/>
      <family val="2"/>
      <scheme val="minor"/>
    </font>
    <font>
      <b/>
      <sz val="16"/>
      <color rgb="FF000000"/>
      <name val="Calibri"/>
      <family val="2"/>
      <scheme val="minor"/>
    </font>
    <font>
      <sz val="16"/>
      <color rgb="FF000000"/>
      <name val="Calibri"/>
      <family val="2"/>
    </font>
    <font>
      <b/>
      <sz val="11"/>
      <color theme="0"/>
      <name val="Calibri"/>
      <family val="3"/>
      <scheme val="minor"/>
    </font>
    <font>
      <b/>
      <sz val="9"/>
      <color theme="1"/>
      <name val="Calibri"/>
      <family val="3"/>
      <scheme val="minor"/>
    </font>
    <font>
      <b/>
      <sz val="20"/>
      <name val="Calibri"/>
      <family val="2"/>
    </font>
    <font>
      <b/>
      <u/>
      <sz val="20"/>
      <color rgb="FFFFFFFF"/>
      <name val="Calibri"/>
      <family val="2"/>
    </font>
    <font>
      <b/>
      <sz val="11"/>
      <color theme="1"/>
      <name val="Calibri"/>
      <family val="2"/>
      <scheme val="minor"/>
    </font>
    <font>
      <b/>
      <sz val="20"/>
      <color theme="1"/>
      <name val="Calibri"/>
      <family val="2"/>
      <scheme val="minor"/>
    </font>
    <font>
      <b/>
      <sz val="20"/>
      <color rgb="FF000000"/>
      <name val="Calibri"/>
      <family val="2"/>
      <scheme val="minor"/>
    </font>
    <font>
      <sz val="9"/>
      <color rgb="FFFF0000"/>
      <name val="Calibri"/>
      <family val="2"/>
      <scheme val="minor"/>
    </font>
    <font>
      <b/>
      <sz val="11"/>
      <color theme="0"/>
      <name val="Calibri"/>
      <family val="2"/>
      <scheme val="minor"/>
    </font>
    <font>
      <b/>
      <sz val="20"/>
      <color theme="5" tint="-0.499984740745262"/>
      <name val="Calibri"/>
      <family val="2"/>
      <scheme val="minor"/>
    </font>
    <font>
      <b/>
      <sz val="20"/>
      <color rgb="FF00B050"/>
      <name val="Calibri"/>
      <family val="2"/>
      <scheme val="minor"/>
    </font>
    <font>
      <b/>
      <sz val="20"/>
      <color rgb="FF0070C0"/>
      <name val="Calibri"/>
      <family val="2"/>
      <scheme val="minor"/>
    </font>
    <font>
      <b/>
      <sz val="16"/>
      <name val="Calibri"/>
      <family val="2"/>
      <scheme val="minor"/>
    </font>
    <font>
      <b/>
      <u/>
      <sz val="16"/>
      <color rgb="FF000000"/>
      <name val="Calibri"/>
      <family val="2"/>
    </font>
    <font>
      <u/>
      <sz val="16"/>
      <color rgb="FF000000"/>
      <name val="Calibri"/>
      <family val="2"/>
    </font>
    <font>
      <b/>
      <sz val="20"/>
      <color rgb="FFFF0000"/>
      <name val="Calibri"/>
      <family val="2"/>
      <scheme val="minor"/>
    </font>
    <font>
      <b/>
      <sz val="20"/>
      <color theme="0" tint="-0.499984740745262"/>
      <name val="Calibri"/>
      <family val="2"/>
      <scheme val="minor"/>
    </font>
    <font>
      <b/>
      <sz val="22"/>
      <color rgb="FF0070C0"/>
      <name val="Calibri"/>
      <family val="2"/>
      <scheme val="minor"/>
    </font>
    <font>
      <sz val="20"/>
      <color theme="1"/>
      <name val="Calibri"/>
      <family val="2"/>
      <scheme val="minor"/>
    </font>
    <font>
      <b/>
      <sz val="22"/>
      <color theme="5" tint="-0.499984740745262"/>
      <name val="Calibri"/>
      <family val="2"/>
      <scheme val="minor"/>
    </font>
    <font>
      <sz val="20"/>
      <color theme="5" tint="-0.499984740745262"/>
      <name val="Calibri"/>
      <family val="2"/>
      <scheme val="minor"/>
    </font>
    <font>
      <b/>
      <sz val="20"/>
      <name val="Calibri"/>
      <family val="2"/>
      <scheme val="minor"/>
    </font>
    <font>
      <b/>
      <sz val="20"/>
      <color theme="5" tint="-0.249977111117893"/>
      <name val="Calibri"/>
      <family val="2"/>
      <scheme val="minor"/>
    </font>
    <font>
      <b/>
      <u/>
      <sz val="20"/>
      <color rgb="FF000000"/>
      <name val="Calibri"/>
      <family val="2"/>
      <scheme val="minor"/>
    </font>
    <font>
      <b/>
      <sz val="18"/>
      <color theme="5" tint="-0.499984740745262"/>
      <name val="Calibri"/>
      <family val="2"/>
      <scheme val="minor"/>
    </font>
    <font>
      <b/>
      <u/>
      <sz val="14"/>
      <color rgb="FFFFFFFF"/>
      <name val="Calibri"/>
      <family val="2"/>
    </font>
    <font>
      <b/>
      <sz val="14"/>
      <color rgb="FFFFFFFF"/>
      <name val="Calibri"/>
      <family val="2"/>
    </font>
    <font>
      <b/>
      <sz val="14"/>
      <color theme="1"/>
      <name val="Calibri"/>
      <family val="2"/>
      <scheme val="minor"/>
    </font>
    <font>
      <sz val="14"/>
      <color theme="1"/>
      <name val="Calibri"/>
      <family val="2"/>
      <scheme val="minor"/>
    </font>
    <font>
      <b/>
      <sz val="18"/>
      <color theme="1"/>
      <name val="Calibri"/>
      <family val="2"/>
      <scheme val="minor"/>
    </font>
    <font>
      <sz val="18"/>
      <color theme="1"/>
      <name val="Calibri"/>
      <family val="2"/>
      <scheme val="minor"/>
    </font>
    <font>
      <b/>
      <sz val="20"/>
      <color rgb="FFFFC000"/>
      <name val="Calibri"/>
      <family val="2"/>
      <scheme val="minor"/>
    </font>
    <font>
      <b/>
      <sz val="20"/>
      <color theme="0"/>
      <name val="Calibri"/>
      <family val="2"/>
      <scheme val="minor"/>
    </font>
    <font>
      <u/>
      <sz val="11"/>
      <color theme="10"/>
      <name val="Calibri"/>
      <family val="2"/>
      <scheme val="minor"/>
    </font>
    <font>
      <b/>
      <sz val="18"/>
      <color rgb="FF0070C0"/>
      <name val="Calibri"/>
      <family val="2"/>
      <scheme val="minor"/>
    </font>
    <font>
      <sz val="9"/>
      <name val="Calibri"/>
      <family val="2"/>
      <scheme val="minor"/>
    </font>
    <font>
      <b/>
      <sz val="18"/>
      <color rgb="FF00B050"/>
      <name val="Calibri"/>
      <family val="2"/>
      <scheme val="minor"/>
    </font>
    <font>
      <b/>
      <sz val="11"/>
      <color rgb="FFFFC000"/>
      <name val="Calibri"/>
      <family val="2"/>
      <scheme val="minor"/>
    </font>
    <font>
      <b/>
      <sz val="16"/>
      <color theme="1"/>
      <name val="Calibri"/>
      <family val="2"/>
      <scheme val="minor"/>
    </font>
    <font>
      <b/>
      <sz val="11"/>
      <color theme="0" tint="-0.499984740745262"/>
      <name val="Calibri"/>
      <family val="2"/>
      <scheme val="minor"/>
    </font>
    <font>
      <b/>
      <sz val="11"/>
      <color rgb="FF0070C0"/>
      <name val="Calibri"/>
      <family val="2"/>
      <scheme val="minor"/>
    </font>
    <font>
      <b/>
      <sz val="14"/>
      <color theme="5" tint="-0.499984740745262"/>
      <name val="Calibri"/>
      <family val="2"/>
      <scheme val="minor"/>
    </font>
    <font>
      <b/>
      <sz val="16"/>
      <color rgb="FFFF0000"/>
      <name val="Calibri"/>
      <family val="2"/>
      <scheme val="minor"/>
    </font>
    <font>
      <b/>
      <sz val="16"/>
      <color theme="5" tint="-0.499984740745262"/>
      <name val="Calibri"/>
      <family val="2"/>
      <scheme val="minor"/>
    </font>
    <font>
      <b/>
      <sz val="11"/>
      <name val="Calibri"/>
      <family val="2"/>
      <scheme val="minor"/>
    </font>
    <font>
      <sz val="10"/>
      <color rgb="FFFF0000"/>
      <name val="Calibri"/>
      <family val="2"/>
      <scheme val="minor"/>
    </font>
    <font>
      <b/>
      <sz val="11"/>
      <color theme="5" tint="-0.499984740745262"/>
      <name val="Calibri"/>
      <family val="2"/>
      <scheme val="minor"/>
    </font>
    <font>
      <sz val="11"/>
      <color rgb="FFFF0000"/>
      <name val="Calibri"/>
      <family val="2"/>
      <scheme val="minor"/>
    </font>
    <font>
      <b/>
      <sz val="14"/>
      <color rgb="FF0070C0"/>
      <name val="Calibri"/>
      <family val="2"/>
      <scheme val="minor"/>
    </font>
    <font>
      <b/>
      <sz val="14"/>
      <color rgb="FFFF0000"/>
      <name val="Calibri"/>
      <family val="2"/>
      <scheme val="minor"/>
    </font>
    <font>
      <b/>
      <sz val="11"/>
      <color rgb="FFFF0000"/>
      <name val="Calibri"/>
      <family val="2"/>
      <scheme val="minor"/>
    </font>
    <font>
      <b/>
      <sz val="14"/>
      <color theme="0" tint="-0.499984740745262"/>
      <name val="Calibri"/>
      <family val="2"/>
      <scheme val="minor"/>
    </font>
    <font>
      <b/>
      <sz val="11"/>
      <color rgb="FF00B050"/>
      <name val="Calibri"/>
      <family val="2"/>
      <scheme val="minor"/>
    </font>
    <font>
      <sz val="14"/>
      <color theme="5" tint="-0.499984740745262"/>
      <name val="Calibri"/>
      <family val="2"/>
      <scheme val="minor"/>
    </font>
    <font>
      <b/>
      <sz val="14"/>
      <color theme="0"/>
      <name val="Calibri"/>
      <family val="2"/>
      <scheme val="minor"/>
    </font>
    <font>
      <u/>
      <sz val="9"/>
      <name val="Calibri"/>
      <family val="2"/>
      <scheme val="minor"/>
    </font>
    <font>
      <b/>
      <sz val="11"/>
      <color rgb="FF000000"/>
      <name val="Calibri"/>
      <family val="2"/>
    </font>
    <font>
      <b/>
      <sz val="11"/>
      <color theme="4" tint="-0.249977111117893"/>
      <name val="Calibri"/>
      <family val="2"/>
      <scheme val="minor"/>
    </font>
    <font>
      <b/>
      <sz val="11"/>
      <color theme="5" tint="-0.249977111117893"/>
      <name val="Calibri"/>
      <family val="2"/>
      <scheme val="minor"/>
    </font>
    <font>
      <b/>
      <u/>
      <sz val="11"/>
      <color theme="1"/>
      <name val="Calibri"/>
      <family val="2"/>
      <scheme val="minor"/>
    </font>
    <font>
      <sz val="10"/>
      <color theme="1"/>
      <name val="Times New Roman"/>
      <family val="1"/>
    </font>
    <font>
      <b/>
      <sz val="20"/>
      <color rgb="FF000000"/>
      <name val="Calibri"/>
      <family val="2"/>
    </font>
    <font>
      <b/>
      <sz val="18"/>
      <color rgb="FF000000"/>
      <name val="Calibri"/>
      <family val="2"/>
    </font>
    <font>
      <sz val="11"/>
      <color rgb="FF000000"/>
      <name val="Calibri"/>
      <family val="2"/>
    </font>
    <font>
      <b/>
      <sz val="11"/>
      <color rgb="FF00B050"/>
      <name val="Calibri"/>
      <family val="2"/>
    </font>
    <font>
      <b/>
      <sz val="11"/>
      <color rgb="FFFFC000"/>
      <name val="Calibri"/>
      <family val="2"/>
    </font>
    <font>
      <b/>
      <sz val="11"/>
      <color rgb="FF833C0C"/>
      <name val="Calibri"/>
      <family val="2"/>
    </font>
    <font>
      <b/>
      <sz val="11"/>
      <color rgb="FF0070C0"/>
      <name val="Calibri"/>
      <family val="2"/>
    </font>
    <font>
      <b/>
      <sz val="11"/>
      <color rgb="FF808080"/>
      <name val="Calibri"/>
      <family val="2"/>
    </font>
    <font>
      <b/>
      <sz val="11"/>
      <color rgb="FFFFFFFF"/>
      <name val="Calibri"/>
      <family val="2"/>
    </font>
    <font>
      <sz val="11"/>
      <color rgb="FFFF0000"/>
      <name val="Calibri"/>
      <family val="2"/>
    </font>
    <font>
      <b/>
      <strike/>
      <sz val="20"/>
      <color rgb="FF000000"/>
      <name val="Calibri"/>
      <family val="2"/>
    </font>
    <font>
      <sz val="11"/>
      <color theme="1" tint="4.9989318521683403E-2"/>
      <name val="Calibri"/>
      <family val="2"/>
      <scheme val="minor"/>
    </font>
    <font>
      <sz val="11"/>
      <color theme="5" tint="-0.499984740745262"/>
      <name val="Calibri"/>
      <family val="2"/>
      <scheme val="minor"/>
    </font>
    <font>
      <b/>
      <strike/>
      <sz val="20"/>
      <color theme="1"/>
      <name val="Calibri"/>
      <family val="2"/>
      <scheme val="minor"/>
    </font>
    <font>
      <b/>
      <sz val="20"/>
      <color theme="7" tint="-0.249977111117893"/>
      <name val="Calibri"/>
      <family val="2"/>
      <scheme val="minor"/>
    </font>
    <font>
      <sz val="11"/>
      <color rgb="FF0070C0"/>
      <name val="Calibri"/>
      <family val="2"/>
      <scheme val="minor"/>
    </font>
    <font>
      <sz val="22"/>
      <color theme="9" tint="-0.249977111117893"/>
      <name val="Calibri"/>
      <family val="2"/>
      <scheme val="minor"/>
    </font>
    <font>
      <b/>
      <sz val="16"/>
      <color rgb="FF000000"/>
      <name val="Inherit"/>
    </font>
    <font>
      <b/>
      <sz val="18"/>
      <color rgb="FF000000"/>
      <name val="Inherit"/>
    </font>
    <font>
      <b/>
      <sz val="20"/>
      <color rgb="FF000000"/>
      <name val="Inherit"/>
    </font>
    <font>
      <b/>
      <sz val="16"/>
      <color rgb="FF242424"/>
      <name val="Inherit"/>
    </font>
    <font>
      <sz val="11"/>
      <color rgb="FF242424"/>
      <name val="Calibri"/>
      <family val="2"/>
    </font>
    <font>
      <b/>
      <sz val="20"/>
      <color rgb="FF833C0C"/>
      <name val="Inherit"/>
    </font>
    <font>
      <b/>
      <sz val="20"/>
      <color rgb="FF0070C0"/>
      <name val="Inherit"/>
    </font>
    <font>
      <b/>
      <sz val="20"/>
      <color rgb="FFFFFFFF"/>
      <name val="Inherit"/>
    </font>
    <font>
      <b/>
      <sz val="20"/>
      <color rgb="FFFF0000"/>
      <name val="Inherit"/>
    </font>
    <font>
      <b/>
      <sz val="20"/>
      <color rgb="FF808080"/>
      <name val="Inherit"/>
    </font>
    <font>
      <sz val="11"/>
      <color rgb="FF242424"/>
      <name val="Segoe UI"/>
      <family val="2"/>
    </font>
    <font>
      <b/>
      <sz val="20"/>
      <color rgb="FF00B050"/>
      <name val="Inherit"/>
    </font>
    <font>
      <b/>
      <sz val="20"/>
      <color rgb="FF242424"/>
      <name val="Inherit"/>
    </font>
    <font>
      <b/>
      <sz val="20"/>
      <color theme="4"/>
      <name val="Calibri"/>
      <family val="2"/>
      <scheme val="minor"/>
    </font>
    <font>
      <b/>
      <sz val="20"/>
      <color rgb="FF663300"/>
      <name val="Calibri"/>
      <family val="2"/>
      <scheme val="minor"/>
    </font>
    <font>
      <u/>
      <sz val="14"/>
      <color theme="1"/>
      <name val="Calibri"/>
      <family val="2"/>
      <scheme val="minor"/>
    </font>
    <font>
      <b/>
      <sz val="20"/>
      <color rgb="FF833C0C"/>
      <name val="Calibri"/>
      <family val="2"/>
    </font>
    <font>
      <b/>
      <sz val="20"/>
      <color rgb="FF4472C4"/>
      <name val="Calibri"/>
      <family val="2"/>
    </font>
    <font>
      <sz val="11"/>
      <color theme="1"/>
      <name val="Calibri"/>
      <family val="2"/>
    </font>
    <font>
      <b/>
      <sz val="20"/>
      <color rgb="FF808080"/>
      <name val="Calibri"/>
      <family val="2"/>
    </font>
    <font>
      <b/>
      <sz val="20"/>
      <color rgb="FF00B050"/>
      <name val="Calibri"/>
      <family val="2"/>
    </font>
    <font>
      <b/>
      <sz val="20"/>
      <color rgb="FF0070C0"/>
      <name val="Calibri"/>
      <family val="2"/>
    </font>
    <font>
      <b/>
      <sz val="20"/>
      <color rgb="FFFF0000"/>
      <name val="Calibri"/>
      <family val="2"/>
    </font>
    <font>
      <b/>
      <sz val="20"/>
      <color theme="5" tint="-0.499984740745262"/>
      <name val="Calibri"/>
      <family val="2"/>
    </font>
    <font>
      <b/>
      <sz val="11"/>
      <color theme="5" tint="-0.499984740745262"/>
      <name val="Calibri"/>
      <family val="2"/>
    </font>
    <font>
      <b/>
      <sz val="20"/>
      <color theme="0" tint="-0.499984740745262"/>
      <name val="Calibri"/>
      <family val="2"/>
    </font>
    <font>
      <sz val="11"/>
      <color rgb="FF0070C0"/>
      <name val="Calibri"/>
      <family val="2"/>
    </font>
    <font>
      <b/>
      <u/>
      <sz val="20"/>
      <color rgb="FF833C0C"/>
      <name val="Calibri"/>
      <family val="2"/>
    </font>
    <font>
      <b/>
      <sz val="16"/>
      <color rgb="FFFF0000"/>
      <name val="Calibri"/>
      <family val="2"/>
    </font>
    <font>
      <sz val="16"/>
      <color rgb="FFFF0000"/>
      <name val="Calibri"/>
      <family val="2"/>
    </font>
    <font>
      <sz val="11"/>
      <color theme="0" tint="-0.499984740745262"/>
      <name val="Calibri"/>
      <family val="2"/>
    </font>
    <font>
      <b/>
      <sz val="20"/>
      <color theme="5" tint="-0.249977111117893"/>
      <name val="Calibri"/>
      <family val="2"/>
    </font>
    <font>
      <b/>
      <sz val="20"/>
      <color theme="0"/>
      <name val="Calibri"/>
      <family val="2"/>
    </font>
    <font>
      <b/>
      <sz val="20"/>
      <color theme="1"/>
      <name val="Calibri"/>
      <family val="2"/>
    </font>
    <font>
      <b/>
      <sz val="20"/>
      <color theme="1" tint="0.249977111117893"/>
      <name val="Calibri"/>
      <family val="2"/>
      <scheme val="minor"/>
    </font>
    <font>
      <b/>
      <sz val="24"/>
      <color theme="5" tint="-0.499984740745262"/>
      <name val="Calibri"/>
      <family val="2"/>
    </font>
    <font>
      <b/>
      <sz val="16"/>
      <color theme="0"/>
      <name val="Calibri"/>
      <family val="2"/>
      <scheme val="minor"/>
    </font>
    <font>
      <b/>
      <sz val="16"/>
      <color rgb="FF0070C0"/>
      <name val="Calibri"/>
      <family val="2"/>
      <scheme val="minor"/>
    </font>
    <font>
      <b/>
      <sz val="16"/>
      <color theme="0" tint="-0.499984740745262"/>
      <name val="Calibri"/>
      <family val="2"/>
      <scheme val="minor"/>
    </font>
    <font>
      <b/>
      <sz val="12"/>
      <color theme="1"/>
      <name val="Calibri"/>
      <family val="2"/>
      <scheme val="minor"/>
    </font>
    <font>
      <b/>
      <sz val="16"/>
      <color rgb="FF00B050"/>
      <name val="Calibri"/>
      <family val="2"/>
      <scheme val="minor"/>
    </font>
    <font>
      <sz val="11"/>
      <color theme="0" tint="-0.499984740745262"/>
      <name val="Calibri"/>
      <family val="2"/>
      <scheme val="minor"/>
    </font>
    <font>
      <sz val="16"/>
      <color theme="1"/>
      <name val="Calibri"/>
      <family val="2"/>
      <scheme val="minor"/>
    </font>
    <font>
      <b/>
      <strike/>
      <sz val="20"/>
      <color rgb="FF000000"/>
      <name val="Calibri"/>
      <family val="2"/>
      <scheme val="minor"/>
    </font>
    <font>
      <sz val="20"/>
      <color rgb="FFFF0000"/>
      <name val="Calibri"/>
      <family val="2"/>
      <scheme val="minor"/>
    </font>
    <font>
      <sz val="11"/>
      <color theme="5" tint="-0.249977111117893"/>
      <name val="Calibri"/>
      <family val="2"/>
      <scheme val="minor"/>
    </font>
    <font>
      <sz val="20"/>
      <color rgb="FF0070C0"/>
      <name val="Calibri"/>
      <family val="2"/>
      <scheme val="minor"/>
    </font>
    <font>
      <sz val="11"/>
      <name val="Calibri"/>
      <family val="2"/>
      <scheme val="minor"/>
    </font>
    <font>
      <sz val="22"/>
      <color rgb="FF0070C0"/>
      <name val="Calibri"/>
      <family val="2"/>
      <scheme val="minor"/>
    </font>
    <font>
      <b/>
      <sz val="24"/>
      <color rgb="FF0070C0"/>
      <name val="Calibri"/>
      <family val="2"/>
      <scheme val="minor"/>
    </font>
    <font>
      <b/>
      <sz val="11"/>
      <color rgb="FF1F497D"/>
      <name val="Calibri"/>
      <family val="2"/>
      <scheme val="minor"/>
    </font>
    <font>
      <b/>
      <sz val="12"/>
      <color rgb="FF1F497D"/>
      <name val="Calibri"/>
      <family val="2"/>
      <scheme val="minor"/>
    </font>
    <font>
      <sz val="18"/>
      <color theme="0"/>
      <name val="Calibri"/>
      <family val="2"/>
      <scheme val="minor"/>
    </font>
    <font>
      <sz val="16"/>
      <color theme="5" tint="-0.499984740745262"/>
      <name val="Calibri"/>
      <family val="2"/>
      <scheme val="minor"/>
    </font>
    <font>
      <sz val="20"/>
      <color theme="0" tint="-0.499984740745262"/>
      <name val="Calibri"/>
      <family val="2"/>
      <scheme val="minor"/>
    </font>
    <font>
      <b/>
      <sz val="20"/>
      <color rgb="FF7030A0"/>
      <name val="Calibri"/>
      <family val="2"/>
    </font>
    <font>
      <b/>
      <sz val="20"/>
      <color theme="5"/>
      <name val="Calibri"/>
      <family val="2"/>
    </font>
    <font>
      <b/>
      <sz val="20"/>
      <color rgb="FF7030A0"/>
      <name val="Calibri"/>
      <family val="2"/>
      <scheme val="minor"/>
    </font>
    <font>
      <b/>
      <sz val="20"/>
      <color theme="5"/>
      <name val="Calibri"/>
      <family val="2"/>
      <scheme val="minor"/>
    </font>
    <font>
      <b/>
      <sz val="20"/>
      <color theme="4" tint="-0.499984740745262"/>
      <name val="Calibri"/>
      <family val="2"/>
      <scheme val="minor"/>
    </font>
    <font>
      <sz val="11"/>
      <color theme="1"/>
      <name val="Calibri"/>
      <family val="2"/>
      <scheme val="minor"/>
    </font>
    <font>
      <b/>
      <u/>
      <sz val="20"/>
      <color theme="8" tint="-0.249977111117893"/>
      <name val="Calibri"/>
      <family val="2"/>
      <scheme val="minor"/>
    </font>
    <font>
      <b/>
      <sz val="22"/>
      <color rgb="FF00B050"/>
      <name val="Calibri"/>
      <family val="2"/>
      <scheme val="minor"/>
    </font>
    <font>
      <sz val="26"/>
      <color theme="1"/>
      <name val="Calibri"/>
      <family val="2"/>
      <scheme val="minor"/>
    </font>
    <font>
      <sz val="22"/>
      <color theme="1"/>
      <name val="Calibri"/>
      <family val="2"/>
      <scheme val="minor"/>
    </font>
    <font>
      <sz val="20"/>
      <color theme="0"/>
      <name val="Calibri"/>
      <family val="2"/>
      <scheme val="minor"/>
    </font>
    <font>
      <sz val="20"/>
      <color theme="1"/>
      <name val="Calibri"/>
      <family val="2"/>
    </font>
    <font>
      <b/>
      <sz val="16"/>
      <color theme="1"/>
      <name val="Calibri"/>
      <family val="2"/>
    </font>
    <font>
      <sz val="16"/>
      <color theme="1"/>
      <name val="Calibri"/>
      <family val="2"/>
    </font>
    <font>
      <b/>
      <u/>
      <sz val="20"/>
      <color rgb="FFFF0000"/>
      <name val="Calibri"/>
      <family val="2"/>
    </font>
    <font>
      <b/>
      <strike/>
      <sz val="18"/>
      <color rgb="FF000000"/>
      <name val="Calibri"/>
      <family val="2"/>
    </font>
    <font>
      <b/>
      <sz val="22"/>
      <color rgb="FF000000"/>
      <name val="Calibri"/>
      <family val="2"/>
    </font>
    <font>
      <sz val="20"/>
      <color rgb="FFFF0000"/>
      <name val="Calibri"/>
      <family val="2"/>
    </font>
    <font>
      <sz val="24"/>
      <color theme="1"/>
      <name val="Calibri"/>
      <family val="2"/>
      <scheme val="minor"/>
    </font>
    <font>
      <b/>
      <sz val="22"/>
      <color theme="1"/>
      <name val="Calibri"/>
      <family val="2"/>
      <scheme val="minor"/>
    </font>
    <font>
      <b/>
      <sz val="24"/>
      <color theme="1"/>
      <name val="Calibri"/>
      <family val="2"/>
      <scheme val="minor"/>
    </font>
    <font>
      <sz val="24"/>
      <color theme="1"/>
      <name val="Calibri"/>
      <family val="2"/>
    </font>
    <font>
      <b/>
      <sz val="24"/>
      <color rgb="FF000000"/>
      <name val="Calibri"/>
      <family val="2"/>
    </font>
    <font>
      <b/>
      <sz val="24"/>
      <color theme="0"/>
      <name val="Calibri"/>
      <family val="2"/>
    </font>
    <font>
      <b/>
      <sz val="24"/>
      <color theme="1"/>
      <name val="Calibri"/>
      <family val="2"/>
    </font>
    <font>
      <b/>
      <sz val="22"/>
      <color theme="0"/>
      <name val="Calibri"/>
      <family val="2"/>
    </font>
    <font>
      <b/>
      <sz val="22"/>
      <color rgb="FF1F497D"/>
      <name val="Calibri"/>
      <family val="2"/>
      <scheme val="minor"/>
    </font>
    <font>
      <b/>
      <sz val="22"/>
      <color theme="5"/>
      <name val="Calibri"/>
      <family val="2"/>
      <scheme val="minor"/>
    </font>
    <font>
      <b/>
      <sz val="22"/>
      <color theme="0" tint="-0.499984740745262"/>
      <name val="Calibri"/>
      <family val="2"/>
      <scheme val="minor"/>
    </font>
    <font>
      <b/>
      <sz val="22"/>
      <color rgb="FF7030A0"/>
      <name val="Calibri"/>
      <family val="2"/>
      <scheme val="minor"/>
    </font>
    <font>
      <sz val="20"/>
      <color theme="1"/>
      <name val="Calibri"/>
      <family val="2"/>
    </font>
    <font>
      <b/>
      <sz val="22"/>
      <name val="Calibri"/>
      <family val="2"/>
    </font>
    <font>
      <b/>
      <sz val="22"/>
      <color theme="0"/>
      <name val="Calibri"/>
      <family val="2"/>
      <scheme val="minor"/>
    </font>
    <font>
      <b/>
      <sz val="22"/>
      <color theme="5" tint="-0.249977111117893"/>
      <name val="Calibri"/>
      <family val="2"/>
      <scheme val="minor"/>
    </font>
    <font>
      <b/>
      <strike/>
      <sz val="22"/>
      <color theme="1"/>
      <name val="Calibri"/>
      <family val="2"/>
      <scheme val="minor"/>
    </font>
    <font>
      <sz val="8"/>
      <name val="Calibri"/>
      <family val="2"/>
      <scheme val="minor"/>
    </font>
    <font>
      <sz val="18"/>
      <color rgb="FF242424"/>
      <name val="Segoe UI"/>
      <family val="2"/>
    </font>
    <font>
      <b/>
      <sz val="22"/>
      <name val="Calibri"/>
      <family val="2"/>
      <scheme val="minor"/>
    </font>
    <font>
      <sz val="20"/>
      <color theme="1"/>
      <name val="Calibri"/>
      <family val="2"/>
    </font>
    <font>
      <b/>
      <sz val="18"/>
      <color theme="0"/>
      <name val="Calibri"/>
      <family val="2"/>
      <scheme val="minor"/>
    </font>
    <font>
      <b/>
      <sz val="22"/>
      <color theme="0" tint="-0.34998626667073579"/>
      <name val="Calibri"/>
      <family val="2"/>
      <scheme val="minor"/>
    </font>
    <font>
      <b/>
      <sz val="22"/>
      <color theme="9" tint="-0.249977111117893"/>
      <name val="Calibri"/>
      <family val="2"/>
      <scheme val="minor"/>
    </font>
    <font>
      <b/>
      <sz val="22"/>
      <color theme="4" tint="-0.499984740745262"/>
      <name val="Calibri"/>
      <family val="2"/>
      <scheme val="minor"/>
    </font>
    <font>
      <b/>
      <sz val="22"/>
      <color rgb="FFFF0000"/>
      <name val="Calibri"/>
      <family val="2"/>
      <scheme val="minor"/>
    </font>
    <font>
      <b/>
      <sz val="22"/>
      <color rgb="FFC00000"/>
      <name val="Calibri"/>
      <family val="2"/>
      <scheme val="minor"/>
    </font>
    <font>
      <b/>
      <strike/>
      <sz val="24"/>
      <color theme="1"/>
      <name val="Calibri"/>
      <family val="2"/>
      <scheme val="minor"/>
    </font>
    <font>
      <b/>
      <sz val="14"/>
      <color rgb="FF1F497D"/>
      <name val="Calibri"/>
      <family val="2"/>
      <scheme val="minor"/>
    </font>
    <font>
      <b/>
      <sz val="18"/>
      <name val="Calibri"/>
      <family val="2"/>
      <scheme val="minor"/>
    </font>
    <font>
      <b/>
      <sz val="18"/>
      <color rgb="FF1F497D"/>
      <name val="Calibri"/>
      <family val="2"/>
      <scheme val="minor"/>
    </font>
    <font>
      <b/>
      <sz val="18"/>
      <color theme="1"/>
      <name val="Calibri"/>
      <family val="2"/>
    </font>
    <font>
      <b/>
      <sz val="16"/>
      <color rgb="FF242424"/>
      <name val="Calibri"/>
      <family val="2"/>
      <scheme val="minor"/>
    </font>
    <font>
      <sz val="8"/>
      <color rgb="FF242424"/>
      <name val="Segoe UI"/>
      <family val="2"/>
    </font>
    <font>
      <b/>
      <sz val="16"/>
      <color rgb="FF1F497D"/>
      <name val="Calibri"/>
      <family val="2"/>
      <scheme val="minor"/>
    </font>
    <font>
      <b/>
      <sz val="24"/>
      <color rgb="FFC00000"/>
      <name val="Calibri"/>
      <family val="2"/>
      <scheme val="minor"/>
    </font>
    <font>
      <b/>
      <sz val="22"/>
      <color theme="1"/>
      <name val="Calibri"/>
      <family val="2"/>
    </font>
    <font>
      <b/>
      <sz val="24"/>
      <color rgb="FFFF0000"/>
      <name val="Calibri"/>
      <family val="2"/>
    </font>
    <font>
      <b/>
      <sz val="22"/>
      <color theme="4" tint="-0.499984740745262"/>
      <name val="Calibri"/>
      <family val="2"/>
    </font>
    <font>
      <b/>
      <sz val="22"/>
      <color rgb="FFFF0000"/>
      <name val="Calibri"/>
      <family val="2"/>
    </font>
    <font>
      <b/>
      <sz val="24"/>
      <color theme="0"/>
      <name val="Calibri"/>
      <family val="2"/>
      <scheme val="minor"/>
    </font>
    <font>
      <b/>
      <sz val="24"/>
      <name val="Calibri"/>
      <family val="2"/>
      <scheme val="minor"/>
    </font>
    <font>
      <b/>
      <sz val="24"/>
      <color rgb="FF1F497D"/>
      <name val="Calibri"/>
      <family val="2"/>
      <scheme val="minor"/>
    </font>
    <font>
      <b/>
      <sz val="22"/>
      <color rgb="FF000000"/>
      <name val="Calibri"/>
      <family val="2"/>
      <scheme val="minor"/>
    </font>
    <font>
      <b/>
      <sz val="22"/>
      <color rgb="FF203764"/>
      <name val="Calibri"/>
      <family val="2"/>
      <scheme val="minor"/>
    </font>
    <font>
      <b/>
      <sz val="24"/>
      <color rgb="FF000000"/>
      <name val="Calibri"/>
      <family val="2"/>
      <scheme val="minor"/>
    </font>
    <font>
      <b/>
      <sz val="22"/>
      <color rgb="FFE7E6E6"/>
      <name val="Calibri"/>
      <family val="2"/>
      <scheme val="minor"/>
    </font>
    <font>
      <b/>
      <sz val="24"/>
      <color rgb="FFE7E6E6"/>
      <name val="Calibri"/>
      <family val="2"/>
      <scheme val="minor"/>
    </font>
    <font>
      <sz val="24"/>
      <color rgb="FF000000"/>
      <name val="Calibri"/>
      <family val="2"/>
      <scheme val="minor"/>
    </font>
    <font>
      <b/>
      <sz val="24"/>
      <color rgb="FFFFFFFF"/>
      <name val="Calibri"/>
      <family val="2"/>
      <scheme val="minor"/>
    </font>
    <font>
      <sz val="11"/>
      <color rgb="FF000000"/>
      <name val="Calibri"/>
      <family val="2"/>
      <scheme val="minor"/>
    </font>
    <font>
      <sz val="10"/>
      <name val="Arial"/>
      <family val="2"/>
    </font>
    <font>
      <b/>
      <sz val="22"/>
      <color theme="1"/>
      <name val="Aptos"/>
      <family val="2"/>
    </font>
    <font>
      <b/>
      <sz val="24"/>
      <color rgb="FFFF0000"/>
      <name val="Calibri"/>
      <family val="2"/>
      <scheme val="minor"/>
    </font>
    <font>
      <b/>
      <strike/>
      <sz val="22"/>
      <color theme="1"/>
      <name val="Calibri"/>
      <family val="2"/>
    </font>
    <font>
      <b/>
      <sz val="24"/>
      <color rgb="FFC00000"/>
      <name val="Calibri"/>
      <family val="2"/>
    </font>
    <font>
      <b/>
      <sz val="18"/>
      <color rgb="FF000000"/>
      <name val="Calibri"/>
      <family val="2"/>
      <scheme val="minor"/>
    </font>
    <font>
      <sz val="18"/>
      <color rgb="FF000000"/>
      <name val="Calibri"/>
      <family val="2"/>
      <scheme val="minor"/>
    </font>
    <font>
      <sz val="22"/>
      <color rgb="FF000000"/>
      <name val="Calibri"/>
      <family val="2"/>
      <scheme val="minor"/>
    </font>
    <font>
      <sz val="11"/>
      <color theme="1"/>
      <name val="Segoe UI"/>
      <family val="2"/>
    </font>
    <font>
      <b/>
      <sz val="11"/>
      <color theme="1"/>
      <name val="Segoe UI"/>
      <family val="2"/>
    </font>
    <font>
      <b/>
      <sz val="20"/>
      <name val="Calibri"/>
      <family val="2"/>
    </font>
    <font>
      <b/>
      <sz val="20"/>
      <color rgb="FF000000"/>
      <name val="Calibri"/>
      <family val="2"/>
    </font>
    <font>
      <b/>
      <sz val="22"/>
      <color theme="1"/>
      <name val="Calibri"/>
      <family val="2"/>
    </font>
    <font>
      <b/>
      <sz val="16"/>
      <color rgb="FF000000"/>
      <name val="Calibri"/>
      <family val="2"/>
    </font>
    <font>
      <b/>
      <sz val="28"/>
      <color rgb="FFFF0000"/>
      <name val="Calibri"/>
      <family val="2"/>
      <scheme val="minor"/>
    </font>
    <font>
      <b/>
      <sz val="28"/>
      <color rgb="FF00B0F0"/>
      <name val="Calibri"/>
      <family val="2"/>
      <scheme val="minor"/>
    </font>
    <font>
      <b/>
      <sz val="28"/>
      <color rgb="FF7030A0"/>
      <name val="Calibri"/>
      <family val="2"/>
      <scheme val="minor"/>
    </font>
    <font>
      <b/>
      <sz val="24"/>
      <color rgb="FF000000"/>
      <name val="Calibri"/>
      <family val="2"/>
    </font>
    <font>
      <b/>
      <sz val="16"/>
      <color rgb="FF000000"/>
      <name val="Calibri"/>
      <family val="2"/>
    </font>
    <font>
      <b/>
      <sz val="24"/>
      <color theme="1"/>
      <name val="Book Antiqua"/>
      <family val="1"/>
    </font>
    <font>
      <b/>
      <u/>
      <sz val="20"/>
      <name val="Calibri"/>
      <family val="2"/>
    </font>
    <font>
      <b/>
      <sz val="20"/>
      <name val="Inherit"/>
    </font>
  </fonts>
  <fills count="93">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theme="4"/>
        <bgColor indexed="64"/>
      </patternFill>
    </fill>
    <fill>
      <patternFill patternType="solid">
        <fgColor theme="3" tint="0.79998168889431442"/>
        <bgColor indexed="64"/>
      </patternFill>
    </fill>
    <fill>
      <patternFill patternType="solid">
        <fgColor rgb="FF0070C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00B050"/>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theme="5"/>
        <bgColor indexed="64"/>
      </patternFill>
    </fill>
    <fill>
      <patternFill patternType="solid">
        <fgColor theme="1"/>
        <bgColor indexed="64"/>
      </patternFill>
    </fill>
    <fill>
      <patternFill patternType="solid">
        <fgColor theme="8" tint="-0.249977111117893"/>
        <bgColor indexed="64"/>
      </patternFill>
    </fill>
    <fill>
      <patternFill patternType="solid">
        <fgColor theme="4" tint="0.59999389629810485"/>
        <bgColor indexed="64"/>
      </patternFill>
    </fill>
    <fill>
      <patternFill patternType="solid">
        <fgColor rgb="FF92D050"/>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rgb="FF7030A0"/>
        <bgColor indexed="64"/>
      </patternFill>
    </fill>
    <fill>
      <patternFill patternType="solid">
        <fgColor theme="0" tint="-0.499984740745262"/>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C000"/>
        <bgColor indexed="64"/>
      </patternFill>
    </fill>
    <fill>
      <patternFill patternType="solid">
        <fgColor theme="2" tint="-9.9978637043366805E-2"/>
        <bgColor indexed="64"/>
      </patternFill>
    </fill>
    <fill>
      <patternFill patternType="solid">
        <fgColor rgb="FF00B0F0"/>
        <bgColor indexed="64"/>
      </patternFill>
    </fill>
    <fill>
      <patternFill patternType="solid">
        <fgColor theme="5" tint="0.79998168889431442"/>
        <bgColor indexed="64"/>
      </patternFill>
    </fill>
    <fill>
      <patternFill patternType="solid">
        <fgColor theme="5" tint="-0.249977111117893"/>
        <bgColor indexed="64"/>
      </patternFill>
    </fill>
    <fill>
      <patternFill patternType="solid">
        <fgColor theme="6" tint="0.39997558519241921"/>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2" tint="-0.499984740745262"/>
        <bgColor indexed="64"/>
      </patternFill>
    </fill>
    <fill>
      <patternFill patternType="solid">
        <fgColor rgb="FFC6E0B4"/>
        <bgColor indexed="64"/>
      </patternFill>
    </fill>
    <fill>
      <patternFill patternType="solid">
        <fgColor rgb="FF9933FF"/>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4" tint="-0.249977111117893"/>
        <bgColor indexed="64"/>
      </patternFill>
    </fill>
    <fill>
      <patternFill patternType="solid">
        <fgColor rgb="FF00FFCC"/>
        <bgColor indexed="64"/>
      </patternFill>
    </fill>
    <fill>
      <patternFill patternType="solid">
        <fgColor rgb="FFC00000"/>
        <bgColor indexed="64"/>
      </patternFill>
    </fill>
    <fill>
      <patternFill patternType="solid">
        <fgColor rgb="FF000000"/>
        <bgColor indexed="64"/>
      </patternFill>
    </fill>
    <fill>
      <patternFill patternType="solid">
        <fgColor rgb="FFA9D08E"/>
        <bgColor indexed="64"/>
      </patternFill>
    </fill>
    <fill>
      <patternFill patternType="solid">
        <fgColor rgb="FFAEAAAA"/>
        <bgColor indexed="64"/>
      </patternFill>
    </fill>
    <fill>
      <patternFill patternType="solid">
        <fgColor rgb="FFFFD966"/>
        <bgColor indexed="64"/>
      </patternFill>
    </fill>
    <fill>
      <patternFill patternType="solid">
        <fgColor theme="3" tint="0.39997558519241921"/>
        <bgColor indexed="64"/>
      </patternFill>
    </fill>
    <fill>
      <patternFill patternType="solid">
        <fgColor theme="7"/>
        <bgColor indexed="64"/>
      </patternFill>
    </fill>
    <fill>
      <patternFill patternType="solid">
        <fgColor theme="8"/>
        <bgColor indexed="64"/>
      </patternFill>
    </fill>
    <fill>
      <patternFill patternType="solid">
        <fgColor theme="0" tint="-4.9989318521683403E-2"/>
        <bgColor indexed="64"/>
      </patternFill>
    </fill>
    <fill>
      <patternFill patternType="solid">
        <fgColor rgb="FFF8CBAD"/>
        <bgColor indexed="64"/>
      </patternFill>
    </fill>
    <fill>
      <patternFill patternType="solid">
        <fgColor rgb="FF305496"/>
        <bgColor indexed="64"/>
      </patternFill>
    </fill>
    <fill>
      <patternFill patternType="solid">
        <fgColor rgb="FF0033CC"/>
        <bgColor indexed="64"/>
      </patternFill>
    </fill>
    <fill>
      <patternFill patternType="solid">
        <fgColor rgb="FFF4B084"/>
        <bgColor indexed="64"/>
      </patternFill>
    </fill>
    <fill>
      <patternFill patternType="solid">
        <fgColor rgb="FFD9D9D9"/>
        <bgColor indexed="64"/>
      </patternFill>
    </fill>
    <fill>
      <patternFill patternType="solid">
        <fgColor rgb="FFFFE38B"/>
        <bgColor indexed="64"/>
      </patternFill>
    </fill>
    <fill>
      <patternFill patternType="solid">
        <fgColor theme="6"/>
        <bgColor indexed="64"/>
      </patternFill>
    </fill>
    <fill>
      <patternFill patternType="solid">
        <fgColor rgb="FFFF33CC"/>
        <bgColor indexed="64"/>
      </patternFill>
    </fill>
    <fill>
      <patternFill patternType="solid">
        <fgColor rgb="FF00FF99"/>
        <bgColor indexed="64"/>
      </patternFill>
    </fill>
    <fill>
      <patternFill patternType="solid">
        <fgColor theme="2"/>
        <bgColor indexed="64"/>
      </patternFill>
    </fill>
    <fill>
      <patternFill patternType="solid">
        <fgColor theme="6" tint="-0.499984740745262"/>
        <bgColor indexed="64"/>
      </patternFill>
    </fill>
    <fill>
      <patternFill patternType="solid">
        <fgColor theme="9"/>
        <bgColor indexed="64"/>
      </patternFill>
    </fill>
    <fill>
      <patternFill patternType="solid">
        <fgColor theme="3"/>
        <bgColor indexed="64"/>
      </patternFill>
    </fill>
    <fill>
      <patternFill patternType="solid">
        <fgColor rgb="FFFFCE33"/>
        <bgColor indexed="64"/>
      </patternFill>
    </fill>
    <fill>
      <patternFill patternType="solid">
        <fgColor rgb="FFFFFFFF"/>
        <bgColor rgb="FF000000"/>
      </patternFill>
    </fill>
    <fill>
      <patternFill patternType="solid">
        <fgColor rgb="FFFFFF00"/>
        <bgColor rgb="FF000000"/>
      </patternFill>
    </fill>
    <fill>
      <patternFill patternType="solid">
        <fgColor rgb="FFED7D31"/>
        <bgColor rgb="FF000000"/>
      </patternFill>
    </fill>
    <fill>
      <patternFill patternType="solid">
        <fgColor rgb="FFE2EFDA"/>
        <bgColor rgb="FF000000"/>
      </patternFill>
    </fill>
    <fill>
      <patternFill patternType="solid">
        <fgColor rgb="FF92D050"/>
        <bgColor rgb="FF000000"/>
      </patternFill>
    </fill>
    <fill>
      <patternFill patternType="solid">
        <fgColor rgb="FF0070C0"/>
        <bgColor rgb="FF000000"/>
      </patternFill>
    </fill>
    <fill>
      <patternFill patternType="solid">
        <fgColor rgb="FF00B0F0"/>
        <bgColor rgb="FF000000"/>
      </patternFill>
    </fill>
    <fill>
      <patternFill patternType="solid">
        <fgColor rgb="FFBDD7EE"/>
        <bgColor rgb="FF000000"/>
      </patternFill>
    </fill>
    <fill>
      <patternFill patternType="solid">
        <fgColor rgb="FFA9D08E"/>
        <bgColor rgb="FF000000"/>
      </patternFill>
    </fill>
    <fill>
      <patternFill patternType="solid">
        <fgColor rgb="FFB4C6E7"/>
        <bgColor rgb="FF000000"/>
      </patternFill>
    </fill>
    <fill>
      <patternFill patternType="solid">
        <fgColor rgb="FF4472C4"/>
        <bgColor rgb="FF000000"/>
      </patternFill>
    </fill>
    <fill>
      <patternFill patternType="solid">
        <fgColor theme="5" tint="-0.499984740745262"/>
        <bgColor indexed="64"/>
      </patternFill>
    </fill>
    <fill>
      <patternFill patternType="solid">
        <fgColor rgb="FF663300"/>
        <bgColor indexed="64"/>
      </patternFill>
    </fill>
    <fill>
      <patternFill patternType="solid">
        <fgColor theme="0"/>
        <bgColor rgb="FF000000"/>
      </patternFill>
    </fill>
    <fill>
      <patternFill patternType="solid">
        <fgColor rgb="FFF4B084"/>
        <bgColor rgb="FF000000"/>
      </patternFill>
    </fill>
    <fill>
      <patternFill patternType="solid">
        <fgColor rgb="FFFFF2CC"/>
        <bgColor rgb="FF000000"/>
      </patternFill>
    </fill>
    <fill>
      <patternFill patternType="solid">
        <fgColor rgb="FF00FFCC"/>
        <bgColor rgb="FF000000"/>
      </patternFill>
    </fill>
    <fill>
      <patternFill patternType="solid">
        <fgColor theme="1" tint="0.499984740745262"/>
        <bgColor indexed="64"/>
      </patternFill>
    </fill>
    <fill>
      <patternFill patternType="solid">
        <fgColor rgb="FFF5F5F5"/>
        <bgColor indexed="64"/>
      </patternFill>
    </fill>
  </fills>
  <borders count="109">
    <border>
      <left/>
      <right/>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rgb="FFD4D4D4"/>
      </left>
      <right/>
      <top/>
      <bottom/>
      <diagonal/>
    </border>
    <border>
      <left/>
      <right/>
      <top style="medium">
        <color indexed="64"/>
      </top>
      <bottom/>
      <diagonal/>
    </border>
    <border>
      <left style="medium">
        <color indexed="64"/>
      </left>
      <right/>
      <top style="medium">
        <color indexed="64"/>
      </top>
      <bottom/>
      <diagonal/>
    </border>
    <border>
      <left style="medium">
        <color theme="2" tint="0.39997558519241921"/>
      </left>
      <right/>
      <top style="medium">
        <color theme="2" tint="0.39997558519241921"/>
      </top>
      <bottom/>
      <diagonal/>
    </border>
    <border>
      <left style="thin">
        <color theme="2" tint="0.39997558519241921"/>
      </left>
      <right style="thin">
        <color theme="2" tint="0.39997558519241921"/>
      </right>
      <top style="medium">
        <color theme="2" tint="0.39997558519241921"/>
      </top>
      <bottom style="thin">
        <color theme="2" tint="0.39997558519241921"/>
      </bottom>
      <diagonal/>
    </border>
    <border>
      <left/>
      <right style="medium">
        <color theme="2" tint="0.39997558519241921"/>
      </right>
      <top style="medium">
        <color theme="2" tint="0.39997558519241921"/>
      </top>
      <bottom/>
      <diagonal/>
    </border>
    <border>
      <left style="medium">
        <color theme="2" tint="0.39997558519241921"/>
      </left>
      <right style="thin">
        <color theme="2" tint="0.39997558519241921"/>
      </right>
      <top style="thin">
        <color theme="2" tint="0.39997558519241921"/>
      </top>
      <bottom style="thin">
        <color theme="2" tint="0.39997558519241921"/>
      </bottom>
      <diagonal/>
    </border>
    <border>
      <left style="thin">
        <color theme="2" tint="0.39997558519241921"/>
      </left>
      <right style="thin">
        <color theme="2" tint="0.39997558519241921"/>
      </right>
      <top style="thin">
        <color theme="2" tint="0.39997558519241921"/>
      </top>
      <bottom/>
      <diagonal/>
    </border>
    <border>
      <left/>
      <right style="medium">
        <color theme="2" tint="0.39997558519241921"/>
      </right>
      <top style="thin">
        <color theme="2" tint="0.39997558519241921"/>
      </top>
      <bottom style="thin">
        <color theme="2" tint="0.39997558519241921"/>
      </bottom>
      <diagonal/>
    </border>
    <border>
      <left style="medium">
        <color theme="2" tint="0.39997558519241921"/>
      </left>
      <right style="thin">
        <color theme="2" tint="0.39997558519241921"/>
      </right>
      <top/>
      <bottom/>
      <diagonal/>
    </border>
    <border>
      <left style="thin">
        <color theme="2" tint="0.39997558519241921"/>
      </left>
      <right style="medium">
        <color theme="2" tint="0.39997558519241921"/>
      </right>
      <top style="thin">
        <color theme="2" tint="0.39997558519241921"/>
      </top>
      <bottom style="thin">
        <color theme="2" tint="0.39997558519241921"/>
      </bottom>
      <diagonal/>
    </border>
    <border>
      <left style="medium">
        <color theme="2" tint="0.39997558519241921"/>
      </left>
      <right style="thin">
        <color theme="2" tint="0.39997558519241921"/>
      </right>
      <top style="thin">
        <color theme="2" tint="0.39997558519241921"/>
      </top>
      <bottom/>
      <diagonal/>
    </border>
    <border>
      <left style="medium">
        <color theme="2" tint="0.39997558519241921"/>
      </left>
      <right style="thin">
        <color theme="2" tint="0.39997558519241921"/>
      </right>
      <top style="thin">
        <color theme="2" tint="0.39997558519241921"/>
      </top>
      <bottom style="medium">
        <color theme="2" tint="0.39997558519241921"/>
      </bottom>
      <diagonal/>
    </border>
    <border>
      <left style="thin">
        <color theme="2" tint="0.39997558519241921"/>
      </left>
      <right style="thin">
        <color theme="2" tint="0.39997558519241921"/>
      </right>
      <top style="thin">
        <color theme="2" tint="0.39997558519241921"/>
      </top>
      <bottom style="medium">
        <color theme="2" tint="0.39997558519241921"/>
      </bottom>
      <diagonal/>
    </border>
    <border>
      <left style="thin">
        <color theme="2" tint="0.39997558519241921"/>
      </left>
      <right style="medium">
        <color theme="2" tint="0.39997558519241921"/>
      </right>
      <top style="thin">
        <color theme="2" tint="0.39997558519241921"/>
      </top>
      <bottom style="medium">
        <color theme="2" tint="0.3999755851924192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bottom style="medium">
        <color indexed="6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right style="thin">
        <color theme="4" tint="0.39997558519241921"/>
      </right>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theme="4" tint="0.39997558519241921"/>
      </left>
      <right style="thin">
        <color theme="4" tint="0.39997558519241921"/>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thin">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top/>
      <bottom style="medium">
        <color indexed="64"/>
      </bottom>
      <diagonal/>
    </border>
    <border>
      <left/>
      <right/>
      <top style="thin">
        <color indexed="64"/>
      </top>
      <bottom/>
      <diagonal/>
    </border>
    <border>
      <left/>
      <right/>
      <top style="medium">
        <color indexed="64"/>
      </top>
      <bottom style="thin">
        <color indexed="64"/>
      </bottom>
      <diagonal/>
    </border>
    <border>
      <left/>
      <right/>
      <top style="thin">
        <color indexed="64"/>
      </top>
      <bottom style="medium">
        <color indexed="64"/>
      </bottom>
      <diagonal/>
    </border>
    <border>
      <left/>
      <right style="thin">
        <color indexed="64"/>
      </right>
      <top/>
      <bottom style="medium">
        <color indexed="64"/>
      </bottom>
      <diagonal/>
    </border>
    <border>
      <left/>
      <right/>
      <top/>
      <bottom style="thin">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style="thin">
        <color indexed="64"/>
      </top>
      <bottom style="medium">
        <color indexed="64"/>
      </bottom>
      <diagonal/>
    </border>
    <border>
      <left/>
      <right style="medium">
        <color indexed="64"/>
      </right>
      <top style="thin">
        <color indexed="64"/>
      </top>
      <bottom/>
      <diagonal/>
    </border>
    <border>
      <left style="medium">
        <color indexed="64"/>
      </left>
      <right/>
      <top/>
      <bottom/>
      <diagonal/>
    </border>
    <border>
      <left style="medium">
        <color rgb="FF000000"/>
      </left>
      <right style="thin">
        <color indexed="64"/>
      </right>
      <top style="medium">
        <color indexed="64"/>
      </top>
      <bottom style="thin">
        <color indexed="64"/>
      </bottom>
      <diagonal/>
    </border>
    <border>
      <left style="medium">
        <color rgb="FF000000"/>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rgb="FF000000"/>
      </left>
      <right style="thin">
        <color indexed="64"/>
      </right>
      <top/>
      <bottom style="thin">
        <color indexed="64"/>
      </bottom>
      <diagonal/>
    </border>
    <border>
      <left style="medium">
        <color indexed="64"/>
      </left>
      <right/>
      <top style="thin">
        <color indexed="64"/>
      </top>
      <bottom/>
      <diagonal/>
    </border>
    <border>
      <left style="medium">
        <color rgb="FF000000"/>
      </left>
      <right style="thin">
        <color indexed="64"/>
      </right>
      <top style="thin">
        <color indexed="64"/>
      </top>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style="thin">
        <color indexed="64"/>
      </right>
      <top style="thick">
        <color indexed="64"/>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style="thin">
        <color rgb="FF000000"/>
      </left>
      <right/>
      <top style="thin">
        <color rgb="FF000000"/>
      </top>
      <bottom style="thin">
        <color rgb="FF000000"/>
      </bottom>
      <diagonal/>
    </border>
    <border>
      <left style="medium">
        <color rgb="FFE6E6E6"/>
      </left>
      <right style="medium">
        <color rgb="FFE6E6E6"/>
      </right>
      <top style="medium">
        <color rgb="FFE6E6E6"/>
      </top>
      <bottom style="medium">
        <color rgb="FFE6E6E6"/>
      </bottom>
      <diagonal/>
    </border>
    <border diagonalDown="1">
      <left style="thin">
        <color indexed="64"/>
      </left>
      <right style="thin">
        <color indexed="64"/>
      </right>
      <top style="thin">
        <color indexed="64"/>
      </top>
      <bottom/>
      <diagonal style="thin">
        <color indexed="64"/>
      </diagonal>
    </border>
  </borders>
  <cellStyleXfs count="5">
    <xf numFmtId="0" fontId="0" fillId="0" borderId="0"/>
    <xf numFmtId="0" fontId="39" fillId="0" borderId="0" applyNumberFormat="0" applyFill="0" applyBorder="0" applyAlignment="0" applyProtection="0"/>
    <xf numFmtId="44" fontId="144" fillId="0" borderId="0" applyFont="0" applyFill="0" applyBorder="0" applyAlignment="0" applyProtection="0"/>
    <xf numFmtId="44" fontId="144" fillId="0" borderId="0" applyFont="0" applyFill="0" applyBorder="0" applyAlignment="0" applyProtection="0"/>
    <xf numFmtId="0" fontId="208" fillId="0" borderId="0"/>
  </cellStyleXfs>
  <cellXfs count="5328">
    <xf numFmtId="0" fontId="0" fillId="0" borderId="0" xfId="0"/>
    <xf numFmtId="0" fontId="3" fillId="7" borderId="6" xfId="0" applyFont="1" applyFill="1" applyBorder="1" applyAlignment="1">
      <alignment vertical="center" wrapText="1"/>
    </xf>
    <xf numFmtId="0" fontId="7" fillId="7" borderId="7" xfId="0" applyFont="1" applyFill="1" applyBorder="1" applyAlignment="1">
      <alignment horizontal="center" vertical="center" wrapText="1"/>
    </xf>
    <xf numFmtId="0" fontId="3" fillId="7" borderId="8" xfId="0" applyFont="1" applyFill="1" applyBorder="1" applyAlignment="1">
      <alignment vertical="center" wrapText="1"/>
    </xf>
    <xf numFmtId="0" fontId="3" fillId="0" borderId="9" xfId="0" applyFont="1" applyBorder="1" applyAlignment="1">
      <alignment vertical="center" wrapText="1"/>
    </xf>
    <xf numFmtId="0" fontId="7" fillId="0" borderId="10" xfId="0" applyFont="1" applyBorder="1" applyAlignment="1">
      <alignment horizontal="center" vertical="center" wrapText="1"/>
    </xf>
    <xf numFmtId="0" fontId="3" fillId="0" borderId="11" xfId="0" applyFont="1" applyBorder="1" applyAlignment="1">
      <alignment vertical="center" wrapText="1"/>
    </xf>
    <xf numFmtId="0" fontId="3" fillId="7" borderId="12" xfId="0" applyFont="1" applyFill="1" applyBorder="1" applyAlignment="1">
      <alignment vertical="center" wrapText="1"/>
    </xf>
    <xf numFmtId="0" fontId="7" fillId="7" borderId="10" xfId="0" applyFont="1" applyFill="1" applyBorder="1" applyAlignment="1">
      <alignment horizontal="center" vertical="center" wrapText="1"/>
    </xf>
    <xf numFmtId="0" fontId="3" fillId="7" borderId="13" xfId="0" applyFont="1" applyFill="1" applyBorder="1" applyAlignment="1">
      <alignment vertical="center" wrapText="1"/>
    </xf>
    <xf numFmtId="0" fontId="3" fillId="0" borderId="14" xfId="0" applyFont="1" applyBorder="1" applyAlignment="1">
      <alignment vertical="center" wrapText="1"/>
    </xf>
    <xf numFmtId="0" fontId="3" fillId="0" borderId="13" xfId="0" applyFont="1" applyBorder="1" applyAlignment="1">
      <alignment vertical="center" wrapText="1"/>
    </xf>
    <xf numFmtId="0" fontId="3" fillId="7" borderId="15" xfId="0" applyFont="1" applyFill="1" applyBorder="1" applyAlignment="1">
      <alignment vertical="center" wrapText="1"/>
    </xf>
    <xf numFmtId="0" fontId="7" fillId="7" borderId="16" xfId="0" applyFont="1" applyFill="1" applyBorder="1" applyAlignment="1">
      <alignment horizontal="center" vertical="center" wrapText="1"/>
    </xf>
    <xf numFmtId="0" fontId="3" fillId="7" borderId="17" xfId="0" applyFont="1" applyFill="1" applyBorder="1" applyAlignment="1">
      <alignment vertical="center" wrapText="1"/>
    </xf>
    <xf numFmtId="0" fontId="3" fillId="0" borderId="0" xfId="0" applyFont="1" applyAlignment="1">
      <alignment vertical="center" wrapText="1"/>
    </xf>
    <xf numFmtId="0" fontId="3" fillId="0" borderId="0" xfId="0" applyFont="1" applyAlignment="1">
      <alignment horizontal="center" vertical="center" wrapText="1"/>
    </xf>
    <xf numFmtId="14" fontId="0" fillId="0" borderId="0" xfId="0" applyNumberFormat="1"/>
    <xf numFmtId="0" fontId="1" fillId="0" borderId="0" xfId="0" applyFont="1" applyAlignment="1">
      <alignment horizontal="center" vertical="center" wrapText="1"/>
    </xf>
    <xf numFmtId="14" fontId="1" fillId="0" borderId="0" xfId="0" applyNumberFormat="1" applyFont="1" applyAlignment="1">
      <alignment horizontal="center" vertical="center" wrapText="1"/>
    </xf>
    <xf numFmtId="0" fontId="8" fillId="0" borderId="0" xfId="0" applyFont="1" applyAlignment="1">
      <alignment horizontal="center" vertical="center" wrapText="1"/>
    </xf>
    <xf numFmtId="0" fontId="8" fillId="0" borderId="2" xfId="0" applyFont="1" applyBorder="1" applyAlignment="1">
      <alignment horizontal="center" vertical="center" wrapText="1"/>
    </xf>
    <xf numFmtId="0" fontId="0" fillId="0" borderId="2" xfId="0" applyBorder="1" applyAlignment="1">
      <alignment horizontal="center"/>
    </xf>
    <xf numFmtId="0" fontId="10" fillId="0" borderId="0" xfId="0" applyFont="1" applyAlignment="1">
      <alignment horizontal="center"/>
    </xf>
    <xf numFmtId="0" fontId="8" fillId="0" borderId="25" xfId="0" applyFont="1" applyBorder="1" applyAlignment="1">
      <alignment horizontal="center" vertical="center" wrapText="1"/>
    </xf>
    <xf numFmtId="0" fontId="4" fillId="5"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5" borderId="30" xfId="0" applyFont="1" applyFill="1" applyBorder="1" applyAlignment="1">
      <alignment horizontal="center" vertical="center" wrapText="1"/>
    </xf>
    <xf numFmtId="0" fontId="4" fillId="0" borderId="32" xfId="0" applyFont="1" applyBorder="1" applyAlignment="1">
      <alignment horizontal="center" vertical="center" wrapText="1"/>
    </xf>
    <xf numFmtId="0" fontId="8" fillId="0" borderId="32" xfId="0" applyFont="1" applyBorder="1" applyAlignment="1">
      <alignment horizontal="center" vertical="center" wrapText="1"/>
    </xf>
    <xf numFmtId="0" fontId="11" fillId="3" borderId="25" xfId="0" applyFont="1" applyFill="1" applyBorder="1" applyAlignment="1">
      <alignment horizontal="center" vertical="center"/>
    </xf>
    <xf numFmtId="0" fontId="12" fillId="5" borderId="25" xfId="0" applyFont="1" applyFill="1" applyBorder="1" applyAlignment="1">
      <alignment horizontal="center" vertical="center" wrapText="1"/>
    </xf>
    <xf numFmtId="0" fontId="8" fillId="0" borderId="34" xfId="0" applyFont="1" applyBorder="1" applyAlignment="1">
      <alignment horizontal="center" vertical="center" wrapText="1"/>
    </xf>
    <xf numFmtId="0" fontId="12" fillId="0" borderId="25"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23" xfId="0" applyFont="1" applyBorder="1" applyAlignment="1">
      <alignment horizontal="center" vertical="center" wrapText="1"/>
    </xf>
    <xf numFmtId="0" fontId="0" fillId="0" borderId="0" xfId="0" applyAlignment="1">
      <alignment horizontal="center"/>
    </xf>
    <xf numFmtId="0" fontId="0" fillId="10" borderId="39" xfId="0" applyFill="1" applyBorder="1"/>
    <xf numFmtId="0" fontId="0" fillId="10" borderId="40" xfId="0" applyFill="1" applyBorder="1"/>
    <xf numFmtId="0" fontId="0" fillId="0" borderId="40" xfId="0" applyBorder="1"/>
    <xf numFmtId="0" fontId="14" fillId="9" borderId="0" xfId="0" applyFont="1" applyFill="1"/>
    <xf numFmtId="0" fontId="0" fillId="0" borderId="41" xfId="0" applyBorder="1"/>
    <xf numFmtId="0" fontId="0" fillId="10" borderId="42" xfId="0" applyFill="1" applyBorder="1"/>
    <xf numFmtId="0" fontId="0" fillId="0" borderId="42" xfId="0" applyBorder="1"/>
    <xf numFmtId="0" fontId="2" fillId="5" borderId="25"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2" fillId="5" borderId="5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0" fillId="0" borderId="2" xfId="0" applyBorder="1" applyAlignment="1">
      <alignment horizontal="center" vertical="center"/>
    </xf>
    <xf numFmtId="0" fontId="0" fillId="0" borderId="2" xfId="0" applyBorder="1"/>
    <xf numFmtId="0" fontId="0" fillId="0" borderId="22" xfId="0" applyBorder="1"/>
    <xf numFmtId="0" fontId="0" fillId="0" borderId="25" xfId="0" applyBorder="1"/>
    <xf numFmtId="0" fontId="0" fillId="0" borderId="25" xfId="0" applyBorder="1" applyAlignment="1">
      <alignment horizontal="center"/>
    </xf>
    <xf numFmtId="0" fontId="0" fillId="0" borderId="47" xfId="0" applyBorder="1"/>
    <xf numFmtId="0" fontId="10" fillId="0" borderId="25" xfId="0" applyFont="1" applyBorder="1" applyAlignment="1">
      <alignment horizontal="center" vertical="center"/>
    </xf>
    <xf numFmtId="0" fontId="0" fillId="0" borderId="19" xfId="0" applyBorder="1"/>
    <xf numFmtId="0" fontId="0" fillId="0" borderId="21" xfId="0" applyBorder="1"/>
    <xf numFmtId="0" fontId="0" fillId="0" borderId="23" xfId="0" applyBorder="1"/>
    <xf numFmtId="0" fontId="8" fillId="0" borderId="45" xfId="0" applyFont="1" applyBorder="1" applyAlignment="1">
      <alignment horizontal="center" vertical="center" wrapText="1"/>
    </xf>
    <xf numFmtId="0" fontId="8" fillId="0" borderId="48" xfId="0" applyFont="1" applyBorder="1" applyAlignment="1">
      <alignment horizontal="center" vertical="center" wrapText="1"/>
    </xf>
    <xf numFmtId="0" fontId="11" fillId="3" borderId="19" xfId="0" applyFont="1" applyFill="1" applyBorder="1" applyAlignment="1">
      <alignment horizontal="center" vertical="center"/>
    </xf>
    <xf numFmtId="0" fontId="15" fillId="5" borderId="19" xfId="0" applyFont="1" applyFill="1" applyBorder="1" applyAlignment="1">
      <alignment horizontal="center" vertical="center" wrapText="1"/>
    </xf>
    <xf numFmtId="0" fontId="16" fillId="5" borderId="19" xfId="0" applyFont="1" applyFill="1" applyBorder="1" applyAlignment="1">
      <alignment horizontal="center" vertical="center" wrapText="1"/>
    </xf>
    <xf numFmtId="0" fontId="12" fillId="5"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6" fillId="5" borderId="25" xfId="0" applyFont="1" applyFill="1" applyBorder="1" applyAlignment="1">
      <alignment horizontal="center" vertical="center" wrapText="1"/>
    </xf>
    <xf numFmtId="0" fontId="0" fillId="0" borderId="22" xfId="0" applyBorder="1" applyAlignment="1">
      <alignment wrapText="1"/>
    </xf>
    <xf numFmtId="0" fontId="0" fillId="0" borderId="19" xfId="0" applyBorder="1" applyAlignment="1">
      <alignment horizontal="center"/>
    </xf>
    <xf numFmtId="0" fontId="11" fillId="3" borderId="2" xfId="0" applyFont="1" applyFill="1" applyBorder="1" applyAlignment="1">
      <alignment horizontal="center" vertical="center"/>
    </xf>
    <xf numFmtId="0" fontId="15" fillId="5" borderId="2" xfId="0" applyFont="1" applyFill="1" applyBorder="1" applyAlignment="1">
      <alignment horizontal="center" vertical="center" wrapText="1"/>
    </xf>
    <xf numFmtId="0" fontId="12" fillId="5" borderId="2" xfId="0" applyFont="1" applyFill="1" applyBorder="1" applyAlignment="1">
      <alignment horizontal="center" vertical="center" wrapText="1"/>
    </xf>
    <xf numFmtId="0" fontId="12" fillId="0" borderId="2" xfId="0" applyFont="1" applyBorder="1" applyAlignment="1">
      <alignment horizontal="center" vertical="center" wrapText="1"/>
    </xf>
    <xf numFmtId="0" fontId="11" fillId="14" borderId="2" xfId="0" applyFont="1" applyFill="1" applyBorder="1" applyAlignment="1">
      <alignment horizontal="center" vertical="center"/>
    </xf>
    <xf numFmtId="0" fontId="11" fillId="20" borderId="2" xfId="0" applyFont="1" applyFill="1" applyBorder="1" applyAlignment="1">
      <alignment horizontal="center" vertical="center"/>
    </xf>
    <xf numFmtId="0" fontId="11" fillId="23" borderId="2" xfId="0" applyFont="1" applyFill="1" applyBorder="1" applyAlignment="1">
      <alignment horizontal="center" vertical="center"/>
    </xf>
    <xf numFmtId="0" fontId="15" fillId="0" borderId="2" xfId="0" applyFont="1" applyBorder="1" applyAlignment="1">
      <alignment horizontal="center" vertical="center" wrapText="1"/>
    </xf>
    <xf numFmtId="0" fontId="11" fillId="0" borderId="2" xfId="0" applyFont="1" applyBorder="1" applyAlignment="1">
      <alignment horizontal="center" vertical="center"/>
    </xf>
    <xf numFmtId="0" fontId="11" fillId="21" borderId="2" xfId="0" applyFont="1" applyFill="1" applyBorder="1" applyAlignment="1">
      <alignment horizontal="center" vertical="center"/>
    </xf>
    <xf numFmtId="0" fontId="23" fillId="0" borderId="2" xfId="0" applyFont="1" applyBorder="1" applyAlignment="1">
      <alignment horizontal="center" vertical="center"/>
    </xf>
    <xf numFmtId="0" fontId="24" fillId="0" borderId="2" xfId="0" applyFont="1" applyBorder="1" applyAlignment="1">
      <alignment horizontal="center"/>
    </xf>
    <xf numFmtId="0" fontId="15" fillId="0" borderId="2" xfId="0" applyFont="1" applyBorder="1" applyAlignment="1">
      <alignment horizontal="center" vertical="center"/>
    </xf>
    <xf numFmtId="0" fontId="11" fillId="24" borderId="2" xfId="0" applyFont="1" applyFill="1" applyBorder="1" applyAlignment="1">
      <alignment horizontal="center" vertical="center"/>
    </xf>
    <xf numFmtId="0" fontId="10" fillId="0" borderId="2" xfId="0" applyFont="1" applyBorder="1" applyAlignment="1">
      <alignment horizontal="center"/>
    </xf>
    <xf numFmtId="0" fontId="11" fillId="24" borderId="23" xfId="0" applyFont="1" applyFill="1" applyBorder="1" applyAlignment="1">
      <alignment horizontal="center" vertical="center"/>
    </xf>
    <xf numFmtId="0" fontId="15" fillId="0" borderId="23" xfId="0" applyFont="1" applyBorder="1" applyAlignment="1">
      <alignment horizontal="center" vertical="center"/>
    </xf>
    <xf numFmtId="0" fontId="10" fillId="0" borderId="23" xfId="0" applyFont="1" applyBorder="1" applyAlignment="1">
      <alignment horizontal="center"/>
    </xf>
    <xf numFmtId="0" fontId="22" fillId="5" borderId="2"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0" fillId="0" borderId="23" xfId="0" applyBorder="1" applyAlignment="1">
      <alignment horizontal="center"/>
    </xf>
    <xf numFmtId="0" fontId="15" fillId="5" borderId="23" xfId="0" applyFont="1" applyFill="1" applyBorder="1" applyAlignment="1">
      <alignment horizontal="center" vertical="center" wrapText="1"/>
    </xf>
    <xf numFmtId="0" fontId="12" fillId="5" borderId="23" xfId="0" applyFont="1" applyFill="1" applyBorder="1" applyAlignment="1">
      <alignment horizontal="center" vertical="center" wrapText="1"/>
    </xf>
    <xf numFmtId="0" fontId="12" fillId="0" borderId="23" xfId="0" applyFont="1" applyBorder="1" applyAlignment="1">
      <alignment horizontal="center" vertical="center" wrapText="1"/>
    </xf>
    <xf numFmtId="0" fontId="11" fillId="26" borderId="2" xfId="0" applyFont="1" applyFill="1" applyBorder="1" applyAlignment="1">
      <alignment horizontal="center" vertical="center"/>
    </xf>
    <xf numFmtId="0" fontId="12" fillId="0" borderId="22" xfId="0" applyFont="1" applyBorder="1" applyAlignment="1">
      <alignment horizontal="center" vertical="center" wrapText="1"/>
    </xf>
    <xf numFmtId="0" fontId="16" fillId="0" borderId="2" xfId="0" applyFont="1" applyBorder="1" applyAlignment="1">
      <alignment horizontal="center" vertical="center" wrapText="1"/>
    </xf>
    <xf numFmtId="0" fontId="16" fillId="5" borderId="20" xfId="0" applyFont="1" applyFill="1" applyBorder="1" applyAlignment="1">
      <alignment horizontal="center" vertical="center" wrapText="1"/>
    </xf>
    <xf numFmtId="0" fontId="12" fillId="5" borderId="20" xfId="0" applyFont="1" applyFill="1" applyBorder="1" applyAlignment="1">
      <alignment horizontal="center" vertical="center" wrapText="1"/>
    </xf>
    <xf numFmtId="0" fontId="12" fillId="0" borderId="20" xfId="0" applyFont="1" applyBorder="1" applyAlignment="1">
      <alignment horizontal="center" vertical="center" wrapText="1"/>
    </xf>
    <xf numFmtId="0" fontId="12" fillId="0" borderId="54" xfId="0" applyFont="1" applyBorder="1" applyAlignment="1">
      <alignment horizontal="center" vertical="center" wrapText="1"/>
    </xf>
    <xf numFmtId="0" fontId="0" fillId="0" borderId="24" xfId="0" applyBorder="1"/>
    <xf numFmtId="0" fontId="32" fillId="0" borderId="0" xfId="0" applyFont="1" applyAlignment="1">
      <alignment horizontal="center" vertical="center" wrapText="1"/>
    </xf>
    <xf numFmtId="0" fontId="34" fillId="0" borderId="0" xfId="0" applyFont="1"/>
    <xf numFmtId="0" fontId="11" fillId="25" borderId="2" xfId="0" applyFont="1" applyFill="1" applyBorder="1" applyAlignment="1">
      <alignment horizontal="center" vertical="center"/>
    </xf>
    <xf numFmtId="0" fontId="11" fillId="12" borderId="23" xfId="0" applyFont="1" applyFill="1" applyBorder="1" applyAlignment="1">
      <alignment horizontal="center" vertical="center"/>
    </xf>
    <xf numFmtId="0" fontId="11" fillId="12" borderId="19" xfId="0" applyFont="1" applyFill="1" applyBorder="1" applyAlignment="1">
      <alignment horizontal="center" vertical="center"/>
    </xf>
    <xf numFmtId="0" fontId="11" fillId="4" borderId="2" xfId="0" applyFont="1" applyFill="1" applyBorder="1" applyAlignment="1">
      <alignment horizontal="center" vertical="center"/>
    </xf>
    <xf numFmtId="0" fontId="11" fillId="28" borderId="2" xfId="0" applyFont="1" applyFill="1" applyBorder="1" applyAlignment="1">
      <alignment horizontal="center" vertical="center"/>
    </xf>
    <xf numFmtId="0" fontId="11" fillId="3" borderId="20" xfId="0" applyFont="1" applyFill="1" applyBorder="1" applyAlignment="1">
      <alignment horizontal="center" vertical="center"/>
    </xf>
    <xf numFmtId="0" fontId="11" fillId="3" borderId="23" xfId="0" applyFont="1" applyFill="1" applyBorder="1" applyAlignment="1">
      <alignment horizontal="center" vertical="center"/>
    </xf>
    <xf numFmtId="0" fontId="15" fillId="5" borderId="20" xfId="0" applyFont="1" applyFill="1" applyBorder="1" applyAlignment="1">
      <alignment horizontal="center" vertical="center" wrapText="1"/>
    </xf>
    <xf numFmtId="0" fontId="38" fillId="8" borderId="2" xfId="0" applyFont="1" applyFill="1" applyBorder="1" applyAlignment="1">
      <alignment horizontal="center" vertical="center" wrapText="1"/>
    </xf>
    <xf numFmtId="0" fontId="0" fillId="0" borderId="20" xfId="0" applyBorder="1"/>
    <xf numFmtId="0" fontId="0" fillId="0" borderId="54" xfId="0" applyBorder="1"/>
    <xf numFmtId="0" fontId="11" fillId="14" borderId="20" xfId="0" applyFont="1" applyFill="1" applyBorder="1" applyAlignment="1">
      <alignment horizontal="center" vertical="center"/>
    </xf>
    <xf numFmtId="0" fontId="15" fillId="5" borderId="51" xfId="0" applyFont="1" applyFill="1" applyBorder="1" applyAlignment="1">
      <alignment horizontal="center" vertical="center" wrapText="1"/>
    </xf>
    <xf numFmtId="0" fontId="11" fillId="14" borderId="25" xfId="0" applyFont="1" applyFill="1" applyBorder="1" applyAlignment="1">
      <alignment horizontal="center" vertical="center"/>
    </xf>
    <xf numFmtId="0" fontId="12" fillId="0" borderId="24" xfId="0" applyFont="1" applyBorder="1" applyAlignment="1">
      <alignment horizontal="center" vertical="center" wrapText="1"/>
    </xf>
    <xf numFmtId="0" fontId="12" fillId="5" borderId="51" xfId="0" applyFont="1" applyFill="1" applyBorder="1" applyAlignment="1">
      <alignment horizontal="center" vertical="center" wrapText="1"/>
    </xf>
    <xf numFmtId="0" fontId="11" fillId="0" borderId="25" xfId="0" applyFont="1" applyBorder="1" applyAlignment="1">
      <alignment horizontal="center" vertical="center"/>
    </xf>
    <xf numFmtId="0" fontId="8" fillId="0" borderId="2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61" xfId="0" applyFont="1" applyBorder="1" applyAlignment="1">
      <alignment horizontal="center" vertical="center" wrapText="1"/>
    </xf>
    <xf numFmtId="0" fontId="11" fillId="32" borderId="20" xfId="0" applyFont="1" applyFill="1" applyBorder="1" applyAlignment="1">
      <alignment horizontal="center" vertical="center"/>
    </xf>
    <xf numFmtId="0" fontId="11" fillId="20" borderId="20" xfId="0" applyFont="1" applyFill="1" applyBorder="1" applyAlignment="1">
      <alignment horizontal="center" vertical="center"/>
    </xf>
    <xf numFmtId="0" fontId="36" fillId="0" borderId="2" xfId="0" applyFont="1" applyBorder="1" applyAlignment="1">
      <alignment horizontal="center" vertical="center"/>
    </xf>
    <xf numFmtId="0" fontId="11" fillId="32" borderId="2" xfId="0" applyFont="1" applyFill="1" applyBorder="1" applyAlignment="1">
      <alignment horizontal="center" vertical="center"/>
    </xf>
    <xf numFmtId="0" fontId="11" fillId="33" borderId="2" xfId="0" applyFont="1" applyFill="1" applyBorder="1" applyAlignment="1">
      <alignment horizontal="center" vertical="center"/>
    </xf>
    <xf numFmtId="0" fontId="11" fillId="24" borderId="22" xfId="0" applyFont="1" applyFill="1" applyBorder="1" applyAlignment="1">
      <alignment horizontal="center" vertical="center"/>
    </xf>
    <xf numFmtId="0" fontId="11" fillId="3" borderId="22" xfId="0" applyFont="1" applyFill="1" applyBorder="1" applyAlignment="1">
      <alignment horizontal="center" vertical="center"/>
    </xf>
    <xf numFmtId="0" fontId="11" fillId="3" borderId="24" xfId="0" applyFont="1" applyFill="1" applyBorder="1" applyAlignment="1">
      <alignment horizontal="center" vertical="center"/>
    </xf>
    <xf numFmtId="0" fontId="11" fillId="3" borderId="21" xfId="0" applyFont="1" applyFill="1" applyBorder="1" applyAlignment="1">
      <alignment horizontal="center" vertical="center"/>
    </xf>
    <xf numFmtId="0" fontId="11" fillId="20" borderId="19" xfId="0" applyFont="1" applyFill="1" applyBorder="1" applyAlignment="1">
      <alignment horizontal="center" vertical="center"/>
    </xf>
    <xf numFmtId="0" fontId="11" fillId="20" borderId="21" xfId="0" applyFont="1" applyFill="1" applyBorder="1" applyAlignment="1">
      <alignment horizontal="center" vertical="center"/>
    </xf>
    <xf numFmtId="0" fontId="11" fillId="31" borderId="19" xfId="0" applyFont="1" applyFill="1" applyBorder="1" applyAlignment="1">
      <alignment horizontal="center" vertical="center"/>
    </xf>
    <xf numFmtId="0" fontId="11" fillId="37" borderId="2" xfId="0" applyFont="1" applyFill="1" applyBorder="1" applyAlignment="1">
      <alignment horizontal="center" vertical="center"/>
    </xf>
    <xf numFmtId="0" fontId="38" fillId="0" borderId="2" xfId="0" applyFont="1" applyBorder="1" applyAlignment="1">
      <alignment horizontal="center" vertical="center" wrapText="1"/>
    </xf>
    <xf numFmtId="0" fontId="11" fillId="31" borderId="21" xfId="0" applyFont="1" applyFill="1" applyBorder="1" applyAlignment="1">
      <alignment horizontal="center" vertical="center"/>
    </xf>
    <xf numFmtId="0" fontId="11" fillId="0" borderId="22" xfId="0" applyFont="1" applyBorder="1" applyAlignment="1">
      <alignment horizontal="center" vertical="center"/>
    </xf>
    <xf numFmtId="0" fontId="11" fillId="37" borderId="22" xfId="0" applyFont="1" applyFill="1" applyBorder="1" applyAlignment="1">
      <alignment horizontal="center" vertical="center"/>
    </xf>
    <xf numFmtId="0" fontId="15" fillId="0" borderId="32" xfId="0" applyFont="1" applyBorder="1" applyAlignment="1">
      <alignment horizontal="center" vertical="center" wrapText="1"/>
    </xf>
    <xf numFmtId="0" fontId="11" fillId="3" borderId="54" xfId="0" applyFont="1" applyFill="1" applyBorder="1" applyAlignment="1">
      <alignment horizontal="center" vertical="center"/>
    </xf>
    <xf numFmtId="0" fontId="11" fillId="3" borderId="47" xfId="0" applyFont="1" applyFill="1" applyBorder="1" applyAlignment="1">
      <alignment horizontal="center" vertical="center"/>
    </xf>
    <xf numFmtId="0" fontId="11" fillId="3" borderId="28" xfId="0" applyFont="1" applyFill="1" applyBorder="1" applyAlignment="1">
      <alignment horizontal="center" vertical="center"/>
    </xf>
    <xf numFmtId="0" fontId="38" fillId="0" borderId="32" xfId="0" applyFont="1" applyBorder="1" applyAlignment="1">
      <alignment horizontal="center" vertical="center" wrapText="1"/>
    </xf>
    <xf numFmtId="0" fontId="10" fillId="0" borderId="19" xfId="0" applyFont="1" applyBorder="1" applyAlignment="1">
      <alignment horizontal="center" vertical="center"/>
    </xf>
    <xf numFmtId="0" fontId="33" fillId="0" borderId="19" xfId="0" applyFont="1" applyBorder="1" applyAlignment="1">
      <alignment horizontal="center"/>
    </xf>
    <xf numFmtId="0" fontId="44" fillId="0" borderId="2" xfId="0" applyFont="1" applyBorder="1" applyAlignment="1">
      <alignment horizontal="center"/>
    </xf>
    <xf numFmtId="0" fontId="33" fillId="0" borderId="2" xfId="0" applyFont="1" applyBorder="1" applyAlignment="1">
      <alignment horizontal="center"/>
    </xf>
    <xf numFmtId="0" fontId="11" fillId="12" borderId="2" xfId="0" applyFont="1" applyFill="1" applyBorder="1" applyAlignment="1">
      <alignment horizontal="center" vertical="center"/>
    </xf>
    <xf numFmtId="0" fontId="11" fillId="31" borderId="2" xfId="0" applyFont="1" applyFill="1" applyBorder="1" applyAlignment="1">
      <alignment horizontal="center" vertical="center"/>
    </xf>
    <xf numFmtId="0" fontId="11" fillId="20" borderId="25" xfId="0" applyFont="1" applyFill="1" applyBorder="1" applyAlignment="1">
      <alignment horizontal="center" vertical="center"/>
    </xf>
    <xf numFmtId="0" fontId="44" fillId="0" borderId="19" xfId="0" applyFont="1" applyBorder="1" applyAlignment="1">
      <alignment horizontal="center"/>
    </xf>
    <xf numFmtId="0" fontId="33" fillId="0" borderId="20" xfId="0" applyFont="1" applyBorder="1" applyAlignment="1">
      <alignment horizontal="center"/>
    </xf>
    <xf numFmtId="0" fontId="10" fillId="0" borderId="2" xfId="0" applyFont="1" applyBorder="1" applyAlignment="1">
      <alignment horizontal="center" vertical="center"/>
    </xf>
    <xf numFmtId="0" fontId="11" fillId="38" borderId="2" xfId="0" applyFont="1" applyFill="1" applyBorder="1" applyAlignment="1">
      <alignment horizontal="center" vertical="center"/>
    </xf>
    <xf numFmtId="0" fontId="0" fillId="0" borderId="22" xfId="0" applyBorder="1" applyAlignment="1">
      <alignment vertical="center" wrapText="1"/>
    </xf>
    <xf numFmtId="0" fontId="11" fillId="16" borderId="2" xfId="0" applyFont="1" applyFill="1" applyBorder="1" applyAlignment="1">
      <alignment horizontal="center" vertical="center"/>
    </xf>
    <xf numFmtId="0" fontId="33" fillId="0" borderId="2" xfId="0" applyFont="1" applyBorder="1" applyAlignment="1">
      <alignment horizontal="center" vertical="center"/>
    </xf>
    <xf numFmtId="0" fontId="46" fillId="0" borderId="2" xfId="0" applyFont="1" applyBorder="1" applyAlignment="1">
      <alignment horizontal="center" vertical="center"/>
    </xf>
    <xf numFmtId="0" fontId="44" fillId="0" borderId="23" xfId="0" applyFont="1" applyBorder="1" applyAlignment="1">
      <alignment horizontal="center"/>
    </xf>
    <xf numFmtId="0" fontId="44" fillId="0" borderId="20" xfId="0" applyFont="1" applyBorder="1" applyAlignment="1">
      <alignment horizontal="center"/>
    </xf>
    <xf numFmtId="0" fontId="11" fillId="39" borderId="2" xfId="0" applyFont="1" applyFill="1" applyBorder="1" applyAlignment="1">
      <alignment horizontal="center" vertical="center"/>
    </xf>
    <xf numFmtId="0" fontId="11" fillId="0" borderId="20" xfId="0" applyFont="1" applyBorder="1" applyAlignment="1">
      <alignment horizontal="center" vertical="center"/>
    </xf>
    <xf numFmtId="0" fontId="11" fillId="3" borderId="30" xfId="0" applyFont="1" applyFill="1" applyBorder="1" applyAlignment="1">
      <alignment horizontal="center" vertical="center"/>
    </xf>
    <xf numFmtId="0" fontId="33" fillId="0" borderId="23" xfId="0" applyFont="1" applyBorder="1" applyAlignment="1">
      <alignment horizontal="center"/>
    </xf>
    <xf numFmtId="0" fontId="15" fillId="3" borderId="2" xfId="0" applyFont="1" applyFill="1" applyBorder="1" applyAlignment="1">
      <alignment horizontal="center" vertical="center"/>
    </xf>
    <xf numFmtId="0" fontId="11" fillId="3" borderId="48" xfId="0" applyFont="1" applyFill="1" applyBorder="1" applyAlignment="1">
      <alignment horizontal="center" vertical="center"/>
    </xf>
    <xf numFmtId="0" fontId="11" fillId="32" borderId="19" xfId="0" applyFont="1" applyFill="1" applyBorder="1" applyAlignment="1">
      <alignment horizontal="center" vertical="center"/>
    </xf>
    <xf numFmtId="0" fontId="11" fillId="12" borderId="25" xfId="0" applyFont="1" applyFill="1" applyBorder="1" applyAlignment="1">
      <alignment horizontal="center" vertical="center"/>
    </xf>
    <xf numFmtId="0" fontId="10" fillId="0" borderId="25" xfId="0" applyFont="1" applyBorder="1" applyAlignment="1">
      <alignment horizontal="center"/>
    </xf>
    <xf numFmtId="0" fontId="11" fillId="12" borderId="20" xfId="0" applyFont="1" applyFill="1" applyBorder="1" applyAlignment="1">
      <alignment horizontal="center" vertical="center"/>
    </xf>
    <xf numFmtId="0" fontId="11" fillId="40" borderId="2" xfId="0" applyFont="1" applyFill="1" applyBorder="1" applyAlignment="1">
      <alignment horizontal="center" vertical="center"/>
    </xf>
    <xf numFmtId="0" fontId="21" fillId="3" borderId="19" xfId="0" applyFont="1" applyFill="1" applyBorder="1" applyAlignment="1">
      <alignment horizontal="center" vertical="center"/>
    </xf>
    <xf numFmtId="0" fontId="27" fillId="3" borderId="20" xfId="0" applyFont="1" applyFill="1" applyBorder="1" applyAlignment="1">
      <alignment horizontal="center" vertical="center"/>
    </xf>
    <xf numFmtId="0" fontId="0" fillId="0" borderId="25" xfId="0" applyBorder="1" applyAlignment="1">
      <alignment horizontal="center" vertical="center"/>
    </xf>
    <xf numFmtId="0" fontId="0" fillId="0" borderId="20" xfId="0" applyBorder="1" applyAlignment="1">
      <alignment horizontal="center" vertical="center"/>
    </xf>
    <xf numFmtId="0" fontId="49" fillId="0" borderId="2" xfId="0" applyFont="1" applyBorder="1" applyAlignment="1">
      <alignment horizontal="center" vertical="center"/>
    </xf>
    <xf numFmtId="0" fontId="11" fillId="15" borderId="2" xfId="0" applyFont="1" applyFill="1" applyBorder="1" applyAlignment="1">
      <alignment horizontal="center" vertical="center"/>
    </xf>
    <xf numFmtId="0" fontId="0" fillId="0" borderId="23" xfId="0" applyBorder="1" applyAlignment="1">
      <alignment horizontal="center" vertical="center"/>
    </xf>
    <xf numFmtId="0" fontId="50" fillId="0" borderId="20" xfId="0" applyFont="1" applyBorder="1" applyAlignment="1">
      <alignment horizontal="center" vertical="center"/>
    </xf>
    <xf numFmtId="0" fontId="11" fillId="3" borderId="51" xfId="0" applyFont="1" applyFill="1" applyBorder="1" applyAlignment="1">
      <alignment horizontal="center" vertical="center"/>
    </xf>
    <xf numFmtId="0" fontId="0" fillId="0" borderId="48" xfId="0" applyBorder="1"/>
    <xf numFmtId="0" fontId="0" fillId="0" borderId="20" xfId="0" applyBorder="1" applyAlignment="1">
      <alignment horizontal="center"/>
    </xf>
    <xf numFmtId="0" fontId="11" fillId="15" borderId="20" xfId="0" applyFont="1" applyFill="1" applyBorder="1" applyAlignment="1">
      <alignment horizontal="center" vertical="center"/>
    </xf>
    <xf numFmtId="0" fontId="11" fillId="16" borderId="25" xfId="0" applyFont="1" applyFill="1" applyBorder="1" applyAlignment="1">
      <alignment horizontal="center" vertical="center"/>
    </xf>
    <xf numFmtId="0" fontId="11" fillId="16" borderId="19" xfId="0" applyFont="1" applyFill="1" applyBorder="1" applyAlignment="1">
      <alignment horizontal="center" vertical="center"/>
    </xf>
    <xf numFmtId="0" fontId="33" fillId="0" borderId="20" xfId="0" applyFont="1" applyBorder="1" applyAlignment="1">
      <alignment horizontal="center" vertical="center"/>
    </xf>
    <xf numFmtId="0" fontId="10" fillId="0" borderId="48" xfId="0" applyFont="1" applyBorder="1" applyAlignment="1">
      <alignment horizontal="center" vertical="center"/>
    </xf>
    <xf numFmtId="0" fontId="11" fillId="15" borderId="23" xfId="0" applyFont="1" applyFill="1" applyBorder="1" applyAlignment="1">
      <alignment horizontal="center" vertical="center"/>
    </xf>
    <xf numFmtId="0" fontId="0" fillId="0" borderId="51" xfId="0" applyBorder="1" applyAlignment="1">
      <alignment horizontal="center" vertical="center"/>
    </xf>
    <xf numFmtId="0" fontId="0" fillId="0" borderId="51" xfId="0" applyBorder="1"/>
    <xf numFmtId="0" fontId="11" fillId="3" borderId="45" xfId="0" applyFont="1" applyFill="1" applyBorder="1" applyAlignment="1">
      <alignment horizontal="center" vertical="center"/>
    </xf>
    <xf numFmtId="0" fontId="0" fillId="0" borderId="45" xfId="0" applyBorder="1"/>
    <xf numFmtId="0" fontId="0" fillId="0" borderId="28" xfId="0" applyBorder="1" applyAlignment="1">
      <alignment horizontal="center" vertical="center"/>
    </xf>
    <xf numFmtId="0" fontId="0" fillId="0" borderId="28" xfId="0" applyBorder="1"/>
    <xf numFmtId="0" fontId="0" fillId="0" borderId="52" xfId="0" applyBorder="1"/>
    <xf numFmtId="0" fontId="47" fillId="0" borderId="20" xfId="0" applyFont="1" applyBorder="1" applyAlignment="1">
      <alignment horizontal="center" vertical="center"/>
    </xf>
    <xf numFmtId="0" fontId="16" fillId="5" borderId="35" xfId="0" applyFont="1" applyFill="1" applyBorder="1" applyAlignment="1">
      <alignment horizontal="center" vertical="center" wrapText="1"/>
    </xf>
    <xf numFmtId="0" fontId="16" fillId="5" borderId="30" xfId="0" applyFont="1" applyFill="1" applyBorder="1" applyAlignment="1">
      <alignment horizontal="center" vertical="center" wrapText="1"/>
    </xf>
    <xf numFmtId="0" fontId="0" fillId="0" borderId="30" xfId="0" applyBorder="1" applyAlignment="1">
      <alignment horizontal="center" vertical="center"/>
    </xf>
    <xf numFmtId="0" fontId="21" fillId="5" borderId="30" xfId="0" applyFont="1" applyFill="1" applyBorder="1" applyAlignment="1">
      <alignment horizontal="center" vertical="center" wrapText="1"/>
    </xf>
    <xf numFmtId="0" fontId="22" fillId="5" borderId="30" xfId="0" applyFont="1" applyFill="1" applyBorder="1" applyAlignment="1">
      <alignment horizontal="center" vertical="center" wrapText="1"/>
    </xf>
    <xf numFmtId="0" fontId="15" fillId="0" borderId="30" xfId="0" applyFont="1" applyBorder="1" applyAlignment="1">
      <alignment horizontal="center" vertical="center" wrapText="1"/>
    </xf>
    <xf numFmtId="0" fontId="15" fillId="5" borderId="30" xfId="0" applyFont="1" applyFill="1" applyBorder="1" applyAlignment="1">
      <alignment horizontal="center" vertical="center" wrapText="1"/>
    </xf>
    <xf numFmtId="0" fontId="15" fillId="0" borderId="31" xfId="0" applyFont="1" applyBorder="1" applyAlignment="1">
      <alignment horizontal="center" vertical="center"/>
    </xf>
    <xf numFmtId="0" fontId="17" fillId="5" borderId="30" xfId="0" applyFont="1" applyFill="1" applyBorder="1" applyAlignment="1">
      <alignment horizontal="center" vertical="center" wrapText="1"/>
    </xf>
    <xf numFmtId="0" fontId="15" fillId="5" borderId="31" xfId="0" applyFont="1" applyFill="1" applyBorder="1" applyAlignment="1">
      <alignment horizontal="center" vertical="center" wrapText="1"/>
    </xf>
    <xf numFmtId="0" fontId="15" fillId="5" borderId="35" xfId="0" applyFont="1" applyFill="1" applyBorder="1" applyAlignment="1">
      <alignment horizontal="center" vertical="center" wrapText="1"/>
    </xf>
    <xf numFmtId="0" fontId="16" fillId="5" borderId="64" xfId="0" applyFont="1" applyFill="1" applyBorder="1" applyAlignment="1">
      <alignment horizontal="center" vertical="center" wrapText="1"/>
    </xf>
    <xf numFmtId="0" fontId="22" fillId="5" borderId="33" xfId="0" applyFont="1" applyFill="1" applyBorder="1" applyAlignment="1">
      <alignment horizontal="center" vertical="center" wrapText="1"/>
    </xf>
    <xf numFmtId="0" fontId="17" fillId="3" borderId="30" xfId="0" applyFont="1" applyFill="1" applyBorder="1" applyAlignment="1">
      <alignment horizontal="center" vertical="center" wrapText="1"/>
    </xf>
    <xf numFmtId="0" fontId="0" fillId="0" borderId="30" xfId="0" applyBorder="1"/>
    <xf numFmtId="0" fontId="46" fillId="0" borderId="30" xfId="0" applyFont="1" applyBorder="1" applyAlignment="1">
      <alignment horizontal="center" vertical="center"/>
    </xf>
    <xf numFmtId="0" fontId="0" fillId="0" borderId="32" xfId="0" applyBorder="1"/>
    <xf numFmtId="0" fontId="0" fillId="0" borderId="34" xfId="0" applyBorder="1"/>
    <xf numFmtId="0" fontId="15" fillId="5" borderId="36" xfId="0" applyFont="1" applyFill="1" applyBorder="1" applyAlignment="1">
      <alignment horizontal="center" vertical="center" wrapText="1"/>
    </xf>
    <xf numFmtId="0" fontId="15" fillId="5" borderId="32" xfId="0" applyFont="1" applyFill="1" applyBorder="1" applyAlignment="1">
      <alignment horizontal="center" vertical="center" wrapText="1"/>
    </xf>
    <xf numFmtId="0" fontId="16" fillId="5" borderId="32" xfId="0" applyFont="1" applyFill="1" applyBorder="1" applyAlignment="1">
      <alignment horizontal="center" vertical="center" wrapText="1"/>
    </xf>
    <xf numFmtId="0" fontId="0" fillId="0" borderId="37" xfId="0" applyBorder="1"/>
    <xf numFmtId="0" fontId="21" fillId="5" borderId="32" xfId="0" applyFont="1" applyFill="1" applyBorder="1" applyAlignment="1">
      <alignment horizontal="center" vertical="center" wrapText="1"/>
    </xf>
    <xf numFmtId="0" fontId="17" fillId="5" borderId="53" xfId="0" applyFont="1" applyFill="1" applyBorder="1" applyAlignment="1">
      <alignment horizontal="center" vertical="center" wrapText="1"/>
    </xf>
    <xf numFmtId="0" fontId="17" fillId="5" borderId="32" xfId="0" applyFont="1" applyFill="1" applyBorder="1" applyAlignment="1">
      <alignment horizontal="center" vertical="center" wrapText="1"/>
    </xf>
    <xf numFmtId="0" fontId="17" fillId="5" borderId="37" xfId="0" applyFont="1" applyFill="1" applyBorder="1" applyAlignment="1">
      <alignment horizontal="center" vertical="center" wrapText="1"/>
    </xf>
    <xf numFmtId="0" fontId="16" fillId="5" borderId="53" xfId="0" applyFont="1" applyFill="1" applyBorder="1" applyAlignment="1">
      <alignment horizontal="center" vertical="center" wrapText="1"/>
    </xf>
    <xf numFmtId="0" fontId="0" fillId="0" borderId="53" xfId="0" applyBorder="1"/>
    <xf numFmtId="0" fontId="43" fillId="22" borderId="2" xfId="0" applyFont="1" applyFill="1" applyBorder="1" applyAlignment="1">
      <alignment horizontal="center" vertical="center"/>
    </xf>
    <xf numFmtId="0" fontId="0" fillId="22" borderId="2" xfId="0" applyFill="1" applyBorder="1"/>
    <xf numFmtId="0" fontId="0" fillId="0" borderId="33" xfId="0" applyBorder="1"/>
    <xf numFmtId="0" fontId="0" fillId="0" borderId="31" xfId="0" applyBorder="1"/>
    <xf numFmtId="0" fontId="14" fillId="8" borderId="37" xfId="0" applyFont="1" applyFill="1" applyBorder="1" applyAlignment="1">
      <alignment horizontal="center" vertical="center"/>
    </xf>
    <xf numFmtId="0" fontId="0" fillId="0" borderId="18" xfId="0" applyBorder="1"/>
    <xf numFmtId="0" fontId="0" fillId="0" borderId="26" xfId="0" applyBorder="1"/>
    <xf numFmtId="0" fontId="14" fillId="8" borderId="36" xfId="0" applyFont="1" applyFill="1" applyBorder="1" applyAlignment="1">
      <alignment horizontal="center" vertical="center"/>
    </xf>
    <xf numFmtId="0" fontId="0" fillId="0" borderId="46" xfId="0" applyBorder="1"/>
    <xf numFmtId="0" fontId="14" fillId="8" borderId="78" xfId="0" applyFont="1" applyFill="1" applyBorder="1" applyAlignment="1">
      <alignment horizontal="center" vertical="center"/>
    </xf>
    <xf numFmtId="0" fontId="0" fillId="0" borderId="64" xfId="0" applyBorder="1"/>
    <xf numFmtId="0" fontId="14" fillId="8" borderId="53" xfId="0" applyFont="1" applyFill="1" applyBorder="1" applyAlignment="1">
      <alignment horizontal="center" vertical="center"/>
    </xf>
    <xf numFmtId="0" fontId="43" fillId="0" borderId="55" xfId="0" applyFont="1" applyBorder="1" applyAlignment="1">
      <alignment horizontal="center" vertical="center"/>
    </xf>
    <xf numFmtId="0" fontId="0" fillId="0" borderId="18"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60" xfId="0" applyBorder="1" applyAlignment="1">
      <alignment horizontal="center"/>
    </xf>
    <xf numFmtId="0" fontId="45" fillId="0" borderId="30" xfId="0" applyFont="1" applyBorder="1" applyAlignment="1">
      <alignment horizontal="center" vertical="center"/>
    </xf>
    <xf numFmtId="0" fontId="47" fillId="0" borderId="23" xfId="0" applyFont="1" applyBorder="1" applyAlignment="1">
      <alignment horizontal="center" vertical="center"/>
    </xf>
    <xf numFmtId="0" fontId="58" fillId="0" borderId="2" xfId="0" applyFont="1" applyBorder="1" applyAlignment="1">
      <alignment horizontal="center" vertical="center"/>
    </xf>
    <xf numFmtId="0" fontId="45" fillId="0" borderId="23" xfId="0" applyFont="1" applyBorder="1" applyAlignment="1">
      <alignment horizontal="center" vertical="center"/>
    </xf>
    <xf numFmtId="0" fontId="46" fillId="0" borderId="19" xfId="0" applyFont="1" applyBorder="1" applyAlignment="1">
      <alignment horizontal="center" vertical="center"/>
    </xf>
    <xf numFmtId="0" fontId="46" fillId="3" borderId="20" xfId="0" applyFont="1" applyFill="1" applyBorder="1" applyAlignment="1">
      <alignment horizontal="center" vertical="center"/>
    </xf>
    <xf numFmtId="0" fontId="45" fillId="0" borderId="32" xfId="0" applyFont="1" applyBorder="1" applyAlignment="1">
      <alignment horizontal="center" vertical="center"/>
    </xf>
    <xf numFmtId="0" fontId="45" fillId="3" borderId="30" xfId="0" applyFont="1" applyFill="1" applyBorder="1" applyAlignment="1">
      <alignment horizontal="center" vertical="center"/>
    </xf>
    <xf numFmtId="0" fontId="45" fillId="3" borderId="32" xfId="0" applyFont="1" applyFill="1" applyBorder="1" applyAlignment="1">
      <alignment horizontal="center" vertical="center"/>
    </xf>
    <xf numFmtId="0" fontId="46" fillId="0" borderId="32" xfId="0" applyFont="1" applyBorder="1" applyAlignment="1">
      <alignment horizontal="center" vertical="center"/>
    </xf>
    <xf numFmtId="0" fontId="8" fillId="0" borderId="30" xfId="0" applyFont="1" applyBorder="1" applyAlignment="1">
      <alignment horizontal="center" vertical="center" wrapText="1"/>
    </xf>
    <xf numFmtId="0" fontId="0" fillId="0" borderId="24" xfId="0" applyBorder="1" applyAlignment="1">
      <alignment wrapText="1"/>
    </xf>
    <xf numFmtId="0" fontId="8" fillId="0" borderId="38" xfId="0" applyFont="1" applyBorder="1" applyAlignment="1">
      <alignment horizontal="center" vertical="center" wrapText="1"/>
    </xf>
    <xf numFmtId="0" fontId="43" fillId="0" borderId="2" xfId="0" applyFont="1" applyBorder="1" applyAlignment="1">
      <alignment horizontal="center"/>
    </xf>
    <xf numFmtId="0" fontId="52" fillId="0" borderId="2" xfId="0" applyFont="1" applyBorder="1" applyAlignment="1">
      <alignment horizontal="center"/>
    </xf>
    <xf numFmtId="0" fontId="46" fillId="3" borderId="2" xfId="0" applyFont="1" applyFill="1" applyBorder="1" applyAlignment="1">
      <alignment horizontal="center" vertical="center"/>
    </xf>
    <xf numFmtId="0" fontId="56" fillId="3" borderId="19" xfId="0" applyFont="1" applyFill="1" applyBorder="1" applyAlignment="1">
      <alignment horizontal="center"/>
    </xf>
    <xf numFmtId="0" fontId="43" fillId="3" borderId="2" xfId="0" applyFont="1" applyFill="1" applyBorder="1" applyAlignment="1">
      <alignment horizontal="center"/>
    </xf>
    <xf numFmtId="0" fontId="52" fillId="3" borderId="2" xfId="0" applyFont="1" applyFill="1" applyBorder="1" applyAlignment="1">
      <alignment horizontal="center"/>
    </xf>
    <xf numFmtId="0" fontId="52" fillId="3" borderId="2" xfId="0" applyFont="1" applyFill="1" applyBorder="1" applyAlignment="1">
      <alignment horizontal="center" vertical="center"/>
    </xf>
    <xf numFmtId="0" fontId="56" fillId="3" borderId="2" xfId="0" applyFont="1" applyFill="1" applyBorder="1" applyAlignment="1">
      <alignment horizontal="center"/>
    </xf>
    <xf numFmtId="0" fontId="43" fillId="3" borderId="23" xfId="0" applyFont="1" applyFill="1" applyBorder="1" applyAlignment="1">
      <alignment horizontal="center"/>
    </xf>
    <xf numFmtId="0" fontId="46" fillId="3" borderId="2" xfId="0" applyFont="1" applyFill="1" applyBorder="1" applyAlignment="1">
      <alignment horizontal="center"/>
    </xf>
    <xf numFmtId="0" fontId="46" fillId="0" borderId="2" xfId="0" applyFont="1" applyBorder="1" applyAlignment="1">
      <alignment horizontal="center"/>
    </xf>
    <xf numFmtId="0" fontId="52" fillId="3" borderId="25" xfId="0" applyFont="1" applyFill="1" applyBorder="1" applyAlignment="1">
      <alignment horizontal="center"/>
    </xf>
    <xf numFmtId="0" fontId="52" fillId="3" borderId="19" xfId="0" applyFont="1" applyFill="1" applyBorder="1" applyAlignment="1">
      <alignment horizontal="center"/>
    </xf>
    <xf numFmtId="0" fontId="52" fillId="3" borderId="23" xfId="0" applyFont="1" applyFill="1" applyBorder="1" applyAlignment="1">
      <alignment horizontal="center"/>
    </xf>
    <xf numFmtId="0" fontId="45" fillId="3" borderId="19" xfId="0" applyFont="1" applyFill="1" applyBorder="1" applyAlignment="1">
      <alignment horizontal="center"/>
    </xf>
    <xf numFmtId="0" fontId="45" fillId="3" borderId="2" xfId="0" applyFont="1" applyFill="1" applyBorder="1" applyAlignment="1">
      <alignment horizontal="center"/>
    </xf>
    <xf numFmtId="0" fontId="43" fillId="3" borderId="25" xfId="0" applyFont="1" applyFill="1" applyBorder="1" applyAlignment="1">
      <alignment horizontal="center"/>
    </xf>
    <xf numFmtId="0" fontId="52" fillId="0" borderId="19" xfId="0" applyFont="1" applyBorder="1" applyAlignment="1">
      <alignment horizontal="center"/>
    </xf>
    <xf numFmtId="0" fontId="45" fillId="3" borderId="25" xfId="0" applyFont="1" applyFill="1" applyBorder="1" applyAlignment="1">
      <alignment horizontal="center"/>
    </xf>
    <xf numFmtId="0" fontId="45" fillId="0" borderId="30" xfId="0" applyFont="1" applyBorder="1" applyAlignment="1">
      <alignment horizontal="center"/>
    </xf>
    <xf numFmtId="0" fontId="52" fillId="3" borderId="32" xfId="0" applyFont="1" applyFill="1" applyBorder="1" applyAlignment="1">
      <alignment horizontal="center"/>
    </xf>
    <xf numFmtId="0" fontId="52" fillId="0" borderId="30" xfId="0" applyFont="1" applyBorder="1" applyAlignment="1">
      <alignment horizontal="center"/>
    </xf>
    <xf numFmtId="0" fontId="0" fillId="0" borderId="49" xfId="0" applyBorder="1"/>
    <xf numFmtId="0" fontId="43" fillId="3" borderId="78" xfId="0" applyFont="1" applyFill="1" applyBorder="1" applyAlignment="1">
      <alignment horizontal="center"/>
    </xf>
    <xf numFmtId="0" fontId="43" fillId="3" borderId="55" xfId="0" applyFont="1" applyFill="1" applyBorder="1" applyAlignment="1">
      <alignment horizontal="center"/>
    </xf>
    <xf numFmtId="0" fontId="52" fillId="3" borderId="34" xfId="0" applyFont="1" applyFill="1" applyBorder="1" applyAlignment="1">
      <alignment horizontal="center"/>
    </xf>
    <xf numFmtId="0" fontId="43" fillId="3" borderId="57" xfId="0" applyFont="1" applyFill="1" applyBorder="1" applyAlignment="1">
      <alignment horizontal="center"/>
    </xf>
    <xf numFmtId="0" fontId="0" fillId="0" borderId="47" xfId="0" applyBorder="1" applyAlignment="1">
      <alignment wrapText="1"/>
    </xf>
    <xf numFmtId="0" fontId="52" fillId="3" borderId="30" xfId="0" applyFont="1" applyFill="1" applyBorder="1" applyAlignment="1">
      <alignment horizontal="center"/>
    </xf>
    <xf numFmtId="0" fontId="52" fillId="3" borderId="37" xfId="0" applyFont="1" applyFill="1" applyBorder="1" applyAlignment="1">
      <alignment horizontal="center"/>
    </xf>
    <xf numFmtId="0" fontId="0" fillId="0" borderId="55" xfId="0" applyBorder="1"/>
    <xf numFmtId="0" fontId="0" fillId="0" borderId="57" xfId="0" applyBorder="1"/>
    <xf numFmtId="0" fontId="52" fillId="3" borderId="35" xfId="0" applyFont="1" applyFill="1" applyBorder="1" applyAlignment="1">
      <alignment horizontal="center"/>
    </xf>
    <xf numFmtId="0" fontId="43" fillId="3" borderId="64" xfId="0" applyFont="1" applyFill="1" applyBorder="1" applyAlignment="1">
      <alignment horizontal="center"/>
    </xf>
    <xf numFmtId="0" fontId="52" fillId="3" borderId="31" xfId="0" applyFont="1" applyFill="1" applyBorder="1" applyAlignment="1">
      <alignment horizontal="center"/>
    </xf>
    <xf numFmtId="0" fontId="52" fillId="3" borderId="36" xfId="0" applyFont="1" applyFill="1" applyBorder="1" applyAlignment="1">
      <alignment horizontal="center"/>
    </xf>
    <xf numFmtId="0" fontId="53" fillId="0" borderId="37" xfId="0" applyFont="1" applyBorder="1" applyAlignment="1">
      <alignment horizontal="center" vertical="center"/>
    </xf>
    <xf numFmtId="0" fontId="0" fillId="0" borderId="58" xfId="0" applyBorder="1"/>
    <xf numFmtId="0" fontId="52" fillId="3" borderId="64" xfId="0" applyFont="1" applyFill="1" applyBorder="1" applyAlignment="1">
      <alignment horizontal="center"/>
    </xf>
    <xf numFmtId="0" fontId="0" fillId="0" borderId="71" xfId="0" applyBorder="1"/>
    <xf numFmtId="0" fontId="52" fillId="3" borderId="53" xfId="0" applyFont="1" applyFill="1" applyBorder="1" applyAlignment="1">
      <alignment horizontal="center"/>
    </xf>
    <xf numFmtId="0" fontId="2" fillId="3" borderId="26" xfId="0" applyFont="1" applyFill="1" applyBorder="1" applyAlignment="1">
      <alignment horizontal="center" vertical="center" wrapText="1"/>
    </xf>
    <xf numFmtId="0" fontId="2" fillId="3" borderId="18" xfId="0" applyFont="1" applyFill="1" applyBorder="1" applyAlignment="1">
      <alignment horizontal="center" vertical="center" wrapText="1"/>
    </xf>
    <xf numFmtId="0" fontId="2" fillId="3" borderId="27" xfId="0" applyFont="1" applyFill="1" applyBorder="1" applyAlignment="1">
      <alignment horizontal="center" vertical="center" wrapText="1"/>
    </xf>
    <xf numFmtId="0" fontId="2" fillId="3" borderId="63" xfId="0" applyFont="1" applyFill="1" applyBorder="1" applyAlignment="1">
      <alignment horizontal="center" vertical="center" wrapText="1"/>
    </xf>
    <xf numFmtId="0" fontId="0" fillId="0" borderId="22" xfId="0" applyBorder="1" applyAlignment="1">
      <alignment horizontal="center"/>
    </xf>
    <xf numFmtId="0" fontId="0" fillId="0" borderId="24" xfId="0" applyBorder="1" applyAlignment="1">
      <alignment horizontal="center"/>
    </xf>
    <xf numFmtId="0" fontId="2" fillId="5" borderId="82" xfId="0" applyFont="1" applyFill="1" applyBorder="1" applyAlignment="1">
      <alignment horizontal="center" vertical="center" wrapText="1"/>
    </xf>
    <xf numFmtId="0" fontId="2" fillId="5" borderId="84" xfId="0" applyFont="1" applyFill="1" applyBorder="1" applyAlignment="1">
      <alignment horizontal="center" vertical="center" wrapText="1"/>
    </xf>
    <xf numFmtId="0" fontId="0" fillId="3" borderId="2" xfId="0" applyFill="1" applyBorder="1" applyAlignment="1">
      <alignment horizontal="center"/>
    </xf>
    <xf numFmtId="0" fontId="43" fillId="3" borderId="19" xfId="0" applyFont="1" applyFill="1" applyBorder="1" applyAlignment="1">
      <alignment horizontal="center"/>
    </xf>
    <xf numFmtId="0" fontId="46" fillId="3" borderId="19" xfId="0" applyFont="1" applyFill="1" applyBorder="1" applyAlignment="1">
      <alignment horizontal="center"/>
    </xf>
    <xf numFmtId="0" fontId="2" fillId="3" borderId="46" xfId="0" applyFont="1" applyFill="1" applyBorder="1" applyAlignment="1">
      <alignment horizontal="center" vertical="center" wrapText="1"/>
    </xf>
    <xf numFmtId="0" fontId="46" fillId="3" borderId="25" xfId="0" applyFont="1" applyFill="1" applyBorder="1" applyAlignment="1">
      <alignment horizontal="center"/>
    </xf>
    <xf numFmtId="0" fontId="56" fillId="3" borderId="25" xfId="0" applyFont="1" applyFill="1" applyBorder="1" applyAlignment="1">
      <alignment horizontal="center"/>
    </xf>
    <xf numFmtId="0" fontId="2" fillId="3" borderId="60" xfId="0" applyFont="1" applyFill="1" applyBorder="1" applyAlignment="1">
      <alignment horizontal="center" vertical="center" wrapText="1"/>
    </xf>
    <xf numFmtId="0" fontId="43" fillId="3" borderId="20" xfId="0" applyFont="1" applyFill="1" applyBorder="1" applyAlignment="1">
      <alignment horizontal="center"/>
    </xf>
    <xf numFmtId="0" fontId="45" fillId="3" borderId="2" xfId="0" applyFont="1" applyFill="1" applyBorder="1" applyAlignment="1">
      <alignment horizontal="center" vertical="center"/>
    </xf>
    <xf numFmtId="0" fontId="0" fillId="0" borderId="51" xfId="0" applyBorder="1" applyAlignment="1">
      <alignment horizontal="center"/>
    </xf>
    <xf numFmtId="0" fontId="2" fillId="3" borderId="69" xfId="0" applyFont="1" applyFill="1" applyBorder="1" applyAlignment="1">
      <alignment horizontal="center" vertical="center" wrapText="1"/>
    </xf>
    <xf numFmtId="0" fontId="0" fillId="0" borderId="48" xfId="0" applyBorder="1" applyAlignment="1">
      <alignment horizontal="center"/>
    </xf>
    <xf numFmtId="0" fontId="2" fillId="3" borderId="2" xfId="0" applyFont="1" applyFill="1" applyBorder="1" applyAlignment="1">
      <alignment horizontal="center" vertical="center" wrapText="1"/>
    </xf>
    <xf numFmtId="0" fontId="45" fillId="3" borderId="35" xfId="0" applyFont="1" applyFill="1" applyBorder="1" applyAlignment="1">
      <alignment horizontal="center"/>
    </xf>
    <xf numFmtId="0" fontId="56" fillId="3" borderId="32" xfId="0" applyFont="1" applyFill="1" applyBorder="1" applyAlignment="1">
      <alignment horizontal="center"/>
    </xf>
    <xf numFmtId="0" fontId="2" fillId="3" borderId="50" xfId="0" applyFont="1" applyFill="1" applyBorder="1" applyAlignment="1">
      <alignment horizontal="center" vertical="center" wrapText="1"/>
    </xf>
    <xf numFmtId="0" fontId="43" fillId="3" borderId="79" xfId="0" applyFont="1" applyFill="1" applyBorder="1" applyAlignment="1">
      <alignment horizontal="center"/>
    </xf>
    <xf numFmtId="0" fontId="58" fillId="3" borderId="2" xfId="0" applyFont="1" applyFill="1" applyBorder="1" applyAlignment="1">
      <alignment horizontal="center"/>
    </xf>
    <xf numFmtId="0" fontId="46" fillId="3" borderId="19" xfId="0" applyFont="1" applyFill="1" applyBorder="1" applyAlignment="1">
      <alignment horizontal="center" vertical="center"/>
    </xf>
    <xf numFmtId="0" fontId="56" fillId="3" borderId="30" xfId="0" applyFont="1" applyFill="1" applyBorder="1" applyAlignment="1">
      <alignment horizontal="center"/>
    </xf>
    <xf numFmtId="0" fontId="46" fillId="3" borderId="30" xfId="0" applyFont="1" applyFill="1" applyBorder="1" applyAlignment="1">
      <alignment horizontal="center"/>
    </xf>
    <xf numFmtId="0" fontId="46" fillId="3" borderId="32" xfId="0" applyFont="1" applyFill="1" applyBorder="1" applyAlignment="1">
      <alignment horizontal="center"/>
    </xf>
    <xf numFmtId="0" fontId="58" fillId="3" borderId="32" xfId="0" applyFont="1" applyFill="1" applyBorder="1" applyAlignment="1">
      <alignment horizontal="center"/>
    </xf>
    <xf numFmtId="0" fontId="2" fillId="3" borderId="44" xfId="0" applyFont="1" applyFill="1" applyBorder="1" applyAlignment="1">
      <alignment horizontal="center" vertical="center" wrapText="1"/>
    </xf>
    <xf numFmtId="0" fontId="0" fillId="0" borderId="4" xfId="0" applyBorder="1"/>
    <xf numFmtId="0" fontId="56" fillId="3" borderId="35" xfId="0" applyFont="1" applyFill="1" applyBorder="1" applyAlignment="1">
      <alignment horizontal="center"/>
    </xf>
    <xf numFmtId="0" fontId="56" fillId="3" borderId="36" xfId="0" applyFont="1" applyFill="1" applyBorder="1" applyAlignment="1">
      <alignment horizontal="center"/>
    </xf>
    <xf numFmtId="0" fontId="56" fillId="3" borderId="64" xfId="0" applyFont="1" applyFill="1" applyBorder="1" applyAlignment="1">
      <alignment horizontal="center"/>
    </xf>
    <xf numFmtId="0" fontId="52" fillId="0" borderId="32" xfId="0" applyFont="1" applyBorder="1" applyAlignment="1">
      <alignment horizontal="center"/>
    </xf>
    <xf numFmtId="0" fontId="56" fillId="3" borderId="53" xfId="0" applyFont="1" applyFill="1" applyBorder="1" applyAlignment="1">
      <alignment horizontal="center"/>
    </xf>
    <xf numFmtId="0" fontId="50" fillId="3" borderId="2" xfId="0" applyFont="1" applyFill="1" applyBorder="1" applyAlignment="1">
      <alignment horizontal="center"/>
    </xf>
    <xf numFmtId="0" fontId="50" fillId="3" borderId="23" xfId="0" applyFont="1" applyFill="1" applyBorder="1" applyAlignment="1">
      <alignment horizontal="center"/>
    </xf>
    <xf numFmtId="0" fontId="50" fillId="3" borderId="20" xfId="0" applyFont="1" applyFill="1" applyBorder="1" applyAlignment="1">
      <alignment horizontal="center"/>
    </xf>
    <xf numFmtId="0" fontId="43" fillId="3" borderId="28" xfId="0" applyFont="1" applyFill="1" applyBorder="1" applyAlignment="1">
      <alignment horizontal="center"/>
    </xf>
    <xf numFmtId="0" fontId="43" fillId="3" borderId="48" xfId="0" applyFont="1" applyFill="1" applyBorder="1" applyAlignment="1">
      <alignment horizontal="center"/>
    </xf>
    <xf numFmtId="0" fontId="50" fillId="3" borderId="26" xfId="0" applyFont="1" applyFill="1" applyBorder="1" applyAlignment="1">
      <alignment horizontal="center"/>
    </xf>
    <xf numFmtId="0" fontId="50" fillId="3" borderId="27" xfId="0" applyFont="1" applyFill="1" applyBorder="1" applyAlignment="1">
      <alignment horizontal="center"/>
    </xf>
    <xf numFmtId="0" fontId="58" fillId="3" borderId="19" xfId="0" applyFont="1" applyFill="1" applyBorder="1" applyAlignment="1">
      <alignment horizontal="center"/>
    </xf>
    <xf numFmtId="0" fontId="50" fillId="3" borderId="19" xfId="0" applyFont="1" applyFill="1" applyBorder="1" applyAlignment="1">
      <alignment horizontal="center"/>
    </xf>
    <xf numFmtId="0" fontId="52" fillId="3" borderId="22" xfId="0" applyFont="1" applyFill="1" applyBorder="1" applyAlignment="1">
      <alignment horizontal="center" vertical="center" wrapText="1"/>
    </xf>
    <xf numFmtId="0" fontId="45" fillId="3" borderId="23" xfId="0" applyFont="1" applyFill="1" applyBorder="1" applyAlignment="1">
      <alignment horizontal="center"/>
    </xf>
    <xf numFmtId="0" fontId="50" fillId="3" borderId="25" xfId="0" applyFont="1" applyFill="1" applyBorder="1" applyAlignment="1">
      <alignment horizontal="center"/>
    </xf>
    <xf numFmtId="0" fontId="10" fillId="0" borderId="22" xfId="0" applyFont="1" applyBorder="1" applyAlignment="1">
      <alignment horizontal="center"/>
    </xf>
    <xf numFmtId="0" fontId="10" fillId="0" borderId="54" xfId="0" applyFont="1" applyBorder="1" applyAlignment="1">
      <alignment horizontal="center"/>
    </xf>
    <xf numFmtId="0" fontId="10" fillId="0" borderId="24" xfId="0" applyFont="1" applyBorder="1" applyAlignment="1">
      <alignment horizontal="center"/>
    </xf>
    <xf numFmtId="0" fontId="46" fillId="3" borderId="33" xfId="0" applyFont="1" applyFill="1" applyBorder="1" applyAlignment="1">
      <alignment horizontal="center"/>
    </xf>
    <xf numFmtId="0" fontId="43" fillId="3" borderId="51" xfId="0" applyFont="1" applyFill="1" applyBorder="1" applyAlignment="1">
      <alignment horizontal="center"/>
    </xf>
    <xf numFmtId="0" fontId="46" fillId="3" borderId="51" xfId="0" applyFont="1" applyFill="1" applyBorder="1" applyAlignment="1">
      <alignment horizontal="center"/>
    </xf>
    <xf numFmtId="0" fontId="0" fillId="0" borderId="73" xfId="0" applyBorder="1"/>
    <xf numFmtId="0" fontId="0" fillId="0" borderId="61" xfId="0" applyBorder="1"/>
    <xf numFmtId="0" fontId="0" fillId="0" borderId="72" xfId="0" applyBorder="1"/>
    <xf numFmtId="0" fontId="0" fillId="0" borderId="76" xfId="0" applyBorder="1"/>
    <xf numFmtId="0" fontId="0" fillId="0" borderId="74" xfId="0" applyBorder="1"/>
    <xf numFmtId="0" fontId="52" fillId="3" borderId="0" xfId="0" applyFont="1" applyFill="1" applyAlignment="1">
      <alignment horizontal="center"/>
    </xf>
    <xf numFmtId="0" fontId="45" fillId="3" borderId="64" xfId="0" applyFont="1" applyFill="1" applyBorder="1" applyAlignment="1">
      <alignment horizontal="center"/>
    </xf>
    <xf numFmtId="0" fontId="43" fillId="3" borderId="0" xfId="0" applyFont="1" applyFill="1" applyAlignment="1">
      <alignment horizontal="center"/>
    </xf>
    <xf numFmtId="0" fontId="8" fillId="20" borderId="2" xfId="0" applyFont="1" applyFill="1" applyBorder="1" applyAlignment="1">
      <alignment horizontal="center" vertical="center" wrapText="1"/>
    </xf>
    <xf numFmtId="0" fontId="43" fillId="3" borderId="22" xfId="0" applyFont="1" applyFill="1" applyBorder="1" applyAlignment="1">
      <alignment horizontal="center"/>
    </xf>
    <xf numFmtId="0" fontId="52" fillId="3" borderId="23" xfId="0" applyFont="1" applyFill="1" applyBorder="1" applyAlignment="1">
      <alignment horizontal="center" vertical="center"/>
    </xf>
    <xf numFmtId="0" fontId="43" fillId="37" borderId="2" xfId="0" applyFont="1" applyFill="1" applyBorder="1" applyAlignment="1">
      <alignment horizontal="center"/>
    </xf>
    <xf numFmtId="0" fontId="10" fillId="0" borderId="23" xfId="0" applyFont="1" applyBorder="1" applyAlignment="1">
      <alignment horizontal="center" vertical="center"/>
    </xf>
    <xf numFmtId="0" fontId="0" fillId="3" borderId="22" xfId="0" applyFill="1" applyBorder="1" applyAlignment="1">
      <alignment horizontal="center"/>
    </xf>
    <xf numFmtId="0" fontId="0" fillId="3" borderId="47" xfId="0" applyFill="1" applyBorder="1" applyAlignment="1">
      <alignment horizontal="center"/>
    </xf>
    <xf numFmtId="0" fontId="0" fillId="3" borderId="21" xfId="0" applyFill="1" applyBorder="1" applyAlignment="1">
      <alignment horizontal="center"/>
    </xf>
    <xf numFmtId="0" fontId="46" fillId="0" borderId="30" xfId="0" applyFont="1" applyBorder="1" applyAlignment="1">
      <alignment horizontal="center"/>
    </xf>
    <xf numFmtId="0" fontId="56" fillId="0" borderId="32" xfId="0" applyFont="1" applyBorder="1" applyAlignment="1">
      <alignment horizontal="center"/>
    </xf>
    <xf numFmtId="0" fontId="46" fillId="0" borderId="32" xfId="0" applyFont="1" applyBorder="1" applyAlignment="1">
      <alignment horizontal="center"/>
    </xf>
    <xf numFmtId="0" fontId="50" fillId="12" borderId="2" xfId="0" applyFont="1" applyFill="1" applyBorder="1" applyAlignment="1">
      <alignment horizontal="center"/>
    </xf>
    <xf numFmtId="0" fontId="52" fillId="3" borderId="20" xfId="0" applyFont="1" applyFill="1" applyBorder="1" applyAlignment="1">
      <alignment horizontal="center"/>
    </xf>
    <xf numFmtId="0" fontId="0" fillId="3" borderId="54" xfId="0" applyFill="1" applyBorder="1" applyAlignment="1">
      <alignment horizontal="center"/>
    </xf>
    <xf numFmtId="0" fontId="0" fillId="3" borderId="24" xfId="0" applyFill="1" applyBorder="1" applyAlignment="1">
      <alignment horizontal="center"/>
    </xf>
    <xf numFmtId="0" fontId="52" fillId="22" borderId="2" xfId="0" applyFont="1" applyFill="1" applyBorder="1" applyAlignment="1">
      <alignment horizontal="center"/>
    </xf>
    <xf numFmtId="0" fontId="56" fillId="22" borderId="2" xfId="0" applyFont="1" applyFill="1" applyBorder="1" applyAlignment="1">
      <alignment horizontal="center"/>
    </xf>
    <xf numFmtId="0" fontId="0" fillId="0" borderId="0" xfId="0" applyAlignment="1">
      <alignment vertical="center"/>
    </xf>
    <xf numFmtId="0" fontId="67" fillId="5" borderId="89" xfId="0" applyFont="1" applyFill="1" applyBorder="1" applyAlignment="1">
      <alignment horizontal="center" vertical="center" wrapText="1"/>
    </xf>
    <xf numFmtId="0" fontId="67" fillId="5" borderId="86" xfId="0" applyFont="1" applyFill="1" applyBorder="1" applyAlignment="1">
      <alignment horizontal="center" vertical="center" wrapText="1"/>
    </xf>
    <xf numFmtId="0" fontId="67" fillId="5" borderId="86" xfId="0" applyFont="1" applyFill="1" applyBorder="1" applyAlignment="1">
      <alignment horizontal="center" vertical="center"/>
    </xf>
    <xf numFmtId="0" fontId="67" fillId="0" borderId="86" xfId="0" applyFont="1" applyBorder="1" applyAlignment="1">
      <alignment horizontal="center" vertical="center" wrapText="1"/>
    </xf>
    <xf numFmtId="0" fontId="67" fillId="0" borderId="86" xfId="0" applyFont="1" applyBorder="1" applyAlignment="1">
      <alignment horizontal="center" vertical="center"/>
    </xf>
    <xf numFmtId="16" fontId="68" fillId="0" borderId="83" xfId="0" applyNumberFormat="1" applyFont="1" applyBorder="1" applyAlignment="1">
      <alignment horizontal="center" vertical="center"/>
    </xf>
    <xf numFmtId="0" fontId="69" fillId="11" borderId="83" xfId="0" applyFont="1" applyFill="1" applyBorder="1" applyAlignment="1">
      <alignment vertical="center"/>
    </xf>
    <xf numFmtId="0" fontId="67" fillId="5" borderId="83" xfId="0" applyFont="1" applyFill="1" applyBorder="1" applyAlignment="1">
      <alignment horizontal="center" vertical="center"/>
    </xf>
    <xf numFmtId="0" fontId="70" fillId="5" borderId="83" xfId="0" applyFont="1" applyFill="1" applyBorder="1" applyAlignment="1">
      <alignment horizontal="center" vertical="center"/>
    </xf>
    <xf numFmtId="0" fontId="71" fillId="5" borderId="83" xfId="0" applyFont="1" applyFill="1" applyBorder="1" applyAlignment="1">
      <alignment horizontal="center" vertical="center"/>
    </xf>
    <xf numFmtId="0" fontId="72" fillId="5" borderId="83" xfId="0" applyFont="1" applyFill="1" applyBorder="1" applyAlignment="1">
      <alignment horizontal="center" vertical="center"/>
    </xf>
    <xf numFmtId="0" fontId="69" fillId="5" borderId="83" xfId="0" applyFont="1" applyFill="1" applyBorder="1" applyAlignment="1">
      <alignment horizontal="center" vertical="center"/>
    </xf>
    <xf numFmtId="16" fontId="68" fillId="0" borderId="85" xfId="0" applyNumberFormat="1" applyFont="1" applyBorder="1" applyAlignment="1">
      <alignment horizontal="center" vertical="center"/>
    </xf>
    <xf numFmtId="0" fontId="69" fillId="11" borderId="85" xfId="0" applyFont="1" applyFill="1" applyBorder="1" applyAlignment="1">
      <alignment vertical="center"/>
    </xf>
    <xf numFmtId="0" fontId="67" fillId="5" borderId="85" xfId="0" applyFont="1" applyFill="1" applyBorder="1" applyAlignment="1">
      <alignment horizontal="center" vertical="center"/>
    </xf>
    <xf numFmtId="0" fontId="72" fillId="5" borderId="85" xfId="0" applyFont="1" applyFill="1" applyBorder="1" applyAlignment="1">
      <alignment horizontal="center" vertical="center"/>
    </xf>
    <xf numFmtId="0" fontId="73" fillId="5" borderId="85" xfId="0" applyFont="1" applyFill="1" applyBorder="1" applyAlignment="1">
      <alignment horizontal="center" vertical="center"/>
    </xf>
    <xf numFmtId="0" fontId="71" fillId="5" borderId="85" xfId="0" applyFont="1" applyFill="1" applyBorder="1" applyAlignment="1">
      <alignment horizontal="center" vertical="center"/>
    </xf>
    <xf numFmtId="0" fontId="69" fillId="5" borderId="85" xfId="0" applyFont="1" applyFill="1" applyBorder="1" applyAlignment="1">
      <alignment horizontal="center" vertical="center"/>
    </xf>
    <xf numFmtId="0" fontId="74" fillId="5" borderId="85" xfId="0" applyFont="1" applyFill="1" applyBorder="1" applyAlignment="1">
      <alignment horizontal="center" vertical="center"/>
    </xf>
    <xf numFmtId="0" fontId="70" fillId="5" borderId="85" xfId="0" applyFont="1" applyFill="1" applyBorder="1" applyAlignment="1">
      <alignment horizontal="center" vertical="center"/>
    </xf>
    <xf numFmtId="0" fontId="67" fillId="4" borderId="85" xfId="0" applyFont="1" applyFill="1" applyBorder="1" applyAlignment="1">
      <alignment horizontal="center" vertical="center"/>
    </xf>
    <xf numFmtId="0" fontId="67" fillId="35" borderId="85" xfId="0" applyFont="1" applyFill="1" applyBorder="1" applyAlignment="1">
      <alignment horizontal="center" vertical="center"/>
    </xf>
    <xf numFmtId="0" fontId="2" fillId="5" borderId="89" xfId="0" applyFont="1" applyFill="1" applyBorder="1" applyAlignment="1">
      <alignment horizontal="center" vertical="center" wrapText="1"/>
    </xf>
    <xf numFmtId="16" fontId="68" fillId="0" borderId="86" xfId="0" applyNumberFormat="1" applyFont="1" applyBorder="1" applyAlignment="1">
      <alignment horizontal="center" vertical="center"/>
    </xf>
    <xf numFmtId="0" fontId="67" fillId="35" borderId="86" xfId="0" applyFont="1" applyFill="1" applyBorder="1" applyAlignment="1">
      <alignment horizontal="center" vertical="center"/>
    </xf>
    <xf numFmtId="0" fontId="72" fillId="5" borderId="86" xfId="0" applyFont="1" applyFill="1" applyBorder="1" applyAlignment="1">
      <alignment horizontal="center" vertical="center"/>
    </xf>
    <xf numFmtId="0" fontId="71" fillId="5" borderId="86" xfId="0" applyFont="1" applyFill="1" applyBorder="1" applyAlignment="1">
      <alignment horizontal="center" vertical="center"/>
    </xf>
    <xf numFmtId="0" fontId="69" fillId="5" borderId="86" xfId="0" applyFont="1" applyFill="1" applyBorder="1" applyAlignment="1">
      <alignment horizontal="center" vertical="center"/>
    </xf>
    <xf numFmtId="0" fontId="2" fillId="5" borderId="87" xfId="0" applyFont="1" applyFill="1" applyBorder="1" applyAlignment="1">
      <alignment horizontal="center" vertical="center" wrapText="1"/>
    </xf>
    <xf numFmtId="16" fontId="68" fillId="0" borderId="1" xfId="0" applyNumberFormat="1" applyFont="1" applyBorder="1" applyAlignment="1">
      <alignment horizontal="center" vertical="center"/>
    </xf>
    <xf numFmtId="0" fontId="67" fillId="35" borderId="1" xfId="0" applyFont="1" applyFill="1" applyBorder="1" applyAlignment="1">
      <alignment horizontal="center" vertical="center"/>
    </xf>
    <xf numFmtId="0" fontId="71" fillId="4" borderId="86" xfId="0" applyFont="1" applyFill="1" applyBorder="1" applyAlignment="1">
      <alignment horizontal="center" vertical="center"/>
    </xf>
    <xf numFmtId="0" fontId="72" fillId="5" borderId="1" xfId="0" applyFont="1" applyFill="1" applyBorder="1" applyAlignment="1">
      <alignment horizontal="center" vertical="center"/>
    </xf>
    <xf numFmtId="0" fontId="71" fillId="5" borderId="1" xfId="0" applyFont="1" applyFill="1" applyBorder="1" applyAlignment="1">
      <alignment horizontal="center" vertical="center"/>
    </xf>
    <xf numFmtId="0" fontId="69" fillId="5" borderId="1" xfId="0" applyFont="1" applyFill="1" applyBorder="1" applyAlignment="1">
      <alignment horizontal="center" vertical="center"/>
    </xf>
    <xf numFmtId="0" fontId="69" fillId="8" borderId="86" xfId="0" applyFont="1" applyFill="1" applyBorder="1" applyAlignment="1">
      <alignment vertical="center"/>
    </xf>
    <xf numFmtId="0" fontId="67" fillId="5" borderId="1" xfId="0" applyFont="1" applyFill="1" applyBorder="1" applyAlignment="1">
      <alignment horizontal="center" vertical="center"/>
    </xf>
    <xf numFmtId="0" fontId="75" fillId="8" borderId="83" xfId="0" applyFont="1" applyFill="1" applyBorder="1" applyAlignment="1">
      <alignment horizontal="center" vertical="center"/>
    </xf>
    <xf numFmtId="0" fontId="69" fillId="8" borderId="83" xfId="0" applyFont="1" applyFill="1" applyBorder="1" applyAlignment="1">
      <alignment vertical="center"/>
    </xf>
    <xf numFmtId="0" fontId="75" fillId="8" borderId="85" xfId="0" applyFont="1" applyFill="1" applyBorder="1" applyAlignment="1">
      <alignment horizontal="center" vertical="center"/>
    </xf>
    <xf numFmtId="0" fontId="69" fillId="11" borderId="86" xfId="0" applyFont="1" applyFill="1" applyBorder="1" applyAlignment="1">
      <alignment vertical="center"/>
    </xf>
    <xf numFmtId="0" fontId="73" fillId="5" borderId="86" xfId="0" applyFont="1" applyFill="1" applyBorder="1" applyAlignment="1">
      <alignment horizontal="center" vertical="center"/>
    </xf>
    <xf numFmtId="0" fontId="69" fillId="52" borderId="83" xfId="0" applyFont="1" applyFill="1" applyBorder="1" applyAlignment="1">
      <alignment vertical="center"/>
    </xf>
    <xf numFmtId="0" fontId="73" fillId="5" borderId="83" xfId="0" applyFont="1" applyFill="1" applyBorder="1" applyAlignment="1">
      <alignment horizontal="center" vertical="center"/>
    </xf>
    <xf numFmtId="0" fontId="62" fillId="5" borderId="83" xfId="0" applyFont="1" applyFill="1" applyBorder="1" applyAlignment="1">
      <alignment horizontal="center" vertical="center"/>
    </xf>
    <xf numFmtId="0" fontId="62" fillId="45" borderId="83" xfId="0" applyFont="1" applyFill="1" applyBorder="1" applyAlignment="1">
      <alignment horizontal="center" vertical="center"/>
    </xf>
    <xf numFmtId="0" fontId="67" fillId="53" borderId="85" xfId="0" applyFont="1" applyFill="1" applyBorder="1" applyAlignment="1">
      <alignment horizontal="center" vertical="center"/>
    </xf>
    <xf numFmtId="0" fontId="2" fillId="5" borderId="85" xfId="0" applyFont="1" applyFill="1" applyBorder="1" applyAlignment="1">
      <alignment horizontal="center" vertical="center"/>
    </xf>
    <xf numFmtId="0" fontId="62" fillId="5" borderId="85" xfId="0" applyFont="1" applyFill="1" applyBorder="1" applyAlignment="1">
      <alignment horizontal="center" vertical="center"/>
    </xf>
    <xf numFmtId="0" fontId="62" fillId="45" borderId="85" xfId="0" applyFont="1" applyFill="1" applyBorder="1" applyAlignment="1">
      <alignment horizontal="center" vertical="center"/>
    </xf>
    <xf numFmtId="0" fontId="67" fillId="54" borderId="85" xfId="0" applyFont="1" applyFill="1" applyBorder="1" applyAlignment="1">
      <alignment horizontal="center" vertical="center"/>
    </xf>
    <xf numFmtId="0" fontId="66" fillId="5" borderId="85" xfId="0" applyFont="1" applyFill="1" applyBorder="1"/>
    <xf numFmtId="0" fontId="76" fillId="5" borderId="85" xfId="0" applyFont="1" applyFill="1" applyBorder="1" applyAlignment="1">
      <alignment horizontal="center" vertical="center"/>
    </xf>
    <xf numFmtId="0" fontId="67" fillId="11" borderId="85" xfId="0" applyFont="1" applyFill="1" applyBorder="1" applyAlignment="1">
      <alignment horizontal="center" vertical="center"/>
    </xf>
    <xf numFmtId="0" fontId="77" fillId="54" borderId="85" xfId="0" applyFont="1" applyFill="1" applyBorder="1" applyAlignment="1">
      <alignment horizontal="center" vertical="center"/>
    </xf>
    <xf numFmtId="0" fontId="62" fillId="33" borderId="85" xfId="0" applyFont="1" applyFill="1" applyBorder="1" applyAlignment="1">
      <alignment horizontal="center" vertical="center"/>
    </xf>
    <xf numFmtId="0" fontId="67" fillId="55" borderId="85" xfId="0" applyFont="1" applyFill="1" applyBorder="1" applyAlignment="1">
      <alignment horizontal="center" vertical="center"/>
    </xf>
    <xf numFmtId="0" fontId="39" fillId="5" borderId="85" xfId="1" applyFill="1" applyBorder="1" applyAlignment="1">
      <alignment horizontal="center" vertical="center"/>
    </xf>
    <xf numFmtId="0" fontId="69" fillId="8" borderId="85" xfId="0" applyFont="1" applyFill="1" applyBorder="1" applyAlignment="1">
      <alignment vertical="center"/>
    </xf>
    <xf numFmtId="16" fontId="68" fillId="0" borderId="2" xfId="0" applyNumberFormat="1" applyFont="1" applyBorder="1" applyAlignment="1">
      <alignment horizontal="center" vertical="center"/>
    </xf>
    <xf numFmtId="0" fontId="67" fillId="5" borderId="2" xfId="0" applyFont="1" applyFill="1" applyBorder="1" applyAlignment="1">
      <alignment horizontal="center" vertical="center"/>
    </xf>
    <xf numFmtId="0" fontId="67" fillId="4" borderId="2" xfId="0" applyFont="1" applyFill="1" applyBorder="1" applyAlignment="1">
      <alignment horizontal="center" vertical="center"/>
    </xf>
    <xf numFmtId="0" fontId="67" fillId="35" borderId="2" xfId="0" applyFont="1" applyFill="1" applyBorder="1" applyAlignment="1">
      <alignment horizontal="center" vertical="center"/>
    </xf>
    <xf numFmtId="0" fontId="67" fillId="55" borderId="2" xfId="0" applyFont="1" applyFill="1" applyBorder="1" applyAlignment="1">
      <alignment horizontal="center" vertical="center"/>
    </xf>
    <xf numFmtId="0" fontId="2" fillId="5" borderId="18" xfId="0" applyFont="1" applyFill="1" applyBorder="1" applyAlignment="1">
      <alignment horizontal="center" vertical="center" wrapText="1"/>
    </xf>
    <xf numFmtId="16" fontId="68" fillId="0" borderId="19" xfId="0" applyNumberFormat="1" applyFont="1" applyBorder="1" applyAlignment="1">
      <alignment horizontal="center" vertical="center"/>
    </xf>
    <xf numFmtId="0" fontId="67" fillId="5" borderId="19" xfId="0" applyFont="1" applyFill="1" applyBorder="1" applyAlignment="1">
      <alignment horizontal="center" vertical="center"/>
    </xf>
    <xf numFmtId="0" fontId="2" fillId="5" borderId="26" xfId="0" applyFont="1" applyFill="1" applyBorder="1" applyAlignment="1">
      <alignment horizontal="center" vertical="center" wrapText="1"/>
    </xf>
    <xf numFmtId="0" fontId="2" fillId="5" borderId="27" xfId="0" applyFont="1" applyFill="1" applyBorder="1" applyAlignment="1">
      <alignment horizontal="center" vertical="center" wrapText="1"/>
    </xf>
    <xf numFmtId="16" fontId="68" fillId="0" borderId="23" xfId="0" applyNumberFormat="1" applyFont="1" applyBorder="1" applyAlignment="1">
      <alignment horizontal="center" vertical="center"/>
    </xf>
    <xf numFmtId="0" fontId="67" fillId="5" borderId="23" xfId="0" applyFont="1" applyFill="1" applyBorder="1" applyAlignment="1">
      <alignment horizontal="center" vertical="center"/>
    </xf>
    <xf numFmtId="164" fontId="35" fillId="0" borderId="2" xfId="0" applyNumberFormat="1" applyFont="1" applyBorder="1" applyAlignment="1">
      <alignment horizontal="center"/>
    </xf>
    <xf numFmtId="0" fontId="11" fillId="3" borderId="2" xfId="0" applyFont="1" applyFill="1" applyBorder="1" applyAlignment="1">
      <alignment horizontal="center"/>
    </xf>
    <xf numFmtId="0" fontId="11" fillId="4" borderId="2" xfId="0" applyFont="1" applyFill="1" applyBorder="1" applyAlignment="1">
      <alignment horizontal="center"/>
    </xf>
    <xf numFmtId="164" fontId="35" fillId="0" borderId="25" xfId="0" applyNumberFormat="1" applyFont="1" applyBorder="1" applyAlignment="1">
      <alignment horizontal="center"/>
    </xf>
    <xf numFmtId="164" fontId="35" fillId="0" borderId="19" xfId="0" applyNumberFormat="1" applyFont="1" applyBorder="1" applyAlignment="1">
      <alignment horizontal="center"/>
    </xf>
    <xf numFmtId="164" fontId="35" fillId="0" borderId="20" xfId="0" applyNumberFormat="1" applyFont="1" applyBorder="1" applyAlignment="1">
      <alignment horizontal="center"/>
    </xf>
    <xf numFmtId="0" fontId="11" fillId="28" borderId="2" xfId="0" applyFont="1" applyFill="1" applyBorder="1" applyAlignment="1">
      <alignment horizontal="center"/>
    </xf>
    <xf numFmtId="164" fontId="35" fillId="0" borderId="23" xfId="0" applyNumberFormat="1" applyFont="1" applyBorder="1" applyAlignment="1">
      <alignment horizontal="center"/>
    </xf>
    <xf numFmtId="0" fontId="11" fillId="4" borderId="19" xfId="0" applyFont="1" applyFill="1" applyBorder="1" applyAlignment="1">
      <alignment horizontal="center"/>
    </xf>
    <xf numFmtId="0" fontId="11" fillId="12" borderId="2" xfId="0" applyFont="1" applyFill="1" applyBorder="1" applyAlignment="1">
      <alignment horizontal="center"/>
    </xf>
    <xf numFmtId="0" fontId="11" fillId="3" borderId="23" xfId="0" applyFont="1" applyFill="1" applyBorder="1" applyAlignment="1">
      <alignment horizontal="center"/>
    </xf>
    <xf numFmtId="0" fontId="11" fillId="3" borderId="25" xfId="0" applyFont="1" applyFill="1" applyBorder="1" applyAlignment="1">
      <alignment horizontal="center"/>
    </xf>
    <xf numFmtId="0" fontId="52" fillId="4" borderId="19" xfId="0" applyFont="1" applyFill="1" applyBorder="1" applyAlignment="1">
      <alignment horizontal="center"/>
    </xf>
    <xf numFmtId="0" fontId="8" fillId="0" borderId="22" xfId="0" applyFont="1" applyBorder="1" applyAlignment="1">
      <alignment horizontal="center" vertical="center" wrapText="1"/>
    </xf>
    <xf numFmtId="0" fontId="14" fillId="8" borderId="2" xfId="0" applyFont="1" applyFill="1" applyBorder="1" applyAlignment="1">
      <alignment horizontal="center" vertical="center"/>
    </xf>
    <xf numFmtId="0" fontId="50" fillId="0" borderId="19" xfId="0" applyFont="1" applyBorder="1" applyAlignment="1">
      <alignment horizontal="center" vertical="center"/>
    </xf>
    <xf numFmtId="0" fontId="11" fillId="3" borderId="19" xfId="0" applyFont="1" applyFill="1" applyBorder="1" applyAlignment="1">
      <alignment horizontal="center"/>
    </xf>
    <xf numFmtId="0" fontId="0" fillId="3" borderId="19" xfId="0" applyFill="1" applyBorder="1" applyAlignment="1">
      <alignment horizontal="center"/>
    </xf>
    <xf numFmtId="0" fontId="50" fillId="0" borderId="2" xfId="0" applyFont="1" applyBorder="1" applyAlignment="1">
      <alignment horizontal="center" vertical="center"/>
    </xf>
    <xf numFmtId="0" fontId="11" fillId="14" borderId="2" xfId="0" applyFont="1" applyFill="1" applyBorder="1" applyAlignment="1">
      <alignment horizontal="center"/>
    </xf>
    <xf numFmtId="0" fontId="11" fillId="24" borderId="2" xfId="0" applyFont="1" applyFill="1" applyBorder="1" applyAlignment="1">
      <alignment horizontal="center"/>
    </xf>
    <xf numFmtId="0" fontId="50" fillId="0" borderId="25" xfId="0" applyFont="1" applyBorder="1" applyAlignment="1">
      <alignment horizontal="center" vertical="center"/>
    </xf>
    <xf numFmtId="0" fontId="11" fillId="24" borderId="25" xfId="0" applyFont="1" applyFill="1" applyBorder="1" applyAlignment="1">
      <alignment horizontal="center"/>
    </xf>
    <xf numFmtId="0" fontId="0" fillId="3" borderId="25" xfId="0" applyFill="1" applyBorder="1" applyAlignment="1">
      <alignment horizontal="center"/>
    </xf>
    <xf numFmtId="0" fontId="2" fillId="3" borderId="25" xfId="0" applyFont="1" applyFill="1" applyBorder="1" applyAlignment="1">
      <alignment horizontal="center" vertical="center" wrapText="1"/>
    </xf>
    <xf numFmtId="0" fontId="52" fillId="0" borderId="25" xfId="0" applyFont="1" applyBorder="1" applyAlignment="1">
      <alignment horizontal="center"/>
    </xf>
    <xf numFmtId="0" fontId="43" fillId="48" borderId="25" xfId="0" applyFont="1" applyFill="1" applyBorder="1" applyAlignment="1">
      <alignment horizontal="center"/>
    </xf>
    <xf numFmtId="0" fontId="34" fillId="3" borderId="25" xfId="0" applyFont="1" applyFill="1" applyBorder="1" applyAlignment="1">
      <alignment horizontal="center" wrapText="1"/>
    </xf>
    <xf numFmtId="0" fontId="11" fillId="0" borderId="19" xfId="0" applyFont="1" applyBorder="1" applyAlignment="1">
      <alignment horizontal="center"/>
    </xf>
    <xf numFmtId="0" fontId="43" fillId="48" borderId="19" xfId="0" applyFont="1" applyFill="1" applyBorder="1" applyAlignment="1">
      <alignment horizontal="center"/>
    </xf>
    <xf numFmtId="0" fontId="50" fillId="0" borderId="23" xfId="0" applyFont="1" applyBorder="1" applyAlignment="1">
      <alignment horizontal="center" vertical="center"/>
    </xf>
    <xf numFmtId="0" fontId="11" fillId="0" borderId="23" xfId="0" applyFont="1" applyBorder="1" applyAlignment="1">
      <alignment horizontal="center"/>
    </xf>
    <xf numFmtId="0" fontId="14" fillId="8" borderId="23" xfId="0" applyFont="1" applyFill="1" applyBorder="1" applyAlignment="1">
      <alignment horizontal="center" vertical="center"/>
    </xf>
    <xf numFmtId="0" fontId="11" fillId="3" borderId="20" xfId="0" applyFont="1" applyFill="1" applyBorder="1" applyAlignment="1">
      <alignment horizontal="center"/>
    </xf>
    <xf numFmtId="0" fontId="14" fillId="8" borderId="20" xfId="0" applyFont="1" applyFill="1" applyBorder="1" applyAlignment="1">
      <alignment horizontal="center" vertical="center"/>
    </xf>
    <xf numFmtId="164" fontId="35" fillId="0" borderId="28" xfId="0" applyNumberFormat="1" applyFont="1" applyBorder="1" applyAlignment="1">
      <alignment horizontal="center"/>
    </xf>
    <xf numFmtId="0" fontId="50" fillId="0" borderId="28" xfId="0" applyFont="1" applyBorder="1" applyAlignment="1">
      <alignment horizontal="center" vertical="center"/>
    </xf>
    <xf numFmtId="0" fontId="11" fillId="3" borderId="28" xfId="0" applyFont="1" applyFill="1" applyBorder="1" applyAlignment="1">
      <alignment horizontal="center"/>
    </xf>
    <xf numFmtId="0" fontId="56" fillId="3" borderId="28" xfId="0" applyFont="1" applyFill="1" applyBorder="1" applyAlignment="1">
      <alignment horizontal="center"/>
    </xf>
    <xf numFmtId="0" fontId="14" fillId="8" borderId="28" xfId="0" applyFont="1" applyFill="1" applyBorder="1" applyAlignment="1">
      <alignment horizontal="center" vertical="center"/>
    </xf>
    <xf numFmtId="0" fontId="50" fillId="3" borderId="28" xfId="0" applyFont="1" applyFill="1" applyBorder="1" applyAlignment="1">
      <alignment horizontal="center"/>
    </xf>
    <xf numFmtId="0" fontId="0" fillId="3" borderId="29" xfId="0" applyFill="1" applyBorder="1" applyAlignment="1">
      <alignment horizontal="center"/>
    </xf>
    <xf numFmtId="0" fontId="11" fillId="31" borderId="19" xfId="0" applyFont="1" applyFill="1" applyBorder="1" applyAlignment="1">
      <alignment horizontal="center"/>
    </xf>
    <xf numFmtId="0" fontId="52" fillId="25" borderId="19" xfId="0" applyFont="1" applyFill="1" applyBorder="1" applyAlignment="1">
      <alignment horizontal="center"/>
    </xf>
    <xf numFmtId="0" fontId="50" fillId="3" borderId="21" xfId="0" applyFont="1" applyFill="1" applyBorder="1" applyAlignment="1">
      <alignment horizontal="center"/>
    </xf>
    <xf numFmtId="0" fontId="11" fillId="31" borderId="2" xfId="0" applyFont="1" applyFill="1" applyBorder="1" applyAlignment="1">
      <alignment horizontal="center"/>
    </xf>
    <xf numFmtId="0" fontId="52" fillId="25" borderId="2" xfId="0" applyFont="1" applyFill="1" applyBorder="1" applyAlignment="1">
      <alignment horizontal="center"/>
    </xf>
    <xf numFmtId="0" fontId="50" fillId="3" borderId="22" xfId="0" applyFont="1" applyFill="1" applyBorder="1" applyAlignment="1">
      <alignment horizontal="center"/>
    </xf>
    <xf numFmtId="0" fontId="11" fillId="37" borderId="2" xfId="0" applyFont="1" applyFill="1" applyBorder="1" applyAlignment="1">
      <alignment horizontal="center"/>
    </xf>
    <xf numFmtId="0" fontId="14" fillId="0" borderId="2" xfId="0" applyFont="1" applyBorder="1" applyAlignment="1">
      <alignment vertical="center"/>
    </xf>
    <xf numFmtId="0" fontId="11" fillId="30" borderId="25" xfId="0" applyFont="1" applyFill="1" applyBorder="1" applyAlignment="1">
      <alignment horizontal="center"/>
    </xf>
    <xf numFmtId="0" fontId="43" fillId="3" borderId="47" xfId="0" applyFont="1" applyFill="1" applyBorder="1" applyAlignment="1">
      <alignment horizontal="center"/>
    </xf>
    <xf numFmtId="0" fontId="11" fillId="30" borderId="19" xfId="0" applyFont="1" applyFill="1" applyBorder="1" applyAlignment="1">
      <alignment horizontal="center"/>
    </xf>
    <xf numFmtId="0" fontId="43" fillId="3" borderId="21" xfId="0" applyFont="1" applyFill="1" applyBorder="1" applyAlignment="1">
      <alignment horizontal="center"/>
    </xf>
    <xf numFmtId="0" fontId="11" fillId="24" borderId="19" xfId="0" applyFont="1" applyFill="1" applyBorder="1" applyAlignment="1">
      <alignment horizontal="center"/>
    </xf>
    <xf numFmtId="0" fontId="11" fillId="0" borderId="2" xfId="0" applyFont="1" applyBorder="1" applyAlignment="1">
      <alignment horizontal="center"/>
    </xf>
    <xf numFmtId="0" fontId="45" fillId="3" borderId="22" xfId="0" applyFont="1" applyFill="1" applyBorder="1" applyAlignment="1">
      <alignment horizontal="center"/>
    </xf>
    <xf numFmtId="0" fontId="52" fillId="3" borderId="22" xfId="0" applyFont="1" applyFill="1" applyBorder="1" applyAlignment="1">
      <alignment horizontal="center"/>
    </xf>
    <xf numFmtId="0" fontId="50" fillId="0" borderId="45" xfId="0" applyFont="1" applyBorder="1" applyAlignment="1">
      <alignment horizontal="center" vertical="center"/>
    </xf>
    <xf numFmtId="0" fontId="11" fillId="32" borderId="25" xfId="0" applyFont="1" applyFill="1" applyBorder="1" applyAlignment="1">
      <alignment horizontal="center"/>
    </xf>
    <xf numFmtId="0" fontId="52" fillId="4" borderId="25" xfId="0" applyFont="1" applyFill="1" applyBorder="1" applyAlignment="1">
      <alignment horizontal="center"/>
    </xf>
    <xf numFmtId="0" fontId="46" fillId="0" borderId="19" xfId="0" applyFont="1" applyBorder="1" applyAlignment="1">
      <alignment horizontal="center"/>
    </xf>
    <xf numFmtId="0" fontId="11" fillId="32" borderId="2" xfId="0" applyFont="1" applyFill="1" applyBorder="1" applyAlignment="1">
      <alignment horizontal="center"/>
    </xf>
    <xf numFmtId="0" fontId="11" fillId="31" borderId="25" xfId="0" applyFont="1" applyFill="1" applyBorder="1" applyAlignment="1">
      <alignment horizontal="center"/>
    </xf>
    <xf numFmtId="0" fontId="50" fillId="12" borderId="25" xfId="0" applyFont="1" applyFill="1" applyBorder="1" applyAlignment="1">
      <alignment horizontal="center"/>
    </xf>
    <xf numFmtId="0" fontId="52" fillId="3" borderId="47" xfId="0" applyFont="1" applyFill="1" applyBorder="1" applyAlignment="1">
      <alignment horizontal="center" wrapText="1"/>
    </xf>
    <xf numFmtId="0" fontId="52" fillId="3" borderId="19" xfId="0" applyFont="1" applyFill="1" applyBorder="1" applyAlignment="1">
      <alignment horizontal="center" vertical="center"/>
    </xf>
    <xf numFmtId="0" fontId="78" fillId="3" borderId="22" xfId="0" applyFont="1" applyFill="1" applyBorder="1" applyAlignment="1">
      <alignment horizontal="left"/>
    </xf>
    <xf numFmtId="0" fontId="78" fillId="3" borderId="24" xfId="0" applyFont="1" applyFill="1" applyBorder="1" applyAlignment="1">
      <alignment horizontal="left"/>
    </xf>
    <xf numFmtId="164" fontId="35" fillId="0" borderId="48" xfId="0" applyNumberFormat="1" applyFont="1" applyBorder="1" applyAlignment="1">
      <alignment horizontal="center"/>
    </xf>
    <xf numFmtId="0" fontId="50" fillId="0" borderId="48" xfId="0" applyFont="1" applyBorder="1" applyAlignment="1">
      <alignment horizontal="center" vertical="center"/>
    </xf>
    <xf numFmtId="0" fontId="11" fillId="3" borderId="48" xfId="0" applyFont="1" applyFill="1" applyBorder="1" applyAlignment="1">
      <alignment horizontal="center"/>
    </xf>
    <xf numFmtId="0" fontId="52" fillId="3" borderId="48" xfId="0" applyFont="1" applyFill="1" applyBorder="1" applyAlignment="1">
      <alignment horizontal="center"/>
    </xf>
    <xf numFmtId="0" fontId="14" fillId="8" borderId="48" xfId="0" applyFont="1" applyFill="1" applyBorder="1" applyAlignment="1">
      <alignment horizontal="center" vertical="center"/>
    </xf>
    <xf numFmtId="0" fontId="50" fillId="3" borderId="48" xfId="0" applyFont="1" applyFill="1" applyBorder="1" applyAlignment="1">
      <alignment horizontal="center"/>
    </xf>
    <xf numFmtId="0" fontId="78" fillId="3" borderId="68" xfId="0" applyFont="1" applyFill="1" applyBorder="1" applyAlignment="1">
      <alignment horizontal="left"/>
    </xf>
    <xf numFmtId="0" fontId="78" fillId="3" borderId="21" xfId="0" applyFont="1" applyFill="1" applyBorder="1" applyAlignment="1">
      <alignment horizontal="left"/>
    </xf>
    <xf numFmtId="0" fontId="14" fillId="3" borderId="2" xfId="0" applyFont="1" applyFill="1" applyBorder="1" applyAlignment="1">
      <alignment vertical="center"/>
    </xf>
    <xf numFmtId="0" fontId="11" fillId="13" borderId="2" xfId="0" applyFont="1" applyFill="1" applyBorder="1" applyAlignment="1">
      <alignment horizontal="center"/>
    </xf>
    <xf numFmtId="0" fontId="11" fillId="13" borderId="25" xfId="0" applyFont="1" applyFill="1" applyBorder="1" applyAlignment="1">
      <alignment horizontal="center"/>
    </xf>
    <xf numFmtId="0" fontId="14" fillId="0" borderId="25" xfId="0" applyFont="1" applyBorder="1" applyAlignment="1">
      <alignment horizontal="center" vertical="center"/>
    </xf>
    <xf numFmtId="0" fontId="14" fillId="8" borderId="25" xfId="0" applyFont="1" applyFill="1" applyBorder="1" applyAlignment="1">
      <alignment horizontal="center" vertical="center"/>
    </xf>
    <xf numFmtId="0" fontId="78" fillId="3" borderId="47" xfId="0" applyFont="1" applyFill="1" applyBorder="1" applyAlignment="1">
      <alignment horizontal="left" vertical="center" wrapText="1"/>
    </xf>
    <xf numFmtId="0" fontId="11" fillId="13" borderId="23" xfId="0" applyFont="1" applyFill="1" applyBorder="1" applyAlignment="1">
      <alignment horizontal="center"/>
    </xf>
    <xf numFmtId="0" fontId="14" fillId="3" borderId="25" xfId="0" applyFont="1" applyFill="1" applyBorder="1" applyAlignment="1">
      <alignment vertical="center"/>
    </xf>
    <xf numFmtId="0" fontId="14" fillId="3" borderId="23" xfId="0" applyFont="1" applyFill="1" applyBorder="1" applyAlignment="1">
      <alignment vertical="center"/>
    </xf>
    <xf numFmtId="0" fontId="56" fillId="4" borderId="23" xfId="0" applyFont="1" applyFill="1" applyBorder="1" applyAlignment="1">
      <alignment horizontal="center"/>
    </xf>
    <xf numFmtId="0" fontId="78" fillId="3" borderId="24" xfId="0" applyFont="1" applyFill="1" applyBorder="1" applyAlignment="1">
      <alignment horizontal="left" wrapText="1"/>
    </xf>
    <xf numFmtId="164" fontId="35" fillId="0" borderId="45" xfId="0" applyNumberFormat="1" applyFont="1" applyBorder="1" applyAlignment="1">
      <alignment horizontal="center"/>
    </xf>
    <xf numFmtId="0" fontId="11" fillId="3" borderId="45" xfId="0" applyFont="1" applyFill="1" applyBorder="1" applyAlignment="1">
      <alignment horizontal="center"/>
    </xf>
    <xf numFmtId="0" fontId="58" fillId="0" borderId="45" xfId="0" applyFont="1" applyBorder="1" applyAlignment="1">
      <alignment horizontal="center" vertical="center"/>
    </xf>
    <xf numFmtId="0" fontId="64" fillId="0" borderId="45" xfId="0" applyFont="1" applyBorder="1" applyAlignment="1">
      <alignment horizontal="center" vertical="center"/>
    </xf>
    <xf numFmtId="0" fontId="64" fillId="0" borderId="45" xfId="0" applyFont="1" applyBorder="1" applyAlignment="1">
      <alignment horizontal="center"/>
    </xf>
    <xf numFmtId="0" fontId="43" fillId="3" borderId="45" xfId="0" applyFont="1" applyFill="1" applyBorder="1" applyAlignment="1">
      <alignment horizontal="center"/>
    </xf>
    <xf numFmtId="0" fontId="78" fillId="3" borderId="70" xfId="0" applyFont="1" applyFill="1" applyBorder="1" applyAlignment="1">
      <alignment horizontal="left"/>
    </xf>
    <xf numFmtId="0" fontId="64" fillId="0" borderId="2" xfId="0" applyFont="1" applyBorder="1" applyAlignment="1">
      <alignment horizontal="center" vertical="center"/>
    </xf>
    <xf numFmtId="0" fontId="64" fillId="0" borderId="2" xfId="0" applyFont="1" applyBorder="1" applyAlignment="1">
      <alignment horizontal="center"/>
    </xf>
    <xf numFmtId="0" fontId="78" fillId="3" borderId="2" xfId="0" applyFont="1" applyFill="1" applyBorder="1" applyAlignment="1">
      <alignment horizontal="left"/>
    </xf>
    <xf numFmtId="164" fontId="35" fillId="0" borderId="51" xfId="0" applyNumberFormat="1" applyFont="1" applyBorder="1" applyAlignment="1">
      <alignment horizontal="center"/>
    </xf>
    <xf numFmtId="0" fontId="11" fillId="33" borderId="20" xfId="0" applyFont="1" applyFill="1" applyBorder="1" applyAlignment="1">
      <alignment horizontal="center"/>
    </xf>
    <xf numFmtId="0" fontId="58" fillId="0" borderId="51" xfId="0" applyFont="1" applyBorder="1" applyAlignment="1">
      <alignment horizontal="center" vertical="center"/>
    </xf>
    <xf numFmtId="0" fontId="58" fillId="0" borderId="20" xfId="0" applyFont="1" applyBorder="1" applyAlignment="1">
      <alignment horizontal="center" vertical="center"/>
    </xf>
    <xf numFmtId="0" fontId="64" fillId="0" borderId="20" xfId="0" applyFont="1" applyBorder="1" applyAlignment="1">
      <alignment horizontal="center" vertical="center"/>
    </xf>
    <xf numFmtId="0" fontId="64" fillId="0" borderId="20" xfId="0" applyFont="1" applyBorder="1" applyAlignment="1">
      <alignment horizontal="center"/>
    </xf>
    <xf numFmtId="0" fontId="43" fillId="37" borderId="20" xfId="0" applyFont="1" applyFill="1" applyBorder="1" applyAlignment="1">
      <alignment horizontal="center"/>
    </xf>
    <xf numFmtId="0" fontId="56" fillId="4" borderId="20" xfId="0" applyFont="1" applyFill="1" applyBorder="1" applyAlignment="1">
      <alignment horizontal="center"/>
    </xf>
    <xf numFmtId="0" fontId="78" fillId="3" borderId="20" xfId="0" applyFont="1" applyFill="1" applyBorder="1" applyAlignment="1">
      <alignment horizontal="left"/>
    </xf>
    <xf numFmtId="0" fontId="64" fillId="3" borderId="19" xfId="0" applyFont="1" applyFill="1" applyBorder="1" applyAlignment="1">
      <alignment horizontal="center" vertical="center"/>
    </xf>
    <xf numFmtId="0" fontId="64" fillId="3" borderId="19" xfId="0" applyFont="1" applyFill="1" applyBorder="1" applyAlignment="1">
      <alignment horizontal="center"/>
    </xf>
    <xf numFmtId="0" fontId="11" fillId="3" borderId="51" xfId="0" applyFont="1" applyFill="1" applyBorder="1" applyAlignment="1">
      <alignment horizontal="center"/>
    </xf>
    <xf numFmtId="0" fontId="45" fillId="0" borderId="51" xfId="0" applyFont="1" applyBorder="1" applyAlignment="1">
      <alignment horizontal="center"/>
    </xf>
    <xf numFmtId="0" fontId="43" fillId="3" borderId="51" xfId="0" applyFont="1" applyFill="1" applyBorder="1" applyAlignment="1">
      <alignment horizontal="center" vertical="center"/>
    </xf>
    <xf numFmtId="0" fontId="64" fillId="3" borderId="51" xfId="0" applyFont="1" applyFill="1" applyBorder="1" applyAlignment="1">
      <alignment horizontal="center" vertical="center"/>
    </xf>
    <xf numFmtId="0" fontId="64" fillId="3" borderId="51" xfId="0" applyFont="1" applyFill="1" applyBorder="1" applyAlignment="1">
      <alignment horizontal="center"/>
    </xf>
    <xf numFmtId="0" fontId="63" fillId="15" borderId="51" xfId="0" applyFont="1" applyFill="1" applyBorder="1" applyAlignment="1">
      <alignment horizontal="center"/>
    </xf>
    <xf numFmtId="0" fontId="78" fillId="3" borderId="52" xfId="0" applyFont="1" applyFill="1" applyBorder="1" applyAlignment="1">
      <alignment horizontal="left"/>
    </xf>
    <xf numFmtId="0" fontId="11" fillId="4" borderId="25" xfId="0" applyFont="1" applyFill="1" applyBorder="1" applyAlignment="1">
      <alignment horizontal="center"/>
    </xf>
    <xf numFmtId="0" fontId="0" fillId="4" borderId="25" xfId="0" applyFill="1" applyBorder="1" applyAlignment="1">
      <alignment horizontal="center"/>
    </xf>
    <xf numFmtId="0" fontId="78" fillId="0" borderId="47" xfId="0" applyFont="1" applyBorder="1" applyAlignment="1">
      <alignment horizontal="left"/>
    </xf>
    <xf numFmtId="0" fontId="14" fillId="8" borderId="19" xfId="0" applyFont="1" applyFill="1" applyBorder="1" applyAlignment="1">
      <alignment horizontal="center" vertical="center"/>
    </xf>
    <xf numFmtId="0" fontId="78" fillId="0" borderId="21" xfId="0" applyFont="1" applyBorder="1" applyAlignment="1">
      <alignment horizontal="left"/>
    </xf>
    <xf numFmtId="0" fontId="78" fillId="0" borderId="22" xfId="0" applyFont="1" applyBorder="1" applyAlignment="1">
      <alignment horizontal="left"/>
    </xf>
    <xf numFmtId="0" fontId="50" fillId="0" borderId="51" xfId="0" applyFont="1" applyBorder="1" applyAlignment="1">
      <alignment horizontal="center" vertical="center"/>
    </xf>
    <xf numFmtId="0" fontId="11" fillId="4" borderId="21" xfId="0" applyFont="1" applyFill="1" applyBorder="1" applyAlignment="1">
      <alignment horizontal="center"/>
    </xf>
    <xf numFmtId="0" fontId="46" fillId="0" borderId="4" xfId="0" applyFont="1" applyBorder="1" applyAlignment="1">
      <alignment horizontal="center"/>
    </xf>
    <xf numFmtId="0" fontId="46" fillId="0" borderId="35" xfId="0" applyFont="1" applyBorder="1" applyAlignment="1">
      <alignment horizontal="center"/>
    </xf>
    <xf numFmtId="0" fontId="11" fillId="14" borderId="22" xfId="0" applyFont="1" applyFill="1" applyBorder="1" applyAlignment="1">
      <alignment horizontal="center"/>
    </xf>
    <xf numFmtId="0" fontId="45" fillId="0" borderId="32" xfId="0" applyFont="1" applyBorder="1" applyAlignment="1">
      <alignment horizontal="center"/>
    </xf>
    <xf numFmtId="0" fontId="11" fillId="3" borderId="22" xfId="0" applyFont="1" applyFill="1" applyBorder="1" applyAlignment="1">
      <alignment horizontal="center"/>
    </xf>
    <xf numFmtId="0" fontId="79" fillId="0" borderId="0" xfId="0" applyFont="1" applyAlignment="1">
      <alignment horizontal="center"/>
    </xf>
    <xf numFmtId="0" fontId="79" fillId="0" borderId="32" xfId="0" applyFont="1" applyBorder="1" applyAlignment="1">
      <alignment horizontal="center"/>
    </xf>
    <xf numFmtId="0" fontId="79" fillId="0" borderId="30" xfId="0" applyFont="1" applyBorder="1" applyAlignment="1">
      <alignment horizontal="center"/>
    </xf>
    <xf numFmtId="0" fontId="53" fillId="14" borderId="2" xfId="0" applyFont="1" applyFill="1" applyBorder="1" applyAlignment="1">
      <alignment horizontal="center"/>
    </xf>
    <xf numFmtId="0" fontId="78" fillId="0" borderId="22" xfId="0" applyFont="1" applyBorder="1" applyAlignment="1">
      <alignment horizontal="left" wrapText="1"/>
    </xf>
    <xf numFmtId="0" fontId="11" fillId="3" borderId="24" xfId="0" applyFont="1" applyFill="1" applyBorder="1" applyAlignment="1">
      <alignment horizontal="center"/>
    </xf>
    <xf numFmtId="0" fontId="53" fillId="0" borderId="31" xfId="0" applyFont="1" applyBorder="1" applyAlignment="1">
      <alignment horizontal="center" vertical="center"/>
    </xf>
    <xf numFmtId="0" fontId="78" fillId="0" borderId="24" xfId="0" applyFont="1" applyBorder="1" applyAlignment="1">
      <alignment horizontal="left"/>
    </xf>
    <xf numFmtId="0" fontId="11" fillId="3" borderId="29" xfId="0" applyFont="1" applyFill="1" applyBorder="1" applyAlignment="1">
      <alignment horizontal="center"/>
    </xf>
    <xf numFmtId="0" fontId="14" fillId="8" borderId="82" xfId="0" applyFont="1" applyFill="1" applyBorder="1" applyAlignment="1">
      <alignment horizontal="center" vertical="center"/>
    </xf>
    <xf numFmtId="0" fontId="0" fillId="0" borderId="63" xfId="0" applyBorder="1"/>
    <xf numFmtId="0" fontId="8" fillId="0" borderId="77" xfId="0" applyFont="1" applyBorder="1" applyAlignment="1">
      <alignment horizontal="center" vertical="center" wrapText="1"/>
    </xf>
    <xf numFmtId="0" fontId="78" fillId="0" borderId="29" xfId="0" applyFont="1" applyBorder="1" applyAlignment="1">
      <alignment horizontal="left" vertical="center"/>
    </xf>
    <xf numFmtId="0" fontId="15" fillId="12" borderId="2" xfId="0" applyFont="1" applyFill="1" applyBorder="1" applyAlignment="1">
      <alignment horizontal="center" vertical="center" wrapText="1"/>
    </xf>
    <xf numFmtId="0" fontId="12" fillId="0" borderId="30" xfId="0" applyFont="1" applyBorder="1" applyAlignment="1">
      <alignment horizontal="center" vertical="center" wrapText="1"/>
    </xf>
    <xf numFmtId="0" fontId="0" fillId="0" borderId="55" xfId="0" applyBorder="1" applyAlignment="1">
      <alignment horizontal="center"/>
    </xf>
    <xf numFmtId="0" fontId="45" fillId="3" borderId="33" xfId="0" applyFont="1" applyFill="1" applyBorder="1" applyAlignment="1">
      <alignment horizontal="center"/>
    </xf>
    <xf numFmtId="0" fontId="11" fillId="3" borderId="25" xfId="0" applyFont="1" applyFill="1" applyBorder="1" applyAlignment="1">
      <alignment horizontal="center" wrapText="1"/>
    </xf>
    <xf numFmtId="0" fontId="79" fillId="3" borderId="25" xfId="0" applyFont="1" applyFill="1" applyBorder="1" applyAlignment="1">
      <alignment horizontal="center"/>
    </xf>
    <xf numFmtId="0" fontId="26" fillId="5" borderId="51" xfId="0" applyFont="1" applyFill="1" applyBorder="1" applyAlignment="1">
      <alignment horizontal="center" vertical="center" wrapText="1"/>
    </xf>
    <xf numFmtId="0" fontId="11" fillId="3" borderId="21" xfId="0" applyFont="1" applyFill="1" applyBorder="1" applyAlignment="1">
      <alignment horizontal="center"/>
    </xf>
    <xf numFmtId="0" fontId="50" fillId="3" borderId="18" xfId="0" applyFont="1" applyFill="1" applyBorder="1" applyAlignment="1">
      <alignment horizontal="center"/>
    </xf>
    <xf numFmtId="0" fontId="14" fillId="0" borderId="57" xfId="0" applyFont="1" applyBorder="1" applyAlignment="1">
      <alignment horizontal="center" vertical="center"/>
    </xf>
    <xf numFmtId="0" fontId="14" fillId="0" borderId="32" xfId="0" applyFont="1" applyBorder="1" applyAlignment="1">
      <alignment horizontal="center" vertical="center"/>
    </xf>
    <xf numFmtId="0" fontId="14" fillId="0" borderId="2" xfId="0" applyFont="1" applyBorder="1" applyAlignment="1">
      <alignment horizontal="center" vertical="center"/>
    </xf>
    <xf numFmtId="0" fontId="50" fillId="3" borderId="46" xfId="0" applyFont="1" applyFill="1" applyBorder="1" applyAlignment="1">
      <alignment horizontal="center"/>
    </xf>
    <xf numFmtId="0" fontId="43" fillId="11" borderId="25" xfId="0" applyFont="1" applyFill="1" applyBorder="1" applyAlignment="1">
      <alignment horizontal="center"/>
    </xf>
    <xf numFmtId="0" fontId="45" fillId="3" borderId="36" xfId="0" applyFont="1" applyFill="1" applyBorder="1" applyAlignment="1">
      <alignment horizontal="center"/>
    </xf>
    <xf numFmtId="0" fontId="58" fillId="3" borderId="36" xfId="0" applyFont="1" applyFill="1" applyBorder="1" applyAlignment="1">
      <alignment horizontal="center"/>
    </xf>
    <xf numFmtId="0" fontId="56" fillId="0" borderId="19" xfId="0" applyFont="1" applyBorder="1" applyAlignment="1">
      <alignment horizontal="center" vertical="center"/>
    </xf>
    <xf numFmtId="0" fontId="43" fillId="11" borderId="19" xfId="0" applyFont="1" applyFill="1" applyBorder="1" applyAlignment="1">
      <alignment horizontal="center" vertical="center"/>
    </xf>
    <xf numFmtId="0" fontId="10" fillId="0" borderId="21" xfId="0" applyFont="1" applyBorder="1" applyAlignment="1">
      <alignment horizontal="left"/>
    </xf>
    <xf numFmtId="0" fontId="11" fillId="31" borderId="22" xfId="0" applyFont="1" applyFill="1" applyBorder="1" applyAlignment="1">
      <alignment horizontal="center"/>
    </xf>
    <xf numFmtId="0" fontId="56" fillId="0" borderId="2" xfId="0" applyFont="1" applyBorder="1" applyAlignment="1">
      <alignment horizontal="center" vertical="center"/>
    </xf>
    <xf numFmtId="0" fontId="11" fillId="31" borderId="47" xfId="0" applyFont="1" applyFill="1" applyBorder="1" applyAlignment="1">
      <alignment horizontal="center" vertical="center"/>
    </xf>
    <xf numFmtId="0" fontId="43" fillId="22" borderId="25" xfId="0" applyFont="1" applyFill="1" applyBorder="1" applyAlignment="1">
      <alignment horizontal="center" vertical="center"/>
    </xf>
    <xf numFmtId="0" fontId="52" fillId="14" borderId="19" xfId="0" applyFont="1" applyFill="1" applyBorder="1" applyAlignment="1">
      <alignment horizontal="center"/>
    </xf>
    <xf numFmtId="0" fontId="11" fillId="24" borderId="22" xfId="0" applyFont="1" applyFill="1" applyBorder="1" applyAlignment="1">
      <alignment horizontal="center"/>
    </xf>
    <xf numFmtId="0" fontId="11" fillId="24" borderId="23" xfId="0" applyFont="1" applyFill="1" applyBorder="1" applyAlignment="1">
      <alignment horizontal="center"/>
    </xf>
    <xf numFmtId="0" fontId="11" fillId="24" borderId="24" xfId="0" applyFont="1" applyFill="1" applyBorder="1" applyAlignment="1">
      <alignment horizontal="center"/>
    </xf>
    <xf numFmtId="0" fontId="45" fillId="3" borderId="53" xfId="0" applyFont="1" applyFill="1" applyBorder="1" applyAlignment="1">
      <alignment horizontal="center"/>
    </xf>
    <xf numFmtId="0" fontId="11" fillId="31" borderId="2" xfId="0" applyFont="1" applyFill="1" applyBorder="1" applyAlignment="1">
      <alignment horizontal="center" vertical="center" wrapText="1"/>
    </xf>
    <xf numFmtId="0" fontId="11" fillId="31" borderId="22" xfId="0" applyFont="1" applyFill="1" applyBorder="1" applyAlignment="1">
      <alignment horizontal="center" vertical="center"/>
    </xf>
    <xf numFmtId="0" fontId="14" fillId="0" borderId="55" xfId="0" applyFont="1" applyBorder="1" applyAlignment="1">
      <alignment vertical="center"/>
    </xf>
    <xf numFmtId="0" fontId="14" fillId="0" borderId="32" xfId="0" applyFont="1" applyBorder="1" applyAlignment="1">
      <alignment vertical="center"/>
    </xf>
    <xf numFmtId="0" fontId="52" fillId="4" borderId="32" xfId="0" applyFont="1" applyFill="1" applyBorder="1" applyAlignment="1">
      <alignment horizontal="center"/>
    </xf>
    <xf numFmtId="0" fontId="52" fillId="4" borderId="30" xfId="0" applyFont="1" applyFill="1" applyBorder="1" applyAlignment="1">
      <alignment horizontal="center"/>
    </xf>
    <xf numFmtId="0" fontId="11" fillId="3" borderId="25" xfId="0" applyFont="1" applyFill="1" applyBorder="1" applyAlignment="1">
      <alignment horizontal="center" vertical="center" wrapText="1"/>
    </xf>
    <xf numFmtId="0" fontId="11" fillId="3" borderId="47" xfId="0" applyFont="1" applyFill="1" applyBorder="1" applyAlignment="1">
      <alignment horizontal="center"/>
    </xf>
    <xf numFmtId="0" fontId="58" fillId="3" borderId="37" xfId="0" applyFont="1" applyFill="1" applyBorder="1" applyAlignment="1">
      <alignment horizontal="center"/>
    </xf>
    <xf numFmtId="0" fontId="22" fillId="5"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22" fillId="8" borderId="30"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26" borderId="2" xfId="0" applyFont="1" applyFill="1" applyBorder="1" applyAlignment="1">
      <alignment horizontal="center" vertical="center" wrapText="1"/>
    </xf>
    <xf numFmtId="0" fontId="17" fillId="5" borderId="25" xfId="0" applyFont="1" applyFill="1" applyBorder="1" applyAlignment="1">
      <alignment horizontal="center" vertical="center" wrapText="1"/>
    </xf>
    <xf numFmtId="0" fontId="22" fillId="5" borderId="25" xfId="0" applyFont="1" applyFill="1" applyBorder="1" applyAlignment="1">
      <alignment horizontal="center" vertical="center" wrapText="1"/>
    </xf>
    <xf numFmtId="0" fontId="52" fillId="14" borderId="25" xfId="0" applyFont="1" applyFill="1" applyBorder="1" applyAlignment="1">
      <alignment horizontal="center"/>
    </xf>
    <xf numFmtId="0" fontId="11" fillId="4" borderId="19" xfId="0" applyFont="1" applyFill="1" applyBorder="1" applyAlignment="1">
      <alignment horizontal="center" vertical="center"/>
    </xf>
    <xf numFmtId="0" fontId="80" fillId="20" borderId="2" xfId="0" applyFont="1" applyFill="1" applyBorder="1" applyAlignment="1">
      <alignment horizontal="center" vertical="center"/>
    </xf>
    <xf numFmtId="0" fontId="80" fillId="20" borderId="25" xfId="0" applyFont="1" applyFill="1" applyBorder="1" applyAlignment="1">
      <alignment horizontal="center" vertical="center"/>
    </xf>
    <xf numFmtId="0" fontId="15" fillId="5" borderId="25" xfId="0" applyFont="1" applyFill="1" applyBorder="1" applyAlignment="1">
      <alignment horizontal="center" vertical="center" wrapText="1"/>
    </xf>
    <xf numFmtId="0" fontId="38" fillId="8" borderId="25" xfId="0" applyFont="1" applyFill="1" applyBorder="1" applyAlignment="1">
      <alignment horizontal="center" vertical="center" wrapText="1"/>
    </xf>
    <xf numFmtId="0" fontId="0" fillId="22" borderId="19" xfId="0" applyFill="1" applyBorder="1"/>
    <xf numFmtId="0" fontId="21" fillId="33" borderId="19" xfId="0" applyFont="1" applyFill="1" applyBorder="1" applyAlignment="1">
      <alignment horizontal="center" vertical="center" wrapText="1"/>
    </xf>
    <xf numFmtId="0" fontId="28" fillId="5" borderId="2" xfId="0" applyFont="1" applyFill="1" applyBorder="1" applyAlignment="1">
      <alignment horizontal="center" vertical="center" wrapText="1"/>
    </xf>
    <xf numFmtId="0" fontId="81" fillId="50" borderId="2" xfId="0" applyFont="1" applyFill="1" applyBorder="1" applyAlignment="1">
      <alignment horizontal="center" vertical="center" wrapText="1"/>
    </xf>
    <xf numFmtId="0" fontId="38" fillId="0" borderId="2" xfId="0" applyFont="1" applyBorder="1" applyAlignment="1">
      <alignment vertical="center" wrapText="1"/>
    </xf>
    <xf numFmtId="0" fontId="22" fillId="5" borderId="23" xfId="0" applyFont="1" applyFill="1" applyBorder="1" applyAlignment="1">
      <alignment horizontal="center" vertical="center" wrapText="1"/>
    </xf>
    <xf numFmtId="0" fontId="4" fillId="0" borderId="23" xfId="0" applyFont="1" applyBorder="1" applyAlignment="1">
      <alignment horizontal="center" vertical="center" wrapText="1"/>
    </xf>
    <xf numFmtId="0" fontId="11" fillId="33" borderId="20" xfId="0" applyFont="1" applyFill="1" applyBorder="1" applyAlignment="1">
      <alignment horizontal="center" vertical="center"/>
    </xf>
    <xf numFmtId="0" fontId="4" fillId="0" borderId="20" xfId="0" applyFont="1" applyBorder="1" applyAlignment="1">
      <alignment horizontal="center" vertical="center" wrapText="1"/>
    </xf>
    <xf numFmtId="0" fontId="11" fillId="2" borderId="2" xfId="0" applyFont="1" applyFill="1" applyBorder="1" applyAlignment="1">
      <alignment horizontal="center" vertical="center"/>
    </xf>
    <xf numFmtId="0" fontId="38" fillId="8" borderId="31" xfId="0" applyFont="1" applyFill="1" applyBorder="1" applyAlignment="1">
      <alignment horizontal="center" vertical="center" wrapText="1"/>
    </xf>
    <xf numFmtId="0" fontId="38" fillId="8" borderId="30" xfId="0" applyFont="1" applyFill="1" applyBorder="1" applyAlignment="1">
      <alignment horizontal="center" vertical="center" wrapText="1"/>
    </xf>
    <xf numFmtId="0" fontId="11" fillId="39" borderId="23" xfId="0" applyFont="1" applyFill="1" applyBorder="1" applyAlignment="1">
      <alignment horizontal="center" vertical="center"/>
    </xf>
    <xf numFmtId="0" fontId="15" fillId="0" borderId="31" xfId="0" applyFont="1" applyBorder="1" applyAlignment="1">
      <alignment horizontal="center" vertical="center" wrapText="1"/>
    </xf>
    <xf numFmtId="0" fontId="21" fillId="8" borderId="23" xfId="0" applyFont="1" applyFill="1" applyBorder="1" applyAlignment="1">
      <alignment horizontal="center" vertical="center" wrapText="1"/>
    </xf>
    <xf numFmtId="0" fontId="82" fillId="0" borderId="2" xfId="0" applyFont="1" applyBorder="1" applyAlignment="1">
      <alignment horizontal="center" vertical="center"/>
    </xf>
    <xf numFmtId="0" fontId="22" fillId="4" borderId="25" xfId="0" applyFont="1" applyFill="1" applyBorder="1" applyAlignment="1">
      <alignment horizontal="center" vertical="center" wrapText="1"/>
    </xf>
    <xf numFmtId="0" fontId="0" fillId="22" borderId="25" xfId="0" applyFill="1" applyBorder="1"/>
    <xf numFmtId="0" fontId="38" fillId="22" borderId="25" xfId="0" applyFont="1" applyFill="1" applyBorder="1" applyAlignment="1">
      <alignment vertical="center" wrapText="1"/>
    </xf>
    <xf numFmtId="0" fontId="38" fillId="8" borderId="33" xfId="0" applyFont="1" applyFill="1" applyBorder="1" applyAlignment="1">
      <alignment horizontal="center" vertical="center" wrapText="1"/>
    </xf>
    <xf numFmtId="0" fontId="11" fillId="56" borderId="2" xfId="0" applyFont="1" applyFill="1" applyBorder="1" applyAlignment="1">
      <alignment horizontal="center" vertical="center"/>
    </xf>
    <xf numFmtId="0" fontId="11" fillId="57" borderId="2" xfId="0" applyFont="1" applyFill="1" applyBorder="1" applyAlignment="1">
      <alignment horizontal="center" vertical="center"/>
    </xf>
    <xf numFmtId="0" fontId="0" fillId="0" borderId="2" xfId="0" applyBorder="1" applyAlignment="1">
      <alignment wrapText="1"/>
    </xf>
    <xf numFmtId="0" fontId="12" fillId="5" borderId="2" xfId="0" applyFont="1" applyFill="1" applyBorder="1" applyAlignment="1">
      <alignment vertical="center" wrapText="1"/>
    </xf>
    <xf numFmtId="0" fontId="11" fillId="58" borderId="2" xfId="0" applyFont="1" applyFill="1" applyBorder="1" applyAlignment="1">
      <alignment horizontal="center" vertical="center"/>
    </xf>
    <xf numFmtId="0" fontId="4" fillId="4" borderId="2" xfId="0" applyFont="1" applyFill="1" applyBorder="1" applyAlignment="1">
      <alignment horizontal="center" vertical="center" wrapText="1"/>
    </xf>
    <xf numFmtId="0" fontId="2" fillId="0" borderId="25" xfId="0" applyFont="1" applyBorder="1" applyAlignment="1">
      <alignment horizontal="center" vertical="center" wrapText="1"/>
    </xf>
    <xf numFmtId="0" fontId="38" fillId="49" borderId="25" xfId="0" applyFont="1" applyFill="1" applyBorder="1" applyAlignment="1">
      <alignment horizontal="center" vertical="center" wrapText="1"/>
    </xf>
    <xf numFmtId="0" fontId="4" fillId="0" borderId="25"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26" xfId="0" applyFont="1" applyBorder="1" applyAlignment="1">
      <alignment horizontal="center" vertical="center" wrapText="1"/>
    </xf>
    <xf numFmtId="0" fontId="38" fillId="49" borderId="2" xfId="0" applyFont="1" applyFill="1" applyBorder="1" applyAlignment="1">
      <alignment horizontal="center" vertical="center" wrapText="1"/>
    </xf>
    <xf numFmtId="0" fontId="11" fillId="50" borderId="2" xfId="0" applyFont="1" applyFill="1" applyBorder="1" applyAlignment="1">
      <alignment horizontal="center" vertical="center"/>
    </xf>
    <xf numFmtId="0" fontId="22" fillId="0" borderId="2" xfId="0" applyFont="1" applyBorder="1" applyAlignment="1">
      <alignment horizontal="center" vertical="center" wrapText="1"/>
    </xf>
    <xf numFmtId="0" fontId="2" fillId="0" borderId="46" xfId="0" applyFont="1" applyBorder="1" applyAlignment="1">
      <alignment horizontal="center" vertical="center" wrapText="1"/>
    </xf>
    <xf numFmtId="0" fontId="11" fillId="2" borderId="25" xfId="0" applyFont="1" applyFill="1" applyBorder="1" applyAlignment="1">
      <alignment horizontal="center" vertical="center"/>
    </xf>
    <xf numFmtId="0" fontId="16" fillId="4" borderId="25"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1" fillId="2" borderId="19" xfId="0" applyFont="1" applyFill="1" applyBorder="1" applyAlignment="1">
      <alignment horizontal="center" vertical="center"/>
    </xf>
    <xf numFmtId="0" fontId="12" fillId="4" borderId="19" xfId="0" applyFont="1" applyFill="1" applyBorder="1" applyAlignment="1">
      <alignment horizontal="center" vertical="center" wrapText="1"/>
    </xf>
    <xf numFmtId="0" fontId="21" fillId="23" borderId="2" xfId="0" applyFont="1" applyFill="1" applyBorder="1" applyAlignment="1">
      <alignment horizontal="center" vertical="center" wrapText="1"/>
    </xf>
    <xf numFmtId="0" fontId="21" fillId="4" borderId="25" xfId="0" applyFont="1" applyFill="1" applyBorder="1" applyAlignment="1">
      <alignment horizontal="center" vertical="center" wrapText="1"/>
    </xf>
    <xf numFmtId="0" fontId="17" fillId="4" borderId="25" xfId="0" applyFont="1" applyFill="1" applyBorder="1" applyAlignment="1">
      <alignment horizontal="center" vertical="center" wrapText="1"/>
    </xf>
    <xf numFmtId="0" fontId="11" fillId="57" borderId="19" xfId="0" applyFont="1" applyFill="1" applyBorder="1" applyAlignment="1">
      <alignment horizontal="center" vertical="center"/>
    </xf>
    <xf numFmtId="0" fontId="38" fillId="49" borderId="19" xfId="0" applyFont="1" applyFill="1" applyBorder="1" applyAlignment="1">
      <alignment horizontal="center" vertical="center" wrapText="1"/>
    </xf>
    <xf numFmtId="0" fontId="38" fillId="49" borderId="23" xfId="0" applyFont="1" applyFill="1" applyBorder="1" applyAlignment="1">
      <alignment horizontal="center" vertical="center" wrapText="1"/>
    </xf>
    <xf numFmtId="0" fontId="2" fillId="0" borderId="37" xfId="0" applyFont="1" applyBorder="1" applyAlignment="1">
      <alignment horizontal="center" vertical="center" wrapText="1"/>
    </xf>
    <xf numFmtId="164" fontId="35" fillId="0" borderId="31" xfId="0" applyNumberFormat="1" applyFont="1" applyBorder="1" applyAlignment="1">
      <alignment horizontal="center"/>
    </xf>
    <xf numFmtId="0" fontId="11" fillId="3" borderId="37" xfId="0" applyFont="1" applyFill="1" applyBorder="1" applyAlignment="1">
      <alignment horizontal="center" vertical="center"/>
    </xf>
    <xf numFmtId="0" fontId="50" fillId="0" borderId="18" xfId="0" applyFont="1" applyBorder="1" applyAlignment="1">
      <alignment horizontal="center" vertical="center"/>
    </xf>
    <xf numFmtId="0" fontId="83" fillId="21" borderId="25" xfId="0" applyFont="1" applyFill="1" applyBorder="1" applyAlignment="1">
      <alignment horizontal="center" vertical="center"/>
    </xf>
    <xf numFmtId="0" fontId="12" fillId="5" borderId="18" xfId="0" applyFont="1" applyFill="1" applyBorder="1" applyAlignment="1">
      <alignment horizontal="center" vertical="center" wrapText="1"/>
    </xf>
    <xf numFmtId="0" fontId="16" fillId="5" borderId="55" xfId="0" applyFont="1" applyFill="1" applyBorder="1" applyAlignment="1">
      <alignment horizontal="center" vertical="center" wrapText="1"/>
    </xf>
    <xf numFmtId="0" fontId="12" fillId="5" borderId="26" xfId="0" applyFont="1" applyFill="1" applyBorder="1" applyAlignment="1">
      <alignment horizontal="center" vertical="center" wrapText="1"/>
    </xf>
    <xf numFmtId="0" fontId="11" fillId="15" borderId="22" xfId="0" applyFont="1" applyFill="1" applyBorder="1" applyAlignment="1">
      <alignment horizontal="center" vertical="center"/>
    </xf>
    <xf numFmtId="0" fontId="12" fillId="5" borderId="46" xfId="0" applyFont="1" applyFill="1" applyBorder="1" applyAlignment="1">
      <alignment horizontal="center" vertical="center" wrapText="1"/>
    </xf>
    <xf numFmtId="0" fontId="11" fillId="15" borderId="19" xfId="0" applyFont="1" applyFill="1" applyBorder="1" applyAlignment="1">
      <alignment horizontal="center" vertical="center"/>
    </xf>
    <xf numFmtId="0" fontId="11" fillId="15" borderId="21" xfId="0" applyFont="1" applyFill="1" applyBorder="1" applyAlignment="1">
      <alignment horizontal="center" vertical="center"/>
    </xf>
    <xf numFmtId="0" fontId="15" fillId="5" borderId="18" xfId="0" applyFont="1" applyFill="1" applyBorder="1" applyAlignment="1">
      <alignment horizontal="center" vertical="center" wrapText="1"/>
    </xf>
    <xf numFmtId="0" fontId="59" fillId="5" borderId="21" xfId="0" applyFont="1" applyFill="1" applyBorder="1" applyAlignment="1">
      <alignment horizontal="center" vertical="center" wrapText="1"/>
    </xf>
    <xf numFmtId="0" fontId="11" fillId="26" borderId="22" xfId="0" applyFont="1" applyFill="1" applyBorder="1" applyAlignment="1">
      <alignment horizontal="center" vertical="center"/>
    </xf>
    <xf numFmtId="0" fontId="15" fillId="5" borderId="55" xfId="0" applyFont="1" applyFill="1" applyBorder="1" applyAlignment="1">
      <alignment horizontal="center" vertical="center" wrapText="1"/>
    </xf>
    <xf numFmtId="0" fontId="15" fillId="5" borderId="26" xfId="0" applyFont="1" applyFill="1" applyBorder="1" applyAlignment="1">
      <alignment horizontal="center" vertical="center" wrapText="1"/>
    </xf>
    <xf numFmtId="0" fontId="15" fillId="5" borderId="22" xfId="0" applyFont="1" applyFill="1" applyBorder="1" applyAlignment="1">
      <alignment horizontal="center" vertical="center" wrapText="1"/>
    </xf>
    <xf numFmtId="0" fontId="15" fillId="5" borderId="46" xfId="0" applyFont="1" applyFill="1" applyBorder="1" applyAlignment="1">
      <alignment horizontal="center" vertical="center" wrapText="1"/>
    </xf>
    <xf numFmtId="0" fontId="15" fillId="19" borderId="2" xfId="0" applyFont="1" applyFill="1" applyBorder="1" applyAlignment="1">
      <alignment horizontal="center" vertical="center" wrapText="1"/>
    </xf>
    <xf numFmtId="0" fontId="59" fillId="5" borderId="22" xfId="0" applyFont="1" applyFill="1" applyBorder="1" applyAlignment="1">
      <alignment horizontal="center" vertical="center" wrapText="1"/>
    </xf>
    <xf numFmtId="0" fontId="11" fillId="38" borderId="22" xfId="0" applyFont="1" applyFill="1" applyBorder="1" applyAlignment="1">
      <alignment horizontal="center" vertical="center"/>
    </xf>
    <xf numFmtId="0" fontId="11" fillId="0" borderId="23" xfId="0" applyFont="1" applyBorder="1" applyAlignment="1">
      <alignment horizontal="center" vertical="center"/>
    </xf>
    <xf numFmtId="0" fontId="11" fillId="0" borderId="24" xfId="0" applyFont="1" applyBorder="1" applyAlignment="1">
      <alignment horizontal="center" vertical="center"/>
    </xf>
    <xf numFmtId="0" fontId="15" fillId="5" borderId="27" xfId="0" applyFont="1" applyFill="1" applyBorder="1" applyAlignment="1">
      <alignment horizontal="center" vertical="center" wrapText="1"/>
    </xf>
    <xf numFmtId="0" fontId="15" fillId="5" borderId="24" xfId="0" applyFont="1" applyFill="1" applyBorder="1" applyAlignment="1">
      <alignment horizontal="center" vertical="center" wrapText="1"/>
    </xf>
    <xf numFmtId="0" fontId="15" fillId="5" borderId="34" xfId="0" applyFont="1" applyFill="1" applyBorder="1" applyAlignment="1">
      <alignment horizontal="center" vertical="center" wrapText="1"/>
    </xf>
    <xf numFmtId="0" fontId="15" fillId="5" borderId="33" xfId="0" applyFont="1" applyFill="1" applyBorder="1" applyAlignment="1">
      <alignment horizontal="center" vertical="center" wrapText="1"/>
    </xf>
    <xf numFmtId="0" fontId="38" fillId="49" borderId="87" xfId="0" applyFont="1" applyFill="1" applyBorder="1" applyAlignment="1">
      <alignment horizontal="center" vertical="center" wrapText="1"/>
    </xf>
    <xf numFmtId="0" fontId="38" fillId="49" borderId="34" xfId="0" applyFont="1" applyFill="1" applyBorder="1" applyAlignment="1">
      <alignment horizontal="center" vertical="center" wrapText="1"/>
    </xf>
    <xf numFmtId="0" fontId="15" fillId="5" borderId="44" xfId="0" applyFont="1" applyFill="1" applyBorder="1" applyAlignment="1">
      <alignment horizontal="center" vertical="center" wrapText="1"/>
    </xf>
    <xf numFmtId="0" fontId="12" fillId="5" borderId="45" xfId="0" applyFont="1" applyFill="1" applyBorder="1" applyAlignment="1">
      <alignment horizontal="center" vertical="center" wrapText="1"/>
    </xf>
    <xf numFmtId="0" fontId="4" fillId="0" borderId="45" xfId="0" applyFont="1" applyBorder="1" applyAlignment="1">
      <alignment horizontal="center" vertical="center" wrapText="1"/>
    </xf>
    <xf numFmtId="0" fontId="4" fillId="19" borderId="2" xfId="0" applyFont="1" applyFill="1" applyBorder="1" applyAlignment="1">
      <alignment horizontal="center" vertical="center" wrapText="1"/>
    </xf>
    <xf numFmtId="0" fontId="11" fillId="47" borderId="2" xfId="0" applyFont="1" applyFill="1" applyBorder="1" applyAlignment="1">
      <alignment horizontal="center" vertical="center"/>
    </xf>
    <xf numFmtId="0" fontId="11" fillId="47" borderId="22" xfId="0" applyFont="1" applyFill="1" applyBorder="1" applyAlignment="1">
      <alignment horizontal="center" vertical="center"/>
    </xf>
    <xf numFmtId="0" fontId="15" fillId="5" borderId="50" xfId="0" applyFont="1" applyFill="1" applyBorder="1" applyAlignment="1">
      <alignment horizontal="center" vertical="center" wrapText="1"/>
    </xf>
    <xf numFmtId="0" fontId="4" fillId="0" borderId="51" xfId="0" applyFont="1" applyBorder="1" applyAlignment="1">
      <alignment horizontal="center" vertical="center" wrapText="1"/>
    </xf>
    <xf numFmtId="0" fontId="11" fillId="56" borderId="22" xfId="0" applyFont="1" applyFill="1" applyBorder="1" applyAlignment="1">
      <alignment horizontal="center" vertical="center"/>
    </xf>
    <xf numFmtId="0" fontId="79" fillId="59" borderId="22" xfId="0" applyFont="1" applyFill="1" applyBorder="1" applyAlignment="1">
      <alignment vertical="center" wrapText="1"/>
    </xf>
    <xf numFmtId="0" fontId="11" fillId="40" borderId="23" xfId="0" applyFont="1" applyFill="1" applyBorder="1" applyAlignment="1">
      <alignment horizontal="center" vertical="center"/>
    </xf>
    <xf numFmtId="0" fontId="11" fillId="40" borderId="24" xfId="0" applyFont="1" applyFill="1" applyBorder="1" applyAlignment="1">
      <alignment horizontal="center" vertical="center"/>
    </xf>
    <xf numFmtId="0" fontId="11" fillId="47" borderId="19" xfId="0" applyFont="1" applyFill="1" applyBorder="1" applyAlignment="1">
      <alignment horizontal="center" vertical="center"/>
    </xf>
    <xf numFmtId="0" fontId="11" fillId="47" borderId="21" xfId="0" applyFont="1" applyFill="1" applyBorder="1" applyAlignment="1">
      <alignment horizontal="center" vertical="center"/>
    </xf>
    <xf numFmtId="0" fontId="15" fillId="5" borderId="78" xfId="0" applyFont="1" applyFill="1" applyBorder="1" applyAlignment="1">
      <alignment horizontal="center" vertical="center" wrapText="1"/>
    </xf>
    <xf numFmtId="0" fontId="4" fillId="0" borderId="19" xfId="0" applyFont="1" applyBorder="1" applyAlignment="1">
      <alignment horizontal="center" vertical="center" wrapText="1"/>
    </xf>
    <xf numFmtId="0" fontId="11" fillId="12" borderId="22" xfId="0" applyFont="1" applyFill="1" applyBorder="1" applyAlignment="1">
      <alignment horizontal="center" vertical="center"/>
    </xf>
    <xf numFmtId="0" fontId="17" fillId="3" borderId="32" xfId="0" applyFont="1" applyFill="1" applyBorder="1" applyAlignment="1">
      <alignment horizontal="center" vertical="center" wrapText="1"/>
    </xf>
    <xf numFmtId="0" fontId="15" fillId="5" borderId="79" xfId="0" applyFont="1" applyFill="1" applyBorder="1" applyAlignment="1">
      <alignment horizontal="center" vertical="center" wrapText="1"/>
    </xf>
    <xf numFmtId="0" fontId="15" fillId="5" borderId="37" xfId="0" applyFont="1" applyFill="1" applyBorder="1" applyAlignment="1">
      <alignment horizontal="center" vertical="center" wrapText="1"/>
    </xf>
    <xf numFmtId="0" fontId="84" fillId="5" borderId="18" xfId="0" applyFont="1" applyFill="1" applyBorder="1" applyAlignment="1">
      <alignment horizontal="center" vertical="center" wrapText="1"/>
    </xf>
    <xf numFmtId="16" fontId="85" fillId="5" borderId="19" xfId="0" applyNumberFormat="1" applyFont="1" applyFill="1" applyBorder="1" applyAlignment="1">
      <alignment horizontal="center" vertical="center" wrapText="1"/>
    </xf>
    <xf numFmtId="0" fontId="86" fillId="5" borderId="19" xfId="0" applyFont="1" applyFill="1" applyBorder="1" applyAlignment="1">
      <alignment horizontal="center" vertical="center" wrapText="1"/>
    </xf>
    <xf numFmtId="0" fontId="86" fillId="5" borderId="21" xfId="0" applyFont="1" applyFill="1" applyBorder="1" applyAlignment="1">
      <alignment horizontal="center" vertical="center" wrapText="1"/>
    </xf>
    <xf numFmtId="0" fontId="86" fillId="5" borderId="83" xfId="0" applyFont="1" applyFill="1" applyBorder="1" applyAlignment="1">
      <alignment horizontal="center" vertical="center" wrapText="1"/>
    </xf>
    <xf numFmtId="0" fontId="86" fillId="5" borderId="77" xfId="0" applyFont="1" applyFill="1" applyBorder="1" applyAlignment="1">
      <alignment horizontal="center" vertical="center" wrapText="1"/>
    </xf>
    <xf numFmtId="0" fontId="84" fillId="5" borderId="78" xfId="0" applyFont="1" applyFill="1" applyBorder="1" applyAlignment="1">
      <alignment horizontal="center" vertical="center" wrapText="1"/>
    </xf>
    <xf numFmtId="0" fontId="84" fillId="5" borderId="83" xfId="0" applyFont="1" applyFill="1" applyBorder="1" applyAlignment="1">
      <alignment horizontal="center" vertical="center" wrapText="1"/>
    </xf>
    <xf numFmtId="0" fontId="87" fillId="5" borderId="83" xfId="0" applyFont="1" applyFill="1" applyBorder="1" applyAlignment="1">
      <alignment horizontal="center" vertical="center" wrapText="1"/>
    </xf>
    <xf numFmtId="0" fontId="86" fillId="5" borderId="18" xfId="0" applyFont="1" applyFill="1" applyBorder="1" applyAlignment="1">
      <alignment horizontal="center" vertical="center" wrapText="1"/>
    </xf>
    <xf numFmtId="0" fontId="0" fillId="5" borderId="19" xfId="0" applyFill="1" applyBorder="1"/>
    <xf numFmtId="0" fontId="69" fillId="5" borderId="21" xfId="0" applyFont="1" applyFill="1" applyBorder="1" applyAlignment="1">
      <alignment vertical="center" wrapText="1"/>
    </xf>
    <xf numFmtId="0" fontId="84" fillId="5" borderId="26" xfId="0" applyFont="1" applyFill="1" applyBorder="1" applyAlignment="1">
      <alignment horizontal="center" vertical="center" wrapText="1"/>
    </xf>
    <xf numFmtId="16" fontId="85" fillId="5" borderId="2" xfId="0" applyNumberFormat="1" applyFont="1" applyFill="1" applyBorder="1" applyAlignment="1">
      <alignment horizontal="center" vertical="center" wrapText="1"/>
    </xf>
    <xf numFmtId="0" fontId="86" fillId="5" borderId="2" xfId="0" applyFont="1" applyFill="1" applyBorder="1" applyAlignment="1">
      <alignment horizontal="center" vertical="center" wrapText="1"/>
    </xf>
    <xf numFmtId="0" fontId="86" fillId="5" borderId="22" xfId="0" applyFont="1" applyFill="1" applyBorder="1" applyAlignment="1">
      <alignment horizontal="center" vertical="center" wrapText="1"/>
    </xf>
    <xf numFmtId="0" fontId="89" fillId="5" borderId="85" xfId="0" applyFont="1" applyFill="1" applyBorder="1" applyAlignment="1">
      <alignment horizontal="center" vertical="center" wrapText="1"/>
    </xf>
    <xf numFmtId="0" fontId="90" fillId="5" borderId="0" xfId="0" applyFont="1" applyFill="1" applyAlignment="1">
      <alignment horizontal="center" vertical="center" wrapText="1"/>
    </xf>
    <xf numFmtId="0" fontId="89" fillId="5" borderId="55" xfId="0" applyFont="1" applyFill="1" applyBorder="1" applyAlignment="1">
      <alignment horizontal="center" vertical="center" wrapText="1"/>
    </xf>
    <xf numFmtId="0" fontId="86" fillId="5" borderId="85" xfId="0" applyFont="1" applyFill="1" applyBorder="1" applyAlignment="1">
      <alignment horizontal="center" vertical="center" wrapText="1"/>
    </xf>
    <xf numFmtId="0" fontId="87" fillId="5" borderId="26" xfId="0" applyFont="1" applyFill="1" applyBorder="1" applyAlignment="1">
      <alignment horizontal="center" vertical="center" wrapText="1"/>
    </xf>
    <xf numFmtId="0" fontId="69" fillId="5" borderId="2" xfId="0" applyFont="1" applyFill="1" applyBorder="1" applyAlignment="1">
      <alignment vertical="center" wrapText="1"/>
    </xf>
    <xf numFmtId="0" fontId="69" fillId="5" borderId="22" xfId="0" applyFont="1" applyFill="1" applyBorder="1" applyAlignment="1">
      <alignment vertical="center" wrapText="1"/>
    </xf>
    <xf numFmtId="0" fontId="86" fillId="60" borderId="2" xfId="0" applyFont="1" applyFill="1" applyBorder="1" applyAlignment="1">
      <alignment horizontal="center" vertical="center" wrapText="1"/>
    </xf>
    <xf numFmtId="0" fontId="86" fillId="60" borderId="22" xfId="0" applyFont="1" applyFill="1" applyBorder="1" applyAlignment="1">
      <alignment horizontal="center" vertical="center" wrapText="1"/>
    </xf>
    <xf numFmtId="0" fontId="90" fillId="5" borderId="77" xfId="0" applyFont="1" applyFill="1" applyBorder="1" applyAlignment="1">
      <alignment horizontal="center" vertical="center" wrapText="1"/>
    </xf>
    <xf numFmtId="0" fontId="86" fillId="5" borderId="26" xfId="0" applyFont="1" applyFill="1" applyBorder="1" applyAlignment="1">
      <alignment horizontal="center" vertical="center" wrapText="1"/>
    </xf>
    <xf numFmtId="0" fontId="90" fillId="5" borderId="86" xfId="0" applyFont="1" applyFill="1" applyBorder="1" applyAlignment="1">
      <alignment horizontal="center" vertical="center" wrapText="1"/>
    </xf>
    <xf numFmtId="0" fontId="86" fillId="5" borderId="86" xfId="0" applyFont="1" applyFill="1" applyBorder="1" applyAlignment="1">
      <alignment horizontal="center" vertical="center" wrapText="1"/>
    </xf>
    <xf numFmtId="0" fontId="84" fillId="5" borderId="27" xfId="0" applyFont="1" applyFill="1" applyBorder="1" applyAlignment="1">
      <alignment horizontal="center" vertical="center" wrapText="1"/>
    </xf>
    <xf numFmtId="16" fontId="85" fillId="5" borderId="23" xfId="0" applyNumberFormat="1" applyFont="1" applyFill="1" applyBorder="1" applyAlignment="1">
      <alignment horizontal="center" vertical="center" wrapText="1"/>
    </xf>
    <xf numFmtId="0" fontId="86" fillId="5" borderId="23" xfId="0" applyFont="1" applyFill="1" applyBorder="1" applyAlignment="1">
      <alignment horizontal="center" vertical="center" wrapText="1"/>
    </xf>
    <xf numFmtId="0" fontId="86" fillId="5" borderId="24" xfId="0" applyFont="1" applyFill="1" applyBorder="1" applyAlignment="1">
      <alignment horizontal="center" vertical="center" wrapText="1"/>
    </xf>
    <xf numFmtId="0" fontId="89" fillId="5" borderId="83" xfId="0" applyFont="1" applyFill="1" applyBorder="1" applyAlignment="1">
      <alignment horizontal="center" vertical="center" wrapText="1"/>
    </xf>
    <xf numFmtId="0" fontId="89" fillId="5" borderId="77" xfId="0" applyFont="1" applyFill="1" applyBorder="1" applyAlignment="1">
      <alignment horizontal="center" vertical="center" wrapText="1"/>
    </xf>
    <xf numFmtId="0" fontId="91" fillId="61" borderId="79" xfId="0" applyFont="1" applyFill="1" applyBorder="1" applyAlignment="1">
      <alignment horizontal="center" vertical="center" wrapText="1"/>
    </xf>
    <xf numFmtId="0" fontId="86" fillId="5" borderId="27" xfId="0" applyFont="1" applyFill="1" applyBorder="1" applyAlignment="1">
      <alignment horizontal="center" vertical="center" wrapText="1"/>
    </xf>
    <xf numFmtId="0" fontId="89" fillId="5" borderId="23" xfId="0" applyFont="1" applyFill="1" applyBorder="1" applyAlignment="1">
      <alignment horizontal="center" vertical="center" wrapText="1"/>
    </xf>
    <xf numFmtId="0" fontId="69" fillId="5" borderId="23" xfId="0" applyFont="1" applyFill="1" applyBorder="1" applyAlignment="1">
      <alignment vertical="center" wrapText="1"/>
    </xf>
    <xf numFmtId="0" fontId="69" fillId="5" borderId="24" xfId="0" applyFont="1" applyFill="1" applyBorder="1" applyAlignment="1">
      <alignment vertical="center" wrapText="1"/>
    </xf>
    <xf numFmtId="0" fontId="90" fillId="5" borderId="1" xfId="0" applyFont="1" applyFill="1" applyBorder="1" applyAlignment="1">
      <alignment horizontal="center" vertical="center" wrapText="1"/>
    </xf>
    <xf numFmtId="0" fontId="90" fillId="5" borderId="4" xfId="0" applyFont="1" applyFill="1" applyBorder="1" applyAlignment="1">
      <alignment horizontal="center" vertical="center" wrapText="1"/>
    </xf>
    <xf numFmtId="0" fontId="86" fillId="5" borderId="1" xfId="0" applyFont="1" applyFill="1" applyBorder="1" applyAlignment="1">
      <alignment horizontal="center" vertical="center" wrapText="1"/>
    </xf>
    <xf numFmtId="0" fontId="69" fillId="5" borderId="19" xfId="0" applyFont="1" applyFill="1" applyBorder="1" applyAlignment="1">
      <alignment vertical="center" wrapText="1"/>
    </xf>
    <xf numFmtId="0" fontId="92" fillId="5" borderId="85" xfId="0" applyFont="1" applyFill="1" applyBorder="1" applyAlignment="1">
      <alignment horizontal="center" vertical="center" wrapText="1"/>
    </xf>
    <xf numFmtId="0" fontId="92" fillId="5" borderId="38" xfId="0" applyFont="1" applyFill="1" applyBorder="1" applyAlignment="1">
      <alignment horizontal="center" vertical="center" wrapText="1"/>
    </xf>
    <xf numFmtId="0" fontId="91" fillId="5" borderId="79" xfId="0" applyFont="1" applyFill="1" applyBorder="1" applyAlignment="1">
      <alignment horizontal="center" vertical="center" wrapText="1"/>
    </xf>
    <xf numFmtId="0" fontId="89" fillId="5" borderId="1" xfId="0" applyFont="1" applyFill="1" applyBorder="1" applyAlignment="1">
      <alignment horizontal="center" vertical="center" wrapText="1"/>
    </xf>
    <xf numFmtId="0" fontId="93" fillId="5" borderId="78" xfId="0" applyFont="1" applyFill="1" applyBorder="1" applyAlignment="1">
      <alignment horizontal="center" vertical="center" wrapText="1"/>
    </xf>
    <xf numFmtId="0" fontId="89" fillId="52" borderId="83" xfId="0" applyFont="1" applyFill="1" applyBorder="1" applyAlignment="1">
      <alignment horizontal="center" vertical="center" wrapText="1"/>
    </xf>
    <xf numFmtId="0" fontId="92" fillId="52" borderId="38" xfId="0" applyFont="1" applyFill="1" applyBorder="1" applyAlignment="1">
      <alignment horizontal="center" vertical="center" wrapText="1"/>
    </xf>
    <xf numFmtId="0" fontId="93" fillId="22" borderId="55" xfId="0" applyFont="1" applyFill="1" applyBorder="1" applyAlignment="1">
      <alignment horizontal="center" vertical="center" wrapText="1"/>
    </xf>
    <xf numFmtId="0" fontId="93" fillId="5" borderId="55" xfId="0" applyFont="1" applyFill="1" applyBorder="1" applyAlignment="1">
      <alignment horizontal="center" vertical="center" wrapText="1"/>
    </xf>
    <xf numFmtId="0" fontId="93" fillId="5" borderId="86" xfId="0" applyFont="1" applyFill="1" applyBorder="1" applyAlignment="1">
      <alignment horizontal="center" vertical="center" wrapText="1"/>
    </xf>
    <xf numFmtId="0" fontId="93" fillId="5" borderId="0" xfId="0" applyFont="1" applyFill="1" applyAlignment="1">
      <alignment horizontal="center" vertical="center" wrapText="1"/>
    </xf>
    <xf numFmtId="0" fontId="91" fillId="5" borderId="55" xfId="0" applyFont="1" applyFill="1" applyBorder="1" applyAlignment="1">
      <alignment horizontal="center" vertical="center" wrapText="1"/>
    </xf>
    <xf numFmtId="0" fontId="93" fillId="5" borderId="83" xfId="0" applyFont="1" applyFill="1" applyBorder="1" applyAlignment="1">
      <alignment horizontal="center" vertical="center" wrapText="1"/>
    </xf>
    <xf numFmtId="0" fontId="93" fillId="5" borderId="4" xfId="0" applyFont="1" applyFill="1" applyBorder="1" applyAlignment="1">
      <alignment horizontal="center" vertical="center" wrapText="1"/>
    </xf>
    <xf numFmtId="0" fontId="89" fillId="52" borderId="86" xfId="0" applyFont="1" applyFill="1" applyBorder="1" applyAlignment="1">
      <alignment horizontal="center" vertical="center" wrapText="1"/>
    </xf>
    <xf numFmtId="0" fontId="92" fillId="52" borderId="4" xfId="0" applyFont="1" applyFill="1" applyBorder="1" applyAlignment="1">
      <alignment horizontal="center" vertical="center" wrapText="1"/>
    </xf>
    <xf numFmtId="0" fontId="93" fillId="52" borderId="85" xfId="0" applyFont="1" applyFill="1" applyBorder="1" applyAlignment="1">
      <alignment horizontal="center" vertical="center" wrapText="1"/>
    </xf>
    <xf numFmtId="0" fontId="93" fillId="52" borderId="38" xfId="0" applyFont="1" applyFill="1" applyBorder="1" applyAlignment="1">
      <alignment horizontal="center" vertical="center" wrapText="1"/>
    </xf>
    <xf numFmtId="0" fontId="90" fillId="5" borderId="85" xfId="0" applyFont="1" applyFill="1" applyBorder="1" applyAlignment="1">
      <alignment horizontal="center" vertical="center" wrapText="1"/>
    </xf>
    <xf numFmtId="0" fontId="90" fillId="5" borderId="38" xfId="0" applyFont="1" applyFill="1" applyBorder="1" applyAlignment="1">
      <alignment horizontal="center" vertical="center" wrapText="1"/>
    </xf>
    <xf numFmtId="0" fontId="86" fillId="53" borderId="23" xfId="0" applyFont="1" applyFill="1" applyBorder="1" applyAlignment="1">
      <alignment horizontal="center" vertical="center" wrapText="1"/>
    </xf>
    <xf numFmtId="0" fontId="86" fillId="53" borderId="24" xfId="0" applyFont="1" applyFill="1" applyBorder="1" applyAlignment="1">
      <alignment horizontal="center" vertical="center" wrapText="1"/>
    </xf>
    <xf numFmtId="0" fontId="93" fillId="5" borderId="79" xfId="0" applyFont="1" applyFill="1" applyBorder="1" applyAlignment="1">
      <alignment horizontal="center" vertical="center" wrapText="1"/>
    </xf>
    <xf numFmtId="0" fontId="94" fillId="5" borderId="85" xfId="0" applyFont="1" applyFill="1" applyBorder="1" applyAlignment="1">
      <alignment vertical="center" wrapText="1"/>
    </xf>
    <xf numFmtId="0" fontId="84" fillId="5" borderId="20" xfId="0" applyFont="1" applyFill="1" applyBorder="1" applyAlignment="1">
      <alignment horizontal="center" vertical="center" wrapText="1"/>
    </xf>
    <xf numFmtId="16" fontId="85" fillId="5" borderId="20" xfId="0" applyNumberFormat="1" applyFont="1" applyFill="1" applyBorder="1" applyAlignment="1">
      <alignment horizontal="center" vertical="center" wrapText="1"/>
    </xf>
    <xf numFmtId="0" fontId="86" fillId="53" borderId="20" xfId="0" applyFont="1" applyFill="1" applyBorder="1" applyAlignment="1">
      <alignment horizontal="center" vertical="center" wrapText="1"/>
    </xf>
    <xf numFmtId="0" fontId="92" fillId="5" borderId="86" xfId="0" applyFont="1" applyFill="1" applyBorder="1" applyAlignment="1">
      <alignment horizontal="center" vertical="center" wrapText="1"/>
    </xf>
    <xf numFmtId="0" fontId="86" fillId="5" borderId="20" xfId="0" applyFont="1" applyFill="1" applyBorder="1" applyAlignment="1">
      <alignment horizontal="center" vertical="center" wrapText="1"/>
    </xf>
    <xf numFmtId="0" fontId="69" fillId="5" borderId="20" xfId="0" applyFont="1" applyFill="1" applyBorder="1" applyAlignment="1">
      <alignment vertical="center" wrapText="1"/>
    </xf>
    <xf numFmtId="0" fontId="84" fillId="5" borderId="2" xfId="0" applyFont="1" applyFill="1" applyBorder="1" applyAlignment="1">
      <alignment horizontal="center" vertical="center" wrapText="1"/>
    </xf>
    <xf numFmtId="0" fontId="92" fillId="5" borderId="83" xfId="0" applyFont="1" applyFill="1" applyBorder="1" applyAlignment="1">
      <alignment horizontal="center" vertical="center" wrapText="1"/>
    </xf>
    <xf numFmtId="0" fontId="93" fillId="5" borderId="2" xfId="0" applyFont="1" applyFill="1" applyBorder="1" applyAlignment="1">
      <alignment horizontal="center" vertical="center" wrapText="1"/>
    </xf>
    <xf numFmtId="0" fontId="95" fillId="5" borderId="83" xfId="0" applyFont="1" applyFill="1" applyBorder="1" applyAlignment="1">
      <alignment horizontal="center" vertical="center" wrapText="1"/>
    </xf>
    <xf numFmtId="0" fontId="95" fillId="5" borderId="77" xfId="0" applyFont="1" applyFill="1" applyBorder="1" applyAlignment="1">
      <alignment horizontal="center" vertical="center" wrapText="1"/>
    </xf>
    <xf numFmtId="0" fontId="96" fillId="5" borderId="2" xfId="0" applyFont="1" applyFill="1" applyBorder="1" applyAlignment="1">
      <alignment horizontal="center" vertical="center" wrapText="1"/>
    </xf>
    <xf numFmtId="0" fontId="95" fillId="5" borderId="85" xfId="0" applyFont="1" applyFill="1" applyBorder="1" applyAlignment="1">
      <alignment horizontal="center" vertical="center" wrapText="1"/>
    </xf>
    <xf numFmtId="0" fontId="95" fillId="5" borderId="38" xfId="0" applyFont="1" applyFill="1" applyBorder="1" applyAlignment="1">
      <alignment horizontal="center" vertical="center" wrapText="1"/>
    </xf>
    <xf numFmtId="0" fontId="84" fillId="5" borderId="25" xfId="0" applyFont="1" applyFill="1" applyBorder="1" applyAlignment="1">
      <alignment horizontal="center" vertical="center" wrapText="1"/>
    </xf>
    <xf numFmtId="16" fontId="85" fillId="5" borderId="25" xfId="0" applyNumberFormat="1" applyFont="1" applyFill="1" applyBorder="1" applyAlignment="1">
      <alignment horizontal="center" vertical="center" wrapText="1"/>
    </xf>
    <xf numFmtId="0" fontId="86" fillId="5" borderId="25" xfId="0" applyFont="1" applyFill="1" applyBorder="1" applyAlignment="1">
      <alignment horizontal="center" vertical="center" wrapText="1"/>
    </xf>
    <xf numFmtId="0" fontId="93" fillId="5" borderId="25" xfId="0" applyFont="1" applyFill="1" applyBorder="1" applyAlignment="1">
      <alignment horizontal="center" vertical="center" wrapText="1"/>
    </xf>
    <xf numFmtId="0" fontId="69" fillId="5" borderId="25" xfId="0" applyFont="1" applyFill="1" applyBorder="1" applyAlignment="1">
      <alignment vertical="center" wrapText="1"/>
    </xf>
    <xf numFmtId="0" fontId="86" fillId="55" borderId="19" xfId="0" applyFont="1" applyFill="1" applyBorder="1" applyAlignment="1">
      <alignment horizontal="center" vertical="center" wrapText="1"/>
    </xf>
    <xf numFmtId="0" fontId="86" fillId="55" borderId="21" xfId="0" applyFont="1" applyFill="1" applyBorder="1" applyAlignment="1">
      <alignment horizontal="center" vertical="center" wrapText="1"/>
    </xf>
    <xf numFmtId="0" fontId="93" fillId="5" borderId="38" xfId="0" applyFont="1" applyFill="1" applyBorder="1" applyAlignment="1">
      <alignment horizontal="center" vertical="center" wrapText="1"/>
    </xf>
    <xf numFmtId="0" fontId="93" fillId="5" borderId="18" xfId="0" applyFont="1" applyFill="1" applyBorder="1" applyAlignment="1">
      <alignment horizontal="center" vertical="center" wrapText="1"/>
    </xf>
    <xf numFmtId="0" fontId="86" fillId="55" borderId="23" xfId="0" applyFont="1" applyFill="1" applyBorder="1" applyAlignment="1">
      <alignment horizontal="center" vertical="center" wrapText="1"/>
    </xf>
    <xf numFmtId="0" fontId="86" fillId="55" borderId="24" xfId="0" applyFont="1" applyFill="1" applyBorder="1" applyAlignment="1">
      <alignment horizontal="center" vertical="center" wrapText="1"/>
    </xf>
    <xf numFmtId="0" fontId="93" fillId="5" borderId="27" xfId="0" applyFont="1" applyFill="1" applyBorder="1" applyAlignment="1">
      <alignment horizontal="center" vertical="center" wrapText="1"/>
    </xf>
    <xf numFmtId="0" fontId="10" fillId="0" borderId="20" xfId="0" applyFont="1" applyBorder="1" applyAlignment="1">
      <alignment horizontal="center"/>
    </xf>
    <xf numFmtId="0" fontId="16" fillId="5" borderId="36" xfId="0" applyFont="1" applyFill="1" applyBorder="1" applyAlignment="1">
      <alignment horizontal="center" vertical="center" wrapText="1"/>
    </xf>
    <xf numFmtId="0" fontId="12" fillId="5" borderId="60" xfId="0" applyFont="1" applyFill="1" applyBorder="1" applyAlignment="1">
      <alignment horizontal="center" vertical="center" wrapText="1"/>
    </xf>
    <xf numFmtId="0" fontId="11" fillId="18" borderId="2" xfId="0" applyFont="1" applyFill="1" applyBorder="1" applyAlignment="1">
      <alignment horizontal="center" vertical="center"/>
    </xf>
    <xf numFmtId="0" fontId="11" fillId="18" borderId="22" xfId="0" applyFont="1" applyFill="1" applyBorder="1" applyAlignment="1">
      <alignment horizontal="center" vertical="center"/>
    </xf>
    <xf numFmtId="0" fontId="22" fillId="5" borderId="32" xfId="0" applyFont="1" applyFill="1" applyBorder="1" applyAlignment="1">
      <alignment horizontal="center" vertical="center" wrapText="1"/>
    </xf>
    <xf numFmtId="0" fontId="22" fillId="5" borderId="55" xfId="0" applyFont="1" applyFill="1" applyBorder="1" applyAlignment="1">
      <alignment horizontal="center" vertical="center" wrapText="1"/>
    </xf>
    <xf numFmtId="0" fontId="11" fillId="30" borderId="2" xfId="0" applyFont="1" applyFill="1" applyBorder="1" applyAlignment="1">
      <alignment horizontal="center" vertical="center"/>
    </xf>
    <xf numFmtId="0" fontId="11" fillId="30" borderId="22" xfId="0" applyFont="1" applyFill="1" applyBorder="1" applyAlignment="1">
      <alignment horizontal="center" vertical="center"/>
    </xf>
    <xf numFmtId="0" fontId="11" fillId="30" borderId="25" xfId="0" applyFont="1" applyFill="1" applyBorder="1" applyAlignment="1">
      <alignment horizontal="center" vertical="center"/>
    </xf>
    <xf numFmtId="0" fontId="11" fillId="30" borderId="47" xfId="0" applyFont="1" applyFill="1" applyBorder="1" applyAlignment="1">
      <alignment horizontal="center" vertical="center"/>
    </xf>
    <xf numFmtId="0" fontId="22" fillId="5" borderId="37" xfId="0" applyFont="1" applyFill="1" applyBorder="1" applyAlignment="1">
      <alignment horizontal="center" vertical="center" wrapText="1"/>
    </xf>
    <xf numFmtId="0" fontId="22" fillId="5" borderId="31" xfId="0" applyFont="1" applyFill="1" applyBorder="1" applyAlignment="1">
      <alignment horizontal="center" vertical="center" wrapText="1"/>
    </xf>
    <xf numFmtId="0" fontId="22" fillId="5" borderId="57" xfId="0" applyFont="1" applyFill="1" applyBorder="1" applyAlignment="1">
      <alignment horizontal="center" vertical="center" wrapText="1"/>
    </xf>
    <xf numFmtId="0" fontId="10" fillId="0" borderId="19" xfId="0" applyFont="1" applyBorder="1" applyAlignment="1">
      <alignment horizontal="center"/>
    </xf>
    <xf numFmtId="0" fontId="11" fillId="30" borderId="19" xfId="0" applyFont="1" applyFill="1" applyBorder="1" applyAlignment="1">
      <alignment horizontal="center" vertical="center"/>
    </xf>
    <xf numFmtId="0" fontId="11" fillId="30" borderId="21" xfId="0" applyFont="1" applyFill="1" applyBorder="1" applyAlignment="1">
      <alignment horizontal="center" vertical="center"/>
    </xf>
    <xf numFmtId="0" fontId="22" fillId="5" borderId="78" xfId="0" applyFont="1" applyFill="1" applyBorder="1" applyAlignment="1">
      <alignment horizontal="center" vertical="center" wrapText="1"/>
    </xf>
    <xf numFmtId="0" fontId="17" fillId="5" borderId="36" xfId="0" applyFont="1" applyFill="1" applyBorder="1" applyAlignment="1">
      <alignment horizontal="center" vertical="center" wrapText="1"/>
    </xf>
    <xf numFmtId="0" fontId="11" fillId="42" borderId="2" xfId="0" applyFont="1" applyFill="1" applyBorder="1" applyAlignment="1">
      <alignment horizontal="center" vertical="center"/>
    </xf>
    <xf numFmtId="0" fontId="11" fillId="42" borderId="22" xfId="0" applyFont="1" applyFill="1" applyBorder="1" applyAlignment="1">
      <alignment horizontal="center" vertical="center"/>
    </xf>
    <xf numFmtId="0" fontId="80" fillId="20" borderId="22" xfId="0" applyFont="1" applyFill="1" applyBorder="1" applyAlignment="1">
      <alignment horizontal="center" vertical="center"/>
    </xf>
    <xf numFmtId="0" fontId="17" fillId="22" borderId="32" xfId="0" applyFont="1" applyFill="1" applyBorder="1" applyAlignment="1">
      <alignment horizontal="center" vertical="center" wrapText="1"/>
    </xf>
    <xf numFmtId="0" fontId="17" fillId="22" borderId="30" xfId="0" applyFont="1" applyFill="1" applyBorder="1" applyAlignment="1">
      <alignment horizontal="center" vertical="center" wrapText="1"/>
    </xf>
    <xf numFmtId="0" fontId="11" fillId="14" borderId="22" xfId="0" applyFont="1" applyFill="1" applyBorder="1" applyAlignment="1">
      <alignment horizontal="center" vertical="center"/>
    </xf>
    <xf numFmtId="0" fontId="38" fillId="3" borderId="55" xfId="0" applyFont="1" applyFill="1" applyBorder="1" applyAlignment="1">
      <alignment horizontal="center" vertical="center" wrapText="1"/>
    </xf>
    <xf numFmtId="0" fontId="38" fillId="3" borderId="32" xfId="0" applyFont="1" applyFill="1" applyBorder="1" applyAlignment="1">
      <alignment horizontal="center" vertical="center" wrapText="1"/>
    </xf>
    <xf numFmtId="0" fontId="16" fillId="5" borderId="75" xfId="0" applyFont="1" applyFill="1" applyBorder="1" applyAlignment="1">
      <alignment horizontal="center" vertical="center" wrapText="1"/>
    </xf>
    <xf numFmtId="0" fontId="16" fillId="5" borderId="71" xfId="0" applyFont="1" applyFill="1" applyBorder="1" applyAlignment="1">
      <alignment horizontal="center" vertical="center" wrapText="1"/>
    </xf>
    <xf numFmtId="0" fontId="38" fillId="3" borderId="57" xfId="0" applyFont="1" applyFill="1" applyBorder="1" applyAlignment="1">
      <alignment horizontal="center" vertical="center" wrapText="1"/>
    </xf>
    <xf numFmtId="0" fontId="38" fillId="3" borderId="75" xfId="0" applyFont="1" applyFill="1" applyBorder="1" applyAlignment="1">
      <alignment horizontal="center" vertical="center" wrapText="1"/>
    </xf>
    <xf numFmtId="0" fontId="12" fillId="5" borderId="48" xfId="0" applyFont="1" applyFill="1" applyBorder="1" applyAlignment="1">
      <alignment horizontal="center" vertical="center" wrapText="1"/>
    </xf>
    <xf numFmtId="0" fontId="11" fillId="14" borderId="19" xfId="0" applyFont="1" applyFill="1" applyBorder="1" applyAlignment="1">
      <alignment horizontal="center" vertical="center"/>
    </xf>
    <xf numFmtId="0" fontId="11" fillId="14" borderId="21" xfId="0" applyFont="1" applyFill="1" applyBorder="1" applyAlignment="1">
      <alignment horizontal="center" vertical="center"/>
    </xf>
    <xf numFmtId="0" fontId="17" fillId="5" borderId="55" xfId="0" applyFont="1" applyFill="1" applyBorder="1" applyAlignment="1">
      <alignment horizontal="center" vertical="center" wrapText="1"/>
    </xf>
    <xf numFmtId="0" fontId="12" fillId="37" borderId="2" xfId="0" applyFont="1" applyFill="1" applyBorder="1" applyAlignment="1">
      <alignment horizontal="center" vertical="center" wrapText="1"/>
    </xf>
    <xf numFmtId="0" fontId="11" fillId="40" borderId="22" xfId="0" applyFont="1" applyFill="1" applyBorder="1" applyAlignment="1">
      <alignment horizontal="center" vertical="center"/>
    </xf>
    <xf numFmtId="0" fontId="11" fillId="12" borderId="47" xfId="0" applyFont="1" applyFill="1" applyBorder="1" applyAlignment="1">
      <alignment horizontal="center" vertical="center"/>
    </xf>
    <xf numFmtId="0" fontId="11" fillId="12" borderId="21" xfId="0" applyFont="1" applyFill="1" applyBorder="1" applyAlignment="1">
      <alignment horizontal="center" vertical="center"/>
    </xf>
    <xf numFmtId="0" fontId="17" fillId="5" borderId="64" xfId="0" applyFont="1" applyFill="1" applyBorder="1" applyAlignment="1">
      <alignment horizontal="center" vertical="center" wrapText="1"/>
    </xf>
    <xf numFmtId="0" fontId="38" fillId="0" borderId="55" xfId="0" applyFont="1" applyBorder="1" applyAlignment="1">
      <alignment horizontal="center" vertical="center" wrapText="1"/>
    </xf>
    <xf numFmtId="0" fontId="38" fillId="49" borderId="32" xfId="0" applyFont="1" applyFill="1" applyBorder="1" applyAlignment="1">
      <alignment horizontal="center" vertical="center" wrapText="1"/>
    </xf>
    <xf numFmtId="0" fontId="12" fillId="12" borderId="2" xfId="0" applyFont="1" applyFill="1" applyBorder="1" applyAlignment="1">
      <alignment horizontal="center" vertical="center" wrapText="1"/>
    </xf>
    <xf numFmtId="0" fontId="11" fillId="2" borderId="22" xfId="0" applyFont="1" applyFill="1" applyBorder="1" applyAlignment="1">
      <alignment horizontal="center" vertical="center"/>
    </xf>
    <xf numFmtId="0" fontId="38" fillId="49" borderId="55" xfId="0" applyFont="1" applyFill="1" applyBorder="1" applyAlignment="1">
      <alignment horizontal="center" vertical="center" wrapText="1"/>
    </xf>
    <xf numFmtId="0" fontId="11" fillId="16" borderId="22" xfId="0" applyFont="1" applyFill="1" applyBorder="1" applyAlignment="1">
      <alignment horizontal="center" vertical="center"/>
    </xf>
    <xf numFmtId="0" fontId="28" fillId="5" borderId="32" xfId="0" applyFont="1" applyFill="1" applyBorder="1" applyAlignment="1">
      <alignment horizontal="center" vertical="center" wrapText="1"/>
    </xf>
    <xf numFmtId="0" fontId="28" fillId="5" borderId="30" xfId="0" applyFont="1" applyFill="1" applyBorder="1" applyAlignment="1">
      <alignment horizontal="center" vertical="center" wrapText="1"/>
    </xf>
    <xf numFmtId="0" fontId="22" fillId="5" borderId="34" xfId="0" applyFont="1" applyFill="1" applyBorder="1" applyAlignment="1">
      <alignment horizontal="center" vertical="center" wrapText="1"/>
    </xf>
    <xf numFmtId="0" fontId="97" fillId="5" borderId="19" xfId="0" applyFont="1" applyFill="1" applyBorder="1" applyAlignment="1">
      <alignment horizontal="center" vertical="center" wrapText="1"/>
    </xf>
    <xf numFmtId="0" fontId="11" fillId="3" borderId="2" xfId="0" applyFont="1" applyFill="1" applyBorder="1" applyAlignment="1">
      <alignment vertical="center"/>
    </xf>
    <xf numFmtId="0" fontId="97" fillId="5" borderId="2" xfId="0" applyFont="1" applyFill="1" applyBorder="1" applyAlignment="1">
      <alignment horizontal="center" vertical="center" wrapText="1"/>
    </xf>
    <xf numFmtId="0" fontId="11" fillId="4" borderId="25" xfId="0" applyFont="1" applyFill="1" applyBorder="1" applyAlignment="1">
      <alignment horizontal="center" vertical="center"/>
    </xf>
    <xf numFmtId="0" fontId="17" fillId="3" borderId="19" xfId="0" applyFont="1" applyFill="1" applyBorder="1" applyAlignment="1">
      <alignment horizontal="center" vertical="center" wrapText="1"/>
    </xf>
    <xf numFmtId="0" fontId="15" fillId="0" borderId="25" xfId="0" applyFont="1" applyBorder="1" applyAlignment="1">
      <alignment horizontal="center" vertical="center" wrapText="1"/>
    </xf>
    <xf numFmtId="0" fontId="22" fillId="0" borderId="19" xfId="0" applyFont="1" applyBorder="1" applyAlignment="1">
      <alignment horizontal="center" vertical="center" wrapText="1"/>
    </xf>
    <xf numFmtId="0" fontId="17" fillId="3" borderId="2" xfId="0" applyFont="1" applyFill="1" applyBorder="1" applyAlignment="1">
      <alignment horizontal="center" vertical="center" wrapText="1"/>
    </xf>
    <xf numFmtId="0" fontId="11" fillId="26" borderId="25" xfId="0" applyFont="1" applyFill="1" applyBorder="1" applyAlignment="1">
      <alignment horizontal="center" vertical="center"/>
    </xf>
    <xf numFmtId="0" fontId="11" fillId="26" borderId="23" xfId="0" applyFont="1" applyFill="1" applyBorder="1" applyAlignment="1">
      <alignment horizontal="center" vertical="center"/>
    </xf>
    <xf numFmtId="0" fontId="17" fillId="5" borderId="23" xfId="0" applyFont="1" applyFill="1" applyBorder="1" applyAlignment="1">
      <alignment horizontal="center" vertical="center" wrapText="1"/>
    </xf>
    <xf numFmtId="0" fontId="15" fillId="4" borderId="19" xfId="0" applyFont="1" applyFill="1" applyBorder="1" applyAlignment="1">
      <alignment horizontal="center" vertical="center" wrapText="1"/>
    </xf>
    <xf numFmtId="0" fontId="15" fillId="4" borderId="2" xfId="0" applyFont="1" applyFill="1" applyBorder="1" applyAlignment="1">
      <alignment horizontal="center" vertical="center" wrapText="1"/>
    </xf>
    <xf numFmtId="0" fontId="38" fillId="3" borderId="23" xfId="0" applyFont="1" applyFill="1" applyBorder="1" applyAlignment="1">
      <alignment horizontal="center" vertical="center" wrapText="1"/>
    </xf>
    <xf numFmtId="0" fontId="11" fillId="6" borderId="2" xfId="0" applyFont="1" applyFill="1" applyBorder="1" applyAlignment="1">
      <alignment horizontal="center" vertical="center"/>
    </xf>
    <xf numFmtId="0" fontId="38" fillId="3" borderId="2" xfId="0" applyFont="1" applyFill="1" applyBorder="1" applyAlignment="1">
      <alignment vertical="center" wrapText="1"/>
    </xf>
    <xf numFmtId="0" fontId="12" fillId="33" borderId="2" xfId="0" applyFont="1" applyFill="1" applyBorder="1" applyAlignment="1">
      <alignment horizontal="center" vertical="center" wrapText="1"/>
    </xf>
    <xf numFmtId="0" fontId="11" fillId="62" borderId="2" xfId="0" applyFont="1" applyFill="1" applyBorder="1" applyAlignment="1">
      <alignment horizontal="center" vertical="center"/>
    </xf>
    <xf numFmtId="0" fontId="98" fillId="4" borderId="2" xfId="0" applyFont="1" applyFill="1" applyBorder="1" applyAlignment="1">
      <alignment horizontal="center" vertical="center" wrapText="1"/>
    </xf>
    <xf numFmtId="0" fontId="21" fillId="3" borderId="2" xfId="0" applyFont="1" applyFill="1" applyBorder="1" applyAlignment="1">
      <alignment horizontal="center" vertical="center"/>
    </xf>
    <xf numFmtId="0" fontId="11" fillId="11" borderId="2" xfId="0" applyFont="1" applyFill="1" applyBorder="1" applyAlignment="1">
      <alignment horizontal="center" vertical="center"/>
    </xf>
    <xf numFmtId="0" fontId="98" fillId="5" borderId="2" xfId="0" applyFont="1" applyFill="1" applyBorder="1" applyAlignment="1">
      <alignment horizontal="center" vertical="center" wrapText="1"/>
    </xf>
    <xf numFmtId="0" fontId="10" fillId="0" borderId="45" xfId="0" applyFont="1" applyBorder="1" applyAlignment="1">
      <alignment horizontal="center"/>
    </xf>
    <xf numFmtId="0" fontId="22" fillId="5" borderId="45" xfId="0" applyFont="1" applyFill="1" applyBorder="1" applyAlignment="1">
      <alignment horizontal="center" vertical="center" wrapText="1"/>
    </xf>
    <xf numFmtId="0" fontId="12" fillId="0" borderId="45" xfId="0" applyFont="1" applyBorder="1" applyAlignment="1">
      <alignment horizontal="center" vertical="center" wrapText="1"/>
    </xf>
    <xf numFmtId="0" fontId="0" fillId="0" borderId="70" xfId="0" applyBorder="1"/>
    <xf numFmtId="0" fontId="12" fillId="33" borderId="25" xfId="0" applyFont="1" applyFill="1" applyBorder="1" applyAlignment="1">
      <alignment horizontal="center" vertical="center" wrapText="1"/>
    </xf>
    <xf numFmtId="0" fontId="16" fillId="0" borderId="19" xfId="0" applyFont="1" applyBorder="1" applyAlignment="1">
      <alignment horizontal="center" vertical="center" wrapText="1"/>
    </xf>
    <xf numFmtId="0" fontId="11" fillId="33" borderId="25" xfId="0" applyFont="1" applyFill="1" applyBorder="1" applyAlignment="1">
      <alignment horizontal="center" vertical="center"/>
    </xf>
    <xf numFmtId="0" fontId="11" fillId="11" borderId="25" xfId="0" applyFont="1" applyFill="1" applyBorder="1" applyAlignment="1">
      <alignment horizontal="center" vertical="center"/>
    </xf>
    <xf numFmtId="0" fontId="99" fillId="0" borderId="22" xfId="0" applyFont="1" applyBorder="1"/>
    <xf numFmtId="0" fontId="65" fillId="0" borderId="47" xfId="0" applyFont="1" applyBorder="1"/>
    <xf numFmtId="0" fontId="98" fillId="5" borderId="25" xfId="0" applyFont="1" applyFill="1" applyBorder="1" applyAlignment="1">
      <alignment horizontal="center" vertical="center" wrapText="1"/>
    </xf>
    <xf numFmtId="0" fontId="16" fillId="5" borderId="23" xfId="0" applyFont="1" applyFill="1" applyBorder="1" applyAlignment="1">
      <alignment horizontal="center" vertical="center" wrapText="1"/>
    </xf>
    <xf numFmtId="0" fontId="100" fillId="5" borderId="19" xfId="0" applyFont="1" applyFill="1" applyBorder="1" applyAlignment="1">
      <alignment horizontal="center" vertical="center" wrapText="1"/>
    </xf>
    <xf numFmtId="0" fontId="101" fillId="5" borderId="19" xfId="0" applyFont="1" applyFill="1" applyBorder="1" applyAlignment="1">
      <alignment horizontal="center" vertical="center" wrapText="1"/>
    </xf>
    <xf numFmtId="0" fontId="102" fillId="61" borderId="19" xfId="0" applyFont="1" applyFill="1" applyBorder="1" applyAlignment="1">
      <alignment horizontal="center" vertical="center" wrapText="1"/>
    </xf>
    <xf numFmtId="0" fontId="67" fillId="5" borderId="19" xfId="0" applyFont="1" applyFill="1" applyBorder="1" applyAlignment="1">
      <alignment horizontal="center" vertical="center" wrapText="1"/>
    </xf>
    <xf numFmtId="0" fontId="67" fillId="0" borderId="19" xfId="0" applyFont="1" applyBorder="1" applyAlignment="1">
      <alignment horizontal="center" vertical="center" wrapText="1"/>
    </xf>
    <xf numFmtId="0" fontId="67" fillId="45" borderId="2" xfId="0" applyFont="1" applyFill="1" applyBorder="1" applyAlignment="1">
      <alignment horizontal="center" vertical="center"/>
    </xf>
    <xf numFmtId="0" fontId="103" fillId="5" borderId="2" xfId="0" applyFont="1" applyFill="1" applyBorder="1" applyAlignment="1">
      <alignment horizontal="center" vertical="center" wrapText="1"/>
    </xf>
    <xf numFmtId="0" fontId="1" fillId="0" borderId="2" xfId="0" applyFont="1" applyBorder="1" applyAlignment="1">
      <alignment horizontal="center" vertical="center" wrapText="1"/>
    </xf>
    <xf numFmtId="0" fontId="67" fillId="5" borderId="2" xfId="0" applyFont="1" applyFill="1" applyBorder="1" applyAlignment="1">
      <alignment horizontal="center" vertical="center" wrapText="1"/>
    </xf>
    <xf numFmtId="0" fontId="67" fillId="0" borderId="2" xfId="0" applyFont="1" applyBorder="1" applyAlignment="1">
      <alignment horizontal="center" vertical="center" wrapText="1"/>
    </xf>
    <xf numFmtId="0" fontId="104" fillId="5" borderId="2" xfId="0" applyFont="1" applyFill="1" applyBorder="1" applyAlignment="1">
      <alignment horizontal="center" vertical="center" wrapText="1"/>
    </xf>
    <xf numFmtId="0" fontId="103" fillId="4" borderId="2" xfId="0" applyFont="1" applyFill="1" applyBorder="1" applyAlignment="1">
      <alignment horizontal="center" vertical="center" wrapText="1"/>
    </xf>
    <xf numFmtId="0" fontId="105" fillId="5" borderId="2" xfId="0" applyFont="1" applyFill="1" applyBorder="1" applyAlignment="1">
      <alignment horizontal="center" vertical="center" wrapText="1"/>
    </xf>
    <xf numFmtId="0" fontId="67" fillId="50" borderId="2" xfId="0" applyFont="1" applyFill="1" applyBorder="1" applyAlignment="1">
      <alignment horizontal="center" vertical="center"/>
    </xf>
    <xf numFmtId="0" fontId="67" fillId="63" borderId="2" xfId="0" applyFont="1" applyFill="1" applyBorder="1" applyAlignment="1">
      <alignment horizontal="center" vertical="center"/>
    </xf>
    <xf numFmtId="20" fontId="100" fillId="5" borderId="2" xfId="0" applyNumberFormat="1" applyFont="1" applyFill="1" applyBorder="1" applyAlignment="1">
      <alignment horizontal="center" vertical="center" wrapText="1"/>
    </xf>
    <xf numFmtId="0" fontId="101" fillId="5" borderId="2" xfId="0" applyFont="1" applyFill="1" applyBorder="1" applyAlignment="1">
      <alignment horizontal="center" vertical="center" wrapText="1"/>
    </xf>
    <xf numFmtId="0" fontId="100" fillId="5" borderId="2" xfId="0" applyFont="1" applyFill="1" applyBorder="1" applyAlignment="1">
      <alignment horizontal="center" vertical="center" wrapText="1"/>
    </xf>
    <xf numFmtId="0" fontId="100" fillId="4" borderId="2" xfId="0" applyFont="1" applyFill="1" applyBorder="1" applyAlignment="1">
      <alignment horizontal="center" vertical="center" wrapText="1"/>
    </xf>
    <xf numFmtId="0" fontId="101" fillId="4" borderId="2" xfId="0" applyFont="1" applyFill="1" applyBorder="1" applyAlignment="1">
      <alignment horizontal="center" vertical="center" wrapText="1"/>
    </xf>
    <xf numFmtId="0" fontId="106" fillId="5" borderId="2" xfId="0" applyFont="1" applyFill="1" applyBorder="1" applyAlignment="1">
      <alignment horizontal="center" vertical="center" wrapText="1"/>
    </xf>
    <xf numFmtId="0" fontId="67" fillId="12" borderId="2" xfId="0" applyFont="1" applyFill="1" applyBorder="1" applyAlignment="1">
      <alignment horizontal="center" vertical="center" wrapText="1"/>
    </xf>
    <xf numFmtId="0" fontId="107" fillId="5" borderId="2" xfId="0" applyFont="1" applyFill="1" applyBorder="1" applyAlignment="1">
      <alignment horizontal="center" vertical="center" wrapText="1"/>
    </xf>
    <xf numFmtId="0" fontId="102" fillId="0" borderId="2" xfId="0" applyFont="1" applyBorder="1" applyAlignment="1">
      <alignment horizontal="center" vertical="center" wrapText="1"/>
    </xf>
    <xf numFmtId="0" fontId="77" fillId="0" borderId="2" xfId="0" applyFont="1" applyBorder="1" applyAlignment="1">
      <alignment horizontal="center" vertical="center"/>
    </xf>
    <xf numFmtId="0" fontId="67" fillId="4" borderId="2" xfId="0" applyFont="1" applyFill="1" applyBorder="1" applyAlignment="1">
      <alignment horizontal="center" vertical="center" wrapText="1"/>
    </xf>
    <xf numFmtId="0" fontId="67" fillId="0" borderId="2" xfId="0" applyFont="1" applyBorder="1" applyAlignment="1">
      <alignment horizontal="center" vertical="center"/>
    </xf>
    <xf numFmtId="0" fontId="69" fillId="0" borderId="2" xfId="0" applyFont="1" applyBorder="1" applyAlignment="1">
      <alignment vertical="center"/>
    </xf>
    <xf numFmtId="0" fontId="108" fillId="5" borderId="2" xfId="0" applyFont="1" applyFill="1" applyBorder="1" applyAlignment="1">
      <alignment horizontal="center" vertical="center" wrapText="1"/>
    </xf>
    <xf numFmtId="0" fontId="67" fillId="64" borderId="2" xfId="0" applyFont="1" applyFill="1" applyBorder="1" applyAlignment="1">
      <alignment horizontal="center" vertical="center"/>
    </xf>
    <xf numFmtId="16" fontId="68" fillId="0" borderId="25" xfId="0" applyNumberFormat="1" applyFont="1" applyBorder="1" applyAlignment="1">
      <alignment horizontal="center" vertical="center"/>
    </xf>
    <xf numFmtId="0" fontId="67" fillId="64" borderId="25" xfId="0" applyFont="1" applyFill="1" applyBorder="1" applyAlignment="1">
      <alignment horizontal="center" vertical="center"/>
    </xf>
    <xf numFmtId="0" fontId="102" fillId="5" borderId="25" xfId="0" applyFont="1" applyFill="1" applyBorder="1" applyAlignment="1">
      <alignment horizontal="center" vertical="center" wrapText="1"/>
    </xf>
    <xf numFmtId="0" fontId="104" fillId="5" borderId="25" xfId="0" applyFont="1" applyFill="1" applyBorder="1" applyAlignment="1">
      <alignment horizontal="center" vertical="center" wrapText="1"/>
    </xf>
    <xf numFmtId="0" fontId="102" fillId="0" borderId="25" xfId="0" applyFont="1" applyBorder="1" applyAlignment="1">
      <alignment horizontal="center" vertical="center" wrapText="1"/>
    </xf>
    <xf numFmtId="0" fontId="10" fillId="0" borderId="28" xfId="0" applyFont="1" applyBorder="1" applyAlignment="1">
      <alignment horizontal="center"/>
    </xf>
    <xf numFmtId="0" fontId="67" fillId="64" borderId="19" xfId="0" applyFont="1" applyFill="1" applyBorder="1" applyAlignment="1">
      <alignment horizontal="center" vertical="center"/>
    </xf>
    <xf numFmtId="0" fontId="102" fillId="5" borderId="19" xfId="0" applyFont="1" applyFill="1" applyBorder="1" applyAlignment="1">
      <alignment horizontal="center" vertical="center" wrapText="1"/>
    </xf>
    <xf numFmtId="0" fontId="104" fillId="5" borderId="19" xfId="0" applyFont="1" applyFill="1" applyBorder="1" applyAlignment="1">
      <alignment horizontal="center" vertical="center" wrapText="1"/>
    </xf>
    <xf numFmtId="0" fontId="102" fillId="0" borderId="19" xfId="0" applyFont="1" applyBorder="1" applyAlignment="1">
      <alignment horizontal="center" vertical="center" wrapText="1"/>
    </xf>
    <xf numFmtId="0" fontId="67" fillId="64" borderId="23" xfId="0" applyFont="1" applyFill="1" applyBorder="1" applyAlignment="1">
      <alignment horizontal="center" vertical="center"/>
    </xf>
    <xf numFmtId="0" fontId="107" fillId="5" borderId="23" xfId="0" applyFont="1" applyFill="1" applyBorder="1" applyAlignment="1">
      <alignment horizontal="center" vertical="center" wrapText="1"/>
    </xf>
    <xf numFmtId="0" fontId="67" fillId="5" borderId="23" xfId="0" applyFont="1" applyFill="1" applyBorder="1" applyAlignment="1">
      <alignment horizontal="center" vertical="center" wrapText="1"/>
    </xf>
    <xf numFmtId="0" fontId="67" fillId="0" borderId="23" xfId="0" applyFont="1" applyBorder="1" applyAlignment="1">
      <alignment horizontal="center" vertical="center" wrapText="1"/>
    </xf>
    <xf numFmtId="0" fontId="104" fillId="5" borderId="23" xfId="0" applyFont="1" applyFill="1" applyBorder="1" applyAlignment="1">
      <alignment horizontal="center" vertical="center" wrapText="1"/>
    </xf>
    <xf numFmtId="0" fontId="67" fillId="50" borderId="19" xfId="0" applyFont="1" applyFill="1" applyBorder="1" applyAlignment="1">
      <alignment horizontal="center" vertical="center"/>
    </xf>
    <xf numFmtId="0" fontId="100" fillId="5" borderId="23" xfId="0" applyFont="1" applyFill="1" applyBorder="1" applyAlignment="1">
      <alignment horizontal="center" vertical="center" wrapText="1"/>
    </xf>
    <xf numFmtId="0" fontId="101" fillId="5" borderId="23" xfId="0" applyFont="1" applyFill="1" applyBorder="1" applyAlignment="1">
      <alignment horizontal="center" vertical="center" wrapText="1"/>
    </xf>
    <xf numFmtId="0" fontId="107" fillId="5" borderId="19" xfId="0" applyFont="1" applyFill="1" applyBorder="1" applyAlignment="1">
      <alignment horizontal="center" vertical="center" wrapText="1"/>
    </xf>
    <xf numFmtId="0" fontId="67" fillId="19" borderId="19" xfId="0" applyFont="1" applyFill="1" applyBorder="1" applyAlignment="1">
      <alignment horizontal="center" vertical="center" wrapText="1"/>
    </xf>
    <xf numFmtId="0" fontId="2" fillId="5" borderId="60" xfId="0" applyFont="1" applyFill="1" applyBorder="1" applyAlignment="1">
      <alignment horizontal="center" vertical="center" wrapText="1"/>
    </xf>
    <xf numFmtId="16" fontId="68" fillId="0" borderId="20" xfId="0" applyNumberFormat="1" applyFont="1" applyBorder="1" applyAlignment="1">
      <alignment horizontal="center" vertical="center"/>
    </xf>
    <xf numFmtId="0" fontId="10" fillId="0" borderId="48" xfId="0" applyFont="1" applyBorder="1" applyAlignment="1">
      <alignment horizontal="center"/>
    </xf>
    <xf numFmtId="0" fontId="67" fillId="50" borderId="20" xfId="0" applyFont="1" applyFill="1" applyBorder="1" applyAlignment="1">
      <alignment horizontal="center" vertical="center"/>
    </xf>
    <xf numFmtId="0" fontId="67" fillId="50" borderId="23" xfId="0" applyFont="1" applyFill="1" applyBorder="1" applyAlignment="1">
      <alignment horizontal="center" vertical="center"/>
    </xf>
    <xf numFmtId="0" fontId="105" fillId="5" borderId="23" xfId="0" applyFont="1" applyFill="1" applyBorder="1" applyAlignment="1">
      <alignment horizontal="center" vertical="center" wrapText="1"/>
    </xf>
    <xf numFmtId="0" fontId="12" fillId="5" borderId="24" xfId="0" applyFont="1" applyFill="1" applyBorder="1" applyAlignment="1">
      <alignment horizontal="center" vertical="center" wrapText="1"/>
    </xf>
    <xf numFmtId="0" fontId="105" fillId="5" borderId="19" xfId="0" applyFont="1" applyFill="1" applyBorder="1" applyAlignment="1">
      <alignment horizontal="center" vertical="center" wrapText="1"/>
    </xf>
    <xf numFmtId="0" fontId="1" fillId="0" borderId="19" xfId="0" applyFont="1" applyBorder="1" applyAlignment="1">
      <alignment vertical="center" wrapText="1"/>
    </xf>
    <xf numFmtId="0" fontId="67" fillId="19" borderId="23" xfId="0" applyFont="1" applyFill="1" applyBorder="1" applyAlignment="1">
      <alignment horizontal="center" vertical="center" wrapText="1"/>
    </xf>
    <xf numFmtId="0" fontId="100" fillId="5" borderId="20" xfId="0" applyFont="1" applyFill="1" applyBorder="1" applyAlignment="1">
      <alignment horizontal="center" vertical="center" wrapText="1"/>
    </xf>
    <xf numFmtId="0" fontId="69" fillId="0" borderId="20" xfId="0" applyFont="1" applyBorder="1" applyAlignment="1">
      <alignment vertical="center"/>
    </xf>
    <xf numFmtId="0" fontId="102" fillId="5" borderId="2" xfId="0" applyFont="1" applyFill="1" applyBorder="1" applyAlignment="1">
      <alignment horizontal="center" vertical="center" wrapText="1"/>
    </xf>
    <xf numFmtId="0" fontId="67" fillId="38" borderId="2" xfId="0" applyFont="1" applyFill="1" applyBorder="1" applyAlignment="1">
      <alignment horizontal="center" vertical="center"/>
    </xf>
    <xf numFmtId="0" fontId="109" fillId="5" borderId="2" xfId="0" applyFont="1" applyFill="1" applyBorder="1" applyAlignment="1">
      <alignment horizontal="center" vertical="center" wrapText="1"/>
    </xf>
    <xf numFmtId="0" fontId="67" fillId="14" borderId="2" xfId="0" applyFont="1" applyFill="1" applyBorder="1" applyAlignment="1">
      <alignment horizontal="center" vertical="center" wrapText="1"/>
    </xf>
    <xf numFmtId="0" fontId="102" fillId="22" borderId="2" xfId="0" applyFont="1" applyFill="1" applyBorder="1" applyAlignment="1">
      <alignment horizontal="center" vertical="center" wrapText="1"/>
    </xf>
    <xf numFmtId="0" fontId="67" fillId="25" borderId="2" xfId="0" applyFont="1" applyFill="1" applyBorder="1" applyAlignment="1">
      <alignment horizontal="center" vertical="center"/>
    </xf>
    <xf numFmtId="0" fontId="67" fillId="17" borderId="2" xfId="0" applyFont="1" applyFill="1" applyBorder="1" applyAlignment="1">
      <alignment horizontal="center" vertical="center" wrapText="1"/>
    </xf>
    <xf numFmtId="0" fontId="67" fillId="48" borderId="2" xfId="0" applyFont="1" applyFill="1" applyBorder="1" applyAlignment="1">
      <alignment horizontal="center" vertical="center" wrapText="1"/>
    </xf>
    <xf numFmtId="20" fontId="54" fillId="3" borderId="2" xfId="0" applyNumberFormat="1" applyFont="1" applyFill="1" applyBorder="1" applyAlignment="1">
      <alignment horizontal="center" vertical="center"/>
    </xf>
    <xf numFmtId="0" fontId="67" fillId="26" borderId="2" xfId="0" applyFont="1" applyFill="1" applyBorder="1" applyAlignment="1">
      <alignment horizontal="center" vertical="center" wrapText="1"/>
    </xf>
    <xf numFmtId="0" fontId="67" fillId="31" borderId="2" xfId="0" applyFont="1" applyFill="1" applyBorder="1" applyAlignment="1">
      <alignment horizontal="center" vertical="center"/>
    </xf>
    <xf numFmtId="0" fontId="67" fillId="17" borderId="2" xfId="0" applyFont="1" applyFill="1" applyBorder="1" applyAlignment="1">
      <alignment horizontal="center" vertical="center"/>
    </xf>
    <xf numFmtId="0" fontId="110" fillId="0" borderId="2" xfId="0" applyFont="1" applyBorder="1" applyAlignment="1">
      <alignment horizontal="center" vertical="center" wrapText="1"/>
    </xf>
    <xf numFmtId="0" fontId="67" fillId="33" borderId="2" xfId="0" applyFont="1" applyFill="1" applyBorder="1" applyAlignment="1">
      <alignment horizontal="center" vertical="center"/>
    </xf>
    <xf numFmtId="0" fontId="67" fillId="26" borderId="2" xfId="0" applyFont="1" applyFill="1" applyBorder="1" applyAlignment="1">
      <alignment horizontal="center" vertical="center"/>
    </xf>
    <xf numFmtId="0" fontId="67" fillId="14" borderId="2" xfId="0" applyFont="1" applyFill="1" applyBorder="1" applyAlignment="1">
      <alignment horizontal="center" vertical="center"/>
    </xf>
    <xf numFmtId="0" fontId="67" fillId="20" borderId="2" xfId="0" applyFont="1" applyFill="1" applyBorder="1" applyAlignment="1">
      <alignment horizontal="center" vertical="center"/>
    </xf>
    <xf numFmtId="0" fontId="1" fillId="0" borderId="2" xfId="0" applyFont="1" applyBorder="1" applyAlignment="1">
      <alignment vertical="center" wrapText="1"/>
    </xf>
    <xf numFmtId="0" fontId="67" fillId="11" borderId="2" xfId="0" applyFont="1" applyFill="1" applyBorder="1" applyAlignment="1">
      <alignment horizontal="center" vertical="center"/>
    </xf>
    <xf numFmtId="20" fontId="111" fillId="4" borderId="2" xfId="0" applyNumberFormat="1" applyFont="1" applyFill="1" applyBorder="1" applyAlignment="1">
      <alignment horizontal="center" vertical="center" wrapText="1"/>
    </xf>
    <xf numFmtId="0" fontId="2" fillId="5" borderId="22" xfId="0" applyFont="1" applyFill="1" applyBorder="1" applyAlignment="1">
      <alignment horizontal="center" vertical="center" wrapText="1"/>
    </xf>
    <xf numFmtId="0" fontId="5" fillId="5" borderId="22" xfId="0" applyFont="1" applyFill="1" applyBorder="1" applyAlignment="1">
      <alignment horizontal="center" vertical="center" wrapText="1"/>
    </xf>
    <xf numFmtId="0" fontId="2" fillId="5" borderId="46" xfId="0" applyFont="1" applyFill="1" applyBorder="1" applyAlignment="1">
      <alignment horizontal="center" vertical="center" wrapText="1"/>
    </xf>
    <xf numFmtId="0" fontId="67" fillId="5" borderId="25" xfId="0" applyFont="1" applyFill="1" applyBorder="1" applyAlignment="1">
      <alignment horizontal="center" vertical="center"/>
    </xf>
    <xf numFmtId="0" fontId="67" fillId="5" borderId="25" xfId="0" applyFont="1" applyFill="1" applyBorder="1" applyAlignment="1">
      <alignment horizontal="center" vertical="center" wrapText="1"/>
    </xf>
    <xf numFmtId="0" fontId="67" fillId="0" borderId="25" xfId="0" applyFont="1" applyBorder="1" applyAlignment="1">
      <alignment horizontal="center" vertical="center" wrapText="1"/>
    </xf>
    <xf numFmtId="0" fontId="2" fillId="5" borderId="47" xfId="0" applyFont="1" applyFill="1" applyBorder="1" applyAlignment="1">
      <alignment horizontal="center" vertical="center" wrapText="1"/>
    </xf>
    <xf numFmtId="0" fontId="67" fillId="5" borderId="20" xfId="0" applyFont="1" applyFill="1" applyBorder="1" applyAlignment="1">
      <alignment horizontal="center" vertical="center"/>
    </xf>
    <xf numFmtId="0" fontId="67" fillId="0" borderId="20" xfId="0" applyFont="1" applyBorder="1" applyAlignment="1">
      <alignment horizontal="center" vertical="center" wrapText="1"/>
    </xf>
    <xf numFmtId="0" fontId="2" fillId="5" borderId="21" xfId="0" applyFont="1" applyFill="1" applyBorder="1" applyAlignment="1">
      <alignment horizontal="center" vertical="center" wrapText="1"/>
    </xf>
    <xf numFmtId="0" fontId="2" fillId="5" borderId="24" xfId="0" applyFont="1" applyFill="1" applyBorder="1" applyAlignment="1">
      <alignment horizontal="center" vertical="center" wrapText="1"/>
    </xf>
    <xf numFmtId="0" fontId="100" fillId="5" borderId="25" xfId="0" applyFont="1" applyFill="1" applyBorder="1" applyAlignment="1">
      <alignment horizontal="center" vertical="center" wrapText="1"/>
    </xf>
    <xf numFmtId="0" fontId="67" fillId="5" borderId="20" xfId="0" applyFont="1" applyFill="1" applyBorder="1" applyAlignment="1">
      <alignment horizontal="center" vertical="center" wrapText="1"/>
    </xf>
    <xf numFmtId="0" fontId="2" fillId="5" borderId="54" xfId="0" applyFont="1" applyFill="1" applyBorder="1" applyAlignment="1">
      <alignment horizontal="center" vertical="center" wrapText="1"/>
    </xf>
    <xf numFmtId="0" fontId="67" fillId="12" borderId="19" xfId="0" applyFont="1" applyFill="1" applyBorder="1" applyAlignment="1">
      <alignment horizontal="center" vertical="center"/>
    </xf>
    <xf numFmtId="0" fontId="67" fillId="26" borderId="20" xfId="0" applyFont="1" applyFill="1" applyBorder="1" applyAlignment="1">
      <alignment horizontal="center" vertical="center"/>
    </xf>
    <xf numFmtId="0" fontId="102" fillId="0" borderId="20" xfId="0" applyFont="1" applyBorder="1" applyAlignment="1">
      <alignment horizontal="center" vertical="center" wrapText="1"/>
    </xf>
    <xf numFmtId="0" fontId="110" fillId="0" borderId="20" xfId="0" applyFont="1" applyBorder="1" applyAlignment="1">
      <alignment horizontal="center" vertical="center" wrapText="1"/>
    </xf>
    <xf numFmtId="0" fontId="67" fillId="14" borderId="23" xfId="0" applyFont="1" applyFill="1" applyBorder="1" applyAlignment="1">
      <alignment horizontal="center" vertical="center"/>
    </xf>
    <xf numFmtId="0" fontId="67" fillId="12" borderId="20" xfId="0" applyFont="1" applyFill="1" applyBorder="1" applyAlignment="1">
      <alignment horizontal="center" vertical="center"/>
    </xf>
    <xf numFmtId="0" fontId="104" fillId="5" borderId="20" xfId="0" applyFont="1" applyFill="1" applyBorder="1" applyAlignment="1">
      <alignment horizontal="center" vertical="center" wrapText="1"/>
    </xf>
    <xf numFmtId="0" fontId="67" fillId="38" borderId="23" xfId="0" applyFont="1" applyFill="1" applyBorder="1" applyAlignment="1">
      <alignment horizontal="center" vertical="center"/>
    </xf>
    <xf numFmtId="0" fontId="102" fillId="0" borderId="23" xfId="0" applyFont="1" applyBorder="1" applyAlignment="1">
      <alignment horizontal="center" vertical="center" wrapText="1"/>
    </xf>
    <xf numFmtId="0" fontId="67" fillId="14" borderId="23" xfId="0" applyFont="1" applyFill="1" applyBorder="1" applyAlignment="1">
      <alignment horizontal="center" vertical="center" wrapText="1"/>
    </xf>
    <xf numFmtId="20" fontId="57" fillId="4" borderId="2" xfId="0" applyNumberFormat="1" applyFont="1" applyFill="1" applyBorder="1" applyAlignment="1">
      <alignment horizontal="center" vertical="center"/>
    </xf>
    <xf numFmtId="0" fontId="114" fillId="3" borderId="2" xfId="0" applyFont="1" applyFill="1" applyBorder="1" applyAlignment="1">
      <alignment horizontal="center" vertical="center" wrapText="1"/>
    </xf>
    <xf numFmtId="20" fontId="55" fillId="3" borderId="2" xfId="0" applyNumberFormat="1" applyFont="1" applyFill="1" applyBorder="1" applyAlignment="1">
      <alignment horizontal="center" vertical="center"/>
    </xf>
    <xf numFmtId="20" fontId="54" fillId="4" borderId="2" xfId="0" applyNumberFormat="1" applyFont="1" applyFill="1" applyBorder="1" applyAlignment="1">
      <alignment horizontal="center" vertical="center"/>
    </xf>
    <xf numFmtId="16" fontId="68" fillId="0" borderId="51" xfId="0" applyNumberFormat="1" applyFont="1" applyBorder="1" applyAlignment="1">
      <alignment horizontal="center" vertical="center"/>
    </xf>
    <xf numFmtId="0" fontId="10" fillId="0" borderId="51" xfId="0" applyFont="1" applyBorder="1" applyAlignment="1">
      <alignment horizontal="center"/>
    </xf>
    <xf numFmtId="0" fontId="67" fillId="5" borderId="51" xfId="0" applyFont="1" applyFill="1" applyBorder="1" applyAlignment="1">
      <alignment horizontal="center" vertical="center"/>
    </xf>
    <xf numFmtId="0" fontId="100" fillId="5" borderId="51" xfId="0" applyFont="1" applyFill="1" applyBorder="1" applyAlignment="1">
      <alignment horizontal="center" vertical="center" wrapText="1"/>
    </xf>
    <xf numFmtId="0" fontId="67" fillId="0" borderId="51" xfId="0" applyFont="1" applyBorder="1" applyAlignment="1">
      <alignment horizontal="center" vertical="center" wrapText="1"/>
    </xf>
    <xf numFmtId="0" fontId="67" fillId="3" borderId="22" xfId="0" applyFont="1" applyFill="1" applyBorder="1" applyAlignment="1">
      <alignment horizontal="center" vertical="center" wrapText="1"/>
    </xf>
    <xf numFmtId="0" fontId="67" fillId="3" borderId="45" xfId="0" applyFont="1" applyFill="1" applyBorder="1" applyAlignment="1">
      <alignment horizontal="center" vertical="center" wrapText="1"/>
    </xf>
    <xf numFmtId="0" fontId="67" fillId="3" borderId="2" xfId="0" applyFont="1" applyFill="1" applyBorder="1" applyAlignment="1">
      <alignment horizontal="center" vertical="center" wrapText="1"/>
    </xf>
    <xf numFmtId="0" fontId="67" fillId="3" borderId="70" xfId="0" applyFont="1" applyFill="1" applyBorder="1" applyAlignment="1">
      <alignment horizontal="center" vertical="center" wrapText="1"/>
    </xf>
    <xf numFmtId="0" fontId="67" fillId="3" borderId="54" xfId="0" applyFont="1" applyFill="1" applyBorder="1" applyAlignment="1">
      <alignment horizontal="center" vertical="center" wrapText="1"/>
    </xf>
    <xf numFmtId="0" fontId="67" fillId="3" borderId="23" xfId="0" applyFont="1" applyFill="1" applyBorder="1" applyAlignment="1">
      <alignment horizontal="center" vertical="center" wrapText="1"/>
    </xf>
    <xf numFmtId="0" fontId="67" fillId="3" borderId="24" xfId="0" applyFont="1" applyFill="1" applyBorder="1" applyAlignment="1">
      <alignment horizontal="center" vertical="center" wrapText="1"/>
    </xf>
    <xf numFmtId="0" fontId="1" fillId="61" borderId="2" xfId="0" applyFont="1" applyFill="1" applyBorder="1" applyAlignment="1">
      <alignment horizontal="center" vertical="center" wrapText="1"/>
    </xf>
    <xf numFmtId="0" fontId="1" fillId="61" borderId="23" xfId="0" applyFont="1" applyFill="1" applyBorder="1" applyAlignment="1">
      <alignment horizontal="center" vertical="center" wrapText="1"/>
    </xf>
    <xf numFmtId="0" fontId="45" fillId="3" borderId="0" xfId="0" applyFont="1" applyFill="1" applyAlignment="1">
      <alignment horizontal="center"/>
    </xf>
    <xf numFmtId="0" fontId="12" fillId="0" borderId="33" xfId="0" applyFont="1" applyBorder="1" applyAlignment="1">
      <alignment horizontal="center" vertical="center" wrapText="1"/>
    </xf>
    <xf numFmtId="0" fontId="12" fillId="0" borderId="64" xfId="0" applyFont="1" applyBorder="1" applyAlignment="1">
      <alignment horizontal="center" vertical="center" wrapText="1"/>
    </xf>
    <xf numFmtId="0" fontId="12" fillId="0" borderId="61" xfId="0" applyFont="1" applyBorder="1" applyAlignment="1">
      <alignment horizontal="center" vertical="center" wrapText="1"/>
    </xf>
    <xf numFmtId="0" fontId="67" fillId="5" borderId="31" xfId="0" applyFont="1" applyFill="1" applyBorder="1" applyAlignment="1">
      <alignment horizontal="center" vertical="center" wrapText="1"/>
    </xf>
    <xf numFmtId="0" fontId="67" fillId="5" borderId="64" xfId="0" applyFont="1" applyFill="1" applyBorder="1" applyAlignment="1">
      <alignment horizontal="center" vertical="center" wrapText="1"/>
    </xf>
    <xf numFmtId="0" fontId="2" fillId="5" borderId="20" xfId="0" applyFont="1" applyFill="1" applyBorder="1" applyAlignment="1">
      <alignment horizontal="center" vertical="center" wrapText="1"/>
    </xf>
    <xf numFmtId="16" fontId="27" fillId="0" borderId="20" xfId="0" applyNumberFormat="1" applyFont="1" applyBorder="1" applyAlignment="1">
      <alignment horizontal="center" vertical="center"/>
    </xf>
    <xf numFmtId="0" fontId="27" fillId="0" borderId="20" xfId="0" applyFont="1" applyBorder="1" applyAlignment="1">
      <alignment horizontal="center" vertical="center"/>
    </xf>
    <xf numFmtId="0" fontId="107" fillId="5" borderId="20" xfId="0" applyFont="1" applyFill="1" applyBorder="1" applyAlignment="1">
      <alignment horizontal="center" vertical="center" wrapText="1"/>
    </xf>
    <xf numFmtId="0" fontId="1" fillId="3" borderId="20" xfId="0" applyFont="1" applyFill="1" applyBorder="1" applyAlignment="1">
      <alignment vertical="center" wrapText="1"/>
    </xf>
    <xf numFmtId="0" fontId="109" fillId="3" borderId="20" xfId="0" applyFont="1" applyFill="1" applyBorder="1" applyAlignment="1">
      <alignment vertical="center" wrapText="1"/>
    </xf>
    <xf numFmtId="0" fontId="67" fillId="3" borderId="20" xfId="0" applyFont="1" applyFill="1" applyBorder="1" applyAlignment="1">
      <alignment horizontal="center" vertical="center" wrapText="1"/>
    </xf>
    <xf numFmtId="16" fontId="27" fillId="0" borderId="2" xfId="0" applyNumberFormat="1" applyFont="1" applyBorder="1" applyAlignment="1">
      <alignment horizontal="center" vertical="center"/>
    </xf>
    <xf numFmtId="0" fontId="27" fillId="0" borderId="2" xfId="0" applyFont="1" applyBorder="1" applyAlignment="1">
      <alignment horizontal="center" vertical="center"/>
    </xf>
    <xf numFmtId="0" fontId="1" fillId="3" borderId="2" xfId="0" applyFont="1" applyFill="1" applyBorder="1" applyAlignment="1">
      <alignment vertical="center" wrapText="1"/>
    </xf>
    <xf numFmtId="0" fontId="109" fillId="3" borderId="2" xfId="0" applyFont="1" applyFill="1" applyBorder="1" applyAlignment="1">
      <alignment vertical="center" wrapText="1"/>
    </xf>
    <xf numFmtId="0" fontId="27" fillId="17" borderId="2" xfId="0" applyFont="1" applyFill="1" applyBorder="1" applyAlignment="1">
      <alignment horizontal="center" vertical="center"/>
    </xf>
    <xf numFmtId="0" fontId="27" fillId="4" borderId="2" xfId="0" applyFont="1" applyFill="1" applyBorder="1" applyAlignment="1">
      <alignment horizontal="center" vertical="center"/>
    </xf>
    <xf numFmtId="0" fontId="27" fillId="3" borderId="2" xfId="0" applyFont="1" applyFill="1" applyBorder="1" applyAlignment="1">
      <alignment horizontal="center" vertical="center"/>
    </xf>
    <xf numFmtId="0" fontId="27" fillId="24" borderId="2" xfId="0" applyFont="1" applyFill="1" applyBorder="1" applyAlignment="1">
      <alignment horizontal="center" vertical="center"/>
    </xf>
    <xf numFmtId="20" fontId="107" fillId="3" borderId="2" xfId="0" applyNumberFormat="1" applyFont="1" applyFill="1" applyBorder="1" applyAlignment="1">
      <alignment horizontal="center" vertical="center" wrapText="1"/>
    </xf>
    <xf numFmtId="0" fontId="107" fillId="3" borderId="2" xfId="0" applyFont="1" applyFill="1" applyBorder="1" applyAlignment="1">
      <alignment horizontal="center" vertical="center" wrapText="1"/>
    </xf>
    <xf numFmtId="0" fontId="27" fillId="18" borderId="51" xfId="0" applyFont="1" applyFill="1" applyBorder="1" applyAlignment="1">
      <alignment horizontal="center" vertical="center"/>
    </xf>
    <xf numFmtId="0" fontId="27" fillId="18" borderId="2" xfId="0" applyFont="1" applyFill="1" applyBorder="1" applyAlignment="1">
      <alignment horizontal="center" vertical="center"/>
    </xf>
    <xf numFmtId="0" fontId="27" fillId="18" borderId="25" xfId="0" applyFont="1" applyFill="1" applyBorder="1" applyAlignment="1">
      <alignment horizontal="center" vertical="center"/>
    </xf>
    <xf numFmtId="0" fontId="27" fillId="0" borderId="33" xfId="0" applyFont="1" applyBorder="1" applyAlignment="1">
      <alignment horizontal="center" vertical="center"/>
    </xf>
    <xf numFmtId="0" fontId="107" fillId="5" borderId="32" xfId="0" applyFont="1" applyFill="1" applyBorder="1" applyAlignment="1">
      <alignment horizontal="center" vertical="center" wrapText="1"/>
    </xf>
    <xf numFmtId="20" fontId="106" fillId="3" borderId="2" xfId="0" applyNumberFormat="1" applyFont="1" applyFill="1" applyBorder="1" applyAlignment="1">
      <alignment horizontal="center" vertical="center" wrapText="1"/>
    </xf>
    <xf numFmtId="0" fontId="27" fillId="28" borderId="51" xfId="0" applyFont="1" applyFill="1" applyBorder="1" applyAlignment="1">
      <alignment horizontal="center" vertical="center"/>
    </xf>
    <xf numFmtId="0" fontId="27" fillId="28" borderId="20" xfId="0" applyFont="1" applyFill="1" applyBorder="1" applyAlignment="1">
      <alignment horizontal="center" vertical="center"/>
    </xf>
    <xf numFmtId="0" fontId="8" fillId="5" borderId="2" xfId="0" applyFont="1" applyFill="1" applyBorder="1" applyAlignment="1">
      <alignment horizontal="center" vertical="center" wrapText="1"/>
    </xf>
    <xf numFmtId="0" fontId="27" fillId="28" borderId="2" xfId="0" applyFont="1" applyFill="1" applyBorder="1" applyAlignment="1">
      <alignment horizontal="center" vertical="center"/>
    </xf>
    <xf numFmtId="0" fontId="27" fillId="32" borderId="2" xfId="0" applyFont="1" applyFill="1" applyBorder="1" applyAlignment="1">
      <alignment horizontal="center" vertical="center"/>
    </xf>
    <xf numFmtId="0" fontId="50" fillId="32" borderId="2" xfId="0" applyFont="1" applyFill="1" applyBorder="1" applyAlignment="1">
      <alignment horizontal="center" vertical="center"/>
    </xf>
    <xf numFmtId="0" fontId="27" fillId="36" borderId="2" xfId="0" applyFont="1" applyFill="1" applyBorder="1" applyAlignment="1">
      <alignment horizontal="center" vertical="center"/>
    </xf>
    <xf numFmtId="0" fontId="47" fillId="0" borderId="0" xfId="0" applyFont="1" applyAlignment="1">
      <alignment horizontal="center"/>
    </xf>
    <xf numFmtId="0" fontId="27" fillId="42" borderId="2" xfId="0" applyFont="1" applyFill="1" applyBorder="1" applyAlignment="1">
      <alignment horizontal="center" vertical="center"/>
    </xf>
    <xf numFmtId="0" fontId="27" fillId="14" borderId="2" xfId="0" applyFont="1" applyFill="1" applyBorder="1" applyAlignment="1">
      <alignment horizontal="center" vertical="center"/>
    </xf>
    <xf numFmtId="20" fontId="109" fillId="5" borderId="2" xfId="0" applyNumberFormat="1" applyFont="1" applyFill="1" applyBorder="1" applyAlignment="1">
      <alignment horizontal="center" vertical="center" wrapText="1"/>
    </xf>
    <xf numFmtId="0" fontId="106" fillId="0" borderId="2" xfId="0" applyFont="1" applyBorder="1" applyAlignment="1">
      <alignment vertical="center" wrapText="1"/>
    </xf>
    <xf numFmtId="0" fontId="106" fillId="3" borderId="2" xfId="0" applyFont="1" applyFill="1" applyBorder="1" applyAlignment="1">
      <alignment horizontal="center" vertical="center" wrapText="1"/>
    </xf>
    <xf numFmtId="0" fontId="27" fillId="35" borderId="2" xfId="0" applyFont="1" applyFill="1" applyBorder="1" applyAlignment="1">
      <alignment horizontal="center" vertical="center"/>
    </xf>
    <xf numFmtId="0" fontId="27" fillId="20" borderId="2" xfId="0" applyFont="1" applyFill="1" applyBorder="1" applyAlignment="1">
      <alignment horizontal="center" vertical="center"/>
    </xf>
    <xf numFmtId="0" fontId="67" fillId="3" borderId="0" xfId="0" applyFont="1" applyFill="1" applyAlignment="1">
      <alignment horizontal="center" vertical="center" wrapText="1"/>
    </xf>
    <xf numFmtId="16" fontId="27" fillId="18" borderId="20" xfId="0" applyNumberFormat="1" applyFont="1" applyFill="1" applyBorder="1" applyAlignment="1">
      <alignment horizontal="center" vertical="center"/>
    </xf>
    <xf numFmtId="0" fontId="27" fillId="18" borderId="20" xfId="0" applyFont="1" applyFill="1" applyBorder="1" applyAlignment="1">
      <alignment horizontal="center" vertical="center"/>
    </xf>
    <xf numFmtId="0" fontId="67" fillId="23" borderId="20" xfId="0" applyFont="1" applyFill="1" applyBorder="1" applyAlignment="1">
      <alignment horizontal="center" vertical="center" wrapText="1"/>
    </xf>
    <xf numFmtId="0" fontId="27" fillId="7" borderId="20" xfId="0" applyFont="1" applyFill="1" applyBorder="1" applyAlignment="1">
      <alignment horizontal="center" vertical="center"/>
    </xf>
    <xf numFmtId="16" fontId="27" fillId="7" borderId="20" xfId="0" applyNumberFormat="1" applyFont="1" applyFill="1" applyBorder="1" applyAlignment="1">
      <alignment horizontal="center" vertical="center"/>
    </xf>
    <xf numFmtId="20" fontId="107" fillId="5" borderId="20" xfId="0" applyNumberFormat="1" applyFont="1" applyFill="1" applyBorder="1" applyAlignment="1">
      <alignment horizontal="center" vertical="center" wrapText="1"/>
    </xf>
    <xf numFmtId="0" fontId="27" fillId="31" borderId="2" xfId="0" applyFont="1" applyFill="1" applyBorder="1" applyAlignment="1">
      <alignment horizontal="center" vertical="center"/>
    </xf>
    <xf numFmtId="16" fontId="27" fillId="12" borderId="2" xfId="0" applyNumberFormat="1" applyFont="1" applyFill="1" applyBorder="1" applyAlignment="1">
      <alignment horizontal="center" vertical="center"/>
    </xf>
    <xf numFmtId="0" fontId="27" fillId="12" borderId="2" xfId="0" applyFont="1" applyFill="1" applyBorder="1" applyAlignment="1">
      <alignment horizontal="center" vertical="center"/>
    </xf>
    <xf numFmtId="0" fontId="67" fillId="25" borderId="20" xfId="0" applyFont="1" applyFill="1" applyBorder="1" applyAlignment="1">
      <alignment horizontal="center" vertical="center" wrapText="1"/>
    </xf>
    <xf numFmtId="0" fontId="107" fillId="5" borderId="25" xfId="0" applyFont="1" applyFill="1" applyBorder="1" applyAlignment="1">
      <alignment horizontal="center" vertical="center" wrapText="1"/>
    </xf>
    <xf numFmtId="0" fontId="67" fillId="3" borderId="51" xfId="0" applyFont="1" applyFill="1" applyBorder="1" applyAlignment="1">
      <alignment horizontal="center" vertical="center" wrapText="1"/>
    </xf>
    <xf numFmtId="0" fontId="27" fillId="16" borderId="2" xfId="0" applyFont="1" applyFill="1" applyBorder="1" applyAlignment="1">
      <alignment horizontal="center" vertical="center"/>
    </xf>
    <xf numFmtId="0" fontId="67" fillId="3" borderId="64" xfId="0" applyFont="1" applyFill="1" applyBorder="1" applyAlignment="1">
      <alignment horizontal="center" vertical="center" wrapText="1"/>
    </xf>
    <xf numFmtId="0" fontId="67" fillId="3" borderId="49" xfId="0" applyFont="1" applyFill="1" applyBorder="1" applyAlignment="1">
      <alignment horizontal="center" vertical="center" wrapText="1"/>
    </xf>
    <xf numFmtId="0" fontId="109" fillId="3" borderId="53" xfId="0" applyFont="1" applyFill="1" applyBorder="1" applyAlignment="1">
      <alignment vertical="center" wrapText="1"/>
    </xf>
    <xf numFmtId="0" fontId="109" fillId="3" borderId="62" xfId="0" applyFont="1" applyFill="1" applyBorder="1" applyAlignment="1">
      <alignment vertical="center" wrapText="1"/>
    </xf>
    <xf numFmtId="0" fontId="1" fillId="0" borderId="32" xfId="0" applyFont="1" applyBorder="1" applyAlignment="1">
      <alignment vertical="center" wrapText="1"/>
    </xf>
    <xf numFmtId="0" fontId="1" fillId="3" borderId="54" xfId="0" applyFont="1" applyFill="1" applyBorder="1" applyAlignment="1">
      <alignment vertical="center" wrapText="1"/>
    </xf>
    <xf numFmtId="0" fontId="1" fillId="0" borderId="22" xfId="0" applyFont="1" applyBorder="1" applyAlignment="1">
      <alignment vertical="center" wrapText="1"/>
    </xf>
    <xf numFmtId="0" fontId="67" fillId="3" borderId="18" xfId="0" applyFont="1" applyFill="1" applyBorder="1" applyAlignment="1">
      <alignment horizontal="center" vertical="center" wrapText="1"/>
    </xf>
    <xf numFmtId="0" fontId="67" fillId="3" borderId="19" xfId="0" applyFont="1" applyFill="1" applyBorder="1" applyAlignment="1">
      <alignment horizontal="center" vertical="center" wrapText="1"/>
    </xf>
    <xf numFmtId="0" fontId="67" fillId="3" borderId="21" xfId="0" applyFont="1" applyFill="1" applyBorder="1" applyAlignment="1">
      <alignment horizontal="center" vertical="center" wrapText="1"/>
    </xf>
    <xf numFmtId="0" fontId="67" fillId="3" borderId="60" xfId="0" applyFont="1" applyFill="1" applyBorder="1" applyAlignment="1">
      <alignment horizontal="center" vertical="center" wrapText="1"/>
    </xf>
    <xf numFmtId="16" fontId="27" fillId="16" borderId="2" xfId="0" applyNumberFormat="1" applyFont="1" applyFill="1" applyBorder="1" applyAlignment="1">
      <alignment horizontal="center" vertical="center"/>
    </xf>
    <xf numFmtId="0" fontId="1" fillId="3" borderId="22" xfId="0" applyFont="1" applyFill="1" applyBorder="1" applyAlignment="1">
      <alignment vertical="center" wrapText="1"/>
    </xf>
    <xf numFmtId="16" fontId="27" fillId="16" borderId="23" xfId="0" applyNumberFormat="1" applyFont="1" applyFill="1" applyBorder="1" applyAlignment="1">
      <alignment horizontal="center" vertical="center"/>
    </xf>
    <xf numFmtId="0" fontId="27" fillId="16" borderId="23" xfId="0" applyFont="1" applyFill="1" applyBorder="1" applyAlignment="1">
      <alignment horizontal="center" vertical="center"/>
    </xf>
    <xf numFmtId="0" fontId="1" fillId="3" borderId="24" xfId="0" applyFont="1" applyFill="1" applyBorder="1" applyAlignment="1">
      <alignment vertical="center" wrapText="1"/>
    </xf>
    <xf numFmtId="0" fontId="67" fillId="3" borderId="26" xfId="0" applyFont="1" applyFill="1" applyBorder="1" applyAlignment="1">
      <alignment horizontal="center" vertical="center" wrapText="1"/>
    </xf>
    <xf numFmtId="0" fontId="67" fillId="3" borderId="27" xfId="0" applyFont="1" applyFill="1" applyBorder="1" applyAlignment="1">
      <alignment horizontal="center" vertical="center" wrapText="1"/>
    </xf>
    <xf numFmtId="16" fontId="27" fillId="3" borderId="2" xfId="0" applyNumberFormat="1" applyFont="1" applyFill="1" applyBorder="1" applyAlignment="1">
      <alignment horizontal="center" vertical="center"/>
    </xf>
    <xf numFmtId="16" fontId="27" fillId="31" borderId="2" xfId="0" applyNumberFormat="1" applyFont="1" applyFill="1" applyBorder="1" applyAlignment="1">
      <alignment horizontal="center" vertical="center"/>
    </xf>
    <xf numFmtId="0" fontId="67" fillId="25" borderId="2" xfId="0" applyFont="1" applyFill="1" applyBorder="1" applyAlignment="1">
      <alignment horizontal="center" vertical="center" wrapText="1"/>
    </xf>
    <xf numFmtId="16" fontId="27" fillId="31" borderId="23" xfId="0" applyNumberFormat="1" applyFont="1" applyFill="1" applyBorder="1" applyAlignment="1">
      <alignment horizontal="center" vertical="center"/>
    </xf>
    <xf numFmtId="0" fontId="27" fillId="31" borderId="23" xfId="0" applyFont="1" applyFill="1" applyBorder="1" applyAlignment="1">
      <alignment horizontal="center" vertical="center"/>
    </xf>
    <xf numFmtId="16" fontId="27" fillId="42" borderId="20" xfId="0" applyNumberFormat="1" applyFont="1" applyFill="1" applyBorder="1" applyAlignment="1">
      <alignment horizontal="center" vertical="center"/>
    </xf>
    <xf numFmtId="0" fontId="27" fillId="42" borderId="20" xfId="0" applyFont="1" applyFill="1" applyBorder="1" applyAlignment="1">
      <alignment horizontal="center" vertical="center"/>
    </xf>
    <xf numFmtId="0" fontId="36" fillId="0" borderId="20" xfId="0" applyFont="1" applyBorder="1" applyAlignment="1">
      <alignment horizontal="center" vertical="center"/>
    </xf>
    <xf numFmtId="16" fontId="27" fillId="7" borderId="2" xfId="0" applyNumberFormat="1" applyFont="1" applyFill="1" applyBorder="1" applyAlignment="1">
      <alignment horizontal="center" vertical="center"/>
    </xf>
    <xf numFmtId="0" fontId="27" fillId="7" borderId="2" xfId="0" applyFont="1" applyFill="1" applyBorder="1" applyAlignment="1">
      <alignment horizontal="center" vertical="center"/>
    </xf>
    <xf numFmtId="20" fontId="106" fillId="5" borderId="2" xfId="0" applyNumberFormat="1" applyFont="1" applyFill="1" applyBorder="1" applyAlignment="1">
      <alignment horizontal="center" vertical="center" wrapText="1"/>
    </xf>
    <xf numFmtId="16" fontId="27" fillId="20" borderId="2" xfId="0" applyNumberFormat="1" applyFont="1" applyFill="1" applyBorder="1" applyAlignment="1">
      <alignment horizontal="center" vertical="center"/>
    </xf>
    <xf numFmtId="0" fontId="27" fillId="30" borderId="2" xfId="0" applyFont="1" applyFill="1" applyBorder="1" applyAlignment="1">
      <alignment horizontal="center" vertical="center"/>
    </xf>
    <xf numFmtId="16" fontId="27" fillId="30" borderId="2" xfId="0" applyNumberFormat="1" applyFont="1" applyFill="1" applyBorder="1" applyAlignment="1">
      <alignment horizontal="center" vertical="center"/>
    </xf>
    <xf numFmtId="0" fontId="106" fillId="4" borderId="2" xfId="0" applyFont="1" applyFill="1" applyBorder="1" applyAlignment="1">
      <alignment horizontal="center" vertical="center" wrapText="1"/>
    </xf>
    <xf numFmtId="16" fontId="27" fillId="35" borderId="2" xfId="0" applyNumberFormat="1" applyFont="1" applyFill="1" applyBorder="1" applyAlignment="1">
      <alignment horizontal="center" vertical="center"/>
    </xf>
    <xf numFmtId="0" fontId="1" fillId="0" borderId="32" xfId="0" applyFont="1" applyBorder="1" applyAlignment="1">
      <alignment horizontal="center" vertical="center" wrapText="1"/>
    </xf>
    <xf numFmtId="0" fontId="1" fillId="0" borderId="22" xfId="0" applyFont="1" applyBorder="1" applyAlignment="1">
      <alignment horizontal="center" vertical="center" wrapText="1"/>
    </xf>
    <xf numFmtId="16" fontId="27" fillId="12" borderId="23" xfId="0" applyNumberFormat="1" applyFont="1" applyFill="1" applyBorder="1" applyAlignment="1">
      <alignment horizontal="center" vertical="center"/>
    </xf>
    <xf numFmtId="0" fontId="27" fillId="12" borderId="23" xfId="0" applyFont="1" applyFill="1" applyBorder="1" applyAlignment="1">
      <alignment horizontal="center" vertical="center"/>
    </xf>
    <xf numFmtId="20" fontId="106" fillId="5" borderId="23" xfId="0" applyNumberFormat="1" applyFont="1" applyFill="1" applyBorder="1" applyAlignment="1">
      <alignment horizontal="center" vertical="center" wrapText="1"/>
    </xf>
    <xf numFmtId="0" fontId="106" fillId="5" borderId="23" xfId="0" applyFont="1" applyFill="1" applyBorder="1" applyAlignment="1">
      <alignment horizontal="center" vertical="center" wrapText="1"/>
    </xf>
    <xf numFmtId="0" fontId="0" fillId="0" borderId="27" xfId="0" applyBorder="1"/>
    <xf numFmtId="0" fontId="67" fillId="25" borderId="23" xfId="0" applyFont="1" applyFill="1" applyBorder="1" applyAlignment="1">
      <alignment horizontal="center" vertical="center" wrapText="1"/>
    </xf>
    <xf numFmtId="16" fontId="27" fillId="18" borderId="2" xfId="0" applyNumberFormat="1" applyFont="1" applyFill="1" applyBorder="1" applyAlignment="1">
      <alignment horizontal="center" vertical="center"/>
    </xf>
    <xf numFmtId="0" fontId="67" fillId="15" borderId="2" xfId="0" applyFont="1" applyFill="1" applyBorder="1" applyAlignment="1">
      <alignment horizontal="center" vertical="center" wrapText="1"/>
    </xf>
    <xf numFmtId="16" fontId="27" fillId="18" borderId="19" xfId="0" applyNumberFormat="1" applyFont="1" applyFill="1" applyBorder="1" applyAlignment="1">
      <alignment horizontal="center" vertical="center"/>
    </xf>
    <xf numFmtId="0" fontId="27" fillId="18" borderId="19" xfId="0" applyFont="1" applyFill="1" applyBorder="1" applyAlignment="1">
      <alignment horizontal="center" vertical="center"/>
    </xf>
    <xf numFmtId="0" fontId="1" fillId="3" borderId="21" xfId="0" applyFont="1" applyFill="1" applyBorder="1" applyAlignment="1">
      <alignment vertical="center" wrapText="1"/>
    </xf>
    <xf numFmtId="16" fontId="27" fillId="30" borderId="23" xfId="0" applyNumberFormat="1" applyFont="1" applyFill="1" applyBorder="1" applyAlignment="1">
      <alignment horizontal="center" vertical="center"/>
    </xf>
    <xf numFmtId="0" fontId="27" fillId="30" borderId="23" xfId="0" applyFont="1" applyFill="1" applyBorder="1" applyAlignment="1">
      <alignment horizontal="center" vertical="center"/>
    </xf>
    <xf numFmtId="20" fontId="109" fillId="3" borderId="23" xfId="0" applyNumberFormat="1" applyFont="1" applyFill="1" applyBorder="1" applyAlignment="1">
      <alignment horizontal="center" vertical="center" wrapText="1"/>
    </xf>
    <xf numFmtId="0" fontId="109" fillId="3" borderId="23" xfId="0" applyFont="1" applyFill="1" applyBorder="1" applyAlignment="1">
      <alignment horizontal="center" vertical="center" wrapText="1"/>
    </xf>
    <xf numFmtId="0" fontId="1" fillId="0" borderId="24" xfId="0" applyFont="1" applyBorder="1" applyAlignment="1">
      <alignment horizontal="center" vertical="center" wrapText="1"/>
    </xf>
    <xf numFmtId="0" fontId="27" fillId="3" borderId="25" xfId="0" applyFont="1" applyFill="1" applyBorder="1" applyAlignment="1">
      <alignment horizontal="center" vertical="center"/>
    </xf>
    <xf numFmtId="0" fontId="8" fillId="5" borderId="25" xfId="0" applyFont="1" applyFill="1" applyBorder="1" applyAlignment="1">
      <alignment horizontal="center" vertical="center" wrapText="1"/>
    </xf>
    <xf numFmtId="0" fontId="67" fillId="3" borderId="25" xfId="0" applyFont="1" applyFill="1" applyBorder="1" applyAlignment="1">
      <alignment horizontal="center" vertical="center" wrapText="1"/>
    </xf>
    <xf numFmtId="0" fontId="106" fillId="5" borderId="19" xfId="0" applyFont="1" applyFill="1" applyBorder="1" applyAlignment="1">
      <alignment horizontal="center" vertical="center" wrapText="1"/>
    </xf>
    <xf numFmtId="0" fontId="27" fillId="0" borderId="23" xfId="0" applyFont="1" applyBorder="1" applyAlignment="1">
      <alignment horizontal="center" vertical="center"/>
    </xf>
    <xf numFmtId="0" fontId="0" fillId="0" borderId="24" xfId="0" applyBorder="1" applyAlignment="1">
      <alignment horizontal="center" vertical="center"/>
    </xf>
    <xf numFmtId="0" fontId="27" fillId="8" borderId="20" xfId="0" applyFont="1" applyFill="1" applyBorder="1" applyAlignment="1">
      <alignment horizontal="center" vertical="center"/>
    </xf>
    <xf numFmtId="16" fontId="27" fillId="8" borderId="64" xfId="0" applyNumberFormat="1" applyFont="1" applyFill="1" applyBorder="1" applyAlignment="1">
      <alignment horizontal="center" vertical="center"/>
    </xf>
    <xf numFmtId="16" fontId="27" fillId="3" borderId="20" xfId="0" applyNumberFormat="1" applyFont="1" applyFill="1" applyBorder="1" applyAlignment="1">
      <alignment horizontal="center" vertical="center"/>
    </xf>
    <xf numFmtId="16" fontId="27" fillId="3" borderId="64" xfId="0" applyNumberFormat="1" applyFont="1" applyFill="1" applyBorder="1" applyAlignment="1">
      <alignment horizontal="center" vertical="center"/>
    </xf>
    <xf numFmtId="0" fontId="27" fillId="25" borderId="20" xfId="0" applyFont="1" applyFill="1" applyBorder="1" applyAlignment="1">
      <alignment horizontal="center" vertical="center"/>
    </xf>
    <xf numFmtId="16" fontId="27" fillId="25" borderId="20" xfId="0" applyNumberFormat="1" applyFont="1" applyFill="1" applyBorder="1" applyAlignment="1">
      <alignment horizontal="center" vertical="center"/>
    </xf>
    <xf numFmtId="16" fontId="27" fillId="8" borderId="2" xfId="0" applyNumberFormat="1" applyFont="1" applyFill="1" applyBorder="1" applyAlignment="1">
      <alignment horizontal="center" vertical="center"/>
    </xf>
    <xf numFmtId="0" fontId="27" fillId="8" borderId="30" xfId="0" applyFont="1" applyFill="1" applyBorder="1" applyAlignment="1">
      <alignment horizontal="center" vertical="center"/>
    </xf>
    <xf numFmtId="16" fontId="27" fillId="15" borderId="53" xfId="0" applyNumberFormat="1" applyFont="1" applyFill="1" applyBorder="1" applyAlignment="1">
      <alignment horizontal="center" vertical="center"/>
    </xf>
    <xf numFmtId="0" fontId="27" fillId="15" borderId="54" xfId="0" applyFont="1" applyFill="1" applyBorder="1" applyAlignment="1">
      <alignment horizontal="center" vertical="center"/>
    </xf>
    <xf numFmtId="16" fontId="27" fillId="15" borderId="32" xfId="0" applyNumberFormat="1" applyFont="1" applyFill="1" applyBorder="1" applyAlignment="1">
      <alignment horizontal="center" vertical="center"/>
    </xf>
    <xf numFmtId="16" fontId="27" fillId="15" borderId="22" xfId="0" applyNumberFormat="1" applyFont="1" applyFill="1" applyBorder="1" applyAlignment="1">
      <alignment horizontal="center" vertical="center"/>
    </xf>
    <xf numFmtId="16" fontId="27" fillId="43" borderId="53" xfId="0" applyNumberFormat="1" applyFont="1" applyFill="1" applyBorder="1" applyAlignment="1">
      <alignment horizontal="center" vertical="center"/>
    </xf>
    <xf numFmtId="0" fontId="27" fillId="43" borderId="54" xfId="0" applyFont="1" applyFill="1" applyBorder="1" applyAlignment="1">
      <alignment horizontal="center" vertical="center"/>
    </xf>
    <xf numFmtId="16" fontId="27" fillId="3" borderId="53" xfId="0" applyNumberFormat="1" applyFont="1" applyFill="1" applyBorder="1" applyAlignment="1">
      <alignment horizontal="center" vertical="center"/>
    </xf>
    <xf numFmtId="0" fontId="27" fillId="3" borderId="54" xfId="0" applyFont="1" applyFill="1" applyBorder="1" applyAlignment="1">
      <alignment horizontal="center" vertical="center"/>
    </xf>
    <xf numFmtId="16" fontId="27" fillId="28" borderId="53" xfId="0" applyNumberFormat="1" applyFont="1" applyFill="1" applyBorder="1" applyAlignment="1">
      <alignment horizontal="center" vertical="center"/>
    </xf>
    <xf numFmtId="0" fontId="27" fillId="28" borderId="54" xfId="0" applyFont="1" applyFill="1" applyBorder="1" applyAlignment="1">
      <alignment horizontal="center" vertical="center"/>
    </xf>
    <xf numFmtId="16" fontId="27" fillId="14" borderId="53" xfId="0" applyNumberFormat="1" applyFont="1" applyFill="1" applyBorder="1" applyAlignment="1">
      <alignment horizontal="center" vertical="center"/>
    </xf>
    <xf numFmtId="0" fontId="27" fillId="14" borderId="54" xfId="0" applyFont="1" applyFill="1" applyBorder="1" applyAlignment="1">
      <alignment horizontal="center" vertical="center"/>
    </xf>
    <xf numFmtId="16" fontId="27" fillId="14" borderId="62" xfId="0" applyNumberFormat="1" applyFont="1" applyFill="1" applyBorder="1" applyAlignment="1">
      <alignment horizontal="center" vertical="center"/>
    </xf>
    <xf numFmtId="0" fontId="27" fillId="14" borderId="52" xfId="0" applyFont="1" applyFill="1" applyBorder="1" applyAlignment="1">
      <alignment horizontal="center" vertical="center"/>
    </xf>
    <xf numFmtId="16" fontId="27" fillId="37" borderId="2" xfId="0" applyNumberFormat="1" applyFont="1" applyFill="1" applyBorder="1" applyAlignment="1">
      <alignment horizontal="center" vertical="center"/>
    </xf>
    <xf numFmtId="0" fontId="27" fillId="37" borderId="2" xfId="0" applyFont="1" applyFill="1" applyBorder="1" applyAlignment="1">
      <alignment horizontal="center" vertical="center"/>
    </xf>
    <xf numFmtId="16" fontId="27" fillId="24" borderId="2" xfId="0" applyNumberFormat="1" applyFont="1" applyFill="1" applyBorder="1" applyAlignment="1">
      <alignment horizontal="center" vertical="center"/>
    </xf>
    <xf numFmtId="16" fontId="27" fillId="44" borderId="2" xfId="0" applyNumberFormat="1" applyFont="1" applyFill="1" applyBorder="1" applyAlignment="1">
      <alignment horizontal="center" vertical="center"/>
    </xf>
    <xf numFmtId="0" fontId="27" fillId="44" borderId="2" xfId="0" applyFont="1" applyFill="1" applyBorder="1" applyAlignment="1">
      <alignment horizontal="center" vertical="center"/>
    </xf>
    <xf numFmtId="16" fontId="27" fillId="14" borderId="2" xfId="0" applyNumberFormat="1" applyFont="1" applyFill="1" applyBorder="1" applyAlignment="1">
      <alignment horizontal="center" vertical="center"/>
    </xf>
    <xf numFmtId="0" fontId="106" fillId="5" borderId="20" xfId="0" applyFont="1" applyFill="1" applyBorder="1" applyAlignment="1">
      <alignment horizontal="center" vertical="center" wrapText="1"/>
    </xf>
    <xf numFmtId="0" fontId="67" fillId="3" borderId="0" xfId="0" applyFont="1" applyFill="1" applyAlignment="1">
      <alignment horizontal="center" vertical="center"/>
    </xf>
    <xf numFmtId="0" fontId="67" fillId="3" borderId="20" xfId="0" applyFont="1" applyFill="1" applyBorder="1" applyAlignment="1">
      <alignment horizontal="center" vertical="center"/>
    </xf>
    <xf numFmtId="16" fontId="27" fillId="3" borderId="76" xfId="0" applyNumberFormat="1" applyFont="1" applyFill="1" applyBorder="1" applyAlignment="1">
      <alignment horizontal="center" vertical="center"/>
    </xf>
    <xf numFmtId="0" fontId="104" fillId="22" borderId="2" xfId="0" applyFont="1" applyFill="1" applyBorder="1" applyAlignment="1">
      <alignment horizontal="center" vertical="center" wrapText="1"/>
    </xf>
    <xf numFmtId="0" fontId="67" fillId="31" borderId="30" xfId="0" applyFont="1" applyFill="1" applyBorder="1" applyAlignment="1">
      <alignment horizontal="center" vertical="center"/>
    </xf>
    <xf numFmtId="0" fontId="67" fillId="11" borderId="2" xfId="0" applyFont="1" applyFill="1" applyBorder="1" applyAlignment="1">
      <alignment horizontal="center" vertical="center" wrapText="1"/>
    </xf>
    <xf numFmtId="0" fontId="67" fillId="43" borderId="20" xfId="0" applyFont="1" applyFill="1" applyBorder="1" applyAlignment="1">
      <alignment horizontal="center" vertical="center"/>
    </xf>
    <xf numFmtId="0" fontId="67" fillId="43" borderId="30" xfId="0" applyFont="1" applyFill="1" applyBorder="1" applyAlignment="1">
      <alignment horizontal="center" vertical="center"/>
    </xf>
    <xf numFmtId="16" fontId="27" fillId="28" borderId="20" xfId="0" applyNumberFormat="1" applyFont="1" applyFill="1" applyBorder="1" applyAlignment="1">
      <alignment horizontal="center" vertical="center"/>
    </xf>
    <xf numFmtId="16" fontId="27" fillId="28" borderId="64" xfId="0" applyNumberFormat="1" applyFont="1" applyFill="1" applyBorder="1" applyAlignment="1">
      <alignment horizontal="center" vertical="center"/>
    </xf>
    <xf numFmtId="0" fontId="67" fillId="3" borderId="2" xfId="0" applyFont="1" applyFill="1" applyBorder="1" applyAlignment="1">
      <alignment horizontal="center" vertical="center"/>
    </xf>
    <xf numFmtId="0" fontId="67" fillId="3" borderId="30" xfId="0" applyFont="1" applyFill="1" applyBorder="1" applyAlignment="1">
      <alignment horizontal="center" vertical="center"/>
    </xf>
    <xf numFmtId="16" fontId="27" fillId="25" borderId="64" xfId="0" applyNumberFormat="1" applyFont="1" applyFill="1" applyBorder="1" applyAlignment="1">
      <alignment horizontal="center" vertical="center"/>
    </xf>
    <xf numFmtId="16" fontId="27" fillId="30" borderId="20" xfId="0" applyNumberFormat="1" applyFont="1" applyFill="1" applyBorder="1" applyAlignment="1">
      <alignment horizontal="center" vertical="center"/>
    </xf>
    <xf numFmtId="16" fontId="27" fillId="30" borderId="64" xfId="0" applyNumberFormat="1" applyFont="1" applyFill="1" applyBorder="1" applyAlignment="1">
      <alignment horizontal="center" vertical="center"/>
    </xf>
    <xf numFmtId="0" fontId="27" fillId="3" borderId="30" xfId="0" applyFont="1" applyFill="1" applyBorder="1" applyAlignment="1">
      <alignment horizontal="center" vertical="center"/>
    </xf>
    <xf numFmtId="0" fontId="105" fillId="5" borderId="20" xfId="0" applyFont="1" applyFill="1" applyBorder="1" applyAlignment="1">
      <alignment horizontal="center" vertical="center" wrapText="1"/>
    </xf>
    <xf numFmtId="16" fontId="27" fillId="31" borderId="20" xfId="0" applyNumberFormat="1" applyFont="1" applyFill="1" applyBorder="1" applyAlignment="1">
      <alignment horizontal="center" vertical="center"/>
    </xf>
    <xf numFmtId="16" fontId="27" fillId="31" borderId="64" xfId="0" applyNumberFormat="1" applyFont="1" applyFill="1" applyBorder="1" applyAlignment="1">
      <alignment horizontal="center" vertical="center"/>
    </xf>
    <xf numFmtId="20" fontId="105" fillId="3" borderId="2" xfId="0" applyNumberFormat="1" applyFont="1" applyFill="1" applyBorder="1" applyAlignment="1">
      <alignment horizontal="center" vertical="center" wrapText="1"/>
    </xf>
    <xf numFmtId="0" fontId="105" fillId="3" borderId="2" xfId="0" applyFont="1" applyFill="1" applyBorder="1" applyAlignment="1">
      <alignment horizontal="center" vertical="center" wrapText="1"/>
    </xf>
    <xf numFmtId="16" fontId="27" fillId="25" borderId="2" xfId="0" applyNumberFormat="1" applyFont="1" applyFill="1" applyBorder="1" applyAlignment="1">
      <alignment horizontal="center" vertical="center"/>
    </xf>
    <xf numFmtId="0" fontId="27" fillId="25" borderId="30" xfId="0" applyFont="1" applyFill="1" applyBorder="1" applyAlignment="1">
      <alignment horizontal="center" vertical="center"/>
    </xf>
    <xf numFmtId="0" fontId="27" fillId="30" borderId="20" xfId="0" applyFont="1" applyFill="1" applyBorder="1" applyAlignment="1">
      <alignment horizontal="center" vertical="center"/>
    </xf>
    <xf numFmtId="0" fontId="27" fillId="15" borderId="20" xfId="0" applyFont="1" applyFill="1" applyBorder="1" applyAlignment="1">
      <alignment horizontal="center" vertical="center"/>
    </xf>
    <xf numFmtId="16" fontId="27" fillId="15" borderId="20" xfId="0" applyNumberFormat="1" applyFont="1" applyFill="1" applyBorder="1" applyAlignment="1">
      <alignment horizontal="center" vertical="center"/>
    </xf>
    <xf numFmtId="16" fontId="27" fillId="41" borderId="2" xfId="0" applyNumberFormat="1" applyFont="1" applyFill="1" applyBorder="1" applyAlignment="1">
      <alignment horizontal="center" vertical="center"/>
    </xf>
    <xf numFmtId="0" fontId="27" fillId="41" borderId="30" xfId="0" applyFont="1" applyFill="1" applyBorder="1" applyAlignment="1">
      <alignment horizontal="center" vertical="center"/>
    </xf>
    <xf numFmtId="0" fontId="67" fillId="44" borderId="2" xfId="0" applyFont="1" applyFill="1" applyBorder="1" applyAlignment="1">
      <alignment horizontal="center" vertical="center"/>
    </xf>
    <xf numFmtId="0" fontId="67" fillId="44" borderId="30" xfId="0" applyFont="1" applyFill="1" applyBorder="1" applyAlignment="1">
      <alignment horizontal="center" vertical="center"/>
    </xf>
    <xf numFmtId="20" fontId="109" fillId="22" borderId="2" xfId="0" applyNumberFormat="1" applyFont="1" applyFill="1" applyBorder="1" applyAlignment="1">
      <alignment horizontal="center" vertical="center" wrapText="1"/>
    </xf>
    <xf numFmtId="0" fontId="109" fillId="22" borderId="2" xfId="0" applyFont="1" applyFill="1" applyBorder="1" applyAlignment="1">
      <alignment horizontal="center" vertical="center" wrapText="1"/>
    </xf>
    <xf numFmtId="0" fontId="27" fillId="37" borderId="30" xfId="0" applyFont="1" applyFill="1" applyBorder="1" applyAlignment="1">
      <alignment horizontal="center" vertical="center"/>
    </xf>
    <xf numFmtId="0" fontId="109" fillId="3" borderId="2" xfId="0" applyFont="1" applyFill="1" applyBorder="1" applyAlignment="1">
      <alignment horizontal="center" vertical="center" wrapText="1"/>
    </xf>
    <xf numFmtId="16" fontId="27" fillId="44" borderId="20" xfId="0" applyNumberFormat="1" applyFont="1" applyFill="1" applyBorder="1" applyAlignment="1">
      <alignment horizontal="center" vertical="center"/>
    </xf>
    <xf numFmtId="16" fontId="27" fillId="44" borderId="64" xfId="0" applyNumberFormat="1" applyFont="1" applyFill="1" applyBorder="1" applyAlignment="1">
      <alignment horizontal="center" vertical="center"/>
    </xf>
    <xf numFmtId="20" fontId="109" fillId="3" borderId="2" xfId="0" applyNumberFormat="1" applyFont="1" applyFill="1" applyBorder="1" applyAlignment="1">
      <alignment horizontal="center" vertical="center" wrapText="1"/>
    </xf>
    <xf numFmtId="16" fontId="68" fillId="3" borderId="20" xfId="0" applyNumberFormat="1" applyFont="1" applyFill="1" applyBorder="1" applyAlignment="1">
      <alignment horizontal="center" vertical="center"/>
    </xf>
    <xf numFmtId="20" fontId="107" fillId="0" borderId="2" xfId="0" applyNumberFormat="1" applyFont="1" applyBorder="1" applyAlignment="1">
      <alignment horizontal="center" vertical="center" wrapText="1"/>
    </xf>
    <xf numFmtId="0" fontId="109" fillId="5" borderId="30" xfId="0" applyFont="1" applyFill="1" applyBorder="1" applyAlignment="1">
      <alignment horizontal="center" vertical="center" wrapText="1"/>
    </xf>
    <xf numFmtId="0" fontId="109" fillId="5" borderId="32" xfId="0" applyFont="1" applyFill="1" applyBorder="1" applyAlignment="1">
      <alignment horizontal="center" vertical="center" wrapText="1"/>
    </xf>
    <xf numFmtId="0" fontId="67" fillId="3" borderId="30" xfId="0" applyFont="1" applyFill="1" applyBorder="1" applyAlignment="1">
      <alignment horizontal="center" vertical="center" wrapText="1"/>
    </xf>
    <xf numFmtId="0" fontId="67" fillId="3" borderId="32" xfId="0" applyFont="1" applyFill="1" applyBorder="1" applyAlignment="1">
      <alignment horizontal="center" vertical="center" wrapText="1"/>
    </xf>
    <xf numFmtId="0" fontId="67" fillId="0" borderId="32" xfId="0" applyFont="1" applyBorder="1" applyAlignment="1">
      <alignment horizontal="center" vertical="center" wrapText="1"/>
    </xf>
    <xf numFmtId="0" fontId="104" fillId="3" borderId="53" xfId="0" applyFont="1" applyFill="1" applyBorder="1" applyAlignment="1">
      <alignment horizontal="center" vertical="center" wrapText="1"/>
    </xf>
    <xf numFmtId="16" fontId="27" fillId="3" borderId="51" xfId="0" applyNumberFormat="1" applyFont="1" applyFill="1" applyBorder="1" applyAlignment="1">
      <alignment horizontal="center" vertical="center"/>
    </xf>
    <xf numFmtId="16" fontId="27" fillId="3" borderId="49" xfId="0" applyNumberFormat="1" applyFont="1" applyFill="1" applyBorder="1" applyAlignment="1">
      <alignment horizontal="center" vertical="center"/>
    </xf>
    <xf numFmtId="16" fontId="68" fillId="3" borderId="2" xfId="0" applyNumberFormat="1" applyFont="1" applyFill="1" applyBorder="1" applyAlignment="1">
      <alignment horizontal="center" vertical="center"/>
    </xf>
    <xf numFmtId="16" fontId="27" fillId="11" borderId="2" xfId="0" applyNumberFormat="1" applyFont="1" applyFill="1" applyBorder="1" applyAlignment="1">
      <alignment horizontal="center" vertical="center"/>
    </xf>
    <xf numFmtId="16" fontId="27" fillId="13" borderId="2" xfId="0" applyNumberFormat="1" applyFont="1" applyFill="1" applyBorder="1" applyAlignment="1">
      <alignment horizontal="center" vertical="center"/>
    </xf>
    <xf numFmtId="16" fontId="27" fillId="19" borderId="2" xfId="0" applyNumberFormat="1" applyFont="1" applyFill="1" applyBorder="1" applyAlignment="1">
      <alignment horizontal="center" vertical="center"/>
    </xf>
    <xf numFmtId="20" fontId="107" fillId="4" borderId="2" xfId="0" applyNumberFormat="1" applyFont="1" applyFill="1" applyBorder="1" applyAlignment="1">
      <alignment horizontal="center" vertical="center" wrapText="1"/>
    </xf>
    <xf numFmtId="0" fontId="107" fillId="4" borderId="2" xfId="0" applyFont="1" applyFill="1" applyBorder="1" applyAlignment="1">
      <alignment horizontal="center" vertical="center" wrapText="1"/>
    </xf>
    <xf numFmtId="16" fontId="27" fillId="23" borderId="2" xfId="0" applyNumberFormat="1" applyFont="1" applyFill="1" applyBorder="1" applyAlignment="1">
      <alignment horizontal="center" vertical="center"/>
    </xf>
    <xf numFmtId="16" fontId="27" fillId="50" borderId="2" xfId="0" applyNumberFormat="1" applyFont="1" applyFill="1" applyBorder="1" applyAlignment="1">
      <alignment horizontal="center" vertical="center"/>
    </xf>
    <xf numFmtId="16" fontId="27" fillId="4" borderId="2" xfId="0" applyNumberFormat="1" applyFont="1" applyFill="1" applyBorder="1" applyAlignment="1">
      <alignment horizontal="center" vertical="center"/>
    </xf>
    <xf numFmtId="16" fontId="27" fillId="28" borderId="2" xfId="0" applyNumberFormat="1" applyFont="1" applyFill="1" applyBorder="1" applyAlignment="1">
      <alignment horizontal="center" vertical="center"/>
    </xf>
    <xf numFmtId="16" fontId="27" fillId="43" borderId="2" xfId="0" applyNumberFormat="1" applyFont="1" applyFill="1" applyBorder="1" applyAlignment="1">
      <alignment horizontal="center" vertical="center"/>
    </xf>
    <xf numFmtId="16" fontId="27" fillId="15" borderId="2" xfId="0" applyNumberFormat="1" applyFont="1" applyFill="1" applyBorder="1" applyAlignment="1">
      <alignment horizontal="center" vertical="center"/>
    </xf>
    <xf numFmtId="0" fontId="104" fillId="3" borderId="2" xfId="0" applyFont="1" applyFill="1" applyBorder="1" applyAlignment="1">
      <alignment horizontal="center" vertical="center" wrapText="1"/>
    </xf>
    <xf numFmtId="0" fontId="115" fillId="5" borderId="2" xfId="0" applyFont="1" applyFill="1" applyBorder="1" applyAlignment="1">
      <alignment horizontal="center" vertical="center" wrapText="1"/>
    </xf>
    <xf numFmtId="0" fontId="105" fillId="5" borderId="25" xfId="0" applyFont="1" applyFill="1" applyBorder="1" applyAlignment="1">
      <alignment horizontal="center" vertical="center" wrapText="1"/>
    </xf>
    <xf numFmtId="0" fontId="109" fillId="5" borderId="25" xfId="0" applyFont="1" applyFill="1" applyBorder="1" applyAlignment="1">
      <alignment horizontal="center" vertical="center" wrapText="1"/>
    </xf>
    <xf numFmtId="0" fontId="2" fillId="5" borderId="44" xfId="0" applyFont="1" applyFill="1" applyBorder="1" applyAlignment="1">
      <alignment horizontal="center" vertical="center" wrapText="1"/>
    </xf>
    <xf numFmtId="16" fontId="68" fillId="3" borderId="45" xfId="0" applyNumberFormat="1" applyFont="1" applyFill="1" applyBorder="1" applyAlignment="1">
      <alignment horizontal="center" vertical="center"/>
    </xf>
    <xf numFmtId="16" fontId="27" fillId="3" borderId="45" xfId="0" applyNumberFormat="1" applyFont="1" applyFill="1" applyBorder="1" applyAlignment="1">
      <alignment horizontal="center" vertical="center"/>
    </xf>
    <xf numFmtId="16" fontId="27" fillId="3" borderId="58" xfId="0" applyNumberFormat="1" applyFont="1" applyFill="1" applyBorder="1" applyAlignment="1">
      <alignment horizontal="center" vertical="center"/>
    </xf>
    <xf numFmtId="0" fontId="109" fillId="5" borderId="45" xfId="0" applyFont="1" applyFill="1" applyBorder="1" applyAlignment="1">
      <alignment horizontal="center" vertical="center" wrapText="1"/>
    </xf>
    <xf numFmtId="16" fontId="68" fillId="3" borderId="23" xfId="0" applyNumberFormat="1" applyFont="1" applyFill="1" applyBorder="1" applyAlignment="1">
      <alignment horizontal="center" vertical="center"/>
    </xf>
    <xf numFmtId="16" fontId="27" fillId="3" borderId="23" xfId="0" applyNumberFormat="1" applyFont="1" applyFill="1" applyBorder="1" applyAlignment="1">
      <alignment horizontal="center" vertical="center"/>
    </xf>
    <xf numFmtId="0" fontId="109" fillId="5" borderId="23" xfId="0" applyFont="1" applyFill="1" applyBorder="1" applyAlignment="1">
      <alignment horizontal="center" vertical="center" wrapText="1"/>
    </xf>
    <xf numFmtId="0" fontId="67" fillId="3" borderId="44" xfId="0" applyFont="1" applyFill="1" applyBorder="1" applyAlignment="1">
      <alignment horizontal="center" vertical="center" wrapText="1"/>
    </xf>
    <xf numFmtId="0" fontId="67" fillId="12" borderId="45" xfId="0" applyFont="1" applyFill="1" applyBorder="1" applyAlignment="1">
      <alignment horizontal="center" vertical="center" wrapText="1"/>
    </xf>
    <xf numFmtId="0" fontId="109" fillId="5" borderId="27" xfId="0" applyFont="1" applyFill="1" applyBorder="1" applyAlignment="1">
      <alignment horizontal="center" vertical="center" wrapText="1"/>
    </xf>
    <xf numFmtId="16" fontId="68" fillId="3" borderId="19" xfId="0" applyNumberFormat="1" applyFont="1" applyFill="1" applyBorder="1" applyAlignment="1">
      <alignment horizontal="center" vertical="center"/>
    </xf>
    <xf numFmtId="16" fontId="27" fillId="11" borderId="19" xfId="0" applyNumberFormat="1" applyFont="1" applyFill="1" applyBorder="1" applyAlignment="1">
      <alignment horizontal="center" vertical="center"/>
    </xf>
    <xf numFmtId="20" fontId="105" fillId="3" borderId="19" xfId="0" applyNumberFormat="1" applyFont="1" applyFill="1" applyBorder="1" applyAlignment="1">
      <alignment horizontal="center" vertical="center" wrapText="1"/>
    </xf>
    <xf numFmtId="0" fontId="105" fillId="3" borderId="19" xfId="0" applyFont="1" applyFill="1" applyBorder="1" applyAlignment="1">
      <alignment horizontal="center" vertical="center" wrapText="1"/>
    </xf>
    <xf numFmtId="0" fontId="109" fillId="5" borderId="26" xfId="0" applyFont="1" applyFill="1" applyBorder="1" applyAlignment="1">
      <alignment horizontal="center" vertical="center" wrapText="1"/>
    </xf>
    <xf numFmtId="16" fontId="27" fillId="3" borderId="19" xfId="0" applyNumberFormat="1" applyFont="1" applyFill="1" applyBorder="1" applyAlignment="1">
      <alignment horizontal="center" vertical="center"/>
    </xf>
    <xf numFmtId="0" fontId="105" fillId="5" borderId="45" xfId="0" applyFont="1" applyFill="1" applyBorder="1" applyAlignment="1">
      <alignment horizontal="center" vertical="center" wrapText="1"/>
    </xf>
    <xf numFmtId="0" fontId="109" fillId="5" borderId="19" xfId="0" applyFont="1" applyFill="1" applyBorder="1" applyAlignment="1">
      <alignment horizontal="center" vertical="center" wrapText="1"/>
    </xf>
    <xf numFmtId="16" fontId="27" fillId="21" borderId="2" xfId="0" applyNumberFormat="1" applyFont="1" applyFill="1" applyBorder="1" applyAlignment="1">
      <alignment horizontal="center" vertical="center"/>
    </xf>
    <xf numFmtId="16" fontId="27" fillId="34" borderId="2" xfId="0" applyNumberFormat="1" applyFont="1" applyFill="1" applyBorder="1" applyAlignment="1">
      <alignment horizontal="center" vertical="center"/>
    </xf>
    <xf numFmtId="16" fontId="27" fillId="3" borderId="25" xfId="0" applyNumberFormat="1" applyFont="1" applyFill="1" applyBorder="1" applyAlignment="1">
      <alignment horizontal="center" vertical="center"/>
    </xf>
    <xf numFmtId="0" fontId="67" fillId="3" borderId="47" xfId="0" applyFont="1" applyFill="1" applyBorder="1" applyAlignment="1">
      <alignment horizontal="center" vertical="center" wrapText="1"/>
    </xf>
    <xf numFmtId="16" fontId="68" fillId="3" borderId="25" xfId="0" applyNumberFormat="1" applyFont="1" applyFill="1" applyBorder="1" applyAlignment="1">
      <alignment horizontal="center" vertical="center"/>
    </xf>
    <xf numFmtId="0" fontId="1" fillId="0" borderId="23" xfId="0" applyFont="1" applyBorder="1" applyAlignment="1">
      <alignment horizontal="center" vertical="center" wrapText="1"/>
    </xf>
    <xf numFmtId="0" fontId="1" fillId="0" borderId="25" xfId="0" applyFont="1" applyBorder="1" applyAlignment="1">
      <alignment horizontal="center" vertical="center" wrapText="1"/>
    </xf>
    <xf numFmtId="16" fontId="27" fillId="19" borderId="20" xfId="0" applyNumberFormat="1" applyFont="1" applyFill="1" applyBorder="1" applyAlignment="1">
      <alignment horizontal="center" vertical="center"/>
    </xf>
    <xf numFmtId="16" fontId="27" fillId="26" borderId="2" xfId="0" applyNumberFormat="1" applyFont="1" applyFill="1" applyBorder="1" applyAlignment="1">
      <alignment horizontal="center" vertical="center"/>
    </xf>
    <xf numFmtId="16" fontId="27" fillId="20" borderId="20" xfId="0" applyNumberFormat="1" applyFont="1" applyFill="1" applyBorder="1" applyAlignment="1">
      <alignment horizontal="center" vertical="center"/>
    </xf>
    <xf numFmtId="20" fontId="107" fillId="4" borderId="23" xfId="0" applyNumberFormat="1" applyFont="1" applyFill="1" applyBorder="1" applyAlignment="1">
      <alignment horizontal="center" vertical="center" wrapText="1"/>
    </xf>
    <xf numFmtId="0" fontId="109" fillId="4" borderId="23" xfId="0" applyFont="1" applyFill="1" applyBorder="1" applyAlignment="1">
      <alignment horizontal="center" vertical="center" wrapText="1"/>
    </xf>
    <xf numFmtId="16" fontId="27" fillId="20" borderId="19" xfId="0" applyNumberFormat="1" applyFont="1" applyFill="1" applyBorder="1" applyAlignment="1">
      <alignment horizontal="center" vertical="center"/>
    </xf>
    <xf numFmtId="16" fontId="27" fillId="66" borderId="2" xfId="0" applyNumberFormat="1" applyFont="1" applyFill="1" applyBorder="1" applyAlignment="1">
      <alignment horizontal="center" vertical="center"/>
    </xf>
    <xf numFmtId="20" fontId="107" fillId="5" borderId="2" xfId="0" applyNumberFormat="1" applyFont="1" applyFill="1" applyBorder="1" applyAlignment="1">
      <alignment horizontal="center" vertical="center" wrapText="1"/>
    </xf>
    <xf numFmtId="20" fontId="104" fillId="3" borderId="2" xfId="0" applyNumberFormat="1" applyFont="1" applyFill="1" applyBorder="1" applyAlignment="1">
      <alignment horizontal="center" vertical="center" wrapText="1"/>
    </xf>
    <xf numFmtId="16" fontId="27" fillId="46" borderId="2" xfId="0" applyNumberFormat="1" applyFont="1" applyFill="1" applyBorder="1" applyAlignment="1">
      <alignment horizontal="center" vertical="center"/>
    </xf>
    <xf numFmtId="16" fontId="27" fillId="14" borderId="19" xfId="0" applyNumberFormat="1" applyFont="1" applyFill="1" applyBorder="1" applyAlignment="1">
      <alignment horizontal="center" vertical="center"/>
    </xf>
    <xf numFmtId="16" fontId="38" fillId="2" borderId="19" xfId="0" applyNumberFormat="1" applyFont="1" applyFill="1" applyBorder="1" applyAlignment="1">
      <alignment horizontal="center" vertical="center"/>
    </xf>
    <xf numFmtId="0" fontId="105" fillId="5" borderId="51" xfId="0" applyFont="1" applyFill="1" applyBorder="1" applyAlignment="1">
      <alignment horizontal="center" vertical="center" wrapText="1"/>
    </xf>
    <xf numFmtId="16" fontId="38" fillId="2" borderId="20" xfId="0" applyNumberFormat="1" applyFont="1" applyFill="1" applyBorder="1" applyAlignment="1">
      <alignment horizontal="center" vertical="center"/>
    </xf>
    <xf numFmtId="20" fontId="106" fillId="3" borderId="20" xfId="0" applyNumberFormat="1" applyFont="1" applyFill="1" applyBorder="1" applyAlignment="1">
      <alignment horizontal="center" vertical="center" wrapText="1"/>
    </xf>
    <xf numFmtId="0" fontId="106" fillId="3" borderId="20" xfId="0" applyFont="1" applyFill="1" applyBorder="1" applyAlignment="1">
      <alignment horizontal="center" vertical="center" wrapText="1"/>
    </xf>
    <xf numFmtId="0" fontId="107" fillId="0" borderId="2" xfId="0" applyFont="1" applyBorder="1" applyAlignment="1">
      <alignment horizontal="center" vertical="center" wrapText="1"/>
    </xf>
    <xf numFmtId="16" fontId="27" fillId="67" borderId="2" xfId="0" applyNumberFormat="1" applyFont="1" applyFill="1" applyBorder="1" applyAlignment="1">
      <alignment horizontal="center" vertical="center"/>
    </xf>
    <xf numFmtId="16" fontId="27" fillId="33" borderId="2" xfId="0" applyNumberFormat="1" applyFont="1" applyFill="1" applyBorder="1" applyAlignment="1">
      <alignment horizontal="center" vertical="center"/>
    </xf>
    <xf numFmtId="0" fontId="107" fillId="5" borderId="51" xfId="0" applyFont="1" applyFill="1" applyBorder="1" applyAlignment="1">
      <alignment horizontal="center" vertical="center" wrapText="1"/>
    </xf>
    <xf numFmtId="16" fontId="27" fillId="2" borderId="2" xfId="0" applyNumberFormat="1" applyFont="1" applyFill="1" applyBorder="1" applyAlignment="1">
      <alignment horizontal="center" vertical="center"/>
    </xf>
    <xf numFmtId="0" fontId="67" fillId="3" borderId="2" xfId="0" applyFont="1" applyFill="1" applyBorder="1" applyAlignment="1">
      <alignment vertical="center" wrapText="1"/>
    </xf>
    <xf numFmtId="16" fontId="27" fillId="36" borderId="2" xfId="0" applyNumberFormat="1" applyFont="1" applyFill="1" applyBorder="1" applyAlignment="1">
      <alignment horizontal="center" vertical="center"/>
    </xf>
    <xf numFmtId="16" fontId="38" fillId="2" borderId="2" xfId="0" applyNumberFormat="1" applyFont="1" applyFill="1" applyBorder="1" applyAlignment="1">
      <alignment horizontal="center" vertical="center"/>
    </xf>
    <xf numFmtId="16" fontId="11" fillId="50" borderId="2" xfId="0" applyNumberFormat="1" applyFont="1" applyFill="1" applyBorder="1" applyAlignment="1">
      <alignment horizontal="center" vertical="center"/>
    </xf>
    <xf numFmtId="16" fontId="11" fillId="51" borderId="2" xfId="0" applyNumberFormat="1" applyFont="1" applyFill="1" applyBorder="1" applyAlignment="1">
      <alignment horizontal="center" vertical="center"/>
    </xf>
    <xf numFmtId="16" fontId="11" fillId="38" borderId="2" xfId="0" applyNumberFormat="1" applyFont="1" applyFill="1" applyBorder="1" applyAlignment="1">
      <alignment horizontal="center" vertical="center"/>
    </xf>
    <xf numFmtId="16" fontId="11" fillId="3" borderId="2" xfId="0" applyNumberFormat="1" applyFont="1" applyFill="1" applyBorder="1" applyAlignment="1">
      <alignment horizontal="center" vertical="center"/>
    </xf>
    <xf numFmtId="16" fontId="11" fillId="3" borderId="20" xfId="0" applyNumberFormat="1" applyFont="1" applyFill="1" applyBorder="1" applyAlignment="1">
      <alignment horizontal="center" vertical="center"/>
    </xf>
    <xf numFmtId="16" fontId="11" fillId="0" borderId="20" xfId="0" applyNumberFormat="1" applyFont="1" applyBorder="1" applyAlignment="1">
      <alignment horizontal="center" vertical="center"/>
    </xf>
    <xf numFmtId="0" fontId="107" fillId="3" borderId="20" xfId="0" applyFont="1" applyFill="1" applyBorder="1" applyAlignment="1">
      <alignment horizontal="center" vertical="center" wrapText="1"/>
    </xf>
    <xf numFmtId="16" fontId="11" fillId="21" borderId="20" xfId="0" applyNumberFormat="1" applyFont="1" applyFill="1" applyBorder="1" applyAlignment="1">
      <alignment horizontal="center" vertical="center"/>
    </xf>
    <xf numFmtId="16" fontId="11" fillId="58" borderId="20" xfId="0" applyNumberFormat="1" applyFont="1" applyFill="1" applyBorder="1" applyAlignment="1">
      <alignment horizontal="center" vertical="center"/>
    </xf>
    <xf numFmtId="16" fontId="38" fillId="28" borderId="20" xfId="0" applyNumberFormat="1" applyFont="1" applyFill="1" applyBorder="1" applyAlignment="1">
      <alignment horizontal="center" vertical="center"/>
    </xf>
    <xf numFmtId="0" fontId="67" fillId="3" borderId="68" xfId="0" applyFont="1" applyFill="1" applyBorder="1" applyAlignment="1">
      <alignment horizontal="center" vertical="center" wrapText="1"/>
    </xf>
    <xf numFmtId="16" fontId="38" fillId="28" borderId="2" xfId="0" applyNumberFormat="1" applyFont="1" applyFill="1" applyBorder="1" applyAlignment="1">
      <alignment horizontal="center" vertical="center"/>
    </xf>
    <xf numFmtId="0" fontId="107" fillId="5" borderId="64" xfId="0" applyFont="1" applyFill="1" applyBorder="1" applyAlignment="1">
      <alignment horizontal="center" vertical="center" wrapText="1"/>
    </xf>
    <xf numFmtId="0" fontId="67" fillId="3" borderId="48" xfId="0" applyFont="1" applyFill="1" applyBorder="1" applyAlignment="1">
      <alignment horizontal="center" vertical="center" wrapText="1"/>
    </xf>
    <xf numFmtId="16" fontId="11" fillId="35" borderId="2" xfId="0" applyNumberFormat="1" applyFont="1" applyFill="1" applyBorder="1" applyAlignment="1">
      <alignment horizontal="center" vertical="center"/>
    </xf>
    <xf numFmtId="16" fontId="11" fillId="3" borderId="23" xfId="0" applyNumberFormat="1" applyFont="1" applyFill="1" applyBorder="1" applyAlignment="1">
      <alignment horizontal="center" vertical="center"/>
    </xf>
    <xf numFmtId="0" fontId="107" fillId="5" borderId="35" xfId="0" applyFont="1" applyFill="1" applyBorder="1" applyAlignment="1">
      <alignment horizontal="center" vertical="center" wrapText="1"/>
    </xf>
    <xf numFmtId="0" fontId="107" fillId="5" borderId="30" xfId="0" applyFont="1" applyFill="1" applyBorder="1" applyAlignment="1">
      <alignment horizontal="center" vertical="center" wrapText="1"/>
    </xf>
    <xf numFmtId="0" fontId="107" fillId="0" borderId="30" xfId="0" applyFont="1" applyBorder="1" applyAlignment="1">
      <alignment horizontal="center" vertical="center" wrapText="1"/>
    </xf>
    <xf numFmtId="0" fontId="104" fillId="5" borderId="30" xfId="0" applyFont="1" applyFill="1" applyBorder="1" applyAlignment="1">
      <alignment horizontal="center" vertical="center" wrapText="1"/>
    </xf>
    <xf numFmtId="0" fontId="107" fillId="5" borderId="31" xfId="0" applyFont="1" applyFill="1" applyBorder="1" applyAlignment="1">
      <alignment horizontal="center" vertical="center" wrapText="1"/>
    </xf>
    <xf numFmtId="0" fontId="105" fillId="5" borderId="35" xfId="0" applyFont="1" applyFill="1" applyBorder="1" applyAlignment="1">
      <alignment horizontal="center" vertical="center" wrapText="1"/>
    </xf>
    <xf numFmtId="0" fontId="105" fillId="5" borderId="30" xfId="0" applyFont="1" applyFill="1" applyBorder="1" applyAlignment="1">
      <alignment horizontal="center" vertical="center" wrapText="1"/>
    </xf>
    <xf numFmtId="0" fontId="105" fillId="5" borderId="31" xfId="0" applyFont="1" applyFill="1" applyBorder="1" applyAlignment="1">
      <alignment horizontal="center" vertical="center" wrapText="1"/>
    </xf>
    <xf numFmtId="0" fontId="107" fillId="5" borderId="36" xfId="0" applyFont="1" applyFill="1" applyBorder="1" applyAlignment="1">
      <alignment horizontal="center" vertical="center" wrapText="1"/>
    </xf>
    <xf numFmtId="0" fontId="107" fillId="0" borderId="32" xfId="0" applyFont="1" applyBorder="1" applyAlignment="1">
      <alignment horizontal="center" vertical="center" wrapText="1"/>
    </xf>
    <xf numFmtId="0" fontId="104" fillId="5" borderId="32" xfId="0" applyFont="1" applyFill="1" applyBorder="1" applyAlignment="1">
      <alignment horizontal="center" vertical="center" wrapText="1"/>
    </xf>
    <xf numFmtId="0" fontId="107" fillId="5" borderId="37" xfId="0" applyFont="1" applyFill="1" applyBorder="1" applyAlignment="1">
      <alignment horizontal="center" vertical="center" wrapText="1"/>
    </xf>
    <xf numFmtId="0" fontId="42" fillId="0" borderId="32" xfId="0" applyFont="1" applyBorder="1" applyAlignment="1">
      <alignment horizontal="center" vertical="center"/>
    </xf>
    <xf numFmtId="16" fontId="38" fillId="28" borderId="22" xfId="0" applyNumberFormat="1" applyFont="1" applyFill="1" applyBorder="1" applyAlignment="1">
      <alignment horizontal="center" vertical="center"/>
    </xf>
    <xf numFmtId="16" fontId="38" fillId="2" borderId="22" xfId="0" applyNumberFormat="1" applyFont="1" applyFill="1" applyBorder="1" applyAlignment="1">
      <alignment horizontal="center" vertical="center"/>
    </xf>
    <xf numFmtId="16" fontId="11" fillId="3" borderId="22" xfId="0" applyNumberFormat="1" applyFont="1" applyFill="1" applyBorder="1" applyAlignment="1">
      <alignment horizontal="center" vertical="center"/>
    </xf>
    <xf numFmtId="16" fontId="11" fillId="35" borderId="22" xfId="0" applyNumberFormat="1" applyFont="1" applyFill="1" applyBorder="1" applyAlignment="1">
      <alignment horizontal="center" vertical="center"/>
    </xf>
    <xf numFmtId="16" fontId="11" fillId="3" borderId="24" xfId="0" applyNumberFormat="1" applyFont="1" applyFill="1" applyBorder="1" applyAlignment="1">
      <alignment horizontal="center" vertical="center"/>
    </xf>
    <xf numFmtId="0" fontId="1" fillId="3" borderId="55" xfId="0" applyFont="1" applyFill="1" applyBorder="1" applyAlignment="1">
      <alignment vertical="center" wrapText="1"/>
    </xf>
    <xf numFmtId="0" fontId="105" fillId="5" borderId="18" xfId="0" applyFont="1" applyFill="1" applyBorder="1" applyAlignment="1">
      <alignment horizontal="center" vertical="center" wrapText="1"/>
    </xf>
    <xf numFmtId="0" fontId="105" fillId="5" borderId="26" xfId="0" applyFont="1" applyFill="1" applyBorder="1" applyAlignment="1">
      <alignment horizontal="center" vertical="center" wrapText="1"/>
    </xf>
    <xf numFmtId="0" fontId="105" fillId="5" borderId="27" xfId="0" applyFont="1" applyFill="1" applyBorder="1" applyAlignment="1">
      <alignment horizontal="center" vertical="center" wrapText="1"/>
    </xf>
    <xf numFmtId="0" fontId="105" fillId="5" borderId="53" xfId="0" applyFont="1" applyFill="1" applyBorder="1" applyAlignment="1">
      <alignment horizontal="center" vertical="center" wrapText="1"/>
    </xf>
    <xf numFmtId="0" fontId="104" fillId="5" borderId="53" xfId="0" applyFont="1" applyFill="1" applyBorder="1" applyAlignment="1">
      <alignment horizontal="center" vertical="center" wrapText="1"/>
    </xf>
    <xf numFmtId="0" fontId="107" fillId="5" borderId="53" xfId="0" applyFont="1" applyFill="1" applyBorder="1" applyAlignment="1">
      <alignment horizontal="center" vertical="center" wrapText="1"/>
    </xf>
    <xf numFmtId="0" fontId="107" fillId="5" borderId="76" xfId="0" applyFont="1" applyFill="1" applyBorder="1" applyAlignment="1">
      <alignment horizontal="center" vertical="center" wrapText="1"/>
    </xf>
    <xf numFmtId="0" fontId="0" fillId="0" borderId="59" xfId="0" applyBorder="1"/>
    <xf numFmtId="0" fontId="116" fillId="0" borderId="32" xfId="0" applyFont="1" applyBorder="1" applyAlignment="1">
      <alignment vertical="center" wrapText="1"/>
    </xf>
    <xf numFmtId="0" fontId="1" fillId="3" borderId="32" xfId="0" applyFont="1" applyFill="1" applyBorder="1" applyAlignment="1">
      <alignment vertical="center" wrapText="1"/>
    </xf>
    <xf numFmtId="0" fontId="1" fillId="3" borderId="37" xfId="0" applyFont="1" applyFill="1" applyBorder="1" applyAlignment="1">
      <alignment vertical="center" wrapText="1"/>
    </xf>
    <xf numFmtId="16" fontId="11" fillId="3" borderId="54" xfId="0" applyNumberFormat="1" applyFont="1" applyFill="1" applyBorder="1" applyAlignment="1">
      <alignment horizontal="center" vertical="center"/>
    </xf>
    <xf numFmtId="16" fontId="11" fillId="0" borderId="54" xfId="0" applyNumberFormat="1" applyFont="1" applyBorder="1" applyAlignment="1">
      <alignment horizontal="center" vertical="center"/>
    </xf>
    <xf numFmtId="0" fontId="0" fillId="0" borderId="56" xfId="0" applyBorder="1"/>
    <xf numFmtId="0" fontId="116" fillId="0" borderId="55" xfId="0" applyFont="1" applyBorder="1" applyAlignment="1">
      <alignment vertical="center" wrapText="1"/>
    </xf>
    <xf numFmtId="0" fontId="1" fillId="3" borderId="79" xfId="0" applyFont="1" applyFill="1" applyBorder="1" applyAlignment="1">
      <alignment vertical="center" wrapText="1"/>
    </xf>
    <xf numFmtId="0" fontId="10" fillId="0" borderId="26" xfId="0" applyFont="1" applyBorder="1" applyAlignment="1">
      <alignment horizontal="center" vertical="center"/>
    </xf>
    <xf numFmtId="0" fontId="10" fillId="0" borderId="60" xfId="0" applyFont="1" applyBorder="1" applyAlignment="1">
      <alignment horizontal="center" vertical="center"/>
    </xf>
    <xf numFmtId="0" fontId="105" fillId="5" borderId="64" xfId="0" applyFont="1" applyFill="1" applyBorder="1" applyAlignment="1">
      <alignment horizontal="center" vertical="center" wrapText="1"/>
    </xf>
    <xf numFmtId="0" fontId="104" fillId="5" borderId="64" xfId="0" applyFont="1" applyFill="1" applyBorder="1" applyAlignment="1">
      <alignment horizontal="center" vertical="center" wrapText="1"/>
    </xf>
    <xf numFmtId="0" fontId="107" fillId="5" borderId="49" xfId="0" applyFont="1" applyFill="1" applyBorder="1" applyAlignment="1">
      <alignment horizontal="center" vertical="center" wrapText="1"/>
    </xf>
    <xf numFmtId="0" fontId="42" fillId="0" borderId="64" xfId="0" applyFont="1" applyBorder="1" applyAlignment="1">
      <alignment horizontal="center" vertical="center"/>
    </xf>
    <xf numFmtId="16" fontId="118" fillId="0" borderId="2" xfId="0" applyNumberFormat="1" applyFont="1" applyBorder="1" applyAlignment="1">
      <alignment horizontal="center" vertical="center"/>
    </xf>
    <xf numFmtId="16" fontId="11" fillId="19" borderId="2" xfId="0" applyNumberFormat="1" applyFont="1" applyFill="1" applyBorder="1" applyAlignment="1">
      <alignment horizontal="center" vertical="center"/>
    </xf>
    <xf numFmtId="16" fontId="11" fillId="0" borderId="2" xfId="0" applyNumberFormat="1" applyFont="1" applyBorder="1" applyAlignment="1">
      <alignment horizontal="center" vertical="center"/>
    </xf>
    <xf numFmtId="0" fontId="24" fillId="0" borderId="2" xfId="0" applyFont="1" applyBorder="1" applyAlignment="1">
      <alignment horizontal="center" vertical="center"/>
    </xf>
    <xf numFmtId="16" fontId="118" fillId="0" borderId="22" xfId="0" applyNumberFormat="1" applyFont="1" applyBorder="1" applyAlignment="1">
      <alignment horizontal="center" vertical="center"/>
    </xf>
    <xf numFmtId="16" fontId="11" fillId="19" borderId="22" xfId="0" applyNumberFormat="1" applyFont="1" applyFill="1" applyBorder="1" applyAlignment="1">
      <alignment horizontal="center" vertical="center"/>
    </xf>
    <xf numFmtId="16" fontId="11" fillId="0" borderId="22" xfId="0" applyNumberFormat="1" applyFont="1" applyBorder="1" applyAlignment="1">
      <alignment horizontal="center" vertical="center"/>
    </xf>
    <xf numFmtId="0" fontId="117" fillId="5" borderId="64" xfId="0" applyFont="1" applyFill="1" applyBorder="1" applyAlignment="1">
      <alignment horizontal="center" vertical="center" wrapText="1"/>
    </xf>
    <xf numFmtId="0" fontId="30" fillId="0" borderId="64" xfId="0" applyFont="1" applyBorder="1" applyAlignment="1">
      <alignment horizontal="center" vertical="center"/>
    </xf>
    <xf numFmtId="0" fontId="42" fillId="4" borderId="64" xfId="0" applyFont="1" applyFill="1" applyBorder="1" applyAlignment="1">
      <alignment horizontal="center" vertical="center"/>
    </xf>
    <xf numFmtId="0" fontId="117" fillId="5" borderId="53" xfId="0" applyFont="1" applyFill="1" applyBorder="1" applyAlignment="1">
      <alignment horizontal="center" vertical="center" wrapText="1"/>
    </xf>
    <xf numFmtId="0" fontId="30" fillId="0" borderId="53" xfId="0" applyFont="1" applyBorder="1" applyAlignment="1">
      <alignment horizontal="center" vertical="center"/>
    </xf>
    <xf numFmtId="0" fontId="42" fillId="4" borderId="53" xfId="0" applyFont="1" applyFill="1" applyBorder="1" applyAlignment="1">
      <alignment horizontal="center" vertical="center"/>
    </xf>
    <xf numFmtId="0" fontId="104" fillId="3" borderId="32" xfId="0" applyFont="1" applyFill="1" applyBorder="1" applyAlignment="1">
      <alignment vertical="center" wrapText="1"/>
    </xf>
    <xf numFmtId="16" fontId="38" fillId="28" borderId="54" xfId="0" applyNumberFormat="1" applyFont="1" applyFill="1" applyBorder="1" applyAlignment="1">
      <alignment horizontal="center" vertical="center"/>
    </xf>
    <xf numFmtId="16" fontId="11" fillId="4" borderId="2" xfId="0" applyNumberFormat="1" applyFont="1" applyFill="1" applyBorder="1" applyAlignment="1">
      <alignment horizontal="center" vertical="center"/>
    </xf>
    <xf numFmtId="16" fontId="11" fillId="4" borderId="22" xfId="0" applyNumberFormat="1" applyFont="1" applyFill="1" applyBorder="1" applyAlignment="1">
      <alignment horizontal="center" vertical="center"/>
    </xf>
    <xf numFmtId="0" fontId="1" fillId="0" borderId="55" xfId="0" applyFont="1" applyBorder="1" applyAlignment="1">
      <alignment horizontal="center" vertical="center" wrapText="1"/>
    </xf>
    <xf numFmtId="0" fontId="33" fillId="0" borderId="26" xfId="0" applyFont="1" applyBorder="1" applyAlignment="1">
      <alignment horizontal="center" vertical="center"/>
    </xf>
    <xf numFmtId="0" fontId="107" fillId="4" borderId="64" xfId="0" applyFont="1" applyFill="1" applyBorder="1" applyAlignment="1">
      <alignment horizontal="center" vertical="center" wrapText="1"/>
    </xf>
    <xf numFmtId="20" fontId="107" fillId="0" borderId="64" xfId="0" applyNumberFormat="1" applyFont="1" applyBorder="1" applyAlignment="1">
      <alignment horizontal="center" vertical="center" wrapText="1"/>
    </xf>
    <xf numFmtId="20" fontId="107" fillId="4" borderId="53" xfId="0" applyNumberFormat="1" applyFont="1" applyFill="1" applyBorder="1" applyAlignment="1">
      <alignment horizontal="center" vertical="center" wrapText="1"/>
    </xf>
    <xf numFmtId="20" fontId="107" fillId="0" borderId="53" xfId="0" applyNumberFormat="1" applyFont="1" applyBorder="1" applyAlignment="1">
      <alignment horizontal="center" vertical="center" wrapText="1"/>
    </xf>
    <xf numFmtId="16" fontId="11" fillId="21" borderId="54" xfId="0" applyNumberFormat="1" applyFont="1" applyFill="1" applyBorder="1" applyAlignment="1">
      <alignment horizontal="center" vertical="center"/>
    </xf>
    <xf numFmtId="16" fontId="11" fillId="58" borderId="54" xfId="0" applyNumberFormat="1" applyFont="1" applyFill="1" applyBorder="1" applyAlignment="1">
      <alignment horizontal="center" vertical="center"/>
    </xf>
    <xf numFmtId="16" fontId="11" fillId="11" borderId="48" xfId="0" applyNumberFormat="1" applyFont="1" applyFill="1" applyBorder="1" applyAlignment="1">
      <alignment horizontal="center" vertical="center"/>
    </xf>
    <xf numFmtId="16" fontId="11" fillId="11" borderId="68" xfId="0" applyNumberFormat="1" applyFont="1" applyFill="1" applyBorder="1" applyAlignment="1">
      <alignment horizontal="center" vertical="center"/>
    </xf>
    <xf numFmtId="0" fontId="105" fillId="5" borderId="32" xfId="0" applyFont="1" applyFill="1" applyBorder="1" applyAlignment="1">
      <alignment horizontal="center" vertical="center" wrapText="1"/>
    </xf>
    <xf numFmtId="0" fontId="106" fillId="5" borderId="32" xfId="0" applyFont="1" applyFill="1" applyBorder="1" applyAlignment="1">
      <alignment horizontal="center" vertical="center" wrapText="1"/>
    </xf>
    <xf numFmtId="16" fontId="11" fillId="50" borderId="19" xfId="0" applyNumberFormat="1" applyFont="1" applyFill="1" applyBorder="1" applyAlignment="1">
      <alignment horizontal="center" vertical="center"/>
    </xf>
    <xf numFmtId="16" fontId="11" fillId="50" borderId="21" xfId="0" applyNumberFormat="1" applyFont="1" applyFill="1" applyBorder="1" applyAlignment="1">
      <alignment horizontal="center" vertical="center"/>
    </xf>
    <xf numFmtId="16" fontId="11" fillId="50" borderId="22" xfId="0" applyNumberFormat="1" applyFont="1" applyFill="1" applyBorder="1" applyAlignment="1">
      <alignment horizontal="center" vertical="center"/>
    </xf>
    <xf numFmtId="16" fontId="11" fillId="51" borderId="22" xfId="0" applyNumberFormat="1" applyFont="1" applyFill="1" applyBorder="1" applyAlignment="1">
      <alignment horizontal="center" vertical="center"/>
    </xf>
    <xf numFmtId="16" fontId="11" fillId="38" borderId="22" xfId="0" applyNumberFormat="1" applyFont="1" applyFill="1" applyBorder="1" applyAlignment="1">
      <alignment horizontal="center" vertical="center"/>
    </xf>
    <xf numFmtId="0" fontId="105" fillId="5" borderId="78" xfId="0" applyFont="1" applyFill="1" applyBorder="1" applyAlignment="1">
      <alignment horizontal="center" vertical="center" wrapText="1"/>
    </xf>
    <xf numFmtId="0" fontId="105" fillId="5" borderId="55" xfId="0" applyFont="1" applyFill="1" applyBorder="1" applyAlignment="1">
      <alignment horizontal="center" vertical="center" wrapText="1"/>
    </xf>
    <xf numFmtId="16" fontId="11" fillId="3" borderId="25" xfId="0" applyNumberFormat="1" applyFont="1" applyFill="1" applyBorder="1" applyAlignment="1">
      <alignment horizontal="center" vertical="center"/>
    </xf>
    <xf numFmtId="16" fontId="11" fillId="3" borderId="47" xfId="0" applyNumberFormat="1" applyFont="1" applyFill="1" applyBorder="1" applyAlignment="1">
      <alignment horizontal="center" vertical="center"/>
    </xf>
    <xf numFmtId="0" fontId="105" fillId="5" borderId="46" xfId="0" applyFont="1" applyFill="1" applyBorder="1" applyAlignment="1">
      <alignment horizontal="center" vertical="center" wrapText="1"/>
    </xf>
    <xf numFmtId="0" fontId="2" fillId="5" borderId="63" xfId="0" applyFont="1" applyFill="1" applyBorder="1" applyAlignment="1">
      <alignment horizontal="center" vertical="center" wrapText="1"/>
    </xf>
    <xf numFmtId="16" fontId="68" fillId="3" borderId="28" xfId="0" applyNumberFormat="1" applyFont="1" applyFill="1" applyBorder="1" applyAlignment="1">
      <alignment horizontal="center" vertical="center"/>
    </xf>
    <xf numFmtId="16" fontId="11" fillId="3" borderId="28" xfId="0" applyNumberFormat="1" applyFont="1" applyFill="1" applyBorder="1" applyAlignment="1">
      <alignment horizontal="center" vertical="center"/>
    </xf>
    <xf numFmtId="16" fontId="11" fillId="3" borderId="29" xfId="0" applyNumberFormat="1" applyFont="1" applyFill="1" applyBorder="1" applyAlignment="1">
      <alignment horizontal="center" vertical="center"/>
    </xf>
    <xf numFmtId="0" fontId="105" fillId="5" borderId="63" xfId="0" applyFont="1" applyFill="1" applyBorder="1" applyAlignment="1">
      <alignment horizontal="center" vertical="center" wrapText="1"/>
    </xf>
    <xf numFmtId="0" fontId="105" fillId="5" borderId="28" xfId="0" applyFont="1" applyFill="1" applyBorder="1" applyAlignment="1">
      <alignment horizontal="center" vertical="center" wrapText="1"/>
    </xf>
    <xf numFmtId="0" fontId="67" fillId="3" borderId="28" xfId="0" applyFont="1" applyFill="1" applyBorder="1" applyAlignment="1">
      <alignment horizontal="center" vertical="center" wrapText="1"/>
    </xf>
    <xf numFmtId="0" fontId="67" fillId="3" borderId="29" xfId="0" applyFont="1" applyFill="1" applyBorder="1" applyAlignment="1">
      <alignment horizontal="center" vertical="center" wrapText="1"/>
    </xf>
    <xf numFmtId="0" fontId="1" fillId="3" borderId="57" xfId="0" applyFont="1" applyFill="1" applyBorder="1" applyAlignment="1">
      <alignment vertical="center" wrapText="1"/>
    </xf>
    <xf numFmtId="16" fontId="11" fillId="19" borderId="19" xfId="0" applyNumberFormat="1" applyFont="1" applyFill="1" applyBorder="1" applyAlignment="1">
      <alignment horizontal="center" vertical="center"/>
    </xf>
    <xf numFmtId="16" fontId="11" fillId="19" borderId="21" xfId="0" applyNumberFormat="1" applyFont="1" applyFill="1" applyBorder="1" applyAlignment="1">
      <alignment horizontal="center" vertical="center"/>
    </xf>
    <xf numFmtId="0" fontId="10" fillId="0" borderId="30" xfId="0" applyFont="1" applyBorder="1" applyAlignment="1">
      <alignment horizontal="center" vertical="center"/>
    </xf>
    <xf numFmtId="0" fontId="33" fillId="0" borderId="30" xfId="0" applyFont="1" applyBorder="1" applyAlignment="1">
      <alignment horizontal="center"/>
    </xf>
    <xf numFmtId="0" fontId="33" fillId="0" borderId="60" xfId="0" applyFont="1" applyBorder="1" applyAlignment="1">
      <alignment horizontal="center" vertical="center"/>
    </xf>
    <xf numFmtId="0" fontId="107" fillId="3" borderId="32" xfId="0" applyFont="1" applyFill="1" applyBorder="1" applyAlignment="1">
      <alignment horizontal="center" vertical="center" wrapText="1"/>
    </xf>
    <xf numFmtId="0" fontId="67" fillId="3" borderId="37" xfId="0" applyFont="1" applyFill="1" applyBorder="1" applyAlignment="1">
      <alignment horizontal="center" vertical="center" wrapText="1"/>
    </xf>
    <xf numFmtId="16" fontId="11" fillId="51" borderId="20" xfId="0" applyNumberFormat="1" applyFont="1" applyFill="1" applyBorder="1" applyAlignment="1">
      <alignment horizontal="center" vertical="center"/>
    </xf>
    <xf numFmtId="16" fontId="11" fillId="51" borderId="54" xfId="0" applyNumberFormat="1" applyFont="1" applyFill="1" applyBorder="1" applyAlignment="1">
      <alignment horizontal="center" vertical="center"/>
    </xf>
    <xf numFmtId="0" fontId="1" fillId="3" borderId="56" xfId="0" applyFont="1" applyFill="1" applyBorder="1" applyAlignment="1">
      <alignment vertical="center" wrapText="1"/>
    </xf>
    <xf numFmtId="0" fontId="105" fillId="5" borderId="60" xfId="0" applyFont="1" applyFill="1" applyBorder="1" applyAlignment="1">
      <alignment horizontal="center" vertical="center" wrapText="1"/>
    </xf>
    <xf numFmtId="0" fontId="106" fillId="5" borderId="30" xfId="0" applyFont="1" applyFill="1" applyBorder="1" applyAlignment="1">
      <alignment horizontal="center" vertical="center" wrapText="1"/>
    </xf>
    <xf numFmtId="0" fontId="67" fillId="5" borderId="22" xfId="0" applyFont="1" applyFill="1" applyBorder="1" applyAlignment="1">
      <alignment horizontal="center" vertical="center" wrapText="1"/>
    </xf>
    <xf numFmtId="0" fontId="67" fillId="38" borderId="19" xfId="0" applyFont="1" applyFill="1" applyBorder="1" applyAlignment="1">
      <alignment horizontal="center" vertical="center"/>
    </xf>
    <xf numFmtId="0" fontId="107" fillId="5" borderId="58" xfId="0" applyFont="1" applyFill="1" applyBorder="1" applyAlignment="1">
      <alignment horizontal="center" vertical="center" wrapText="1"/>
    </xf>
    <xf numFmtId="0" fontId="106" fillId="5" borderId="45" xfId="0" applyFont="1" applyFill="1" applyBorder="1" applyAlignment="1">
      <alignment horizontal="center" vertical="center" wrapText="1"/>
    </xf>
    <xf numFmtId="0" fontId="67" fillId="5" borderId="59" xfId="0" applyFont="1" applyFill="1" applyBorder="1" applyAlignment="1">
      <alignment horizontal="center" vertical="center" wrapText="1"/>
    </xf>
    <xf numFmtId="0" fontId="67" fillId="5" borderId="45" xfId="0" applyFont="1" applyFill="1" applyBorder="1" applyAlignment="1">
      <alignment horizontal="center" vertical="center" wrapText="1"/>
    </xf>
    <xf numFmtId="0" fontId="116" fillId="49" borderId="19" xfId="0" applyFont="1" applyFill="1" applyBorder="1" applyAlignment="1">
      <alignment horizontal="center" vertical="center" wrapText="1"/>
    </xf>
    <xf numFmtId="0" fontId="107" fillId="5" borderId="45" xfId="0" applyFont="1" applyFill="1" applyBorder="1" applyAlignment="1">
      <alignment horizontal="center" vertical="center" wrapText="1"/>
    </xf>
    <xf numFmtId="0" fontId="67" fillId="0" borderId="45" xfId="0" applyFont="1" applyBorder="1" applyAlignment="1">
      <alignment horizontal="center" vertical="center" wrapText="1"/>
    </xf>
    <xf numFmtId="0" fontId="12" fillId="0" borderId="70" xfId="0" applyFont="1" applyBorder="1" applyAlignment="1">
      <alignment horizontal="center" vertical="center" wrapText="1"/>
    </xf>
    <xf numFmtId="0" fontId="67" fillId="38" borderId="20" xfId="0" applyFont="1" applyFill="1" applyBorder="1" applyAlignment="1">
      <alignment horizontal="center" vertical="center"/>
    </xf>
    <xf numFmtId="0" fontId="107" fillId="5" borderId="33" xfId="0" applyFont="1" applyFill="1" applyBorder="1" applyAlignment="1">
      <alignment horizontal="center" vertical="center" wrapText="1"/>
    </xf>
    <xf numFmtId="0" fontId="106" fillId="5" borderId="25" xfId="0" applyFont="1" applyFill="1" applyBorder="1" applyAlignment="1">
      <alignment horizontal="center" vertical="center" wrapText="1"/>
    </xf>
    <xf numFmtId="0" fontId="67" fillId="5" borderId="34" xfId="0" applyFont="1" applyFill="1" applyBorder="1" applyAlignment="1">
      <alignment horizontal="center" vertical="center" wrapText="1"/>
    </xf>
    <xf numFmtId="0" fontId="116" fillId="49" borderId="2" xfId="0" applyFont="1" applyFill="1" applyBorder="1" applyAlignment="1">
      <alignment horizontal="center" vertical="center" wrapText="1"/>
    </xf>
    <xf numFmtId="0" fontId="12" fillId="0" borderId="47" xfId="0" applyFont="1" applyBorder="1" applyAlignment="1">
      <alignment horizontal="center" vertical="center" wrapText="1"/>
    </xf>
    <xf numFmtId="0" fontId="67" fillId="0" borderId="20" xfId="0" applyFont="1" applyBorder="1" applyAlignment="1">
      <alignment horizontal="center" vertical="center"/>
    </xf>
    <xf numFmtId="0" fontId="67" fillId="14" borderId="20" xfId="0" applyFont="1" applyFill="1" applyBorder="1" applyAlignment="1">
      <alignment horizontal="center" vertical="center"/>
    </xf>
    <xf numFmtId="0" fontId="115" fillId="3" borderId="2" xfId="0" applyFont="1" applyFill="1" applyBorder="1" applyAlignment="1">
      <alignment horizontal="center" vertical="center" wrapText="1"/>
    </xf>
    <xf numFmtId="16" fontId="11" fillId="42" borderId="20" xfId="0" applyNumberFormat="1" applyFont="1" applyFill="1" applyBorder="1" applyAlignment="1">
      <alignment horizontal="center" vertical="center"/>
    </xf>
    <xf numFmtId="0" fontId="106" fillId="5" borderId="51" xfId="0" applyFont="1" applyFill="1" applyBorder="1" applyAlignment="1">
      <alignment horizontal="center" vertical="center" wrapText="1"/>
    </xf>
    <xf numFmtId="0" fontId="107" fillId="3" borderId="23" xfId="0" applyFont="1" applyFill="1" applyBorder="1" applyAlignment="1">
      <alignment horizontal="center" vertical="center" wrapText="1"/>
    </xf>
    <xf numFmtId="16" fontId="11" fillId="33" borderId="20" xfId="0" applyNumberFormat="1" applyFont="1" applyFill="1" applyBorder="1" applyAlignment="1">
      <alignment horizontal="center" vertical="center"/>
    </xf>
    <xf numFmtId="16" fontId="11" fillId="42" borderId="2" xfId="0" applyNumberFormat="1" applyFont="1" applyFill="1" applyBorder="1" applyAlignment="1">
      <alignment horizontal="center" vertical="center"/>
    </xf>
    <xf numFmtId="0" fontId="116" fillId="49" borderId="25" xfId="0" applyFont="1" applyFill="1" applyBorder="1" applyAlignment="1">
      <alignment horizontal="center" vertical="center" wrapText="1"/>
    </xf>
    <xf numFmtId="16" fontId="11" fillId="42" borderId="51" xfId="0" applyNumberFormat="1" applyFont="1" applyFill="1" applyBorder="1" applyAlignment="1">
      <alignment horizontal="center" vertical="center"/>
    </xf>
    <xf numFmtId="0" fontId="116" fillId="48" borderId="20" xfId="0" applyFont="1" applyFill="1" applyBorder="1" applyAlignment="1">
      <alignment horizontal="center" vertical="center" wrapText="1"/>
    </xf>
    <xf numFmtId="0" fontId="104" fillId="3" borderId="23" xfId="0" applyFont="1" applyFill="1" applyBorder="1" applyAlignment="1">
      <alignment horizontal="center" vertical="center" wrapText="1"/>
    </xf>
    <xf numFmtId="0" fontId="116" fillId="8" borderId="20" xfId="0" applyFont="1" applyFill="1" applyBorder="1" applyAlignment="1">
      <alignment horizontal="center" vertical="center" wrapText="1"/>
    </xf>
    <xf numFmtId="0" fontId="116" fillId="8" borderId="2" xfId="0" applyFont="1" applyFill="1" applyBorder="1" applyAlignment="1">
      <alignment horizontal="center" vertical="center" wrapText="1"/>
    </xf>
    <xf numFmtId="16" fontId="11" fillId="48" borderId="2" xfId="0" applyNumberFormat="1" applyFont="1" applyFill="1" applyBorder="1" applyAlignment="1">
      <alignment horizontal="center" vertical="center"/>
    </xf>
    <xf numFmtId="0" fontId="107" fillId="3" borderId="34" xfId="0" applyFont="1" applyFill="1" applyBorder="1" applyAlignment="1">
      <alignment horizontal="center" vertical="center" wrapText="1"/>
    </xf>
    <xf numFmtId="0" fontId="105" fillId="4" borderId="19" xfId="0" applyFont="1" applyFill="1" applyBorder="1" applyAlignment="1">
      <alignment horizontal="center" vertical="center" wrapText="1"/>
    </xf>
    <xf numFmtId="0" fontId="116" fillId="8" borderId="19" xfId="0" applyFont="1" applyFill="1" applyBorder="1" applyAlignment="1">
      <alignment horizontal="center" vertical="center" wrapText="1"/>
    </xf>
    <xf numFmtId="0" fontId="107" fillId="3" borderId="64" xfId="0" applyFont="1" applyFill="1" applyBorder="1" applyAlignment="1">
      <alignment horizontal="center" vertical="center" wrapText="1"/>
    </xf>
    <xf numFmtId="0" fontId="119" fillId="0" borderId="30" xfId="0" applyFont="1" applyBorder="1" applyAlignment="1">
      <alignment horizontal="center" vertical="center" wrapText="1"/>
    </xf>
    <xf numFmtId="0" fontId="117" fillId="0" borderId="30" xfId="0" applyFont="1" applyBorder="1" applyAlignment="1">
      <alignment horizontal="center" vertical="center" wrapText="1"/>
    </xf>
    <xf numFmtId="0" fontId="105" fillId="3" borderId="30" xfId="0" applyFont="1" applyFill="1" applyBorder="1" applyAlignment="1">
      <alignment horizontal="center" vertical="center" wrapText="1"/>
    </xf>
    <xf numFmtId="0" fontId="107" fillId="3" borderId="33" xfId="0" applyFont="1" applyFill="1" applyBorder="1" applyAlignment="1">
      <alignment horizontal="center" vertical="center" wrapText="1"/>
    </xf>
    <xf numFmtId="0" fontId="105" fillId="3" borderId="33" xfId="0" applyFont="1" applyFill="1" applyBorder="1" applyAlignment="1">
      <alignment horizontal="center" vertical="center" wrapText="1"/>
    </xf>
    <xf numFmtId="0" fontId="105" fillId="5" borderId="33" xfId="0" applyFont="1" applyFill="1" applyBorder="1" applyAlignment="1">
      <alignment horizontal="center" vertical="center" wrapText="1"/>
    </xf>
    <xf numFmtId="0" fontId="107" fillId="3" borderId="53" xfId="0" applyFont="1" applyFill="1" applyBorder="1" applyAlignment="1">
      <alignment horizontal="center" vertical="center" wrapText="1"/>
    </xf>
    <xf numFmtId="0" fontId="119" fillId="0" borderId="32" xfId="0" applyFont="1" applyBorder="1" applyAlignment="1">
      <alignment horizontal="center" vertical="center" wrapText="1"/>
    </xf>
    <xf numFmtId="0" fontId="117" fillId="0" borderId="32" xfId="0" applyFont="1" applyBorder="1" applyAlignment="1">
      <alignment horizontal="center" vertical="center" wrapText="1"/>
    </xf>
    <xf numFmtId="0" fontId="105" fillId="3" borderId="32" xfId="0" applyFont="1" applyFill="1" applyBorder="1" applyAlignment="1">
      <alignment horizontal="center" vertical="center" wrapText="1"/>
    </xf>
    <xf numFmtId="0" fontId="105" fillId="3" borderId="34" xfId="0" applyFont="1" applyFill="1" applyBorder="1" applyAlignment="1">
      <alignment horizontal="center" vertical="center" wrapText="1"/>
    </xf>
    <xf numFmtId="0" fontId="105" fillId="0" borderId="32" xfId="0" applyFont="1" applyBorder="1" applyAlignment="1">
      <alignment horizontal="center" vertical="center" wrapText="1"/>
    </xf>
    <xf numFmtId="0" fontId="105" fillId="5" borderId="34" xfId="0" applyFont="1" applyFill="1" applyBorder="1" applyAlignment="1">
      <alignment horizontal="center" vertical="center" wrapText="1"/>
    </xf>
    <xf numFmtId="16" fontId="38" fillId="33" borderId="2" xfId="0" applyNumberFormat="1" applyFont="1" applyFill="1" applyBorder="1" applyAlignment="1">
      <alignment horizontal="center" vertical="center"/>
    </xf>
    <xf numFmtId="16" fontId="38" fillId="33" borderId="22" xfId="0" applyNumberFormat="1" applyFont="1" applyFill="1" applyBorder="1" applyAlignment="1">
      <alignment horizontal="center" vertical="center"/>
    </xf>
    <xf numFmtId="16" fontId="11" fillId="48" borderId="22" xfId="0" applyNumberFormat="1" applyFont="1" applyFill="1" applyBorder="1" applyAlignment="1">
      <alignment horizontal="center" vertical="center"/>
    </xf>
    <xf numFmtId="0" fontId="105" fillId="0" borderId="55" xfId="0" applyFont="1" applyBorder="1" applyAlignment="1">
      <alignment horizontal="center" vertical="center" wrapText="1"/>
    </xf>
    <xf numFmtId="0" fontId="105" fillId="3" borderId="55" xfId="0" applyFont="1" applyFill="1" applyBorder="1" applyAlignment="1">
      <alignment horizontal="center" vertical="center" wrapText="1"/>
    </xf>
    <xf numFmtId="0" fontId="105" fillId="5" borderId="79" xfId="0" applyFont="1" applyFill="1" applyBorder="1" applyAlignment="1">
      <alignment horizontal="center" vertical="center" wrapText="1"/>
    </xf>
    <xf numFmtId="0" fontId="107" fillId="22" borderId="64" xfId="0" applyFont="1" applyFill="1" applyBorder="1" applyAlignment="1">
      <alignment horizontal="center" vertical="center" wrapText="1"/>
    </xf>
    <xf numFmtId="0" fontId="107" fillId="3" borderId="30" xfId="0" applyFont="1" applyFill="1" applyBorder="1" applyAlignment="1">
      <alignment horizontal="center" vertical="center" wrapText="1"/>
    </xf>
    <xf numFmtId="0" fontId="104" fillId="0" borderId="31" xfId="0" applyFont="1" applyBorder="1" applyAlignment="1">
      <alignment horizontal="center" vertical="center" wrapText="1"/>
    </xf>
    <xf numFmtId="20" fontId="107" fillId="22" borderId="53" xfId="0" applyNumberFormat="1" applyFont="1" applyFill="1" applyBorder="1" applyAlignment="1">
      <alignment horizontal="center" vertical="center" wrapText="1"/>
    </xf>
    <xf numFmtId="20" fontId="107" fillId="3" borderId="32" xfId="0" applyNumberFormat="1" applyFont="1" applyFill="1" applyBorder="1" applyAlignment="1">
      <alignment horizontal="center" vertical="center" wrapText="1"/>
    </xf>
    <xf numFmtId="20" fontId="104" fillId="0" borderId="37" xfId="0" applyNumberFormat="1" applyFont="1" applyBorder="1" applyAlignment="1">
      <alignment horizontal="center" vertical="center" wrapText="1"/>
    </xf>
    <xf numFmtId="0" fontId="105" fillId="3" borderId="37" xfId="0" applyFont="1" applyFill="1" applyBorder="1" applyAlignment="1">
      <alignment horizontal="center" vertical="center" wrapText="1"/>
    </xf>
    <xf numFmtId="0" fontId="105" fillId="5" borderId="56" xfId="0" applyFont="1" applyFill="1" applyBorder="1" applyAlignment="1">
      <alignment horizontal="center" vertical="center" wrapText="1"/>
    </xf>
    <xf numFmtId="16" fontId="11" fillId="33" borderId="2" xfId="0" applyNumberFormat="1" applyFont="1" applyFill="1" applyBorder="1" applyAlignment="1">
      <alignment horizontal="center" vertical="center"/>
    </xf>
    <xf numFmtId="16" fontId="38" fillId="35" borderId="2" xfId="0" applyNumberFormat="1" applyFont="1" applyFill="1" applyBorder="1" applyAlignment="1">
      <alignment horizontal="center" vertical="center"/>
    </xf>
    <xf numFmtId="16" fontId="11" fillId="47" borderId="2" xfId="0" applyNumberFormat="1" applyFont="1" applyFill="1" applyBorder="1" applyAlignment="1">
      <alignment horizontal="center" vertical="center"/>
    </xf>
    <xf numFmtId="16" fontId="38" fillId="35" borderId="22" xfId="0" applyNumberFormat="1" applyFont="1" applyFill="1" applyBorder="1" applyAlignment="1">
      <alignment horizontal="center" vertical="center"/>
    </xf>
    <xf numFmtId="16" fontId="11" fillId="47" borderId="22" xfId="0" applyNumberFormat="1" applyFont="1" applyFill="1" applyBorder="1" applyAlignment="1">
      <alignment horizontal="center" vertical="center"/>
    </xf>
    <xf numFmtId="0" fontId="105" fillId="3" borderId="79" xfId="0" applyFont="1" applyFill="1" applyBorder="1" applyAlignment="1">
      <alignment horizontal="center" vertical="center" wrapText="1"/>
    </xf>
    <xf numFmtId="0" fontId="106" fillId="5" borderId="58" xfId="0" applyFont="1" applyFill="1" applyBorder="1" applyAlignment="1">
      <alignment horizontal="center" vertical="center" wrapText="1"/>
    </xf>
    <xf numFmtId="0" fontId="109" fillId="3" borderId="64" xfId="0" applyFont="1" applyFill="1" applyBorder="1" applyAlignment="1">
      <alignment horizontal="center" vertical="center" wrapText="1"/>
    </xf>
    <xf numFmtId="0" fontId="106" fillId="5" borderId="71" xfId="0" applyFont="1" applyFill="1" applyBorder="1" applyAlignment="1">
      <alignment horizontal="center" vertical="center" wrapText="1"/>
    </xf>
    <xf numFmtId="0" fontId="106" fillId="5" borderId="59" xfId="0" applyFont="1" applyFill="1" applyBorder="1" applyAlignment="1">
      <alignment horizontal="center" vertical="center" wrapText="1"/>
    </xf>
    <xf numFmtId="0" fontId="106" fillId="3" borderId="32" xfId="0" applyFont="1" applyFill="1" applyBorder="1" applyAlignment="1">
      <alignment horizontal="center" vertical="center" wrapText="1"/>
    </xf>
    <xf numFmtId="20" fontId="109" fillId="3" borderId="53" xfId="0" applyNumberFormat="1" applyFont="1" applyFill="1" applyBorder="1" applyAlignment="1">
      <alignment horizontal="center" vertical="center" wrapText="1"/>
    </xf>
    <xf numFmtId="0" fontId="106" fillId="5" borderId="75" xfId="0" applyFont="1" applyFill="1" applyBorder="1" applyAlignment="1">
      <alignment horizontal="center" vertical="center" wrapText="1"/>
    </xf>
    <xf numFmtId="0" fontId="105" fillId="5" borderId="36" xfId="0" applyFont="1" applyFill="1" applyBorder="1" applyAlignment="1">
      <alignment horizontal="center" vertical="center" wrapText="1"/>
    </xf>
    <xf numFmtId="0" fontId="105" fillId="5" borderId="37" xfId="0" applyFont="1" applyFill="1" applyBorder="1" applyAlignment="1">
      <alignment horizontal="center" vertical="center" wrapText="1"/>
    </xf>
    <xf numFmtId="16" fontId="11" fillId="33" borderId="54" xfId="0" applyNumberFormat="1" applyFont="1" applyFill="1" applyBorder="1" applyAlignment="1">
      <alignment horizontal="center" vertical="center"/>
    </xf>
    <xf numFmtId="16" fontId="11" fillId="46" borderId="2" xfId="0" applyNumberFormat="1" applyFont="1" applyFill="1" applyBorder="1" applyAlignment="1">
      <alignment horizontal="center" vertical="center"/>
    </xf>
    <xf numFmtId="16" fontId="11" fillId="32" borderId="2" xfId="0" applyNumberFormat="1" applyFont="1" applyFill="1" applyBorder="1" applyAlignment="1">
      <alignment horizontal="center" vertical="center"/>
    </xf>
    <xf numFmtId="16" fontId="11" fillId="42" borderId="22" xfId="0" applyNumberFormat="1" applyFont="1" applyFill="1" applyBorder="1" applyAlignment="1">
      <alignment horizontal="center" vertical="center"/>
    </xf>
    <xf numFmtId="16" fontId="11" fillId="46" borderId="22" xfId="0" applyNumberFormat="1" applyFont="1" applyFill="1" applyBorder="1" applyAlignment="1">
      <alignment horizontal="center" vertical="center"/>
    </xf>
    <xf numFmtId="16" fontId="11" fillId="32" borderId="22" xfId="0" applyNumberFormat="1" applyFont="1" applyFill="1" applyBorder="1" applyAlignment="1">
      <alignment horizontal="center" vertical="center"/>
    </xf>
    <xf numFmtId="16" fontId="38" fillId="35" borderId="23" xfId="0" applyNumberFormat="1" applyFont="1" applyFill="1" applyBorder="1" applyAlignment="1">
      <alignment horizontal="center" vertical="center"/>
    </xf>
    <xf numFmtId="16" fontId="38" fillId="35" borderId="24" xfId="0" applyNumberFormat="1" applyFont="1" applyFill="1" applyBorder="1" applyAlignment="1">
      <alignment horizontal="center" vertical="center"/>
    </xf>
    <xf numFmtId="0" fontId="106" fillId="5" borderId="49" xfId="0" applyFont="1" applyFill="1" applyBorder="1" applyAlignment="1">
      <alignment horizontal="center" vertical="center" wrapText="1"/>
    </xf>
    <xf numFmtId="0" fontId="105" fillId="5" borderId="49" xfId="0" applyFont="1" applyFill="1" applyBorder="1" applyAlignment="1">
      <alignment horizontal="center" vertical="center" wrapText="1"/>
    </xf>
    <xf numFmtId="0" fontId="106" fillId="5" borderId="62" xfId="0" applyFont="1" applyFill="1" applyBorder="1" applyAlignment="1">
      <alignment horizontal="center" vertical="center" wrapText="1"/>
    </xf>
    <xf numFmtId="0" fontId="105" fillId="5" borderId="62" xfId="0" applyFont="1" applyFill="1" applyBorder="1" applyAlignment="1">
      <alignment horizontal="center" vertical="center" wrapText="1"/>
    </xf>
    <xf numFmtId="16" fontId="11" fillId="42" borderId="19" xfId="0" applyNumberFormat="1" applyFont="1" applyFill="1" applyBorder="1" applyAlignment="1">
      <alignment horizontal="center" vertical="center"/>
    </xf>
    <xf numFmtId="16" fontId="11" fillId="42" borderId="21" xfId="0" applyNumberFormat="1" applyFont="1" applyFill="1" applyBorder="1" applyAlignment="1">
      <alignment horizontal="center" vertical="center"/>
    </xf>
    <xf numFmtId="0" fontId="67" fillId="14" borderId="22" xfId="0" applyFont="1" applyFill="1" applyBorder="1" applyAlignment="1">
      <alignment horizontal="center" vertical="center"/>
    </xf>
    <xf numFmtId="16" fontId="11" fillId="33" borderId="22" xfId="0" applyNumberFormat="1" applyFont="1" applyFill="1" applyBorder="1" applyAlignment="1">
      <alignment horizontal="center" vertical="center"/>
    </xf>
    <xf numFmtId="16" fontId="11" fillId="42" borderId="23" xfId="0" applyNumberFormat="1" applyFont="1" applyFill="1" applyBorder="1" applyAlignment="1">
      <alignment horizontal="center" vertical="center"/>
    </xf>
    <xf numFmtId="16" fontId="11" fillId="42" borderId="24" xfId="0" applyNumberFormat="1" applyFont="1" applyFill="1" applyBorder="1" applyAlignment="1">
      <alignment horizontal="center" vertical="center"/>
    </xf>
    <xf numFmtId="0" fontId="106" fillId="5" borderId="64" xfId="0" applyFont="1" applyFill="1" applyBorder="1" applyAlignment="1">
      <alignment horizontal="center" vertical="center" wrapText="1"/>
    </xf>
    <xf numFmtId="0" fontId="67" fillId="5" borderId="53" xfId="0" applyFont="1" applyFill="1" applyBorder="1" applyAlignment="1">
      <alignment horizontal="center" vertical="center" wrapText="1"/>
    </xf>
    <xf numFmtId="0" fontId="116" fillId="3" borderId="20" xfId="0" applyFont="1" applyFill="1" applyBorder="1" applyAlignment="1">
      <alignment horizontal="center" vertical="center" wrapText="1"/>
    </xf>
    <xf numFmtId="0" fontId="109" fillId="5" borderId="64" xfId="0" applyFont="1" applyFill="1" applyBorder="1" applyAlignment="1">
      <alignment horizontal="center" vertical="center" wrapText="1"/>
    </xf>
    <xf numFmtId="16" fontId="5" fillId="3" borderId="27" xfId="0" applyNumberFormat="1" applyFont="1" applyFill="1" applyBorder="1" applyAlignment="1">
      <alignment horizontal="center" vertical="center" wrapText="1"/>
    </xf>
    <xf numFmtId="0" fontId="67" fillId="3" borderId="23" xfId="0" applyFont="1" applyFill="1" applyBorder="1" applyAlignment="1">
      <alignment horizontal="center" vertical="center"/>
    </xf>
    <xf numFmtId="0" fontId="12" fillId="0" borderId="21" xfId="0" applyFont="1" applyBorder="1" applyAlignment="1">
      <alignment horizontal="center" vertical="center" wrapText="1"/>
    </xf>
    <xf numFmtId="16" fontId="5" fillId="3" borderId="26" xfId="0" applyNumberFormat="1" applyFont="1" applyFill="1" applyBorder="1" applyAlignment="1">
      <alignment horizontal="center" vertical="center" wrapText="1"/>
    </xf>
    <xf numFmtId="16" fontId="5" fillId="3" borderId="2" xfId="0" applyNumberFormat="1" applyFont="1" applyFill="1" applyBorder="1" applyAlignment="1">
      <alignment horizontal="center" vertical="center" wrapText="1"/>
    </xf>
    <xf numFmtId="0" fontId="67" fillId="18" borderId="2" xfId="0" applyFont="1" applyFill="1" applyBorder="1" applyAlignment="1">
      <alignment horizontal="center" vertical="center"/>
    </xf>
    <xf numFmtId="0" fontId="67" fillId="42" borderId="2" xfId="0" applyFont="1" applyFill="1" applyBorder="1" applyAlignment="1">
      <alignment horizontal="center" vertical="center"/>
    </xf>
    <xf numFmtId="0" fontId="116" fillId="3" borderId="2" xfId="0" applyFont="1" applyFill="1" applyBorder="1" applyAlignment="1">
      <alignment horizontal="center" vertical="center" wrapText="1"/>
    </xf>
    <xf numFmtId="0" fontId="67" fillId="16" borderId="2" xfId="0" applyFont="1" applyFill="1" applyBorder="1" applyAlignment="1">
      <alignment horizontal="center" vertical="center"/>
    </xf>
    <xf numFmtId="16" fontId="5" fillId="3" borderId="46" xfId="0" applyNumberFormat="1" applyFont="1" applyFill="1" applyBorder="1" applyAlignment="1">
      <alignment horizontal="center" vertical="center" wrapText="1"/>
    </xf>
    <xf numFmtId="16" fontId="5" fillId="3" borderId="25" xfId="0" applyNumberFormat="1" applyFont="1" applyFill="1" applyBorder="1" applyAlignment="1">
      <alignment horizontal="center" vertical="center" wrapText="1"/>
    </xf>
    <xf numFmtId="0" fontId="67" fillId="3" borderId="25" xfId="0" applyFont="1" applyFill="1" applyBorder="1" applyAlignment="1">
      <alignment horizontal="center" vertical="center"/>
    </xf>
    <xf numFmtId="0" fontId="116" fillId="3" borderId="25" xfId="0" applyFont="1" applyFill="1" applyBorder="1" applyAlignment="1">
      <alignment horizontal="center" vertical="center" wrapText="1"/>
    </xf>
    <xf numFmtId="16" fontId="5" fillId="3" borderId="18" xfId="0" applyNumberFormat="1" applyFont="1" applyFill="1" applyBorder="1" applyAlignment="1">
      <alignment horizontal="center" vertical="center" wrapText="1"/>
    </xf>
    <xf numFmtId="16" fontId="5" fillId="3" borderId="19" xfId="0" applyNumberFormat="1" applyFont="1" applyFill="1" applyBorder="1" applyAlignment="1">
      <alignment horizontal="center" vertical="center" wrapText="1"/>
    </xf>
    <xf numFmtId="0" fontId="67" fillId="3" borderId="19" xfId="0" applyFont="1" applyFill="1" applyBorder="1" applyAlignment="1">
      <alignment horizontal="center" vertical="center"/>
    </xf>
    <xf numFmtId="0" fontId="116" fillId="3" borderId="19" xfId="0" applyFont="1" applyFill="1" applyBorder="1" applyAlignment="1">
      <alignment horizontal="center" vertical="center" wrapText="1"/>
    </xf>
    <xf numFmtId="0" fontId="67" fillId="4" borderId="19" xfId="0" applyFont="1" applyFill="1" applyBorder="1" applyAlignment="1">
      <alignment horizontal="center" vertical="center" wrapText="1"/>
    </xf>
    <xf numFmtId="16" fontId="5" fillId="3" borderId="23" xfId="0" applyNumberFormat="1" applyFont="1" applyFill="1" applyBorder="1" applyAlignment="1">
      <alignment horizontal="center" vertical="center" wrapText="1"/>
    </xf>
    <xf numFmtId="16" fontId="5" fillId="3" borderId="53" xfId="0" applyNumberFormat="1" applyFont="1" applyFill="1" applyBorder="1" applyAlignment="1">
      <alignment horizontal="center" vertical="center" wrapText="1"/>
    </xf>
    <xf numFmtId="0" fontId="105" fillId="3" borderId="64" xfId="0" applyFont="1" applyFill="1" applyBorder="1" applyAlignment="1">
      <alignment horizontal="center" vertical="center" wrapText="1"/>
    </xf>
    <xf numFmtId="16" fontId="5" fillId="3" borderId="56" xfId="0" applyNumberFormat="1" applyFont="1" applyFill="1" applyBorder="1" applyAlignment="1">
      <alignment horizontal="center" vertical="center" wrapText="1"/>
    </xf>
    <xf numFmtId="0" fontId="67" fillId="5" borderId="36" xfId="0" applyFont="1" applyFill="1" applyBorder="1" applyAlignment="1">
      <alignment horizontal="center" vertical="center" wrapText="1"/>
    </xf>
    <xf numFmtId="0" fontId="67" fillId="35" borderId="2" xfId="0" applyFont="1" applyFill="1" applyBorder="1" applyAlignment="1">
      <alignment horizontal="center" vertical="center" wrapText="1"/>
    </xf>
    <xf numFmtId="16" fontId="5" fillId="3" borderId="57" xfId="0" applyNumberFormat="1" applyFont="1" applyFill="1" applyBorder="1" applyAlignment="1">
      <alignment horizontal="center" vertical="center" wrapText="1"/>
    </xf>
    <xf numFmtId="16" fontId="5" fillId="3" borderId="34" xfId="0" applyNumberFormat="1" applyFont="1" applyFill="1" applyBorder="1" applyAlignment="1">
      <alignment horizontal="center" vertical="center" wrapText="1"/>
    </xf>
    <xf numFmtId="0" fontId="67" fillId="15" borderId="25" xfId="0" applyFont="1" applyFill="1" applyBorder="1" applyAlignment="1">
      <alignment horizontal="center" vertical="center"/>
    </xf>
    <xf numFmtId="0" fontId="67" fillId="0" borderId="19" xfId="0" applyFont="1" applyBorder="1" applyAlignment="1">
      <alignment horizontal="center" vertical="center"/>
    </xf>
    <xf numFmtId="0" fontId="109" fillId="5" borderId="31" xfId="0" applyFont="1" applyFill="1" applyBorder="1" applyAlignment="1">
      <alignment horizontal="center" vertical="center" wrapText="1"/>
    </xf>
    <xf numFmtId="0" fontId="104" fillId="5" borderId="76" xfId="0" applyFont="1" applyFill="1" applyBorder="1" applyAlignment="1">
      <alignment horizontal="center" vertical="center" wrapText="1"/>
    </xf>
    <xf numFmtId="0" fontId="106" fillId="5" borderId="76" xfId="0" applyFont="1" applyFill="1" applyBorder="1" applyAlignment="1">
      <alignment horizontal="center" vertical="center" wrapText="1"/>
    </xf>
    <xf numFmtId="0" fontId="109" fillId="5" borderId="76" xfId="0" applyFont="1" applyFill="1" applyBorder="1" applyAlignment="1">
      <alignment horizontal="center" vertical="center" wrapText="1"/>
    </xf>
    <xf numFmtId="0" fontId="107" fillId="5" borderId="74" xfId="0" applyFont="1" applyFill="1" applyBorder="1" applyAlignment="1">
      <alignment horizontal="center" vertical="center" wrapText="1"/>
    </xf>
    <xf numFmtId="16" fontId="68" fillId="3" borderId="51" xfId="0" applyNumberFormat="1" applyFont="1" applyFill="1" applyBorder="1" applyAlignment="1">
      <alignment horizontal="center" vertical="center"/>
    </xf>
    <xf numFmtId="16" fontId="11" fillId="48" borderId="51" xfId="0" applyNumberFormat="1" applyFont="1" applyFill="1" applyBorder="1" applyAlignment="1">
      <alignment horizontal="center" vertical="center"/>
    </xf>
    <xf numFmtId="0" fontId="105" fillId="4" borderId="51" xfId="0" applyFont="1" applyFill="1" applyBorder="1" applyAlignment="1">
      <alignment horizontal="center" vertical="center" wrapText="1"/>
    </xf>
    <xf numFmtId="0" fontId="67" fillId="3" borderId="52" xfId="0" applyFont="1" applyFill="1" applyBorder="1" applyAlignment="1">
      <alignment horizontal="center" vertical="center" wrapText="1"/>
    </xf>
    <xf numFmtId="0" fontId="67" fillId="42" borderId="19" xfId="0" applyFont="1" applyFill="1" applyBorder="1" applyAlignment="1">
      <alignment horizontal="center" vertical="center"/>
    </xf>
    <xf numFmtId="0" fontId="67" fillId="42" borderId="21" xfId="0" applyFont="1" applyFill="1" applyBorder="1" applyAlignment="1">
      <alignment horizontal="center" vertical="center"/>
    </xf>
    <xf numFmtId="0" fontId="67" fillId="3" borderId="24" xfId="0" applyFont="1" applyFill="1" applyBorder="1" applyAlignment="1">
      <alignment horizontal="center" vertical="center"/>
    </xf>
    <xf numFmtId="0" fontId="107" fillId="5" borderId="18" xfId="0" applyFont="1" applyFill="1" applyBorder="1" applyAlignment="1">
      <alignment horizontal="center" vertical="center" wrapText="1"/>
    </xf>
    <xf numFmtId="0" fontId="107" fillId="5" borderId="27" xfId="0" applyFont="1" applyFill="1" applyBorder="1" applyAlignment="1">
      <alignment horizontal="center" vertical="center" wrapText="1"/>
    </xf>
    <xf numFmtId="0" fontId="67" fillId="34" borderId="2" xfId="0" applyFont="1" applyFill="1" applyBorder="1" applyAlignment="1">
      <alignment horizontal="center" vertical="center"/>
    </xf>
    <xf numFmtId="0" fontId="67" fillId="31" borderId="22" xfId="0" applyFont="1" applyFill="1" applyBorder="1" applyAlignment="1">
      <alignment horizontal="center" vertical="center"/>
    </xf>
    <xf numFmtId="0" fontId="67" fillId="3" borderId="22" xfId="0" applyFont="1" applyFill="1" applyBorder="1" applyAlignment="1">
      <alignment horizontal="center" vertical="center"/>
    </xf>
    <xf numFmtId="0" fontId="67" fillId="34" borderId="22" xfId="0" applyFont="1" applyFill="1" applyBorder="1" applyAlignment="1">
      <alignment horizontal="center" vertical="center"/>
    </xf>
    <xf numFmtId="0" fontId="67" fillId="5" borderId="55" xfId="0" applyFont="1" applyFill="1" applyBorder="1" applyAlignment="1">
      <alignment horizontal="center" vertical="center" wrapText="1"/>
    </xf>
    <xf numFmtId="0" fontId="107" fillId="5" borderId="26" xfId="0" applyFont="1" applyFill="1" applyBorder="1" applyAlignment="1">
      <alignment horizontal="center" vertical="center" wrapText="1"/>
    </xf>
    <xf numFmtId="0" fontId="67" fillId="3" borderId="47" xfId="0" applyFont="1" applyFill="1" applyBorder="1" applyAlignment="1">
      <alignment horizontal="center" vertical="center"/>
    </xf>
    <xf numFmtId="0" fontId="107" fillId="5" borderId="46" xfId="0" applyFont="1" applyFill="1" applyBorder="1" applyAlignment="1">
      <alignment horizontal="center" vertical="center" wrapText="1"/>
    </xf>
    <xf numFmtId="0" fontId="67" fillId="18" borderId="22" xfId="0" applyFont="1" applyFill="1" applyBorder="1" applyAlignment="1">
      <alignment horizontal="center" vertical="center"/>
    </xf>
    <xf numFmtId="0" fontId="67" fillId="42" borderId="22" xfId="0" applyFont="1" applyFill="1" applyBorder="1" applyAlignment="1">
      <alignment horizontal="center" vertical="center"/>
    </xf>
    <xf numFmtId="0" fontId="67" fillId="20" borderId="22" xfId="0" applyFont="1" applyFill="1" applyBorder="1" applyAlignment="1">
      <alignment horizontal="center" vertical="center"/>
    </xf>
    <xf numFmtId="0" fontId="67" fillId="16" borderId="22" xfId="0" applyFont="1" applyFill="1" applyBorder="1" applyAlignment="1">
      <alignment horizontal="center" vertical="center"/>
    </xf>
    <xf numFmtId="0" fontId="67" fillId="0" borderId="21" xfId="0" applyFont="1" applyBorder="1" applyAlignment="1">
      <alignment horizontal="center" vertical="center"/>
    </xf>
    <xf numFmtId="20" fontId="107" fillId="3" borderId="30" xfId="0" applyNumberFormat="1" applyFont="1" applyFill="1" applyBorder="1" applyAlignment="1">
      <alignment horizontal="center" vertical="center" wrapText="1"/>
    </xf>
    <xf numFmtId="0" fontId="67" fillId="5" borderId="32" xfId="0" applyFont="1" applyFill="1" applyBorder="1" applyAlignment="1">
      <alignment horizontal="center" vertical="center" wrapText="1"/>
    </xf>
    <xf numFmtId="0" fontId="67" fillId="5" borderId="57" xfId="0" applyFont="1" applyFill="1" applyBorder="1" applyAlignment="1">
      <alignment horizontal="center" vertical="center" wrapText="1"/>
    </xf>
    <xf numFmtId="0" fontId="67" fillId="3" borderId="21" xfId="0" applyFont="1" applyFill="1" applyBorder="1" applyAlignment="1">
      <alignment horizontal="center" vertical="center"/>
    </xf>
    <xf numFmtId="0" fontId="67" fillId="17" borderId="22" xfId="0" applyFont="1" applyFill="1" applyBorder="1" applyAlignment="1">
      <alignment horizontal="center" vertical="center"/>
    </xf>
    <xf numFmtId="0" fontId="67" fillId="5" borderId="78" xfId="0" applyFont="1" applyFill="1" applyBorder="1" applyAlignment="1">
      <alignment horizontal="center" vertical="center" wrapText="1"/>
    </xf>
    <xf numFmtId="0" fontId="107" fillId="0" borderId="64" xfId="0" applyFont="1" applyBorder="1" applyAlignment="1">
      <alignment horizontal="center" vertical="center" wrapText="1"/>
    </xf>
    <xf numFmtId="0" fontId="105" fillId="3" borderId="76" xfId="0" applyFont="1" applyFill="1" applyBorder="1" applyAlignment="1">
      <alignment horizontal="center" vertical="center" wrapText="1"/>
    </xf>
    <xf numFmtId="20" fontId="107" fillId="0" borderId="76" xfId="0" applyNumberFormat="1" applyFont="1" applyBorder="1" applyAlignment="1">
      <alignment horizontal="center" vertical="center" wrapText="1"/>
    </xf>
    <xf numFmtId="0" fontId="107" fillId="5" borderId="0" xfId="0" applyFont="1" applyFill="1" applyAlignment="1">
      <alignment horizontal="center" vertical="center" wrapText="1"/>
    </xf>
    <xf numFmtId="0" fontId="8" fillId="5" borderId="76" xfId="0" applyFont="1" applyFill="1" applyBorder="1" applyAlignment="1">
      <alignment horizontal="center" vertical="center" wrapText="1"/>
    </xf>
    <xf numFmtId="0" fontId="67" fillId="2" borderId="2" xfId="0" applyFont="1" applyFill="1" applyBorder="1" applyAlignment="1">
      <alignment horizontal="center" vertical="center" wrapText="1"/>
    </xf>
    <xf numFmtId="0" fontId="67" fillId="18" borderId="19" xfId="0" applyFont="1" applyFill="1" applyBorder="1" applyAlignment="1">
      <alignment horizontal="center" vertical="center"/>
    </xf>
    <xf numFmtId="0" fontId="67" fillId="18" borderId="21" xfId="0" applyFont="1" applyFill="1" applyBorder="1" applyAlignment="1">
      <alignment horizontal="center" vertical="center"/>
    </xf>
    <xf numFmtId="0" fontId="67" fillId="0" borderId="22" xfId="0" applyFont="1" applyBorder="1" applyAlignment="1">
      <alignment horizontal="center" vertical="center"/>
    </xf>
    <xf numFmtId="0" fontId="109" fillId="5" borderId="49" xfId="0" applyFont="1" applyFill="1" applyBorder="1" applyAlignment="1">
      <alignment horizontal="center" vertical="center" wrapText="1"/>
    </xf>
    <xf numFmtId="0" fontId="107" fillId="5" borderId="73" xfId="0" applyFont="1" applyFill="1" applyBorder="1" applyAlignment="1">
      <alignment horizontal="center" vertical="center" wrapText="1"/>
    </xf>
    <xf numFmtId="0" fontId="67" fillId="15" borderId="20" xfId="0" applyFont="1" applyFill="1" applyBorder="1" applyAlignment="1">
      <alignment horizontal="center" vertical="center"/>
    </xf>
    <xf numFmtId="16" fontId="5" fillId="3" borderId="60" xfId="0" applyNumberFormat="1" applyFont="1" applyFill="1" applyBorder="1" applyAlignment="1">
      <alignment horizontal="center" vertical="center" wrapText="1"/>
    </xf>
    <xf numFmtId="16" fontId="5" fillId="3" borderId="20" xfId="0" applyNumberFormat="1" applyFont="1" applyFill="1" applyBorder="1" applyAlignment="1">
      <alignment horizontal="center" vertical="center" wrapText="1"/>
    </xf>
    <xf numFmtId="0" fontId="67" fillId="34" borderId="20" xfId="0" applyFont="1" applyFill="1" applyBorder="1" applyAlignment="1">
      <alignment horizontal="center" vertical="center"/>
    </xf>
    <xf numFmtId="0" fontId="67" fillId="34" borderId="54" xfId="0" applyFont="1" applyFill="1" applyBorder="1" applyAlignment="1">
      <alignment horizontal="center" vertical="center"/>
    </xf>
    <xf numFmtId="0" fontId="107" fillId="5" borderId="60" xfId="0" applyFont="1" applyFill="1" applyBorder="1" applyAlignment="1">
      <alignment horizontal="center" vertical="center" wrapText="1"/>
    </xf>
    <xf numFmtId="0" fontId="67" fillId="4" borderId="23" xfId="0" applyFont="1" applyFill="1" applyBorder="1" applyAlignment="1">
      <alignment horizontal="center" vertical="center" wrapText="1"/>
    </xf>
    <xf numFmtId="0" fontId="109" fillId="5" borderId="20" xfId="0" applyFont="1" applyFill="1" applyBorder="1" applyAlignment="1">
      <alignment horizontal="center" vertical="center" wrapText="1"/>
    </xf>
    <xf numFmtId="0" fontId="67" fillId="5" borderId="51" xfId="0" applyFont="1" applyFill="1" applyBorder="1" applyAlignment="1">
      <alignment horizontal="center" vertical="center" wrapText="1"/>
    </xf>
    <xf numFmtId="0" fontId="12" fillId="0" borderId="51" xfId="0" applyFont="1" applyBorder="1" applyAlignment="1">
      <alignment horizontal="center" vertical="center" wrapText="1"/>
    </xf>
    <xf numFmtId="0" fontId="12" fillId="0" borderId="52" xfId="0" applyFont="1" applyBorder="1" applyAlignment="1">
      <alignment horizontal="center" vertical="center" wrapText="1"/>
    </xf>
    <xf numFmtId="0" fontId="116" fillId="0" borderId="2" xfId="0" applyFont="1" applyBorder="1" applyAlignment="1">
      <alignment horizontal="center" vertical="center" wrapText="1"/>
    </xf>
    <xf numFmtId="0" fontId="116" fillId="3" borderId="45" xfId="0" applyFont="1" applyFill="1" applyBorder="1" applyAlignment="1">
      <alignment horizontal="center" vertical="center" wrapText="1"/>
    </xf>
    <xf numFmtId="0" fontId="67" fillId="3" borderId="33" xfId="0" applyFont="1" applyFill="1" applyBorder="1" applyAlignment="1">
      <alignment horizontal="center" vertical="center"/>
    </xf>
    <xf numFmtId="20" fontId="105" fillId="3" borderId="25" xfId="0" applyNumberFormat="1" applyFont="1" applyFill="1" applyBorder="1" applyAlignment="1">
      <alignment horizontal="center" vertical="center" wrapText="1"/>
    </xf>
    <xf numFmtId="0" fontId="105" fillId="3" borderId="25" xfId="0" applyFont="1" applyFill="1" applyBorder="1" applyAlignment="1">
      <alignment horizontal="center" vertical="center" wrapText="1"/>
    </xf>
    <xf numFmtId="0" fontId="67" fillId="5" borderId="47" xfId="0" applyFont="1" applyFill="1" applyBorder="1" applyAlignment="1">
      <alignment horizontal="center" vertical="center" wrapText="1"/>
    </xf>
    <xf numFmtId="0" fontId="107" fillId="3" borderId="19" xfId="0" applyFont="1" applyFill="1" applyBorder="1" applyAlignment="1">
      <alignment horizontal="center" vertical="center" wrapText="1"/>
    </xf>
    <xf numFmtId="0" fontId="116" fillId="3" borderId="23" xfId="0" applyFont="1" applyFill="1" applyBorder="1" applyAlignment="1">
      <alignment horizontal="center" vertical="center" wrapText="1"/>
    </xf>
    <xf numFmtId="0" fontId="12" fillId="3" borderId="23" xfId="0" applyFont="1" applyFill="1" applyBorder="1" applyAlignment="1">
      <alignment horizontal="center" vertical="center" wrapText="1"/>
    </xf>
    <xf numFmtId="0" fontId="12" fillId="3" borderId="24" xfId="0" applyFont="1" applyFill="1" applyBorder="1" applyAlignment="1">
      <alignment horizontal="center" vertical="center" wrapText="1"/>
    </xf>
    <xf numFmtId="16" fontId="5" fillId="3" borderId="62" xfId="0" applyNumberFormat="1" applyFont="1" applyFill="1" applyBorder="1" applyAlignment="1">
      <alignment horizontal="center" vertical="center" wrapText="1"/>
    </xf>
    <xf numFmtId="0" fontId="67" fillId="3" borderId="51" xfId="0" applyFont="1" applyFill="1" applyBorder="1" applyAlignment="1">
      <alignment horizontal="center" vertical="center"/>
    </xf>
    <xf numFmtId="0" fontId="107" fillId="3" borderId="49" xfId="0" applyFont="1" applyFill="1" applyBorder="1" applyAlignment="1">
      <alignment horizontal="center" vertical="center" wrapText="1"/>
    </xf>
    <xf numFmtId="0" fontId="12" fillId="3" borderId="20" xfId="0" applyFont="1" applyFill="1" applyBorder="1" applyAlignment="1">
      <alignment horizontal="center" vertical="center" wrapText="1"/>
    </xf>
    <xf numFmtId="0" fontId="12" fillId="3" borderId="54" xfId="0" applyFont="1" applyFill="1" applyBorder="1" applyAlignment="1">
      <alignment horizontal="center" vertical="center" wrapText="1"/>
    </xf>
    <xf numFmtId="0" fontId="67" fillId="12" borderId="2" xfId="0" applyFont="1" applyFill="1" applyBorder="1" applyAlignment="1">
      <alignment horizontal="center" vertical="center"/>
    </xf>
    <xf numFmtId="0" fontId="67" fillId="38" borderId="25" xfId="0" applyFont="1" applyFill="1" applyBorder="1" applyAlignment="1">
      <alignment horizontal="center" vertical="center"/>
    </xf>
    <xf numFmtId="20" fontId="107" fillId="3" borderId="25" xfId="0" applyNumberFormat="1" applyFont="1" applyFill="1" applyBorder="1" applyAlignment="1">
      <alignment horizontal="center" vertical="center" wrapText="1"/>
    </xf>
    <xf numFmtId="0" fontId="107" fillId="3" borderId="25" xfId="0" applyFont="1" applyFill="1" applyBorder="1" applyAlignment="1">
      <alignment horizontal="center" vertical="center" wrapText="1"/>
    </xf>
    <xf numFmtId="0" fontId="109" fillId="3" borderId="33" xfId="0" applyFont="1" applyFill="1" applyBorder="1" applyAlignment="1">
      <alignment horizontal="center" vertical="center" wrapText="1"/>
    </xf>
    <xf numFmtId="0" fontId="12" fillId="3" borderId="25" xfId="0" applyFont="1" applyFill="1" applyBorder="1" applyAlignment="1">
      <alignment horizontal="center" vertical="center" wrapText="1"/>
    </xf>
    <xf numFmtId="20" fontId="107" fillId="3" borderId="19" xfId="0" applyNumberFormat="1" applyFont="1" applyFill="1" applyBorder="1" applyAlignment="1">
      <alignment horizontal="center" vertical="center" wrapText="1"/>
    </xf>
    <xf numFmtId="0" fontId="12" fillId="3" borderId="19" xfId="0" applyFont="1" applyFill="1" applyBorder="1" applyAlignment="1">
      <alignment horizontal="center" vertical="center" wrapText="1"/>
    </xf>
    <xf numFmtId="0" fontId="12" fillId="3" borderId="21" xfId="0" applyFont="1" applyFill="1" applyBorder="1" applyAlignment="1">
      <alignment horizontal="center" vertical="center" wrapText="1"/>
    </xf>
    <xf numFmtId="20" fontId="107" fillId="3" borderId="23" xfId="0" applyNumberFormat="1" applyFont="1" applyFill="1" applyBorder="1" applyAlignment="1">
      <alignment horizontal="center" vertical="center" wrapText="1"/>
    </xf>
    <xf numFmtId="16" fontId="5" fillId="3" borderId="84" xfId="0" applyNumberFormat="1" applyFont="1" applyFill="1" applyBorder="1" applyAlignment="1">
      <alignment horizontal="center" vertical="center" wrapText="1"/>
    </xf>
    <xf numFmtId="20" fontId="107" fillId="3" borderId="48" xfId="0" applyNumberFormat="1" applyFont="1" applyFill="1" applyBorder="1" applyAlignment="1">
      <alignment horizontal="center" vertical="center" wrapText="1"/>
    </xf>
    <xf numFmtId="0" fontId="107" fillId="3" borderId="48" xfId="0" applyFont="1" applyFill="1" applyBorder="1" applyAlignment="1">
      <alignment horizontal="center" vertical="center" wrapText="1"/>
    </xf>
    <xf numFmtId="0" fontId="106" fillId="5" borderId="31" xfId="0" applyFont="1" applyFill="1" applyBorder="1" applyAlignment="1">
      <alignment horizontal="center" vertical="center" wrapText="1"/>
    </xf>
    <xf numFmtId="0" fontId="105" fillId="5" borderId="76" xfId="0" applyFont="1" applyFill="1" applyBorder="1" applyAlignment="1">
      <alignment horizontal="center" vertical="center" wrapText="1"/>
    </xf>
    <xf numFmtId="0" fontId="107" fillId="5" borderId="61" xfId="0" applyFont="1" applyFill="1" applyBorder="1" applyAlignment="1">
      <alignment horizontal="center" vertical="center" wrapText="1"/>
    </xf>
    <xf numFmtId="0" fontId="105" fillId="5" borderId="0" xfId="0" applyFont="1" applyFill="1" applyAlignment="1">
      <alignment horizontal="center" vertical="center" wrapText="1"/>
    </xf>
    <xf numFmtId="0" fontId="109" fillId="5" borderId="53" xfId="0" applyFont="1" applyFill="1" applyBorder="1" applyAlignment="1">
      <alignment horizontal="center" vertical="center" wrapText="1"/>
    </xf>
    <xf numFmtId="0" fontId="106" fillId="5" borderId="53" xfId="0" applyFont="1" applyFill="1" applyBorder="1" applyAlignment="1">
      <alignment horizontal="center" vertical="center" wrapText="1"/>
    </xf>
    <xf numFmtId="0" fontId="67" fillId="12" borderId="21" xfId="0" applyFont="1" applyFill="1" applyBorder="1" applyAlignment="1">
      <alignment horizontal="center" vertical="center"/>
    </xf>
    <xf numFmtId="0" fontId="109" fillId="5" borderId="78" xfId="0" applyFont="1" applyFill="1" applyBorder="1" applyAlignment="1">
      <alignment horizontal="center" vertical="center" wrapText="1"/>
    </xf>
    <xf numFmtId="0" fontId="109" fillId="5" borderId="18" xfId="0" applyFont="1" applyFill="1" applyBorder="1" applyAlignment="1">
      <alignment horizontal="center" vertical="center" wrapText="1"/>
    </xf>
    <xf numFmtId="0" fontId="67" fillId="19" borderId="25" xfId="0" applyFont="1" applyFill="1" applyBorder="1" applyAlignment="1">
      <alignment horizontal="center" vertical="center" wrapText="1"/>
    </xf>
    <xf numFmtId="0" fontId="116" fillId="8" borderId="2" xfId="0" applyFont="1" applyFill="1" applyBorder="1" applyAlignment="1">
      <alignment horizontal="center" vertical="center"/>
    </xf>
    <xf numFmtId="0" fontId="116" fillId="8" borderId="22" xfId="0" applyFont="1" applyFill="1" applyBorder="1" applyAlignment="1">
      <alignment horizontal="center" vertical="center"/>
    </xf>
    <xf numFmtId="0" fontId="109" fillId="5" borderId="55" xfId="0" applyFont="1" applyFill="1" applyBorder="1" applyAlignment="1">
      <alignment horizontal="center" vertical="center" wrapText="1"/>
    </xf>
    <xf numFmtId="0" fontId="104" fillId="5" borderId="55" xfId="0" applyFont="1" applyFill="1" applyBorder="1" applyAlignment="1">
      <alignment horizontal="center" vertical="center" wrapText="1"/>
    </xf>
    <xf numFmtId="0" fontId="106" fillId="5" borderId="55" xfId="0" applyFont="1" applyFill="1" applyBorder="1" applyAlignment="1">
      <alignment horizontal="center" vertical="center" wrapText="1"/>
    </xf>
    <xf numFmtId="0" fontId="104" fillId="5" borderId="26" xfId="0" applyFont="1" applyFill="1" applyBorder="1" applyAlignment="1">
      <alignment horizontal="center" vertical="center" wrapText="1"/>
    </xf>
    <xf numFmtId="0" fontId="106" fillId="5" borderId="26" xfId="0" applyFont="1" applyFill="1" applyBorder="1" applyAlignment="1">
      <alignment horizontal="center" vertical="center" wrapText="1"/>
    </xf>
    <xf numFmtId="20" fontId="107" fillId="5" borderId="32" xfId="0" applyNumberFormat="1" applyFont="1" applyFill="1" applyBorder="1" applyAlignment="1">
      <alignment horizontal="center" vertical="center" wrapText="1"/>
    </xf>
    <xf numFmtId="0" fontId="107" fillId="5" borderId="34" xfId="0" applyFont="1" applyFill="1" applyBorder="1" applyAlignment="1">
      <alignment horizontal="center" vertical="center" wrapText="1"/>
    </xf>
    <xf numFmtId="0" fontId="116" fillId="0" borderId="32" xfId="0" applyFont="1" applyBorder="1" applyAlignment="1">
      <alignment horizontal="center" vertical="center" wrapText="1"/>
    </xf>
    <xf numFmtId="0" fontId="67" fillId="11" borderId="22" xfId="0" applyFont="1" applyFill="1" applyBorder="1" applyAlignment="1">
      <alignment horizontal="center" vertical="center"/>
    </xf>
    <xf numFmtId="0" fontId="116" fillId="0" borderId="55" xfId="0" applyFont="1" applyBorder="1" applyAlignment="1">
      <alignment horizontal="center" vertical="center" wrapText="1"/>
    </xf>
    <xf numFmtId="0" fontId="67" fillId="5" borderId="79" xfId="0" applyFont="1" applyFill="1" applyBorder="1" applyAlignment="1">
      <alignment horizontal="center" vertical="center" wrapText="1"/>
    </xf>
    <xf numFmtId="20" fontId="107" fillId="5" borderId="30" xfId="0" applyNumberFormat="1" applyFont="1" applyFill="1" applyBorder="1" applyAlignment="1">
      <alignment horizontal="center" vertical="center" wrapText="1"/>
    </xf>
    <xf numFmtId="16" fontId="5" fillId="3" borderId="50" xfId="0" applyNumberFormat="1" applyFont="1" applyFill="1" applyBorder="1" applyAlignment="1">
      <alignment horizontal="center" vertical="center" wrapText="1"/>
    </xf>
    <xf numFmtId="16" fontId="5" fillId="3" borderId="51" xfId="0" applyNumberFormat="1" applyFont="1" applyFill="1" applyBorder="1" applyAlignment="1">
      <alignment horizontal="center" vertical="center" wrapText="1"/>
    </xf>
    <xf numFmtId="0" fontId="67" fillId="15" borderId="2" xfId="0" applyFont="1" applyFill="1" applyBorder="1" applyAlignment="1">
      <alignment horizontal="center" vertical="center"/>
    </xf>
    <xf numFmtId="0" fontId="67" fillId="15" borderId="22" xfId="0" applyFont="1" applyFill="1" applyBorder="1" applyAlignment="1">
      <alignment horizontal="center" vertical="center"/>
    </xf>
    <xf numFmtId="0" fontId="48" fillId="0" borderId="19" xfId="0" applyFont="1" applyBorder="1" applyAlignment="1">
      <alignment horizontal="center" vertical="center"/>
    </xf>
    <xf numFmtId="0" fontId="48" fillId="0" borderId="2" xfId="0" applyFont="1" applyBorder="1" applyAlignment="1">
      <alignment horizontal="center" vertical="center"/>
    </xf>
    <xf numFmtId="0" fontId="34" fillId="0" borderId="22" xfId="0" applyFont="1" applyBorder="1"/>
    <xf numFmtId="0" fontId="18" fillId="25" borderId="2" xfId="0" applyFont="1" applyFill="1" applyBorder="1" applyAlignment="1">
      <alignment horizontal="center" vertical="center"/>
    </xf>
    <xf numFmtId="0" fontId="34" fillId="0" borderId="22" xfId="0" applyFont="1" applyBorder="1" applyAlignment="1">
      <alignment horizontal="center" vertical="center" wrapText="1"/>
    </xf>
    <xf numFmtId="0" fontId="34" fillId="0" borderId="22" xfId="0" applyFont="1" applyBorder="1" applyAlignment="1">
      <alignment horizontal="center" vertical="center"/>
    </xf>
    <xf numFmtId="0" fontId="120" fillId="28" borderId="2" xfId="0" applyFont="1" applyFill="1" applyBorder="1" applyAlignment="1">
      <alignment horizontal="center" vertical="center"/>
    </xf>
    <xf numFmtId="0" fontId="34" fillId="0" borderId="22" xfId="0" applyFont="1" applyBorder="1" applyAlignment="1">
      <alignment vertical="center"/>
    </xf>
    <xf numFmtId="0" fontId="121" fillId="0" borderId="2" xfId="0" applyFont="1" applyBorder="1" applyAlignment="1">
      <alignment horizontal="center" vertical="center"/>
    </xf>
    <xf numFmtId="0" fontId="116" fillId="0" borderId="2" xfId="0" applyFont="1" applyBorder="1" applyAlignment="1">
      <alignment vertical="center" wrapText="1"/>
    </xf>
    <xf numFmtId="0" fontId="105" fillId="0" borderId="2" xfId="0" applyFont="1" applyBorder="1" applyAlignment="1">
      <alignment horizontal="center" vertical="center" wrapText="1"/>
    </xf>
    <xf numFmtId="0" fontId="67" fillId="0" borderId="23" xfId="0" applyFont="1" applyBorder="1" applyAlignment="1">
      <alignment horizontal="center" vertical="center"/>
    </xf>
    <xf numFmtId="0" fontId="48" fillId="0" borderId="23" xfId="0" applyFont="1" applyBorder="1" applyAlignment="1">
      <alignment horizontal="center" vertical="center"/>
    </xf>
    <xf numFmtId="0" fontId="34" fillId="0" borderId="24" xfId="0" applyFont="1" applyBorder="1" applyAlignment="1">
      <alignment vertical="center"/>
    </xf>
    <xf numFmtId="0" fontId="122" fillId="3" borderId="20" xfId="0" applyFont="1" applyFill="1" applyBorder="1" applyAlignment="1">
      <alignment horizontal="center" vertical="center"/>
    </xf>
    <xf numFmtId="0" fontId="116" fillId="0" borderId="64" xfId="0" applyFont="1" applyBorder="1" applyAlignment="1">
      <alignment horizontal="center" vertical="center" wrapText="1"/>
    </xf>
    <xf numFmtId="0" fontId="116" fillId="0" borderId="76" xfId="0" applyFont="1" applyBorder="1" applyAlignment="1">
      <alignment horizontal="center" vertical="center" wrapText="1"/>
    </xf>
    <xf numFmtId="0" fontId="116" fillId="0" borderId="53" xfId="0" applyFont="1" applyBorder="1" applyAlignment="1">
      <alignment horizontal="center" vertical="center" wrapText="1"/>
    </xf>
    <xf numFmtId="0" fontId="34" fillId="0" borderId="54" xfId="0" applyFont="1" applyBorder="1" applyAlignment="1">
      <alignment horizontal="center" vertical="center"/>
    </xf>
    <xf numFmtId="0" fontId="67" fillId="4" borderId="20" xfId="0" applyFont="1" applyFill="1" applyBorder="1" applyAlignment="1">
      <alignment horizontal="center" vertical="center"/>
    </xf>
    <xf numFmtId="0" fontId="49" fillId="0" borderId="20" xfId="0" applyFont="1" applyBorder="1" applyAlignment="1">
      <alignment horizontal="center" vertical="center"/>
    </xf>
    <xf numFmtId="0" fontId="67" fillId="19" borderId="20" xfId="0" applyFont="1" applyFill="1" applyBorder="1" applyAlignment="1">
      <alignment horizontal="center" vertical="center"/>
    </xf>
    <xf numFmtId="20" fontId="122" fillId="3" borderId="20" xfId="0" applyNumberFormat="1" applyFont="1" applyFill="1" applyBorder="1" applyAlignment="1">
      <alignment horizontal="center" vertical="center"/>
    </xf>
    <xf numFmtId="0" fontId="34" fillId="0" borderId="54" xfId="0" applyFont="1" applyBorder="1" applyAlignment="1">
      <alignment vertical="center"/>
    </xf>
    <xf numFmtId="0" fontId="30" fillId="4" borderId="20" xfId="0" applyFont="1" applyFill="1" applyBorder="1" applyAlignment="1">
      <alignment horizontal="center" wrapText="1"/>
    </xf>
    <xf numFmtId="0" fontId="116" fillId="0" borderId="20" xfId="0" applyFont="1" applyBorder="1" applyAlignment="1">
      <alignment vertical="center" wrapText="1"/>
    </xf>
    <xf numFmtId="20" fontId="30" fillId="3" borderId="20" xfId="0" applyNumberFormat="1" applyFont="1" applyFill="1" applyBorder="1" applyAlignment="1">
      <alignment horizontal="center"/>
    </xf>
    <xf numFmtId="0" fontId="30" fillId="3" borderId="20" xfId="0" applyFont="1" applyFill="1" applyBorder="1" applyAlignment="1">
      <alignment horizontal="center"/>
    </xf>
    <xf numFmtId="0" fontId="120" fillId="2" borderId="2" xfId="0" applyFont="1" applyFill="1" applyBorder="1" applyAlignment="1">
      <alignment horizontal="center"/>
    </xf>
    <xf numFmtId="20" fontId="22" fillId="3" borderId="2" xfId="0" applyNumberFormat="1" applyFont="1" applyFill="1" applyBorder="1" applyAlignment="1">
      <alignment horizontal="center"/>
    </xf>
    <xf numFmtId="0" fontId="22" fillId="3" borderId="2" xfId="0" applyFont="1" applyFill="1" applyBorder="1" applyAlignment="1">
      <alignment horizontal="center"/>
    </xf>
    <xf numFmtId="0" fontId="123" fillId="0" borderId="2" xfId="0" applyFont="1" applyBorder="1" applyAlignment="1">
      <alignment horizontal="center"/>
    </xf>
    <xf numFmtId="0" fontId="121" fillId="0" borderId="19" xfId="0" applyFont="1" applyBorder="1" applyAlignment="1">
      <alignment horizontal="center" vertical="center"/>
    </xf>
    <xf numFmtId="0" fontId="34" fillId="0" borderId="21" xfId="0" applyFont="1" applyBorder="1" applyAlignment="1">
      <alignment vertical="center"/>
    </xf>
    <xf numFmtId="0" fontId="30" fillId="0" borderId="2" xfId="0" applyFont="1" applyBorder="1" applyAlignment="1">
      <alignment horizontal="center" vertical="center"/>
    </xf>
    <xf numFmtId="0" fontId="10" fillId="0" borderId="20" xfId="0" applyFont="1" applyBorder="1" applyAlignment="1">
      <alignment horizontal="center" vertical="center"/>
    </xf>
    <xf numFmtId="0" fontId="8" fillId="0" borderId="2" xfId="0" applyFont="1" applyBorder="1" applyAlignment="1">
      <alignment horizontal="center" vertical="center"/>
    </xf>
    <xf numFmtId="0" fontId="8" fillId="15" borderId="2" xfId="0" applyFont="1" applyFill="1" applyBorder="1" applyAlignment="1">
      <alignment horizontal="center" vertical="center"/>
    </xf>
    <xf numFmtId="0" fontId="40" fillId="0" borderId="2" xfId="0" applyFont="1" applyBorder="1" applyAlignment="1">
      <alignment horizontal="center" vertical="center"/>
    </xf>
    <xf numFmtId="0" fontId="44" fillId="15" borderId="2" xfId="0" applyFont="1" applyFill="1" applyBorder="1" applyAlignment="1">
      <alignment horizontal="center"/>
    </xf>
    <xf numFmtId="0" fontId="116" fillId="0" borderId="30" xfId="0" applyFont="1" applyBorder="1" applyAlignment="1">
      <alignment horizontal="center" vertical="center" wrapText="1"/>
    </xf>
    <xf numFmtId="0" fontId="116" fillId="0" borderId="61" xfId="0" applyFont="1" applyBorder="1" applyAlignment="1">
      <alignment horizontal="center" vertical="center" wrapText="1"/>
    </xf>
    <xf numFmtId="0" fontId="116" fillId="37" borderId="2" xfId="0" applyFont="1" applyFill="1" applyBorder="1" applyAlignment="1">
      <alignment horizontal="center" vertical="center"/>
    </xf>
    <xf numFmtId="0" fontId="120" fillId="2" borderId="2" xfId="0" applyFont="1" applyFill="1" applyBorder="1" applyAlignment="1">
      <alignment horizontal="center" vertical="center"/>
    </xf>
    <xf numFmtId="0" fontId="117" fillId="0" borderId="2" xfId="0" applyFont="1" applyBorder="1" applyAlignment="1">
      <alignment horizontal="center" vertical="center"/>
    </xf>
    <xf numFmtId="0" fontId="116" fillId="11" borderId="2" xfId="0" applyFont="1" applyFill="1" applyBorder="1" applyAlignment="1">
      <alignment horizontal="center" vertical="center"/>
    </xf>
    <xf numFmtId="0" fontId="60" fillId="37" borderId="2" xfId="0" applyFont="1" applyFill="1" applyBorder="1" applyAlignment="1">
      <alignment horizontal="center" vertical="center"/>
    </xf>
    <xf numFmtId="0" fontId="34" fillId="0" borderId="22" xfId="0" applyFont="1" applyBorder="1" applyAlignment="1">
      <alignment vertical="center" wrapText="1"/>
    </xf>
    <xf numFmtId="0" fontId="117" fillId="50" borderId="2" xfId="0" applyFont="1" applyFill="1" applyBorder="1" applyAlignment="1">
      <alignment horizontal="center" vertical="center"/>
    </xf>
    <xf numFmtId="0" fontId="117" fillId="0" borderId="23" xfId="0" applyFont="1" applyBorder="1" applyAlignment="1">
      <alignment horizontal="center" vertical="center"/>
    </xf>
    <xf numFmtId="0" fontId="49" fillId="0" borderId="23" xfId="0" applyFont="1" applyBorder="1" applyAlignment="1">
      <alignment horizontal="center" vertical="center"/>
    </xf>
    <xf numFmtId="0" fontId="116" fillId="0" borderId="31" xfId="0" applyFont="1" applyBorder="1" applyAlignment="1">
      <alignment horizontal="center" vertical="center" wrapText="1"/>
    </xf>
    <xf numFmtId="0" fontId="116" fillId="0" borderId="74" xfId="0" applyFont="1" applyBorder="1" applyAlignment="1">
      <alignment horizontal="center" vertical="center" wrapText="1"/>
    </xf>
    <xf numFmtId="0" fontId="116" fillId="0" borderId="37" xfId="0" applyFont="1" applyBorder="1" applyAlignment="1">
      <alignment horizontal="center" vertical="center" wrapText="1"/>
    </xf>
    <xf numFmtId="0" fontId="8" fillId="15" borderId="20" xfId="0" applyFont="1" applyFill="1" applyBorder="1" applyAlignment="1">
      <alignment horizontal="center" vertical="center"/>
    </xf>
    <xf numFmtId="0" fontId="30" fillId="0" borderId="20" xfId="0" applyFont="1" applyBorder="1" applyAlignment="1">
      <alignment horizontal="center" vertical="center"/>
    </xf>
    <xf numFmtId="0" fontId="8" fillId="50" borderId="2" xfId="0" applyFont="1" applyFill="1" applyBorder="1" applyAlignment="1">
      <alignment horizontal="center" vertical="center"/>
    </xf>
    <xf numFmtId="16" fontId="60" fillId="28" borderId="2" xfId="0" applyNumberFormat="1" applyFont="1" applyFill="1" applyBorder="1" applyAlignment="1">
      <alignment horizontal="center"/>
    </xf>
    <xf numFmtId="0" fontId="121" fillId="0" borderId="2" xfId="0" applyFont="1" applyBorder="1" applyAlignment="1">
      <alignment horizontal="center" vertical="center" wrapText="1"/>
    </xf>
    <xf numFmtId="0" fontId="117" fillId="51" borderId="2" xfId="0" applyFont="1" applyFill="1" applyBorder="1" applyAlignment="1">
      <alignment horizontal="center" vertical="center"/>
    </xf>
    <xf numFmtId="0" fontId="8" fillId="0" borderId="20" xfId="0" applyFont="1" applyBorder="1" applyAlignment="1">
      <alignment horizontal="center" vertical="center"/>
    </xf>
    <xf numFmtId="0" fontId="121" fillId="0" borderId="20" xfId="0" applyFont="1" applyBorder="1" applyAlignment="1">
      <alignment horizontal="center" vertical="center"/>
    </xf>
    <xf numFmtId="0" fontId="8" fillId="0" borderId="25" xfId="0" applyFont="1" applyBorder="1" applyAlignment="1">
      <alignment horizontal="center" vertical="center"/>
    </xf>
    <xf numFmtId="0" fontId="121" fillId="0" borderId="25" xfId="0" applyFont="1" applyBorder="1" applyAlignment="1">
      <alignment horizontal="center" vertical="center"/>
    </xf>
    <xf numFmtId="0" fontId="121" fillId="0" borderId="51" xfId="0" applyFont="1" applyBorder="1" applyAlignment="1">
      <alignment horizontal="center" vertical="center"/>
    </xf>
    <xf numFmtId="0" fontId="122" fillId="0" borderId="23" xfId="0" applyFont="1" applyBorder="1" applyAlignment="1">
      <alignment horizontal="center" vertical="center"/>
    </xf>
    <xf numFmtId="0" fontId="46" fillId="0" borderId="23" xfId="0" applyFont="1" applyBorder="1" applyAlignment="1">
      <alignment horizontal="center" vertical="center"/>
    </xf>
    <xf numFmtId="0" fontId="35" fillId="0" borderId="23" xfId="0" applyFont="1" applyBorder="1" applyAlignment="1">
      <alignment horizontal="center" vertical="center"/>
    </xf>
    <xf numFmtId="0" fontId="36" fillId="0" borderId="24" xfId="0" applyFont="1" applyBorder="1" applyAlignment="1">
      <alignment horizontal="center" vertical="center"/>
    </xf>
    <xf numFmtId="16" fontId="5" fillId="3" borderId="44" xfId="0" applyNumberFormat="1" applyFont="1" applyFill="1" applyBorder="1" applyAlignment="1">
      <alignment horizontal="center" vertical="center" wrapText="1"/>
    </xf>
    <xf numFmtId="16" fontId="5" fillId="3" borderId="45" xfId="0" applyNumberFormat="1" applyFont="1" applyFill="1" applyBorder="1" applyAlignment="1">
      <alignment horizontal="center" vertical="center" wrapText="1"/>
    </xf>
    <xf numFmtId="0" fontId="8" fillId="0" borderId="45" xfId="0" applyFont="1" applyBorder="1" applyAlignment="1">
      <alignment horizontal="center" vertical="center"/>
    </xf>
    <xf numFmtId="20" fontId="49" fillId="3" borderId="2" xfId="0" applyNumberFormat="1" applyFont="1" applyFill="1" applyBorder="1" applyAlignment="1">
      <alignment horizontal="center" vertical="center" wrapText="1"/>
    </xf>
    <xf numFmtId="0" fontId="49" fillId="3" borderId="2" xfId="0" applyFont="1" applyFill="1" applyBorder="1" applyAlignment="1">
      <alignment horizontal="center" vertical="center" wrapText="1"/>
    </xf>
    <xf numFmtId="0" fontId="48" fillId="3" borderId="2" xfId="0" applyFont="1" applyFill="1" applyBorder="1" applyAlignment="1">
      <alignment horizontal="center" vertical="center" wrapText="1"/>
    </xf>
    <xf numFmtId="0" fontId="8" fillId="33" borderId="2" xfId="0" applyFont="1" applyFill="1" applyBorder="1" applyAlignment="1">
      <alignment horizontal="center" vertical="center"/>
    </xf>
    <xf numFmtId="0" fontId="121" fillId="3" borderId="2" xfId="0" applyFont="1" applyFill="1" applyBorder="1" applyAlignment="1">
      <alignment horizontal="center" vertical="center" wrapText="1"/>
    </xf>
    <xf numFmtId="0" fontId="123" fillId="43" borderId="20" xfId="0" applyFont="1" applyFill="1" applyBorder="1" applyAlignment="1">
      <alignment horizontal="center" vertical="center"/>
    </xf>
    <xf numFmtId="0" fontId="49" fillId="3" borderId="2" xfId="0" applyFont="1" applyFill="1" applyBorder="1" applyAlignment="1">
      <alignment horizontal="center" vertical="center"/>
    </xf>
    <xf numFmtId="20" fontId="49" fillId="3" borderId="2" xfId="0" applyNumberFormat="1" applyFont="1" applyFill="1" applyBorder="1" applyAlignment="1">
      <alignment horizontal="center" vertical="center"/>
    </xf>
    <xf numFmtId="0" fontId="117" fillId="51" borderId="20" xfId="0" applyFont="1" applyFill="1" applyBorder="1" applyAlignment="1">
      <alignment horizontal="center" vertical="center"/>
    </xf>
    <xf numFmtId="0" fontId="8" fillId="0" borderId="23" xfId="0" applyFont="1" applyBorder="1" applyAlignment="1">
      <alignment horizontal="center" vertical="center"/>
    </xf>
    <xf numFmtId="16" fontId="5" fillId="3" borderId="69" xfId="0" applyNumberFormat="1" applyFont="1" applyFill="1" applyBorder="1" applyAlignment="1">
      <alignment horizontal="center" vertical="center" wrapText="1"/>
    </xf>
    <xf numFmtId="16" fontId="5" fillId="3" borderId="48" xfId="0" applyNumberFormat="1" applyFont="1" applyFill="1" applyBorder="1" applyAlignment="1">
      <alignment horizontal="center" vertical="center" wrapText="1"/>
    </xf>
    <xf numFmtId="0" fontId="47" fillId="0" borderId="48" xfId="0" applyFont="1" applyBorder="1" applyAlignment="1">
      <alignment horizontal="center" vertical="center"/>
    </xf>
    <xf numFmtId="0" fontId="8" fillId="0" borderId="48" xfId="0" applyFont="1" applyBorder="1" applyAlignment="1">
      <alignment horizontal="center" vertical="center"/>
    </xf>
    <xf numFmtId="0" fontId="0" fillId="0" borderId="68" xfId="0" applyBorder="1"/>
    <xf numFmtId="0" fontId="10" fillId="0" borderId="51" xfId="0" applyFont="1" applyBorder="1" applyAlignment="1">
      <alignment horizontal="center" vertical="center"/>
    </xf>
    <xf numFmtId="0" fontId="0" fillId="0" borderId="54" xfId="0" applyBorder="1" applyAlignment="1">
      <alignment vertical="center"/>
    </xf>
    <xf numFmtId="0" fontId="48" fillId="3" borderId="36" xfId="0" applyFont="1" applyFill="1" applyBorder="1" applyAlignment="1">
      <alignment horizontal="center" vertical="center"/>
    </xf>
    <xf numFmtId="0" fontId="48" fillId="3" borderId="19" xfId="0" applyFont="1" applyFill="1" applyBorder="1" applyAlignment="1">
      <alignment horizontal="center" vertical="center"/>
    </xf>
    <xf numFmtId="0" fontId="0" fillId="3" borderId="19" xfId="0" applyFill="1" applyBorder="1"/>
    <xf numFmtId="0" fontId="52" fillId="3" borderId="32" xfId="0" applyFont="1" applyFill="1" applyBorder="1" applyAlignment="1">
      <alignment horizontal="center" vertical="center"/>
    </xf>
    <xf numFmtId="0" fontId="0" fillId="3" borderId="2" xfId="0" applyFill="1" applyBorder="1"/>
    <xf numFmtId="0" fontId="67" fillId="27" borderId="2" xfId="0" applyFont="1" applyFill="1" applyBorder="1" applyAlignment="1">
      <alignment horizontal="center" vertical="center"/>
    </xf>
    <xf numFmtId="0" fontId="48" fillId="3" borderId="32" xfId="0" applyFont="1" applyFill="1" applyBorder="1" applyAlignment="1">
      <alignment horizontal="center" vertical="center"/>
    </xf>
    <xf numFmtId="0" fontId="48" fillId="3" borderId="2" xfId="0" applyFont="1" applyFill="1" applyBorder="1" applyAlignment="1">
      <alignment horizontal="center" vertical="center"/>
    </xf>
    <xf numFmtId="0" fontId="67" fillId="30" borderId="2" xfId="0" applyFont="1" applyFill="1" applyBorder="1" applyAlignment="1">
      <alignment horizontal="center" vertical="center"/>
    </xf>
    <xf numFmtId="20" fontId="52" fillId="3" borderId="32" xfId="0" applyNumberFormat="1" applyFont="1" applyFill="1" applyBorder="1" applyAlignment="1">
      <alignment horizontal="center" vertical="center"/>
    </xf>
    <xf numFmtId="0" fontId="10" fillId="3" borderId="2" xfId="0" applyFont="1" applyFill="1" applyBorder="1" applyAlignment="1">
      <alignment horizontal="center" vertical="center"/>
    </xf>
    <xf numFmtId="0" fontId="122" fillId="3" borderId="37" xfId="0" applyFont="1" applyFill="1" applyBorder="1" applyAlignment="1">
      <alignment horizontal="center" vertical="center"/>
    </xf>
    <xf numFmtId="0" fontId="0" fillId="3" borderId="23" xfId="0" applyFill="1" applyBorder="1"/>
    <xf numFmtId="0" fontId="46" fillId="3" borderId="23" xfId="0" applyFont="1" applyFill="1" applyBorder="1" applyAlignment="1">
      <alignment horizontal="center" vertical="center"/>
    </xf>
    <xf numFmtId="0" fontId="36" fillId="0" borderId="19" xfId="0" applyFont="1" applyBorder="1" applyAlignment="1">
      <alignment horizontal="center" vertical="center"/>
    </xf>
    <xf numFmtId="0" fontId="36" fillId="0" borderId="21" xfId="0" applyFont="1" applyBorder="1" applyAlignment="1">
      <alignment horizontal="center" vertical="center"/>
    </xf>
    <xf numFmtId="0" fontId="67" fillId="3" borderId="54" xfId="0" applyFont="1" applyFill="1" applyBorder="1" applyAlignment="1">
      <alignment horizontal="center" vertical="center"/>
    </xf>
    <xf numFmtId="0" fontId="116" fillId="3" borderId="20" xfId="0" applyFont="1" applyFill="1" applyBorder="1" applyAlignment="1">
      <alignment vertical="center" wrapText="1"/>
    </xf>
    <xf numFmtId="0" fontId="36" fillId="0" borderId="54" xfId="0" applyFont="1" applyBorder="1" applyAlignment="1">
      <alignment horizontal="center" vertical="center"/>
    </xf>
    <xf numFmtId="0" fontId="49" fillId="3" borderId="32" xfId="0" applyFont="1" applyFill="1" applyBorder="1" applyAlignment="1">
      <alignment horizontal="center" vertical="center"/>
    </xf>
    <xf numFmtId="0" fontId="122" fillId="3" borderId="32" xfId="0" applyFont="1" applyFill="1" applyBorder="1" applyAlignment="1">
      <alignment horizontal="center" vertical="center"/>
    </xf>
    <xf numFmtId="0" fontId="122" fillId="3" borderId="2" xfId="0" applyFont="1" applyFill="1" applyBorder="1" applyAlignment="1">
      <alignment horizontal="center" vertical="center"/>
    </xf>
    <xf numFmtId="0" fontId="116" fillId="3" borderId="2" xfId="0" applyFont="1" applyFill="1" applyBorder="1" applyAlignment="1">
      <alignment vertical="center" wrapText="1"/>
    </xf>
    <xf numFmtId="0" fontId="36" fillId="0" borderId="22" xfId="0" applyFont="1" applyBorder="1" applyAlignment="1">
      <alignment horizontal="center" vertical="center"/>
    </xf>
    <xf numFmtId="20" fontId="122" fillId="3" borderId="32" xfId="0" applyNumberFormat="1" applyFont="1" applyFill="1" applyBorder="1" applyAlignment="1">
      <alignment horizontal="center" vertical="center"/>
    </xf>
    <xf numFmtId="0" fontId="49" fillId="3" borderId="37" xfId="0" applyFont="1" applyFill="1" applyBorder="1" applyAlignment="1">
      <alignment horizontal="center" vertical="center"/>
    </xf>
    <xf numFmtId="0" fontId="49" fillId="3" borderId="23" xfId="0" applyFont="1" applyFill="1" applyBorder="1" applyAlignment="1">
      <alignment horizontal="center" vertical="center"/>
    </xf>
    <xf numFmtId="0" fontId="116" fillId="3" borderId="23" xfId="0" applyFont="1" applyFill="1" applyBorder="1" applyAlignment="1">
      <alignment vertical="center" wrapText="1"/>
    </xf>
    <xf numFmtId="0" fontId="49" fillId="3" borderId="36" xfId="0" applyFont="1" applyFill="1" applyBorder="1" applyAlignment="1">
      <alignment horizontal="center" vertical="center"/>
    </xf>
    <xf numFmtId="0" fontId="49" fillId="3" borderId="19" xfId="0" applyFont="1" applyFill="1" applyBorder="1" applyAlignment="1">
      <alignment horizontal="center" vertical="center"/>
    </xf>
    <xf numFmtId="0" fontId="49" fillId="0" borderId="32" xfId="0" applyFont="1" applyBorder="1" applyAlignment="1">
      <alignment horizontal="center" vertical="center"/>
    </xf>
    <xf numFmtId="0" fontId="48" fillId="4" borderId="32" xfId="0" applyFont="1" applyFill="1" applyBorder="1" applyAlignment="1">
      <alignment horizontal="center" vertical="center"/>
    </xf>
    <xf numFmtId="0" fontId="67" fillId="25" borderId="22" xfId="0" applyFont="1" applyFill="1" applyBorder="1" applyAlignment="1">
      <alignment horizontal="center" vertical="center"/>
    </xf>
    <xf numFmtId="0" fontId="49" fillId="3" borderId="34" xfId="0" applyFont="1" applyFill="1" applyBorder="1" applyAlignment="1">
      <alignment horizontal="center" vertical="center"/>
    </xf>
    <xf numFmtId="0" fontId="0" fillId="3" borderId="25" xfId="0" applyFill="1" applyBorder="1"/>
    <xf numFmtId="0" fontId="67" fillId="36" borderId="2" xfId="0" applyFont="1" applyFill="1" applyBorder="1" applyAlignment="1">
      <alignment horizontal="center" vertical="center"/>
    </xf>
    <xf numFmtId="20" fontId="122" fillId="3" borderId="2" xfId="0" applyNumberFormat="1" applyFont="1" applyFill="1" applyBorder="1" applyAlignment="1">
      <alignment horizontal="center" vertical="center"/>
    </xf>
    <xf numFmtId="0" fontId="67" fillId="15" borderId="23" xfId="0" applyFont="1" applyFill="1" applyBorder="1" applyAlignment="1">
      <alignment horizontal="center" vertical="center"/>
    </xf>
    <xf numFmtId="0" fontId="122" fillId="3" borderId="23" xfId="0" applyFont="1" applyFill="1" applyBorder="1" applyAlignment="1">
      <alignment horizontal="center" vertical="center"/>
    </xf>
    <xf numFmtId="0" fontId="49" fillId="3" borderId="53" xfId="0" applyFont="1" applyFill="1" applyBorder="1" applyAlignment="1">
      <alignment horizontal="center" vertical="center"/>
    </xf>
    <xf numFmtId="0" fontId="122" fillId="3" borderId="53" xfId="0" applyFont="1" applyFill="1" applyBorder="1" applyAlignment="1">
      <alignment horizontal="center" vertical="center"/>
    </xf>
    <xf numFmtId="0" fontId="116" fillId="3" borderId="64" xfId="0" applyFont="1" applyFill="1" applyBorder="1" applyAlignment="1">
      <alignment vertical="center" wrapText="1"/>
    </xf>
    <xf numFmtId="0" fontId="116" fillId="3" borderId="76" xfId="0" applyFont="1" applyFill="1" applyBorder="1" applyAlignment="1">
      <alignment vertical="center" wrapText="1"/>
    </xf>
    <xf numFmtId="0" fontId="116" fillId="3" borderId="53" xfId="0" applyFont="1" applyFill="1" applyBorder="1" applyAlignment="1">
      <alignment vertical="center" wrapText="1"/>
    </xf>
    <xf numFmtId="0" fontId="122" fillId="4" borderId="2" xfId="0" applyFont="1" applyFill="1" applyBorder="1" applyAlignment="1">
      <alignment horizontal="center" vertical="center"/>
    </xf>
    <xf numFmtId="0" fontId="48" fillId="3" borderId="53" xfId="0" applyFont="1" applyFill="1" applyBorder="1" applyAlignment="1">
      <alignment horizontal="center" vertical="center"/>
    </xf>
    <xf numFmtId="0" fontId="49" fillId="3" borderId="35" xfId="0" applyFont="1" applyFill="1" applyBorder="1" applyAlignment="1">
      <alignment horizontal="center" vertical="center"/>
    </xf>
    <xf numFmtId="0" fontId="49" fillId="0" borderId="30" xfId="0" applyFont="1" applyBorder="1" applyAlignment="1">
      <alignment horizontal="center" vertical="center"/>
    </xf>
    <xf numFmtId="0" fontId="122" fillId="3" borderId="64" xfId="0" applyFont="1" applyFill="1" applyBorder="1" applyAlignment="1">
      <alignment horizontal="center" vertical="center"/>
    </xf>
    <xf numFmtId="0" fontId="122" fillId="3" borderId="30" xfId="0" applyFont="1" applyFill="1" applyBorder="1" applyAlignment="1">
      <alignment horizontal="center" vertical="center"/>
    </xf>
    <xf numFmtId="0" fontId="48" fillId="4" borderId="30" xfId="0" applyFont="1" applyFill="1" applyBorder="1" applyAlignment="1">
      <alignment horizontal="center" vertical="center"/>
    </xf>
    <xf numFmtId="0" fontId="122" fillId="3" borderId="33" xfId="0" applyFont="1" applyFill="1" applyBorder="1" applyAlignment="1">
      <alignment horizontal="center" vertical="center"/>
    </xf>
    <xf numFmtId="0" fontId="0" fillId="3" borderId="32" xfId="0" applyFill="1" applyBorder="1"/>
    <xf numFmtId="0" fontId="10" fillId="3" borderId="32" xfId="0" applyFont="1" applyFill="1" applyBorder="1" applyAlignment="1">
      <alignment horizontal="center" vertical="center"/>
    </xf>
    <xf numFmtId="0" fontId="0" fillId="3" borderId="34" xfId="0" applyFill="1" applyBorder="1"/>
    <xf numFmtId="0" fontId="116" fillId="3" borderId="25" xfId="0" applyFont="1" applyFill="1" applyBorder="1" applyAlignment="1">
      <alignment vertical="center" wrapText="1"/>
    </xf>
    <xf numFmtId="0" fontId="116" fillId="3" borderId="56" xfId="0" applyFont="1" applyFill="1" applyBorder="1" applyAlignment="1">
      <alignment vertical="center" wrapText="1"/>
    </xf>
    <xf numFmtId="0" fontId="116" fillId="3" borderId="55" xfId="0" applyFont="1" applyFill="1" applyBorder="1" applyAlignment="1">
      <alignment vertical="center" wrapText="1"/>
    </xf>
    <xf numFmtId="0" fontId="0" fillId="3" borderId="55" xfId="0" applyFill="1" applyBorder="1"/>
    <xf numFmtId="0" fontId="10" fillId="3" borderId="55" xfId="0" applyFont="1" applyFill="1" applyBorder="1" applyAlignment="1">
      <alignment horizontal="center" vertical="center"/>
    </xf>
    <xf numFmtId="0" fontId="0" fillId="3" borderId="79" xfId="0" applyFill="1" applyBorder="1"/>
    <xf numFmtId="0" fontId="48" fillId="3" borderId="76" xfId="0" applyFont="1" applyFill="1" applyBorder="1" applyAlignment="1">
      <alignment horizontal="center" vertical="center"/>
    </xf>
    <xf numFmtId="16" fontId="5" fillId="3" borderId="63" xfId="0" applyNumberFormat="1" applyFont="1" applyFill="1" applyBorder="1" applyAlignment="1">
      <alignment horizontal="center" vertical="center" wrapText="1"/>
    </xf>
    <xf numFmtId="16" fontId="5" fillId="3" borderId="28" xfId="0" applyNumberFormat="1" applyFont="1" applyFill="1" applyBorder="1" applyAlignment="1">
      <alignment horizontal="center" vertical="center" wrapText="1"/>
    </xf>
    <xf numFmtId="0" fontId="10" fillId="0" borderId="28" xfId="0" applyFont="1" applyBorder="1" applyAlignment="1">
      <alignment horizontal="center" vertical="center"/>
    </xf>
    <xf numFmtId="0" fontId="0" fillId="0" borderId="29" xfId="0" applyBorder="1"/>
    <xf numFmtId="0" fontId="0" fillId="0" borderId="2" xfId="0" applyBorder="1" applyAlignment="1">
      <alignment vertical="top" wrapText="1"/>
    </xf>
    <xf numFmtId="0" fontId="116" fillId="8" borderId="61" xfId="0" applyFont="1" applyFill="1" applyBorder="1" applyAlignment="1">
      <alignment horizontal="center" vertical="center" wrapText="1"/>
    </xf>
    <xf numFmtId="0" fontId="116" fillId="8" borderId="32" xfId="0" applyFont="1" applyFill="1" applyBorder="1" applyAlignment="1">
      <alignment horizontal="center" vertical="center" wrapText="1"/>
    </xf>
    <xf numFmtId="0" fontId="116" fillId="8" borderId="76" xfId="0" applyFont="1" applyFill="1" applyBorder="1" applyAlignment="1">
      <alignment horizontal="center" vertical="center" wrapText="1"/>
    </xf>
    <xf numFmtId="0" fontId="116" fillId="8" borderId="53" xfId="0" applyFont="1" applyFill="1" applyBorder="1" applyAlignment="1">
      <alignment horizontal="center" vertical="center" wrapText="1"/>
    </xf>
    <xf numFmtId="0" fontId="122" fillId="3" borderId="36" xfId="0" applyFont="1" applyFill="1" applyBorder="1" applyAlignment="1">
      <alignment horizontal="center" vertical="center"/>
    </xf>
    <xf numFmtId="0" fontId="122" fillId="3" borderId="19" xfId="0" applyFont="1" applyFill="1" applyBorder="1" applyAlignment="1">
      <alignment horizontal="center" vertical="center"/>
    </xf>
    <xf numFmtId="0" fontId="0" fillId="3" borderId="20" xfId="0" applyFill="1" applyBorder="1"/>
    <xf numFmtId="0" fontId="48" fillId="3" borderId="37" xfId="0" applyFont="1" applyFill="1" applyBorder="1" applyAlignment="1">
      <alignment horizontal="center" vertical="center"/>
    </xf>
    <xf numFmtId="0" fontId="124" fillId="3" borderId="18" xfId="0" applyFont="1" applyFill="1" applyBorder="1" applyAlignment="1">
      <alignment horizontal="center" vertical="center"/>
    </xf>
    <xf numFmtId="0" fontId="124" fillId="3" borderId="19" xfId="0" applyFont="1" applyFill="1" applyBorder="1" applyAlignment="1">
      <alignment horizontal="center" vertical="center"/>
    </xf>
    <xf numFmtId="0" fontId="124" fillId="3" borderId="53" xfId="0" applyFont="1" applyFill="1" applyBorder="1" applyAlignment="1">
      <alignment horizontal="center" vertical="center"/>
    </xf>
    <xf numFmtId="0" fontId="124" fillId="3" borderId="64" xfId="0" applyFont="1" applyFill="1" applyBorder="1" applyAlignment="1">
      <alignment horizontal="center" vertical="center"/>
    </xf>
    <xf numFmtId="0" fontId="122" fillId="3" borderId="26" xfId="0" applyFont="1" applyFill="1" applyBorder="1" applyAlignment="1">
      <alignment horizontal="center" vertical="center"/>
    </xf>
    <xf numFmtId="0" fontId="0" fillId="3" borderId="51" xfId="0" applyFill="1" applyBorder="1"/>
    <xf numFmtId="0" fontId="46" fillId="3" borderId="51" xfId="0" applyFont="1" applyFill="1" applyBorder="1" applyAlignment="1">
      <alignment horizontal="center" vertical="center"/>
    </xf>
    <xf numFmtId="0" fontId="44" fillId="0" borderId="22" xfId="0" applyFont="1" applyBorder="1" applyAlignment="1">
      <alignment vertical="center"/>
    </xf>
    <xf numFmtId="0" fontId="44" fillId="0" borderId="52" xfId="0" applyFont="1" applyBorder="1" applyAlignment="1">
      <alignment vertical="center"/>
    </xf>
    <xf numFmtId="0" fontId="0" fillId="3" borderId="48" xfId="0" applyFill="1" applyBorder="1"/>
    <xf numFmtId="0" fontId="46" fillId="3" borderId="48" xfId="0" applyFont="1" applyFill="1" applyBorder="1" applyAlignment="1">
      <alignment horizontal="center" vertical="center"/>
    </xf>
    <xf numFmtId="0" fontId="122" fillId="3" borderId="18" xfId="0" applyFont="1" applyFill="1" applyBorder="1" applyAlignment="1">
      <alignment horizontal="center" vertical="center"/>
    </xf>
    <xf numFmtId="0" fontId="44" fillId="0" borderId="54" xfId="0" applyFont="1" applyBorder="1" applyAlignment="1">
      <alignment horizontal="center" vertical="center"/>
    </xf>
    <xf numFmtId="16" fontId="5" fillId="3" borderId="32" xfId="0" applyNumberFormat="1" applyFont="1" applyFill="1" applyBorder="1" applyAlignment="1">
      <alignment horizontal="center" vertical="center" wrapText="1"/>
    </xf>
    <xf numFmtId="0" fontId="49" fillId="22" borderId="32" xfId="0" applyFont="1" applyFill="1" applyBorder="1" applyAlignment="1">
      <alignment horizontal="center" vertical="center"/>
    </xf>
    <xf numFmtId="0" fontId="122" fillId="22" borderId="2" xfId="0" applyFont="1" applyFill="1" applyBorder="1" applyAlignment="1">
      <alignment horizontal="center" vertical="center"/>
    </xf>
    <xf numFmtId="0" fontId="124" fillId="3" borderId="20" xfId="0" applyFont="1" applyFill="1" applyBorder="1" applyAlignment="1">
      <alignment horizontal="center" vertical="center"/>
    </xf>
    <xf numFmtId="0" fontId="0" fillId="3" borderId="21" xfId="0" applyFill="1" applyBorder="1"/>
    <xf numFmtId="0" fontId="122" fillId="3" borderId="60" xfId="0" applyFont="1" applyFill="1" applyBorder="1" applyAlignment="1">
      <alignment horizontal="center" vertical="center"/>
    </xf>
    <xf numFmtId="0" fontId="0" fillId="3" borderId="54" xfId="0" applyFill="1" applyBorder="1"/>
    <xf numFmtId="0" fontId="49" fillId="3" borderId="60" xfId="0" applyFont="1" applyFill="1" applyBorder="1" applyAlignment="1">
      <alignment horizontal="center" vertical="center"/>
    </xf>
    <xf numFmtId="0" fontId="124" fillId="3" borderId="48" xfId="0" applyFont="1" applyFill="1" applyBorder="1" applyAlignment="1">
      <alignment horizontal="center" vertical="center"/>
    </xf>
    <xf numFmtId="0" fontId="124" fillId="3" borderId="25" xfId="0" applyFont="1" applyFill="1" applyBorder="1" applyAlignment="1">
      <alignment horizontal="center" vertical="center"/>
    </xf>
    <xf numFmtId="0" fontId="124" fillId="3" borderId="2" xfId="0" applyFont="1" applyFill="1" applyBorder="1" applyAlignment="1">
      <alignment horizontal="center" vertical="center"/>
    </xf>
    <xf numFmtId="0" fontId="122" fillId="3" borderId="61" xfId="0" applyFont="1" applyFill="1" applyBorder="1" applyAlignment="1">
      <alignment horizontal="center" vertical="center"/>
    </xf>
    <xf numFmtId="0" fontId="124" fillId="3" borderId="76" xfId="0" applyFont="1" applyFill="1" applyBorder="1" applyAlignment="1">
      <alignment horizontal="center" vertical="center"/>
    </xf>
    <xf numFmtId="0" fontId="125" fillId="0" borderId="19" xfId="0" applyFont="1" applyBorder="1"/>
    <xf numFmtId="0" fontId="126" fillId="0" borderId="68" xfId="0" applyFont="1" applyBorder="1" applyAlignment="1">
      <alignment horizontal="center" vertical="center"/>
    </xf>
    <xf numFmtId="0" fontId="33" fillId="3" borderId="2" xfId="0" applyFont="1" applyFill="1" applyBorder="1" applyAlignment="1">
      <alignment horizontal="center" vertical="center" wrapText="1"/>
    </xf>
    <xf numFmtId="0" fontId="67" fillId="18" borderId="19" xfId="0" applyFont="1" applyFill="1" applyBorder="1" applyAlignment="1">
      <alignment horizontal="center" vertical="center" wrapText="1"/>
    </xf>
    <xf numFmtId="0" fontId="67" fillId="42" borderId="2" xfId="0" applyFont="1" applyFill="1" applyBorder="1" applyAlignment="1">
      <alignment horizontal="center" vertical="center" wrapText="1"/>
    </xf>
    <xf numFmtId="0" fontId="67" fillId="27" borderId="2" xfId="0" applyFont="1" applyFill="1" applyBorder="1" applyAlignment="1">
      <alignment horizontal="center" vertical="center" wrapText="1"/>
    </xf>
    <xf numFmtId="0" fontId="67" fillId="30" borderId="2" xfId="0" applyFont="1" applyFill="1" applyBorder="1" applyAlignment="1">
      <alignment horizontal="center" vertical="center" wrapText="1"/>
    </xf>
    <xf numFmtId="0" fontId="67" fillId="20" borderId="2" xfId="0" applyFont="1" applyFill="1" applyBorder="1" applyAlignment="1">
      <alignment horizontal="center" vertical="center" wrapText="1"/>
    </xf>
    <xf numFmtId="0" fontId="67" fillId="16" borderId="2" xfId="0" applyFont="1" applyFill="1" applyBorder="1" applyAlignment="1">
      <alignment horizontal="center" vertical="center" wrapText="1"/>
    </xf>
    <xf numFmtId="0" fontId="67" fillId="14" borderId="18" xfId="0" applyFont="1" applyFill="1" applyBorder="1" applyAlignment="1">
      <alignment horizontal="center" vertical="center" wrapText="1"/>
    </xf>
    <xf numFmtId="0" fontId="67" fillId="18" borderId="26" xfId="0" applyFont="1" applyFill="1" applyBorder="1" applyAlignment="1">
      <alignment horizontal="center" vertical="center" wrapText="1"/>
    </xf>
    <xf numFmtId="0" fontId="67" fillId="42" borderId="26" xfId="0" applyFont="1" applyFill="1" applyBorder="1" applyAlignment="1">
      <alignment horizontal="center" vertical="center" wrapText="1"/>
    </xf>
    <xf numFmtId="0" fontId="67" fillId="23" borderId="26" xfId="0" applyFont="1" applyFill="1" applyBorder="1" applyAlignment="1">
      <alignment horizontal="center" vertical="center" wrapText="1"/>
    </xf>
    <xf numFmtId="0" fontId="67" fillId="30" borderId="26" xfId="0" applyFont="1" applyFill="1" applyBorder="1" applyAlignment="1">
      <alignment horizontal="center" vertical="center" wrapText="1"/>
    </xf>
    <xf numFmtId="0" fontId="67" fillId="20" borderId="26" xfId="0" applyFont="1" applyFill="1" applyBorder="1" applyAlignment="1">
      <alignment horizontal="center" vertical="center" wrapText="1"/>
    </xf>
    <xf numFmtId="0" fontId="67" fillId="37" borderId="26" xfId="0" applyFont="1" applyFill="1" applyBorder="1" applyAlignment="1">
      <alignment horizontal="center" vertical="center" wrapText="1"/>
    </xf>
    <xf numFmtId="0" fontId="67" fillId="23" borderId="46" xfId="0" applyFont="1" applyFill="1" applyBorder="1" applyAlignment="1">
      <alignment horizontal="center" vertical="center" wrapText="1"/>
    </xf>
    <xf numFmtId="0" fontId="67" fillId="18" borderId="60" xfId="0" applyFont="1" applyFill="1" applyBorder="1" applyAlignment="1">
      <alignment horizontal="center" vertical="center" wrapText="1"/>
    </xf>
    <xf numFmtId="0" fontId="67" fillId="15" borderId="26" xfId="0" applyFont="1" applyFill="1" applyBorder="1" applyAlignment="1">
      <alignment horizontal="center" vertical="center" wrapText="1"/>
    </xf>
    <xf numFmtId="0" fontId="67" fillId="23" borderId="27" xfId="0" applyFont="1" applyFill="1" applyBorder="1" applyAlignment="1">
      <alignment horizontal="center" vertical="center" wrapText="1"/>
    </xf>
    <xf numFmtId="0" fontId="67" fillId="18" borderId="2" xfId="0" applyFont="1" applyFill="1" applyBorder="1" applyAlignment="1">
      <alignment horizontal="center" vertical="center" wrapText="1"/>
    </xf>
    <xf numFmtId="0" fontId="67" fillId="36" borderId="2" xfId="0" applyFont="1" applyFill="1" applyBorder="1" applyAlignment="1">
      <alignment horizontal="center" vertical="center" wrapText="1"/>
    </xf>
    <xf numFmtId="0" fontId="67" fillId="15" borderId="23" xfId="0" applyFont="1" applyFill="1" applyBorder="1" applyAlignment="1">
      <alignment horizontal="center" vertical="center" wrapText="1"/>
    </xf>
    <xf numFmtId="0" fontId="67" fillId="15" borderId="60" xfId="0" applyFont="1" applyFill="1" applyBorder="1" applyAlignment="1">
      <alignment horizontal="center" vertical="center" wrapText="1"/>
    </xf>
    <xf numFmtId="0" fontId="67" fillId="3" borderId="46" xfId="0" applyFont="1" applyFill="1" applyBorder="1" applyAlignment="1">
      <alignment horizontal="center" vertical="center" wrapText="1"/>
    </xf>
    <xf numFmtId="0" fontId="67" fillId="3" borderId="63" xfId="0" applyFont="1" applyFill="1" applyBorder="1" applyAlignment="1">
      <alignment horizontal="center" vertical="center" wrapText="1"/>
    </xf>
    <xf numFmtId="0" fontId="67" fillId="4" borderId="20" xfId="0" applyFont="1" applyFill="1" applyBorder="1" applyAlignment="1">
      <alignment horizontal="center" vertical="center" wrapText="1"/>
    </xf>
    <xf numFmtId="0" fontId="67" fillId="3" borderId="31" xfId="0" applyFont="1" applyFill="1" applyBorder="1" applyAlignment="1">
      <alignment horizontal="center" vertical="center" wrapText="1"/>
    </xf>
    <xf numFmtId="0" fontId="34" fillId="0" borderId="0" xfId="0" applyFont="1" applyAlignment="1">
      <alignment wrapText="1"/>
    </xf>
    <xf numFmtId="0" fontId="67" fillId="18" borderId="21" xfId="0" applyFont="1" applyFill="1" applyBorder="1" applyAlignment="1">
      <alignment horizontal="center" vertical="center" wrapText="1"/>
    </xf>
    <xf numFmtId="0" fontId="67" fillId="42" borderId="22" xfId="0" applyFont="1" applyFill="1" applyBorder="1" applyAlignment="1">
      <alignment horizontal="center" vertical="center" wrapText="1"/>
    </xf>
    <xf numFmtId="0" fontId="67" fillId="27" borderId="22" xfId="0" applyFont="1" applyFill="1" applyBorder="1" applyAlignment="1">
      <alignment horizontal="center" vertical="center" wrapText="1"/>
    </xf>
    <xf numFmtId="0" fontId="67" fillId="30" borderId="22" xfId="0" applyFont="1" applyFill="1" applyBorder="1" applyAlignment="1">
      <alignment horizontal="center" vertical="center" wrapText="1"/>
    </xf>
    <xf numFmtId="0" fontId="67" fillId="20" borderId="22" xfId="0" applyFont="1" applyFill="1" applyBorder="1" applyAlignment="1">
      <alignment horizontal="center" vertical="center" wrapText="1"/>
    </xf>
    <xf numFmtId="0" fontId="67" fillId="16" borderId="22" xfId="0" applyFont="1" applyFill="1" applyBorder="1" applyAlignment="1">
      <alignment horizontal="center" vertical="center" wrapText="1"/>
    </xf>
    <xf numFmtId="0" fontId="67" fillId="14" borderId="21" xfId="0" applyFont="1" applyFill="1" applyBorder="1" applyAlignment="1">
      <alignment horizontal="center" vertical="center" wrapText="1"/>
    </xf>
    <xf numFmtId="0" fontId="67" fillId="18" borderId="22" xfId="0" applyFont="1" applyFill="1" applyBorder="1" applyAlignment="1">
      <alignment horizontal="center" vertical="center" wrapText="1"/>
    </xf>
    <xf numFmtId="0" fontId="67" fillId="23" borderId="22" xfId="0" applyFont="1" applyFill="1" applyBorder="1" applyAlignment="1">
      <alignment horizontal="center" vertical="center" wrapText="1"/>
    </xf>
    <xf numFmtId="0" fontId="67" fillId="37" borderId="22" xfId="0" applyFont="1" applyFill="1" applyBorder="1" applyAlignment="1">
      <alignment horizontal="center" vertical="center" wrapText="1"/>
    </xf>
    <xf numFmtId="0" fontId="67" fillId="23" borderId="47" xfId="0" applyFont="1" applyFill="1" applyBorder="1" applyAlignment="1">
      <alignment horizontal="center" vertical="center" wrapText="1"/>
    </xf>
    <xf numFmtId="0" fontId="67" fillId="18" borderId="54" xfId="0" applyFont="1" applyFill="1" applyBorder="1" applyAlignment="1">
      <alignment horizontal="center" vertical="center" wrapText="1"/>
    </xf>
    <xf numFmtId="0" fontId="67" fillId="15" borderId="22" xfId="0" applyFont="1" applyFill="1" applyBorder="1" applyAlignment="1">
      <alignment horizontal="center" vertical="center" wrapText="1"/>
    </xf>
    <xf numFmtId="0" fontId="67" fillId="25" borderId="22" xfId="0" applyFont="1" applyFill="1" applyBorder="1" applyAlignment="1">
      <alignment horizontal="center" vertical="center" wrapText="1"/>
    </xf>
    <xf numFmtId="0" fontId="67" fillId="23" borderId="24" xfId="0" applyFont="1" applyFill="1" applyBorder="1" applyAlignment="1">
      <alignment horizontal="center" vertical="center" wrapText="1"/>
    </xf>
    <xf numFmtId="0" fontId="67" fillId="15" borderId="54" xfId="0" applyFont="1" applyFill="1" applyBorder="1" applyAlignment="1">
      <alignment horizontal="center" vertical="center" wrapText="1"/>
    </xf>
    <xf numFmtId="0" fontId="67" fillId="3" borderId="35" xfId="0" applyFont="1" applyFill="1" applyBorder="1" applyAlignment="1">
      <alignment horizontal="center" vertical="center" wrapText="1"/>
    </xf>
    <xf numFmtId="0" fontId="67" fillId="4" borderId="64" xfId="0" applyFont="1" applyFill="1" applyBorder="1" applyAlignment="1">
      <alignment horizontal="center" vertical="center" wrapText="1"/>
    </xf>
    <xf numFmtId="0" fontId="67" fillId="4" borderId="22" xfId="0" applyFont="1" applyFill="1" applyBorder="1" applyAlignment="1">
      <alignment horizontal="center" vertical="center" wrapText="1"/>
    </xf>
    <xf numFmtId="0" fontId="0" fillId="0" borderId="21" xfId="0" applyBorder="1" applyAlignment="1">
      <alignment vertical="center"/>
    </xf>
    <xf numFmtId="0" fontId="24" fillId="0" borderId="20" xfId="0" applyFont="1" applyBorder="1" applyAlignment="1">
      <alignment horizontal="center" vertical="center"/>
    </xf>
    <xf numFmtId="0" fontId="126" fillId="0" borderId="2" xfId="0" applyFont="1" applyBorder="1" applyAlignment="1">
      <alignment horizontal="center" vertical="center"/>
    </xf>
    <xf numFmtId="0" fontId="34" fillId="0" borderId="2" xfId="0" applyFont="1" applyBorder="1" applyAlignment="1">
      <alignment horizontal="center" vertical="center"/>
    </xf>
    <xf numFmtId="16" fontId="11" fillId="0" borderId="23" xfId="0" applyNumberFormat="1" applyFont="1" applyBorder="1" applyAlignment="1">
      <alignment horizontal="center" vertical="center"/>
    </xf>
    <xf numFmtId="0" fontId="11" fillId="42" borderId="23" xfId="0" applyFont="1" applyFill="1" applyBorder="1" applyAlignment="1">
      <alignment horizontal="center" vertical="center"/>
    </xf>
    <xf numFmtId="0" fontId="11" fillId="42" borderId="20" xfId="0" applyFont="1" applyFill="1" applyBorder="1" applyAlignment="1">
      <alignment horizontal="center" vertical="center"/>
    </xf>
    <xf numFmtId="0" fontId="11" fillId="17" borderId="2" xfId="0" applyFont="1" applyFill="1" applyBorder="1" applyAlignment="1">
      <alignment horizontal="center" vertical="center"/>
    </xf>
    <xf numFmtId="0" fontId="11" fillId="14" borderId="23" xfId="0" applyFont="1" applyFill="1" applyBorder="1" applyAlignment="1">
      <alignment horizontal="center" vertical="center"/>
    </xf>
    <xf numFmtId="0" fontId="34" fillId="0" borderId="2" xfId="0" applyFont="1" applyBorder="1" applyAlignment="1">
      <alignment wrapText="1"/>
    </xf>
    <xf numFmtId="0" fontId="0" fillId="22" borderId="20" xfId="0" applyFill="1" applyBorder="1"/>
    <xf numFmtId="0" fontId="0" fillId="18" borderId="2" xfId="0" applyFill="1" applyBorder="1" applyAlignment="1">
      <alignment horizontal="center" vertical="center"/>
    </xf>
    <xf numFmtId="0" fontId="0" fillId="13" borderId="2" xfId="0" applyFill="1" applyBorder="1" applyAlignment="1">
      <alignment horizontal="center" vertical="center"/>
    </xf>
    <xf numFmtId="0" fontId="34" fillId="19" borderId="2" xfId="0" applyFont="1" applyFill="1" applyBorder="1" applyAlignment="1">
      <alignment horizontal="center"/>
    </xf>
    <xf numFmtId="0" fontId="24" fillId="0" borderId="2" xfId="0" applyFont="1" applyBorder="1" applyAlignment="1">
      <alignment horizontal="center" vertical="center" wrapText="1"/>
    </xf>
    <xf numFmtId="0" fontId="11" fillId="47" borderId="20" xfId="0" applyFont="1" applyFill="1" applyBorder="1" applyAlignment="1">
      <alignment horizontal="center" vertical="center"/>
    </xf>
    <xf numFmtId="0" fontId="0" fillId="25" borderId="20" xfId="0" applyFill="1" applyBorder="1" applyAlignment="1">
      <alignment horizontal="center" vertical="center"/>
    </xf>
    <xf numFmtId="0" fontId="24" fillId="0" borderId="23" xfId="0" applyFont="1" applyBorder="1" applyAlignment="1">
      <alignment horizontal="center" vertical="center"/>
    </xf>
    <xf numFmtId="0" fontId="116" fillId="8" borderId="30" xfId="0" applyFont="1" applyFill="1" applyBorder="1" applyAlignment="1">
      <alignment horizontal="center" vertical="center" wrapText="1"/>
    </xf>
    <xf numFmtId="0" fontId="11" fillId="0" borderId="2" xfId="0" applyFont="1" applyBorder="1" applyAlignment="1">
      <alignment horizontal="center" vertical="center" wrapText="1"/>
    </xf>
    <xf numFmtId="0" fontId="34" fillId="0" borderId="0" xfId="0" applyFont="1" applyAlignment="1">
      <alignment horizontal="center"/>
    </xf>
    <xf numFmtId="0" fontId="11" fillId="6" borderId="51" xfId="0" applyFont="1" applyFill="1" applyBorder="1" applyAlignment="1">
      <alignment horizontal="center" vertical="center"/>
    </xf>
    <xf numFmtId="0" fontId="0" fillId="0" borderId="32" xfId="0" applyBorder="1" applyAlignment="1">
      <alignment horizontal="center"/>
    </xf>
    <xf numFmtId="0" fontId="0" fillId="25" borderId="2" xfId="0" applyFill="1" applyBorder="1" applyAlignment="1">
      <alignment horizontal="center" vertical="center"/>
    </xf>
    <xf numFmtId="0" fontId="11" fillId="32" borderId="25" xfId="0" applyFont="1" applyFill="1" applyBorder="1" applyAlignment="1">
      <alignment horizontal="center" vertical="center"/>
    </xf>
    <xf numFmtId="0" fontId="0" fillId="4" borderId="51" xfId="0" applyFill="1" applyBorder="1"/>
    <xf numFmtId="0" fontId="0" fillId="18" borderId="53" xfId="0" applyFill="1" applyBorder="1" applyAlignment="1">
      <alignment horizontal="center" vertical="center"/>
    </xf>
    <xf numFmtId="0" fontId="0" fillId="4" borderId="53" xfId="0" applyFill="1" applyBorder="1"/>
    <xf numFmtId="0" fontId="0" fillId="22" borderId="32" xfId="0" applyFill="1" applyBorder="1"/>
    <xf numFmtId="0" fontId="0" fillId="0" borderId="0" xfId="0" applyAlignment="1">
      <alignment horizontal="center" vertical="center"/>
    </xf>
    <xf numFmtId="0" fontId="34" fillId="0" borderId="23" xfId="0" applyFont="1" applyBorder="1" applyAlignment="1">
      <alignment horizontal="center" vertical="center" wrapText="1"/>
    </xf>
    <xf numFmtId="0" fontId="24" fillId="0" borderId="25" xfId="0" applyFont="1" applyBorder="1" applyAlignment="1">
      <alignment horizontal="center" vertical="center"/>
    </xf>
    <xf numFmtId="0" fontId="24" fillId="0" borderId="0" xfId="0" applyFont="1" applyAlignment="1">
      <alignment horizontal="center" vertical="center"/>
    </xf>
    <xf numFmtId="0" fontId="24" fillId="0" borderId="23" xfId="0" applyFont="1" applyBorder="1" applyAlignment="1">
      <alignment horizontal="center" vertical="center" wrapText="1"/>
    </xf>
    <xf numFmtId="0" fontId="24" fillId="0" borderId="25" xfId="0" applyFont="1" applyBorder="1" applyAlignment="1">
      <alignment horizontal="center" vertical="center" wrapText="1"/>
    </xf>
    <xf numFmtId="0" fontId="34" fillId="0" borderId="30" xfId="0" applyFont="1" applyBorder="1" applyAlignment="1">
      <alignment wrapText="1"/>
    </xf>
    <xf numFmtId="0" fontId="34" fillId="0" borderId="32" xfId="0" applyFont="1" applyBorder="1" applyAlignment="1">
      <alignment wrapText="1"/>
    </xf>
    <xf numFmtId="0" fontId="34" fillId="0" borderId="23" xfId="0" applyFont="1" applyBorder="1" applyAlignment="1">
      <alignment wrapText="1"/>
    </xf>
    <xf numFmtId="0" fontId="34" fillId="19" borderId="61" xfId="0" applyFont="1" applyFill="1" applyBorder="1" applyAlignment="1">
      <alignment horizontal="center"/>
    </xf>
    <xf numFmtId="0" fontId="0" fillId="0" borderId="48" xfId="0" applyBorder="1" applyAlignment="1">
      <alignment horizontal="center" vertical="center"/>
    </xf>
    <xf numFmtId="0" fontId="0" fillId="22" borderId="30" xfId="0" applyFill="1" applyBorder="1" applyAlignment="1">
      <alignment horizontal="center" vertical="center"/>
    </xf>
    <xf numFmtId="0" fontId="0" fillId="22" borderId="20" xfId="0" applyFill="1" applyBorder="1" applyAlignment="1">
      <alignment horizontal="center" vertical="center"/>
    </xf>
    <xf numFmtId="0" fontId="0" fillId="22" borderId="2" xfId="0" applyFill="1" applyBorder="1" applyAlignment="1">
      <alignment horizontal="center" vertical="center"/>
    </xf>
    <xf numFmtId="0" fontId="24" fillId="0" borderId="20" xfId="0" applyFont="1" applyBorder="1" applyAlignment="1">
      <alignment horizontal="center" vertical="center" wrapText="1"/>
    </xf>
    <xf numFmtId="0" fontId="24" fillId="4" borderId="0" xfId="0" applyFont="1" applyFill="1" applyAlignment="1">
      <alignment horizontal="center" vertical="center"/>
    </xf>
    <xf numFmtId="0" fontId="11" fillId="0" borderId="18" xfId="0" applyFont="1" applyBorder="1" applyAlignment="1">
      <alignment horizontal="center" vertical="center"/>
    </xf>
    <xf numFmtId="16" fontId="11" fillId="3" borderId="19" xfId="0" applyNumberFormat="1" applyFont="1" applyFill="1" applyBorder="1" applyAlignment="1">
      <alignment horizontal="center" vertical="center"/>
    </xf>
    <xf numFmtId="0" fontId="11" fillId="0" borderId="46" xfId="0" applyFont="1" applyBorder="1" applyAlignment="1">
      <alignment horizontal="center" vertical="center"/>
    </xf>
    <xf numFmtId="0" fontId="11" fillId="0" borderId="27" xfId="0" applyFont="1" applyBorder="1" applyAlignment="1">
      <alignment horizontal="center" vertical="center"/>
    </xf>
    <xf numFmtId="0" fontId="11" fillId="0" borderId="50" xfId="0" applyFont="1" applyBorder="1" applyAlignment="1">
      <alignment horizontal="center" vertical="center"/>
    </xf>
    <xf numFmtId="16" fontId="11" fillId="3" borderId="51" xfId="0" applyNumberFormat="1" applyFont="1" applyFill="1" applyBorder="1" applyAlignment="1">
      <alignment horizontal="center" vertical="center"/>
    </xf>
    <xf numFmtId="0" fontId="11" fillId="0" borderId="26" xfId="0" applyFont="1" applyBorder="1" applyAlignment="1">
      <alignment horizontal="center" vertical="center"/>
    </xf>
    <xf numFmtId="0" fontId="11" fillId="0" borderId="60" xfId="0" applyFont="1" applyBorder="1" applyAlignment="1">
      <alignment horizontal="center" vertical="center"/>
    </xf>
    <xf numFmtId="0" fontId="11" fillId="0" borderId="19" xfId="0" applyFont="1" applyBorder="1" applyAlignment="1">
      <alignment horizontal="center" vertical="center"/>
    </xf>
    <xf numFmtId="0" fontId="11" fillId="0" borderId="35" xfId="0" applyFont="1" applyBorder="1" applyAlignment="1">
      <alignment horizontal="center" vertical="center"/>
    </xf>
    <xf numFmtId="0" fontId="11" fillId="0" borderId="33" xfId="0" applyFont="1" applyBorder="1" applyAlignment="1">
      <alignment horizontal="center" vertical="center"/>
    </xf>
    <xf numFmtId="0" fontId="11" fillId="24" borderId="25" xfId="0" applyFont="1" applyFill="1" applyBorder="1" applyAlignment="1">
      <alignment horizontal="center" vertical="center"/>
    </xf>
    <xf numFmtId="0" fontId="11" fillId="24" borderId="33" xfId="0" applyFont="1" applyFill="1" applyBorder="1" applyAlignment="1">
      <alignment horizontal="center" vertical="center"/>
    </xf>
    <xf numFmtId="0" fontId="11" fillId="0" borderId="31" xfId="0" applyFont="1" applyBorder="1" applyAlignment="1">
      <alignment horizontal="center" vertical="center"/>
    </xf>
    <xf numFmtId="0" fontId="11" fillId="24" borderId="51" xfId="0" applyFont="1" applyFill="1" applyBorder="1" applyAlignment="1">
      <alignment horizontal="center" vertical="center"/>
    </xf>
    <xf numFmtId="0" fontId="11" fillId="24" borderId="49" xfId="0" applyFont="1" applyFill="1" applyBorder="1" applyAlignment="1">
      <alignment horizontal="center" vertical="center"/>
    </xf>
    <xf numFmtId="0" fontId="11" fillId="15" borderId="31" xfId="0" applyFont="1" applyFill="1" applyBorder="1" applyAlignment="1">
      <alignment horizontal="center" vertical="center"/>
    </xf>
    <xf numFmtId="0" fontId="11" fillId="14" borderId="30" xfId="0" applyFont="1" applyFill="1" applyBorder="1" applyAlignment="1">
      <alignment horizontal="center" vertical="center"/>
    </xf>
    <xf numFmtId="0" fontId="11" fillId="40" borderId="30" xfId="0" applyFont="1" applyFill="1" applyBorder="1" applyAlignment="1">
      <alignment horizontal="center" vertical="center"/>
    </xf>
    <xf numFmtId="0" fontId="11" fillId="40" borderId="25" xfId="0" applyFont="1" applyFill="1" applyBorder="1" applyAlignment="1">
      <alignment horizontal="center" vertical="center"/>
    </xf>
    <xf numFmtId="0" fontId="11" fillId="40" borderId="33" xfId="0" applyFont="1" applyFill="1" applyBorder="1" applyAlignment="1">
      <alignment horizontal="center" vertical="center"/>
    </xf>
    <xf numFmtId="0" fontId="11" fillId="3" borderId="31" xfId="0" applyFont="1" applyFill="1" applyBorder="1" applyAlignment="1">
      <alignment horizontal="center" vertical="center"/>
    </xf>
    <xf numFmtId="0" fontId="11" fillId="14" borderId="64" xfId="0" applyFont="1" applyFill="1" applyBorder="1" applyAlignment="1">
      <alignment horizontal="center" vertical="center"/>
    </xf>
    <xf numFmtId="0" fontId="11" fillId="15" borderId="30" xfId="0" applyFont="1" applyFill="1" applyBorder="1" applyAlignment="1">
      <alignment horizontal="center" vertical="center"/>
    </xf>
    <xf numFmtId="0" fontId="11" fillId="0" borderId="30" xfId="0" applyFont="1" applyBorder="1" applyAlignment="1">
      <alignment horizontal="center" vertical="center"/>
    </xf>
    <xf numFmtId="0" fontId="11" fillId="15" borderId="64" xfId="0" applyFont="1" applyFill="1" applyBorder="1" applyAlignment="1">
      <alignment horizontal="center" vertical="center"/>
    </xf>
    <xf numFmtId="0" fontId="24" fillId="4" borderId="20" xfId="0" applyFont="1" applyFill="1" applyBorder="1" applyAlignment="1">
      <alignment horizontal="center" vertical="center"/>
    </xf>
    <xf numFmtId="0" fontId="11" fillId="0" borderId="67" xfId="0" applyFont="1" applyBorder="1" applyAlignment="1">
      <alignment horizontal="center" vertical="center"/>
    </xf>
    <xf numFmtId="0" fontId="24" fillId="0" borderId="31" xfId="0" applyFont="1" applyBorder="1" applyAlignment="1">
      <alignment horizontal="center" vertical="center"/>
    </xf>
    <xf numFmtId="0" fontId="24" fillId="0" borderId="2" xfId="0" applyFont="1" applyBorder="1"/>
    <xf numFmtId="0" fontId="24" fillId="0" borderId="23" xfId="0" applyFont="1" applyBorder="1"/>
    <xf numFmtId="0" fontId="24" fillId="0" borderId="23" xfId="0" applyFont="1" applyBorder="1" applyAlignment="1">
      <alignment horizontal="center"/>
    </xf>
    <xf numFmtId="0" fontId="24" fillId="0" borderId="20" xfId="0" applyFont="1" applyBorder="1" applyAlignment="1">
      <alignment horizontal="center"/>
    </xf>
    <xf numFmtId="0" fontId="116" fillId="8" borderId="33" xfId="0" applyFont="1" applyFill="1" applyBorder="1" applyAlignment="1">
      <alignment horizontal="center" vertical="center" wrapText="1"/>
    </xf>
    <xf numFmtId="0" fontId="116" fillId="8" borderId="25" xfId="0" applyFont="1" applyFill="1" applyBorder="1" applyAlignment="1">
      <alignment horizontal="center" vertical="center" wrapText="1"/>
    </xf>
    <xf numFmtId="0" fontId="116" fillId="8" borderId="23" xfId="0" applyFont="1" applyFill="1" applyBorder="1" applyAlignment="1">
      <alignment horizontal="center" vertical="center" wrapText="1"/>
    </xf>
    <xf numFmtId="0" fontId="116" fillId="8" borderId="64" xfId="0" applyFont="1" applyFill="1" applyBorder="1" applyAlignment="1">
      <alignment horizontal="center" vertical="center" wrapText="1"/>
    </xf>
    <xf numFmtId="0" fontId="116" fillId="8" borderId="74" xfId="0" applyFont="1" applyFill="1" applyBorder="1" applyAlignment="1">
      <alignment horizontal="center" vertical="center" wrapText="1"/>
    </xf>
    <xf numFmtId="0" fontId="16" fillId="0" borderId="2" xfId="0" applyFont="1" applyBorder="1" applyAlignment="1">
      <alignment horizontal="center" vertical="center"/>
    </xf>
    <xf numFmtId="0" fontId="17" fillId="0" borderId="2" xfId="0" applyFont="1" applyBorder="1" applyAlignment="1">
      <alignment horizontal="center" vertical="center"/>
    </xf>
    <xf numFmtId="0" fontId="11" fillId="15" borderId="25" xfId="0" applyFont="1" applyFill="1" applyBorder="1" applyAlignment="1">
      <alignment horizontal="center" vertical="center"/>
    </xf>
    <xf numFmtId="0" fontId="17" fillId="0" borderId="25" xfId="0" applyFont="1" applyBorder="1" applyAlignment="1">
      <alignment horizontal="center" vertical="center"/>
    </xf>
    <xf numFmtId="0" fontId="27" fillId="0" borderId="25" xfId="0" applyFont="1" applyBorder="1" applyAlignment="1">
      <alignment horizontal="center" vertical="center"/>
    </xf>
    <xf numFmtId="0" fontId="116" fillId="3" borderId="19" xfId="0" applyFont="1" applyFill="1" applyBorder="1" applyAlignment="1">
      <alignment vertical="center" wrapText="1"/>
    </xf>
    <xf numFmtId="0" fontId="24" fillId="0" borderId="19" xfId="0" applyFont="1" applyBorder="1" applyAlignment="1">
      <alignment horizontal="center" vertical="center"/>
    </xf>
    <xf numFmtId="0" fontId="24" fillId="0" borderId="21" xfId="0" applyFont="1" applyBorder="1" applyAlignment="1">
      <alignment horizontal="center" vertical="center" wrapText="1"/>
    </xf>
    <xf numFmtId="0" fontId="24" fillId="0" borderId="22" xfId="0" applyFont="1" applyBorder="1" applyAlignment="1">
      <alignment horizontal="center" vertical="center" wrapText="1"/>
    </xf>
    <xf numFmtId="0" fontId="11" fillId="16" borderId="23" xfId="0" applyFont="1" applyFill="1" applyBorder="1" applyAlignment="1">
      <alignment horizontal="center" vertical="center"/>
    </xf>
    <xf numFmtId="0" fontId="16" fillId="0" borderId="23" xfId="0" applyFont="1" applyBorder="1" applyAlignment="1">
      <alignment horizontal="center" vertical="center"/>
    </xf>
    <xf numFmtId="0" fontId="24" fillId="0" borderId="24" xfId="0" applyFont="1" applyBorder="1" applyAlignment="1">
      <alignment horizontal="center" vertical="center" wrapText="1"/>
    </xf>
    <xf numFmtId="0" fontId="24" fillId="0" borderId="54" xfId="0" applyFont="1" applyBorder="1" applyAlignment="1">
      <alignment horizontal="center" vertical="center" wrapText="1"/>
    </xf>
    <xf numFmtId="0" fontId="24" fillId="4" borderId="2" xfId="0" applyFont="1" applyFill="1" applyBorder="1" applyAlignment="1">
      <alignment horizontal="center" vertical="center"/>
    </xf>
    <xf numFmtId="0" fontId="11" fillId="68" borderId="23" xfId="0" applyFont="1" applyFill="1" applyBorder="1" applyAlignment="1">
      <alignment horizontal="center" vertical="center"/>
    </xf>
    <xf numFmtId="20" fontId="98" fillId="4" borderId="19" xfId="0" applyNumberFormat="1" applyFont="1" applyFill="1" applyBorder="1" applyAlignment="1">
      <alignment horizontal="center" vertical="center"/>
    </xf>
    <xf numFmtId="0" fontId="98" fillId="4" borderId="19" xfId="0" applyFont="1" applyFill="1" applyBorder="1" applyAlignment="1">
      <alignment horizontal="center" vertical="center" wrapText="1"/>
    </xf>
    <xf numFmtId="0" fontId="98" fillId="0" borderId="20" xfId="0" applyFont="1" applyBorder="1" applyAlignment="1">
      <alignment horizontal="center" vertical="center"/>
    </xf>
    <xf numFmtId="0" fontId="24" fillId="3" borderId="20" xfId="0" applyFont="1" applyFill="1" applyBorder="1" applyAlignment="1">
      <alignment horizontal="center" vertical="center"/>
    </xf>
    <xf numFmtId="0" fontId="11" fillId="68" borderId="19" xfId="0" applyFont="1" applyFill="1" applyBorder="1" applyAlignment="1">
      <alignment horizontal="center" vertical="center"/>
    </xf>
    <xf numFmtId="0" fontId="129" fillId="0" borderId="23" xfId="0" applyFont="1" applyBorder="1" applyAlignment="1">
      <alignment horizontal="center" vertical="center"/>
    </xf>
    <xf numFmtId="0" fontId="67" fillId="3" borderId="61" xfId="0" applyFont="1" applyFill="1" applyBorder="1" applyAlignment="1">
      <alignment horizontal="center" vertical="center" wrapText="1"/>
    </xf>
    <xf numFmtId="0" fontId="104" fillId="5" borderId="51" xfId="0" applyFont="1" applyFill="1" applyBorder="1" applyAlignment="1">
      <alignment horizontal="center" vertical="center" wrapText="1"/>
    </xf>
    <xf numFmtId="0" fontId="116" fillId="49" borderId="45" xfId="0" applyFont="1" applyFill="1" applyBorder="1" applyAlignment="1">
      <alignment horizontal="center" vertical="center" wrapText="1"/>
    </xf>
    <xf numFmtId="0" fontId="116" fillId="49" borderId="30" xfId="0" applyFont="1" applyFill="1" applyBorder="1" applyAlignment="1">
      <alignment horizontal="center" vertical="center" wrapText="1"/>
    </xf>
    <xf numFmtId="0" fontId="116" fillId="49" borderId="49" xfId="0" applyFont="1" applyFill="1" applyBorder="1" applyAlignment="1">
      <alignment horizontal="center" vertical="center" wrapText="1"/>
    </xf>
    <xf numFmtId="0" fontId="104" fillId="5" borderId="35" xfId="0" applyFont="1" applyFill="1" applyBorder="1" applyAlignment="1">
      <alignment horizontal="center" vertical="center" wrapText="1"/>
    </xf>
    <xf numFmtId="0" fontId="104" fillId="5" borderId="31" xfId="0" applyFont="1" applyFill="1" applyBorder="1" applyAlignment="1">
      <alignment horizontal="center" vertical="center" wrapText="1"/>
    </xf>
    <xf numFmtId="0" fontId="116" fillId="49" borderId="33" xfId="0" applyFont="1" applyFill="1" applyBorder="1" applyAlignment="1">
      <alignment horizontal="center" vertical="center" wrapText="1"/>
    </xf>
    <xf numFmtId="0" fontId="104" fillId="3" borderId="31" xfId="0" applyFont="1" applyFill="1" applyBorder="1" applyAlignment="1">
      <alignment horizontal="center" vertical="center" wrapText="1"/>
    </xf>
    <xf numFmtId="0" fontId="104" fillId="5" borderId="33" xfId="0" applyFont="1" applyFill="1" applyBorder="1" applyAlignment="1">
      <alignment horizontal="center" vertical="center" wrapText="1"/>
    </xf>
    <xf numFmtId="0" fontId="116" fillId="3" borderId="64" xfId="0" applyFont="1" applyFill="1" applyBorder="1" applyAlignment="1">
      <alignment horizontal="center" vertical="center" wrapText="1"/>
    </xf>
    <xf numFmtId="0" fontId="116" fillId="8" borderId="0" xfId="0" applyFont="1" applyFill="1" applyAlignment="1">
      <alignment horizontal="center" vertical="center" wrapText="1"/>
    </xf>
    <xf numFmtId="0" fontId="116" fillId="3" borderId="30" xfId="0" applyFont="1" applyFill="1" applyBorder="1" applyAlignment="1">
      <alignment horizontal="center" vertical="center" wrapText="1"/>
    </xf>
    <xf numFmtId="0" fontId="116" fillId="3" borderId="33" xfId="0" applyFont="1" applyFill="1" applyBorder="1" applyAlignment="1">
      <alignment horizontal="center" vertical="center" wrapText="1"/>
    </xf>
    <xf numFmtId="0" fontId="116" fillId="3" borderId="35" xfId="0" applyFont="1" applyFill="1" applyBorder="1" applyAlignment="1">
      <alignment horizontal="center" vertical="center" wrapText="1"/>
    </xf>
    <xf numFmtId="0" fontId="116" fillId="0" borderId="20" xfId="0" applyFont="1" applyBorder="1" applyAlignment="1">
      <alignment horizontal="center" vertical="center" wrapText="1"/>
    </xf>
    <xf numFmtId="0" fontId="116" fillId="3" borderId="30" xfId="0" applyFont="1" applyFill="1" applyBorder="1" applyAlignment="1">
      <alignment vertical="center" wrapText="1"/>
    </xf>
    <xf numFmtId="0" fontId="0" fillId="3" borderId="30" xfId="0" applyFill="1" applyBorder="1"/>
    <xf numFmtId="0" fontId="0" fillId="3" borderId="33" xfId="0" applyFill="1" applyBorder="1"/>
    <xf numFmtId="0" fontId="0" fillId="3" borderId="73" xfId="0" applyFill="1" applyBorder="1"/>
    <xf numFmtId="0" fontId="0" fillId="3" borderId="76" xfId="0" applyFill="1" applyBorder="1"/>
    <xf numFmtId="0" fontId="0" fillId="22" borderId="0" xfId="0" applyFill="1"/>
    <xf numFmtId="0" fontId="116" fillId="8" borderId="2" xfId="0" applyFont="1" applyFill="1" applyBorder="1" applyAlignment="1">
      <alignment vertical="center" wrapText="1"/>
    </xf>
    <xf numFmtId="0" fontId="125" fillId="4" borderId="35" xfId="0" applyFont="1" applyFill="1" applyBorder="1"/>
    <xf numFmtId="0" fontId="44" fillId="0" borderId="31" xfId="0" applyFont="1" applyBorder="1" applyAlignment="1">
      <alignment horizontal="center" vertical="center"/>
    </xf>
    <xf numFmtId="0" fontId="122" fillId="4" borderId="36" xfId="0" applyFont="1" applyFill="1" applyBorder="1" applyAlignment="1">
      <alignment horizontal="center" vertical="center"/>
    </xf>
    <xf numFmtId="0" fontId="44" fillId="0" borderId="37" xfId="0" applyFont="1" applyBorder="1" applyAlignment="1">
      <alignment horizontal="center" vertical="center"/>
    </xf>
    <xf numFmtId="0" fontId="24" fillId="0" borderId="47" xfId="0" applyFont="1" applyBorder="1" applyAlignment="1">
      <alignment horizontal="center" vertical="center" wrapText="1"/>
    </xf>
    <xf numFmtId="0" fontId="11" fillId="68" borderId="21" xfId="0" applyFont="1" applyFill="1" applyBorder="1" applyAlignment="1">
      <alignment horizontal="center" vertical="center"/>
    </xf>
    <xf numFmtId="0" fontId="27" fillId="0" borderId="21" xfId="0" applyFont="1" applyBorder="1" applyAlignment="1">
      <alignment horizontal="center" vertical="center"/>
    </xf>
    <xf numFmtId="0" fontId="27" fillId="0" borderId="24" xfId="0" applyFont="1" applyBorder="1" applyAlignment="1">
      <alignment horizontal="center" vertical="center"/>
    </xf>
    <xf numFmtId="0" fontId="24" fillId="0" borderId="18" xfId="0" applyFont="1" applyBorder="1" applyAlignment="1">
      <alignment horizontal="center" vertical="center"/>
    </xf>
    <xf numFmtId="0" fontId="24" fillId="0" borderId="27" xfId="0" applyFont="1" applyBorder="1" applyAlignment="1">
      <alignment horizontal="center" vertical="center"/>
    </xf>
    <xf numFmtId="0" fontId="16" fillId="0" borderId="64" xfId="0" applyFont="1" applyBorder="1" applyAlignment="1">
      <alignment horizontal="center" vertical="center"/>
    </xf>
    <xf numFmtId="0" fontId="98" fillId="0" borderId="30" xfId="0" applyFont="1" applyBorder="1" applyAlignment="1">
      <alignment horizontal="center" vertical="center"/>
    </xf>
    <xf numFmtId="0" fontId="22" fillId="0" borderId="31" xfId="0" applyFont="1" applyBorder="1" applyAlignment="1">
      <alignment horizontal="center" vertical="center"/>
    </xf>
    <xf numFmtId="0" fontId="16" fillId="0" borderId="30" xfId="0" applyFont="1" applyBorder="1" applyAlignment="1">
      <alignment horizontal="center" vertical="center"/>
    </xf>
    <xf numFmtId="0" fontId="16" fillId="0" borderId="53" xfId="0" applyFont="1" applyBorder="1" applyAlignment="1">
      <alignment horizontal="center" vertical="center"/>
    </xf>
    <xf numFmtId="0" fontId="98" fillId="0" borderId="32" xfId="0" applyFont="1" applyBorder="1" applyAlignment="1">
      <alignment horizontal="center" vertical="center"/>
    </xf>
    <xf numFmtId="0" fontId="17" fillId="0" borderId="37" xfId="0" applyFont="1" applyBorder="1" applyAlignment="1">
      <alignment horizontal="center" vertical="center"/>
    </xf>
    <xf numFmtId="0" fontId="116" fillId="3" borderId="32" xfId="0" applyFont="1" applyFill="1" applyBorder="1" applyAlignment="1">
      <alignment vertical="center" wrapText="1"/>
    </xf>
    <xf numFmtId="0" fontId="11" fillId="4" borderId="22" xfId="0" applyFont="1" applyFill="1" applyBorder="1" applyAlignment="1">
      <alignment horizontal="center" vertical="center"/>
    </xf>
    <xf numFmtId="0" fontId="11" fillId="68" borderId="24" xfId="0" applyFont="1" applyFill="1" applyBorder="1" applyAlignment="1">
      <alignment horizontal="center" vertical="center"/>
    </xf>
    <xf numFmtId="0" fontId="27" fillId="0" borderId="22" xfId="0" applyFont="1" applyBorder="1" applyAlignment="1">
      <alignment horizontal="center" vertical="center"/>
    </xf>
    <xf numFmtId="0" fontId="24" fillId="0" borderId="26" xfId="0" applyFont="1" applyBorder="1" applyAlignment="1">
      <alignment horizontal="center" vertical="center"/>
    </xf>
    <xf numFmtId="0" fontId="98" fillId="0" borderId="35" xfId="0" applyFont="1" applyBorder="1" applyAlignment="1">
      <alignment horizontal="center" vertical="center"/>
    </xf>
    <xf numFmtId="0" fontId="17" fillId="0" borderId="30" xfId="0" applyFont="1" applyBorder="1" applyAlignment="1">
      <alignment horizontal="center" vertical="center"/>
    </xf>
    <xf numFmtId="0" fontId="16" fillId="0" borderId="35" xfId="0" applyFont="1" applyBorder="1" applyAlignment="1">
      <alignment horizontal="center" vertical="center"/>
    </xf>
    <xf numFmtId="0" fontId="16" fillId="0" borderId="31" xfId="0" applyFont="1" applyBorder="1" applyAlignment="1">
      <alignment horizontal="center" vertical="center"/>
    </xf>
    <xf numFmtId="0" fontId="98" fillId="0" borderId="36" xfId="0" applyFont="1" applyBorder="1" applyAlignment="1">
      <alignment horizontal="center" vertical="center"/>
    </xf>
    <xf numFmtId="0" fontId="15" fillId="0" borderId="32" xfId="0" applyFont="1" applyBorder="1" applyAlignment="1">
      <alignment horizontal="center" vertical="center"/>
    </xf>
    <xf numFmtId="0" fontId="17" fillId="0" borderId="32" xfId="0" applyFont="1" applyBorder="1" applyAlignment="1">
      <alignment horizontal="center" vertical="center"/>
    </xf>
    <xf numFmtId="0" fontId="15" fillId="0" borderId="37" xfId="0" applyFont="1" applyBorder="1" applyAlignment="1">
      <alignment horizontal="center" vertical="center"/>
    </xf>
    <xf numFmtId="0" fontId="116" fillId="3" borderId="36" xfId="0" applyFont="1" applyFill="1" applyBorder="1" applyAlignment="1">
      <alignment vertical="center" wrapText="1"/>
    </xf>
    <xf numFmtId="0" fontId="116" fillId="3" borderId="37" xfId="0" applyFont="1" applyFill="1" applyBorder="1" applyAlignment="1">
      <alignment vertical="center" wrapText="1"/>
    </xf>
    <xf numFmtId="0" fontId="11" fillId="16" borderId="24" xfId="0" applyFont="1" applyFill="1" applyBorder="1" applyAlignment="1">
      <alignment horizontal="center" vertical="center"/>
    </xf>
    <xf numFmtId="0" fontId="15" fillId="0" borderId="20" xfId="0" applyFont="1" applyBorder="1" applyAlignment="1">
      <alignment horizontal="center" vertical="center"/>
    </xf>
    <xf numFmtId="0" fontId="22" fillId="0" borderId="20" xfId="0" applyFont="1" applyBorder="1" applyAlignment="1">
      <alignment horizontal="center" vertical="center"/>
    </xf>
    <xf numFmtId="0" fontId="11" fillId="0" borderId="51" xfId="0" applyFont="1" applyBorder="1" applyAlignment="1">
      <alignment horizontal="center" vertical="center"/>
    </xf>
    <xf numFmtId="0" fontId="15" fillId="0" borderId="25" xfId="0" applyFont="1" applyBorder="1" applyAlignment="1">
      <alignment horizontal="center" vertical="center"/>
    </xf>
    <xf numFmtId="0" fontId="22" fillId="0" borderId="25" xfId="0" applyFont="1" applyBorder="1" applyAlignment="1">
      <alignment horizontal="center" vertical="center"/>
    </xf>
    <xf numFmtId="0" fontId="15" fillId="0" borderId="19" xfId="0" applyFont="1" applyBorder="1" applyAlignment="1">
      <alignment horizontal="center" vertical="center"/>
    </xf>
    <xf numFmtId="0" fontId="22" fillId="0" borderId="19" xfId="0" applyFont="1" applyBorder="1" applyAlignment="1">
      <alignment horizontal="center" vertical="center"/>
    </xf>
    <xf numFmtId="0" fontId="27" fillId="0" borderId="19" xfId="0" applyFont="1" applyBorder="1" applyAlignment="1">
      <alignment horizontal="center" vertical="center"/>
    </xf>
    <xf numFmtId="0" fontId="116" fillId="3" borderId="19" xfId="0" applyFont="1" applyFill="1" applyBorder="1" applyAlignment="1">
      <alignment horizontal="center" wrapText="1"/>
    </xf>
    <xf numFmtId="0" fontId="105" fillId="3" borderId="19" xfId="0" applyFont="1" applyFill="1" applyBorder="1" applyAlignment="1">
      <alignment horizontal="center" wrapText="1"/>
    </xf>
    <xf numFmtId="0" fontId="22" fillId="0" borderId="2" xfId="0" applyFont="1" applyBorder="1" applyAlignment="1">
      <alignment horizontal="center" vertical="center"/>
    </xf>
    <xf numFmtId="0" fontId="16" fillId="3" borderId="2" xfId="0" applyFont="1" applyFill="1" applyBorder="1" applyAlignment="1">
      <alignment horizontal="center" vertical="center"/>
    </xf>
    <xf numFmtId="0" fontId="116" fillId="3" borderId="2" xfId="0" applyFont="1" applyFill="1" applyBorder="1" applyAlignment="1">
      <alignment horizontal="center" wrapText="1"/>
    </xf>
    <xf numFmtId="0" fontId="105" fillId="3" borderId="2" xfId="0" applyFont="1" applyFill="1" applyBorder="1" applyAlignment="1">
      <alignment horizontal="center" wrapText="1"/>
    </xf>
    <xf numFmtId="0" fontId="22" fillId="0" borderId="23" xfId="0" applyFont="1" applyBorder="1" applyAlignment="1">
      <alignment horizontal="center" vertical="center"/>
    </xf>
    <xf numFmtId="0" fontId="27" fillId="0" borderId="32" xfId="0" applyFont="1" applyBorder="1" applyAlignment="1">
      <alignment horizontal="center" vertical="center"/>
    </xf>
    <xf numFmtId="0" fontId="16" fillId="3" borderId="20" xfId="0" applyFont="1" applyFill="1" applyBorder="1" applyAlignment="1">
      <alignment horizontal="center" vertical="center"/>
    </xf>
    <xf numFmtId="0" fontId="24" fillId="4" borderId="19" xfId="0" applyFont="1" applyFill="1" applyBorder="1" applyAlignment="1">
      <alignment horizontal="center" vertical="center"/>
    </xf>
    <xf numFmtId="16" fontId="11" fillId="3" borderId="45" xfId="0" applyNumberFormat="1" applyFont="1" applyFill="1" applyBorder="1" applyAlignment="1">
      <alignment horizontal="center" vertical="center"/>
    </xf>
    <xf numFmtId="0" fontId="11" fillId="0" borderId="45" xfId="0" applyFont="1" applyBorder="1" applyAlignment="1">
      <alignment horizontal="center" vertical="center"/>
    </xf>
    <xf numFmtId="0" fontId="11" fillId="0" borderId="44" xfId="0" applyFont="1" applyBorder="1" applyAlignment="1">
      <alignment horizontal="center" vertical="center"/>
    </xf>
    <xf numFmtId="0" fontId="15" fillId="0" borderId="35" xfId="0" applyFont="1" applyBorder="1" applyAlignment="1">
      <alignment horizontal="center" vertical="center"/>
    </xf>
    <xf numFmtId="0" fontId="15" fillId="0" borderId="36" xfId="0" applyFont="1" applyBorder="1" applyAlignment="1">
      <alignment horizontal="center" vertical="center"/>
    </xf>
    <xf numFmtId="0" fontId="116" fillId="3" borderId="73" xfId="0" applyFont="1" applyFill="1" applyBorder="1" applyAlignment="1">
      <alignment vertical="center" wrapText="1"/>
    </xf>
    <xf numFmtId="0" fontId="116" fillId="3" borderId="74" xfId="0" applyFont="1" applyFill="1" applyBorder="1" applyAlignment="1">
      <alignment vertical="center" wrapText="1"/>
    </xf>
    <xf numFmtId="0" fontId="11" fillId="0" borderId="70" xfId="0" applyFont="1" applyBorder="1" applyAlignment="1">
      <alignment horizontal="center" vertical="center"/>
    </xf>
    <xf numFmtId="0" fontId="116" fillId="3" borderId="21" xfId="0" applyFont="1" applyFill="1" applyBorder="1" applyAlignment="1">
      <alignment vertical="center" wrapText="1"/>
    </xf>
    <xf numFmtId="0" fontId="22" fillId="0" borderId="37" xfId="0" applyFont="1" applyBorder="1" applyAlignment="1">
      <alignment horizontal="center" vertical="center"/>
    </xf>
    <xf numFmtId="0" fontId="116" fillId="8" borderId="73" xfId="0" applyFont="1" applyFill="1" applyBorder="1" applyAlignment="1">
      <alignment vertical="center" wrapText="1"/>
    </xf>
    <xf numFmtId="0" fontId="11" fillId="0" borderId="47" xfId="0" applyFont="1" applyBorder="1" applyAlignment="1">
      <alignment horizontal="center" vertical="center"/>
    </xf>
    <xf numFmtId="0" fontId="116" fillId="3" borderId="47" xfId="0" applyFont="1" applyFill="1" applyBorder="1" applyAlignment="1">
      <alignment vertical="center" wrapText="1"/>
    </xf>
    <xf numFmtId="0" fontId="24" fillId="0" borderId="46" xfId="0" applyFont="1" applyBorder="1" applyAlignment="1">
      <alignment horizontal="center" vertical="center"/>
    </xf>
    <xf numFmtId="0" fontId="11" fillId="0" borderId="63"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27" fillId="0" borderId="28" xfId="0" applyFont="1" applyBorder="1" applyAlignment="1">
      <alignment horizontal="center" vertical="center"/>
    </xf>
    <xf numFmtId="0" fontId="116" fillId="3" borderId="29" xfId="0" applyFont="1" applyFill="1" applyBorder="1" applyAlignment="1">
      <alignment vertical="center" wrapText="1"/>
    </xf>
    <xf numFmtId="0" fontId="116" fillId="3" borderId="63" xfId="0" applyFont="1" applyFill="1" applyBorder="1" applyAlignment="1">
      <alignment vertical="center" wrapText="1"/>
    </xf>
    <xf numFmtId="0" fontId="24" fillId="0" borderId="28" xfId="0" applyFont="1" applyBorder="1" applyAlignment="1">
      <alignment horizontal="center" vertical="center"/>
    </xf>
    <xf numFmtId="0" fontId="24" fillId="4" borderId="28" xfId="0" applyFont="1" applyFill="1" applyBorder="1" applyAlignment="1">
      <alignment horizontal="center" vertical="center"/>
    </xf>
    <xf numFmtId="0" fontId="24" fillId="0" borderId="29" xfId="0" applyFont="1" applyBorder="1" applyAlignment="1">
      <alignment horizontal="center" vertical="center" wrapText="1"/>
    </xf>
    <xf numFmtId="0" fontId="116" fillId="8" borderId="51" xfId="0" applyFont="1" applyFill="1" applyBorder="1" applyAlignment="1">
      <alignment horizontal="center" vertical="center" wrapText="1"/>
    </xf>
    <xf numFmtId="0" fontId="16" fillId="0" borderId="19" xfId="0" applyFont="1" applyBorder="1" applyAlignment="1">
      <alignment horizontal="center" vertical="center"/>
    </xf>
    <xf numFmtId="0" fontId="130" fillId="0" borderId="2" xfId="0" applyFont="1" applyBorder="1" applyAlignment="1">
      <alignment horizontal="center" vertical="center"/>
    </xf>
    <xf numFmtId="0" fontId="38" fillId="15" borderId="23" xfId="0" applyFont="1" applyFill="1" applyBorder="1" applyAlignment="1">
      <alignment horizontal="center" vertical="center"/>
    </xf>
    <xf numFmtId="0" fontId="132" fillId="0" borderId="72" xfId="0" applyFont="1" applyBorder="1" applyAlignment="1">
      <alignment horizontal="center" vertical="center"/>
    </xf>
    <xf numFmtId="0" fontId="11" fillId="43" borderId="2" xfId="0" applyFont="1" applyFill="1" applyBorder="1" applyAlignment="1">
      <alignment horizontal="center" vertical="center"/>
    </xf>
    <xf numFmtId="0" fontId="11" fillId="43" borderId="25" xfId="0" applyFont="1" applyFill="1" applyBorder="1" applyAlignment="1">
      <alignment horizontal="center" vertical="center"/>
    </xf>
    <xf numFmtId="0" fontId="38" fillId="28" borderId="2" xfId="0" applyFont="1" applyFill="1" applyBorder="1" applyAlignment="1">
      <alignment horizontal="center" vertical="center"/>
    </xf>
    <xf numFmtId="20" fontId="17" fillId="0" borderId="2" xfId="0" applyNumberFormat="1" applyFont="1" applyBorder="1" applyAlignment="1">
      <alignment horizontal="center" vertical="center"/>
    </xf>
    <xf numFmtId="0" fontId="38" fillId="15" borderId="2" xfId="0" applyFont="1" applyFill="1" applyBorder="1" applyAlignment="1">
      <alignment horizontal="center" vertical="center"/>
    </xf>
    <xf numFmtId="0" fontId="132" fillId="0" borderId="2" xfId="0" applyFont="1" applyBorder="1" applyAlignment="1">
      <alignment horizontal="center" vertical="center"/>
    </xf>
    <xf numFmtId="0" fontId="133" fillId="0" borderId="23" xfId="0" applyFont="1" applyBorder="1" applyAlignment="1">
      <alignment horizontal="center" vertical="center"/>
    </xf>
    <xf numFmtId="0" fontId="132" fillId="0" borderId="23" xfId="0" applyFont="1" applyBorder="1" applyAlignment="1">
      <alignment horizontal="center" vertical="center"/>
    </xf>
    <xf numFmtId="0" fontId="11" fillId="12" borderId="51" xfId="0" applyFont="1" applyFill="1" applyBorder="1" applyAlignment="1">
      <alignment horizontal="center" vertical="center"/>
    </xf>
    <xf numFmtId="0" fontId="126" fillId="0" borderId="51" xfId="0" applyFont="1" applyBorder="1" applyAlignment="1">
      <alignment horizontal="center" vertical="center"/>
    </xf>
    <xf numFmtId="0" fontId="24" fillId="0" borderId="51" xfId="0" applyFont="1" applyBorder="1" applyAlignment="1">
      <alignment horizontal="center"/>
    </xf>
    <xf numFmtId="0" fontId="15" fillId="0" borderId="58" xfId="0" applyFont="1" applyBorder="1" applyAlignment="1">
      <alignment horizontal="center" vertical="center"/>
    </xf>
    <xf numFmtId="0" fontId="15" fillId="0" borderId="33" xfId="0" applyFont="1" applyBorder="1" applyAlignment="1">
      <alignment horizontal="center" vertical="center"/>
    </xf>
    <xf numFmtId="20" fontId="17" fillId="0" borderId="31" xfId="0" applyNumberFormat="1" applyFont="1" applyBorder="1" applyAlignment="1">
      <alignment horizontal="center" vertical="center"/>
    </xf>
    <xf numFmtId="0" fontId="15" fillId="0" borderId="59" xfId="0" applyFont="1" applyBorder="1" applyAlignment="1">
      <alignment horizontal="center" vertical="center"/>
    </xf>
    <xf numFmtId="0" fontId="15" fillId="0" borderId="34" xfId="0" applyFont="1" applyBorder="1" applyAlignment="1">
      <alignment horizontal="center" vertical="center"/>
    </xf>
    <xf numFmtId="20" fontId="17" fillId="0" borderId="37" xfId="0" applyNumberFormat="1" applyFont="1" applyBorder="1" applyAlignment="1">
      <alignment horizontal="center" vertical="center"/>
    </xf>
    <xf numFmtId="0" fontId="38" fillId="15" borderId="25" xfId="0" applyFont="1" applyFill="1" applyBorder="1" applyAlignment="1">
      <alignment horizontal="center" vertical="center"/>
    </xf>
    <xf numFmtId="0" fontId="11" fillId="4" borderId="21" xfId="0" applyFont="1" applyFill="1" applyBorder="1" applyAlignment="1">
      <alignment horizontal="center" vertical="center"/>
    </xf>
    <xf numFmtId="0" fontId="11" fillId="11" borderId="22" xfId="0" applyFont="1" applyFill="1" applyBorder="1" applyAlignment="1">
      <alignment horizontal="center" vertical="center"/>
    </xf>
    <xf numFmtId="0" fontId="11" fillId="0" borderId="21" xfId="0" applyFont="1" applyBorder="1" applyAlignment="1">
      <alignment horizontal="center" vertical="center"/>
    </xf>
    <xf numFmtId="0" fontId="131" fillId="0" borderId="18" xfId="0" applyFont="1" applyBorder="1"/>
    <xf numFmtId="0" fontId="8" fillId="8" borderId="26" xfId="0" applyFont="1" applyFill="1" applyBorder="1" applyAlignment="1">
      <alignment horizontal="center" vertical="center" wrapText="1"/>
    </xf>
    <xf numFmtId="0" fontId="8" fillId="0" borderId="26" xfId="0" applyFont="1" applyBorder="1" applyAlignment="1">
      <alignment horizontal="center" vertical="center" wrapText="1"/>
    </xf>
    <xf numFmtId="0" fontId="131" fillId="0" borderId="26" xfId="0" applyFont="1" applyBorder="1"/>
    <xf numFmtId="0" fontId="116" fillId="8" borderId="27" xfId="0" applyFont="1" applyFill="1" applyBorder="1" applyAlignment="1">
      <alignment horizontal="center" vertical="center" wrapText="1"/>
    </xf>
    <xf numFmtId="0" fontId="17" fillId="0" borderId="33" xfId="0" applyFont="1" applyBorder="1" applyAlignment="1">
      <alignment horizontal="center" vertical="center"/>
    </xf>
    <xf numFmtId="0" fontId="17" fillId="0" borderId="34" xfId="0" applyFont="1" applyBorder="1" applyAlignment="1">
      <alignment horizontal="center" vertical="center"/>
    </xf>
    <xf numFmtId="0" fontId="38" fillId="15" borderId="47" xfId="0" applyFont="1" applyFill="1" applyBorder="1" applyAlignment="1">
      <alignment horizontal="center" vertical="center"/>
    </xf>
    <xf numFmtId="0" fontId="116" fillId="8" borderId="46" xfId="0" applyFont="1" applyFill="1" applyBorder="1" applyAlignment="1">
      <alignment horizontal="center" vertical="center" wrapText="1"/>
    </xf>
    <xf numFmtId="0" fontId="11" fillId="12" borderId="24" xfId="0" applyFont="1" applyFill="1" applyBorder="1" applyAlignment="1">
      <alignment horizontal="center" vertical="center"/>
    </xf>
    <xf numFmtId="0" fontId="67" fillId="40" borderId="20" xfId="0" applyFont="1" applyFill="1" applyBorder="1" applyAlignment="1">
      <alignment horizontal="center" vertical="center"/>
    </xf>
    <xf numFmtId="0" fontId="67" fillId="5" borderId="0" xfId="0" applyFont="1" applyFill="1" applyAlignment="1">
      <alignment horizontal="center" vertical="center" wrapText="1"/>
    </xf>
    <xf numFmtId="0" fontId="38" fillId="46" borderId="2" xfId="0" applyFont="1" applyFill="1" applyBorder="1" applyAlignment="1">
      <alignment horizontal="center" vertical="center"/>
    </xf>
    <xf numFmtId="0" fontId="11" fillId="0" borderId="25" xfId="0" applyFont="1" applyBorder="1" applyAlignment="1">
      <alignment horizontal="center" vertical="center" wrapText="1"/>
    </xf>
    <xf numFmtId="20" fontId="22" fillId="3" borderId="19" xfId="0" applyNumberFormat="1" applyFont="1" applyFill="1" applyBorder="1" applyAlignment="1">
      <alignment horizontal="center" vertical="center"/>
    </xf>
    <xf numFmtId="16" fontId="134" fillId="0" borderId="2" xfId="0" applyNumberFormat="1" applyFont="1" applyBorder="1" applyAlignment="1">
      <alignment horizontal="center" vertical="center"/>
    </xf>
    <xf numFmtId="20" fontId="15" fillId="0" borderId="20" xfId="0" applyNumberFormat="1" applyFont="1" applyBorder="1" applyAlignment="1">
      <alignment horizontal="center" vertical="center"/>
    </xf>
    <xf numFmtId="0" fontId="135" fillId="0" borderId="2" xfId="0" applyFont="1" applyBorder="1" applyAlignment="1">
      <alignment horizontal="center" vertical="center"/>
    </xf>
    <xf numFmtId="0" fontId="44" fillId="0" borderId="54" xfId="0" applyFont="1" applyBorder="1" applyAlignment="1">
      <alignment vertical="center"/>
    </xf>
    <xf numFmtId="0" fontId="16" fillId="0" borderId="20" xfId="0" applyFont="1" applyBorder="1" applyAlignment="1">
      <alignment horizontal="center" vertical="center"/>
    </xf>
    <xf numFmtId="0" fontId="38" fillId="46" borderId="23" xfId="0" applyFont="1" applyFill="1" applyBorder="1" applyAlignment="1">
      <alignment horizontal="center" vertical="center"/>
    </xf>
    <xf numFmtId="0" fontId="11" fillId="32" borderId="51" xfId="0" applyFont="1" applyFill="1" applyBorder="1" applyAlignment="1">
      <alignment horizontal="center" vertical="center"/>
    </xf>
    <xf numFmtId="0" fontId="17" fillId="0" borderId="20" xfId="0" applyFont="1" applyBorder="1" applyAlignment="1">
      <alignment horizontal="center" vertical="center"/>
    </xf>
    <xf numFmtId="0" fontId="11" fillId="0" borderId="69" xfId="0" applyFont="1" applyBorder="1" applyAlignment="1">
      <alignment horizontal="center" vertical="center"/>
    </xf>
    <xf numFmtId="16" fontId="11" fillId="3" borderId="48" xfId="0" applyNumberFormat="1" applyFont="1" applyFill="1" applyBorder="1" applyAlignment="1">
      <alignment horizontal="center" vertical="center"/>
    </xf>
    <xf numFmtId="0" fontId="15" fillId="0" borderId="48" xfId="0" applyFont="1" applyBorder="1" applyAlignment="1">
      <alignment horizontal="center" vertical="center"/>
    </xf>
    <xf numFmtId="0" fontId="17" fillId="0" borderId="48" xfId="0" applyFont="1" applyBorder="1" applyAlignment="1">
      <alignment horizontal="center" vertical="center"/>
    </xf>
    <xf numFmtId="0" fontId="11" fillId="0" borderId="48" xfId="0" applyFont="1" applyBorder="1" applyAlignment="1">
      <alignment horizontal="center" vertical="center"/>
    </xf>
    <xf numFmtId="0" fontId="116" fillId="8" borderId="48" xfId="0" applyFont="1" applyFill="1" applyBorder="1" applyAlignment="1">
      <alignment horizontal="center" vertical="center" wrapText="1"/>
    </xf>
    <xf numFmtId="0" fontId="11" fillId="19" borderId="25" xfId="0" applyFont="1" applyFill="1" applyBorder="1" applyAlignment="1">
      <alignment horizontal="center" vertical="center"/>
    </xf>
    <xf numFmtId="0" fontId="11" fillId="19" borderId="45" xfId="0" applyFont="1" applyFill="1" applyBorder="1" applyAlignment="1">
      <alignment horizontal="center" vertical="center"/>
    </xf>
    <xf numFmtId="0" fontId="15" fillId="0" borderId="45" xfId="0" applyFont="1" applyBorder="1" applyAlignment="1">
      <alignment horizontal="center" vertical="center"/>
    </xf>
    <xf numFmtId="0" fontId="17" fillId="0" borderId="45" xfId="0" applyFont="1" applyBorder="1" applyAlignment="1">
      <alignment horizontal="center" vertical="center"/>
    </xf>
    <xf numFmtId="0" fontId="116" fillId="0" borderId="45" xfId="0" applyFont="1" applyBorder="1" applyAlignment="1">
      <alignment horizontal="center" vertical="center" wrapText="1"/>
    </xf>
    <xf numFmtId="16" fontId="11" fillId="3" borderId="30" xfId="0" applyNumberFormat="1" applyFont="1" applyFill="1" applyBorder="1" applyAlignment="1">
      <alignment horizontal="center" vertical="center"/>
    </xf>
    <xf numFmtId="0" fontId="11" fillId="19" borderId="32" xfId="0" applyFont="1" applyFill="1" applyBorder="1" applyAlignment="1">
      <alignment horizontal="center" vertical="center"/>
    </xf>
    <xf numFmtId="0" fontId="11" fillId="19" borderId="2" xfId="0" applyFont="1" applyFill="1" applyBorder="1" applyAlignment="1">
      <alignment horizontal="center" vertical="center"/>
    </xf>
    <xf numFmtId="0" fontId="126" fillId="0" borderId="22" xfId="0" applyFont="1" applyBorder="1"/>
    <xf numFmtId="0" fontId="11" fillId="26" borderId="48" xfId="0" applyFont="1" applyFill="1" applyBorder="1" applyAlignment="1">
      <alignment horizontal="center" vertical="center"/>
    </xf>
    <xf numFmtId="0" fontId="11" fillId="0" borderId="20" xfId="0" applyFont="1" applyBorder="1" applyAlignment="1">
      <alignment horizontal="center" vertical="center" wrapText="1"/>
    </xf>
    <xf numFmtId="0" fontId="10" fillId="0" borderId="47" xfId="0" applyFont="1" applyBorder="1" applyAlignment="1">
      <alignment horizontal="center" vertical="center"/>
    </xf>
    <xf numFmtId="0" fontId="10" fillId="0" borderId="54" xfId="0" applyFont="1" applyBorder="1" applyAlignment="1">
      <alignment horizontal="center" vertical="center"/>
    </xf>
    <xf numFmtId="0" fontId="8" fillId="0" borderId="74" xfId="0" applyFont="1" applyBorder="1" applyAlignment="1">
      <alignment horizontal="center" vertical="center" wrapText="1"/>
    </xf>
    <xf numFmtId="0" fontId="10" fillId="0" borderId="68" xfId="0" applyFont="1" applyBorder="1" applyAlignment="1">
      <alignment horizontal="center" vertical="center"/>
    </xf>
    <xf numFmtId="0" fontId="107" fillId="0" borderId="20" xfId="0" applyFont="1" applyBorder="1" applyAlignment="1">
      <alignment horizontal="center" vertical="center" wrapText="1"/>
    </xf>
    <xf numFmtId="0" fontId="8" fillId="5" borderId="20" xfId="0" applyFont="1" applyFill="1" applyBorder="1" applyAlignment="1">
      <alignment horizontal="center" vertical="center" wrapText="1"/>
    </xf>
    <xf numFmtId="0" fontId="8" fillId="5" borderId="2" xfId="0" applyFont="1" applyFill="1" applyBorder="1" applyAlignment="1">
      <alignment horizontal="center" vertical="center"/>
    </xf>
    <xf numFmtId="0" fontId="12" fillId="14" borderId="2" xfId="0" applyFont="1" applyFill="1" applyBorder="1" applyAlignment="1">
      <alignment horizontal="center" vertical="center" wrapText="1"/>
    </xf>
    <xf numFmtId="0" fontId="27" fillId="41" borderId="2" xfId="0" applyFont="1" applyFill="1" applyBorder="1" applyAlignment="1">
      <alignment horizontal="center" vertical="center"/>
    </xf>
    <xf numFmtId="0" fontId="27" fillId="3" borderId="33" xfId="0" applyFont="1" applyFill="1" applyBorder="1" applyAlignment="1">
      <alignment horizontal="center" vertical="center"/>
    </xf>
    <xf numFmtId="0" fontId="16" fillId="0" borderId="25" xfId="0" applyFont="1" applyBorder="1" applyAlignment="1">
      <alignment horizontal="center" vertical="center"/>
    </xf>
    <xf numFmtId="0" fontId="27" fillId="41" borderId="18" xfId="0" applyFont="1" applyFill="1" applyBorder="1" applyAlignment="1">
      <alignment horizontal="center" vertical="center"/>
    </xf>
    <xf numFmtId="0" fontId="27" fillId="41" borderId="35" xfId="0" applyFont="1" applyFill="1" applyBorder="1" applyAlignment="1">
      <alignment horizontal="center" vertical="center"/>
    </xf>
    <xf numFmtId="20" fontId="17" fillId="0" borderId="19" xfId="0" applyNumberFormat="1" applyFont="1" applyBorder="1" applyAlignment="1">
      <alignment horizontal="center" vertical="center"/>
    </xf>
    <xf numFmtId="20" fontId="17" fillId="3" borderId="19" xfId="0" applyNumberFormat="1" applyFont="1" applyFill="1" applyBorder="1" applyAlignment="1">
      <alignment horizontal="center" vertical="center"/>
    </xf>
    <xf numFmtId="0" fontId="8" fillId="0" borderId="19" xfId="0" applyFont="1" applyBorder="1" applyAlignment="1">
      <alignment horizontal="center" vertical="center"/>
    </xf>
    <xf numFmtId="0" fontId="11" fillId="15" borderId="60" xfId="0" applyFont="1" applyFill="1" applyBorder="1" applyAlignment="1">
      <alignment horizontal="center" vertical="center"/>
    </xf>
    <xf numFmtId="20" fontId="15" fillId="0" borderId="2" xfId="0" applyNumberFormat="1" applyFont="1" applyBorder="1" applyAlignment="1">
      <alignment horizontal="center" vertical="center"/>
    </xf>
    <xf numFmtId="20" fontId="22" fillId="0" borderId="20" xfId="0" applyNumberFormat="1" applyFont="1" applyBorder="1" applyAlignment="1">
      <alignment horizontal="center" vertical="center"/>
    </xf>
    <xf numFmtId="0" fontId="11" fillId="3" borderId="26" xfId="0" applyFont="1" applyFill="1" applyBorder="1" applyAlignment="1">
      <alignment horizontal="center" vertical="center"/>
    </xf>
    <xf numFmtId="0" fontId="21" fillId="0" borderId="2" xfId="0" applyFont="1" applyBorder="1" applyAlignment="1">
      <alignment horizontal="center" vertical="center"/>
    </xf>
    <xf numFmtId="0" fontId="11" fillId="3" borderId="60" xfId="0" applyFont="1" applyFill="1" applyBorder="1" applyAlignment="1">
      <alignment horizontal="center" vertical="center"/>
    </xf>
    <xf numFmtId="0" fontId="24" fillId="14" borderId="20" xfId="0" applyFont="1" applyFill="1" applyBorder="1" applyAlignment="1">
      <alignment horizontal="center" vertical="center"/>
    </xf>
    <xf numFmtId="0" fontId="15" fillId="0" borderId="51" xfId="0" applyFont="1" applyBorder="1" applyAlignment="1">
      <alignment horizontal="center" vertical="center"/>
    </xf>
    <xf numFmtId="0" fontId="24" fillId="19" borderId="20" xfId="0" applyFont="1" applyFill="1" applyBorder="1" applyAlignment="1">
      <alignment horizontal="center" vertical="center"/>
    </xf>
    <xf numFmtId="0" fontId="11" fillId="3" borderId="46" xfId="0" applyFont="1" applyFill="1" applyBorder="1" applyAlignment="1">
      <alignment horizontal="center" vertical="center"/>
    </xf>
    <xf numFmtId="0" fontId="11" fillId="3" borderId="33" xfId="0" applyFont="1" applyFill="1" applyBorder="1" applyAlignment="1">
      <alignment horizontal="center" vertical="center"/>
    </xf>
    <xf numFmtId="0" fontId="11" fillId="41" borderId="44" xfId="0" applyFont="1" applyFill="1" applyBorder="1" applyAlignment="1">
      <alignment horizontal="center" vertical="center"/>
    </xf>
    <xf numFmtId="0" fontId="11" fillId="41" borderId="45" xfId="0" applyFont="1" applyFill="1" applyBorder="1" applyAlignment="1">
      <alignment horizontal="center" vertical="center"/>
    </xf>
    <xf numFmtId="20" fontId="21" fillId="3" borderId="19" xfId="0" applyNumberFormat="1" applyFont="1" applyFill="1" applyBorder="1" applyAlignment="1">
      <alignment horizontal="center" vertical="center"/>
    </xf>
    <xf numFmtId="0" fontId="11" fillId="15" borderId="26" xfId="0" applyFont="1" applyFill="1" applyBorder="1" applyAlignment="1">
      <alignment horizontal="center" vertical="center"/>
    </xf>
    <xf numFmtId="20" fontId="22" fillId="0" borderId="2" xfId="0" applyNumberFormat="1" applyFont="1" applyBorder="1" applyAlignment="1">
      <alignment horizontal="center" vertical="center"/>
    </xf>
    <xf numFmtId="20" fontId="17" fillId="3" borderId="2" xfId="0" applyNumberFormat="1" applyFont="1" applyFill="1" applyBorder="1" applyAlignment="1">
      <alignment horizontal="center" vertical="center"/>
    </xf>
    <xf numFmtId="0" fontId="17" fillId="3" borderId="2" xfId="0" applyFont="1" applyFill="1" applyBorder="1" applyAlignment="1">
      <alignment horizontal="center" vertical="center"/>
    </xf>
    <xf numFmtId="0" fontId="24" fillId="19" borderId="2" xfId="0" applyFont="1" applyFill="1" applyBorder="1" applyAlignment="1">
      <alignment horizontal="center" vertical="center"/>
    </xf>
    <xf numFmtId="0" fontId="11" fillId="14" borderId="50" xfId="0" applyFont="1" applyFill="1" applyBorder="1" applyAlignment="1">
      <alignment horizontal="center" vertical="center"/>
    </xf>
    <xf numFmtId="0" fontId="11" fillId="14" borderId="51" xfId="0" applyFont="1" applyFill="1" applyBorder="1" applyAlignment="1">
      <alignment horizontal="center" vertical="center"/>
    </xf>
    <xf numFmtId="0" fontId="11" fillId="14" borderId="26" xfId="0" applyFont="1" applyFill="1" applyBorder="1" applyAlignment="1">
      <alignment horizontal="center" vertical="center"/>
    </xf>
    <xf numFmtId="0" fontId="136" fillId="2" borderId="2" xfId="0" applyFont="1" applyFill="1" applyBorder="1" applyAlignment="1">
      <alignment horizontal="center" vertical="center"/>
    </xf>
    <xf numFmtId="0" fontId="11" fillId="50" borderId="60" xfId="0" applyFont="1" applyFill="1" applyBorder="1" applyAlignment="1">
      <alignment horizontal="center" vertical="center"/>
    </xf>
    <xf numFmtId="0" fontId="11" fillId="50" borderId="20" xfId="0" applyFont="1" applyFill="1" applyBorder="1" applyAlignment="1">
      <alignment horizontal="center" vertical="center"/>
    </xf>
    <xf numFmtId="0" fontId="11" fillId="12" borderId="46" xfId="0" applyFont="1" applyFill="1" applyBorder="1" applyAlignment="1">
      <alignment horizontal="center" vertical="center"/>
    </xf>
    <xf numFmtId="0" fontId="22" fillId="3" borderId="2" xfId="0" applyFont="1" applyFill="1" applyBorder="1" applyAlignment="1">
      <alignment horizontal="center" vertical="center"/>
    </xf>
    <xf numFmtId="0" fontId="15" fillId="0" borderId="22" xfId="0" applyFont="1" applyBorder="1" applyAlignment="1">
      <alignment horizontal="center" vertical="center"/>
    </xf>
    <xf numFmtId="0" fontId="11" fillId="3" borderId="27" xfId="0" applyFont="1" applyFill="1" applyBorder="1" applyAlignment="1">
      <alignment horizontal="center" vertical="center"/>
    </xf>
    <xf numFmtId="20" fontId="22" fillId="3" borderId="23" xfId="0" applyNumberFormat="1" applyFont="1" applyFill="1" applyBorder="1" applyAlignment="1">
      <alignment horizontal="center" vertical="center"/>
    </xf>
    <xf numFmtId="0" fontId="15" fillId="0" borderId="24" xfId="0" applyFont="1" applyBorder="1" applyAlignment="1">
      <alignment horizontal="center" vertical="center"/>
    </xf>
    <xf numFmtId="0" fontId="11" fillId="12" borderId="45" xfId="0" applyFont="1" applyFill="1" applyBorder="1" applyAlignment="1">
      <alignment horizontal="center" vertical="center"/>
    </xf>
    <xf numFmtId="0" fontId="22" fillId="3" borderId="19" xfId="0" applyFont="1" applyFill="1" applyBorder="1" applyAlignment="1">
      <alignment horizontal="center" vertical="center"/>
    </xf>
    <xf numFmtId="0" fontId="15" fillId="0" borderId="21" xfId="0" applyFont="1" applyBorder="1" applyAlignment="1">
      <alignment horizontal="center" vertical="center"/>
    </xf>
    <xf numFmtId="0" fontId="11" fillId="69" borderId="2" xfId="0" applyFont="1" applyFill="1" applyBorder="1" applyAlignment="1">
      <alignment horizontal="center" vertical="center"/>
    </xf>
    <xf numFmtId="0" fontId="15" fillId="4" borderId="2" xfId="0" applyFont="1" applyFill="1" applyBorder="1" applyAlignment="1">
      <alignment horizontal="center" vertical="center"/>
    </xf>
    <xf numFmtId="0" fontId="22" fillId="4" borderId="2" xfId="0" applyFont="1" applyFill="1" applyBorder="1" applyAlignment="1">
      <alignment horizontal="center" vertical="center"/>
    </xf>
    <xf numFmtId="0" fontId="126" fillId="0" borderId="22" xfId="0" applyFont="1" applyBorder="1" applyAlignment="1">
      <alignment wrapText="1"/>
    </xf>
    <xf numFmtId="0" fontId="11" fillId="25" borderId="20" xfId="0" applyFont="1" applyFill="1" applyBorder="1" applyAlignment="1">
      <alignment horizontal="center" vertical="center"/>
    </xf>
    <xf numFmtId="0" fontId="24" fillId="35" borderId="2" xfId="0" applyFont="1" applyFill="1" applyBorder="1" applyAlignment="1">
      <alignment horizontal="center" vertical="center"/>
    </xf>
    <xf numFmtId="0" fontId="24" fillId="0" borderId="54" xfId="0" applyFont="1" applyBorder="1"/>
    <xf numFmtId="0" fontId="11" fillId="23" borderId="20" xfId="0" applyFont="1" applyFill="1" applyBorder="1" applyAlignment="1">
      <alignment horizontal="center" vertical="center"/>
    </xf>
    <xf numFmtId="20" fontId="15" fillId="22" borderId="25" xfId="0" applyNumberFormat="1" applyFont="1" applyFill="1" applyBorder="1" applyAlignment="1">
      <alignment horizontal="center" vertical="center"/>
    </xf>
    <xf numFmtId="20" fontId="15" fillId="0" borderId="25" xfId="0" applyNumberFormat="1" applyFont="1" applyBorder="1" applyAlignment="1">
      <alignment horizontal="center" vertical="center"/>
    </xf>
    <xf numFmtId="20" fontId="22" fillId="0" borderId="25" xfId="0" applyNumberFormat="1" applyFont="1" applyBorder="1" applyAlignment="1">
      <alignment horizontal="center" vertical="center"/>
    </xf>
    <xf numFmtId="0" fontId="137" fillId="4" borderId="25" xfId="0" applyFont="1" applyFill="1" applyBorder="1" applyAlignment="1">
      <alignment horizontal="center" vertical="center"/>
    </xf>
    <xf numFmtId="0" fontId="11" fillId="11" borderId="23" xfId="0" applyFont="1" applyFill="1" applyBorder="1" applyAlignment="1">
      <alignment horizontal="center" vertical="center"/>
    </xf>
    <xf numFmtId="0" fontId="17" fillId="0" borderId="23" xfId="0" applyFont="1" applyBorder="1" applyAlignment="1">
      <alignment horizontal="center" vertical="center"/>
    </xf>
    <xf numFmtId="0" fontId="11" fillId="0" borderId="23" xfId="0" applyFont="1" applyBorder="1" applyAlignment="1">
      <alignment horizontal="center" vertical="center" wrapText="1"/>
    </xf>
    <xf numFmtId="0" fontId="11" fillId="50" borderId="19" xfId="0" applyFont="1" applyFill="1" applyBorder="1" applyAlignment="1">
      <alignment horizontal="center" vertical="center"/>
    </xf>
    <xf numFmtId="20" fontId="22" fillId="0" borderId="19" xfId="0" applyNumberFormat="1" applyFont="1" applyBorder="1" applyAlignment="1">
      <alignment horizontal="center" vertical="center"/>
    </xf>
    <xf numFmtId="0" fontId="116" fillId="0" borderId="25" xfId="0" applyFont="1" applyBorder="1" applyAlignment="1">
      <alignment horizontal="center" vertical="center" wrapText="1"/>
    </xf>
    <xf numFmtId="0" fontId="126" fillId="0" borderId="47" xfId="0" applyFont="1" applyBorder="1"/>
    <xf numFmtId="0" fontId="24" fillId="0" borderId="22" xfId="0" applyFont="1" applyBorder="1"/>
    <xf numFmtId="0" fontId="11" fillId="11" borderId="20" xfId="0" applyFont="1" applyFill="1" applyBorder="1" applyAlignment="1">
      <alignment horizontal="center" vertical="center"/>
    </xf>
    <xf numFmtId="20" fontId="22" fillId="0" borderId="23" xfId="0" applyNumberFormat="1" applyFont="1" applyBorder="1" applyAlignment="1">
      <alignment horizontal="center" vertical="center"/>
    </xf>
    <xf numFmtId="0" fontId="126" fillId="0" borderId="2" xfId="0" applyFont="1" applyBorder="1"/>
    <xf numFmtId="0" fontId="10" fillId="12" borderId="2" xfId="0" applyFont="1" applyFill="1" applyBorder="1" applyAlignment="1">
      <alignment horizontal="center" vertical="center"/>
    </xf>
    <xf numFmtId="16" fontId="11" fillId="11" borderId="2" xfId="0" applyNumberFormat="1" applyFont="1" applyFill="1" applyBorder="1" applyAlignment="1">
      <alignment horizontal="center" vertical="center"/>
    </xf>
    <xf numFmtId="16" fontId="11" fillId="40" borderId="20" xfId="0" applyNumberFormat="1" applyFont="1" applyFill="1" applyBorder="1" applyAlignment="1">
      <alignment horizontal="center" vertical="center"/>
    </xf>
    <xf numFmtId="16" fontId="11" fillId="14" borderId="23" xfId="0" applyNumberFormat="1" applyFont="1" applyFill="1" applyBorder="1" applyAlignment="1">
      <alignment horizontal="center" vertical="center"/>
    </xf>
    <xf numFmtId="16" fontId="11" fillId="24" borderId="19" xfId="0" applyNumberFormat="1" applyFont="1" applyFill="1" applyBorder="1" applyAlignment="1">
      <alignment horizontal="center" vertical="center"/>
    </xf>
    <xf numFmtId="16" fontId="11" fillId="11" borderId="19" xfId="0" applyNumberFormat="1" applyFont="1" applyFill="1" applyBorder="1" applyAlignment="1">
      <alignment horizontal="center" vertical="center"/>
    </xf>
    <xf numFmtId="0" fontId="106" fillId="0" borderId="64" xfId="0" applyFont="1" applyBorder="1" applyAlignment="1">
      <alignment horizontal="center" vertical="center" wrapText="1"/>
    </xf>
    <xf numFmtId="0" fontId="105" fillId="0" borderId="64" xfId="0" applyFont="1" applyBorder="1" applyAlignment="1">
      <alignment horizontal="center" vertical="center" wrapText="1"/>
    </xf>
    <xf numFmtId="0" fontId="105" fillId="0" borderId="31" xfId="0" applyFont="1" applyBorder="1" applyAlignment="1">
      <alignment horizontal="center" vertical="center" wrapText="1"/>
    </xf>
    <xf numFmtId="0" fontId="106" fillId="0" borderId="53" xfId="0" applyFont="1" applyBorder="1" applyAlignment="1">
      <alignment horizontal="center" vertical="center" wrapText="1"/>
    </xf>
    <xf numFmtId="0" fontId="107" fillId="0" borderId="53" xfId="0" applyFont="1" applyBorder="1" applyAlignment="1">
      <alignment horizontal="center" vertical="center" wrapText="1"/>
    </xf>
    <xf numFmtId="0" fontId="105" fillId="0" borderId="53" xfId="0" applyFont="1" applyBorder="1" applyAlignment="1">
      <alignment horizontal="center" vertical="center" wrapText="1"/>
    </xf>
    <xf numFmtId="0" fontId="107" fillId="0" borderId="62" xfId="0" applyFont="1" applyBorder="1" applyAlignment="1">
      <alignment horizontal="center" vertical="center" wrapText="1"/>
    </xf>
    <xf numFmtId="0" fontId="105" fillId="0" borderId="37" xfId="0" applyFont="1" applyBorder="1" applyAlignment="1">
      <alignment horizontal="center" vertical="center" wrapText="1"/>
    </xf>
    <xf numFmtId="0" fontId="67" fillId="5" borderId="76" xfId="0" applyFont="1" applyFill="1" applyBorder="1" applyAlignment="1">
      <alignment horizontal="center" vertical="center" wrapText="1"/>
    </xf>
    <xf numFmtId="0" fontId="67" fillId="5" borderId="74" xfId="0" applyFont="1" applyFill="1" applyBorder="1" applyAlignment="1">
      <alignment horizontal="center" vertical="center" wrapText="1"/>
    </xf>
    <xf numFmtId="16" fontId="11" fillId="3" borderId="21" xfId="0" applyNumberFormat="1" applyFont="1" applyFill="1" applyBorder="1" applyAlignment="1">
      <alignment horizontal="center" vertical="center"/>
    </xf>
    <xf numFmtId="16" fontId="11" fillId="40" borderId="54" xfId="0" applyNumberFormat="1" applyFont="1" applyFill="1" applyBorder="1" applyAlignment="1">
      <alignment horizontal="center" vertical="center"/>
    </xf>
    <xf numFmtId="16" fontId="11" fillId="14" borderId="24" xfId="0" applyNumberFormat="1" applyFont="1" applyFill="1" applyBorder="1" applyAlignment="1">
      <alignment horizontal="center" vertical="center"/>
    </xf>
    <xf numFmtId="0" fontId="8" fillId="5" borderId="18" xfId="0" applyFont="1" applyFill="1" applyBorder="1" applyAlignment="1">
      <alignment horizontal="center" vertical="center" wrapText="1"/>
    </xf>
    <xf numFmtId="0" fontId="8" fillId="5" borderId="21" xfId="0" applyFont="1" applyFill="1" applyBorder="1" applyAlignment="1">
      <alignment horizontal="center" vertical="center" wrapText="1"/>
    </xf>
    <xf numFmtId="0" fontId="8" fillId="5" borderId="60" xfId="0" applyFont="1" applyFill="1" applyBorder="1" applyAlignment="1">
      <alignment horizontal="center" vertical="center" wrapText="1"/>
    </xf>
    <xf numFmtId="0" fontId="8" fillId="5" borderId="54" xfId="0" applyFont="1" applyFill="1" applyBorder="1" applyAlignment="1">
      <alignment horizontal="center" vertical="center" wrapText="1"/>
    </xf>
    <xf numFmtId="0" fontId="8" fillId="5" borderId="27" xfId="0" applyFont="1" applyFill="1" applyBorder="1" applyAlignment="1">
      <alignment horizontal="center" vertical="center" wrapText="1"/>
    </xf>
    <xf numFmtId="0" fontId="8" fillId="5" borderId="24" xfId="0" applyFont="1" applyFill="1" applyBorder="1" applyAlignment="1">
      <alignment horizontal="center" vertical="center" wrapText="1"/>
    </xf>
    <xf numFmtId="0" fontId="116" fillId="8" borderId="18" xfId="0" applyFont="1" applyFill="1" applyBorder="1" applyAlignment="1">
      <alignment horizontal="center" vertical="center" wrapText="1"/>
    </xf>
    <xf numFmtId="0" fontId="67" fillId="5" borderId="60" xfId="0" applyFont="1" applyFill="1" applyBorder="1" applyAlignment="1">
      <alignment horizontal="center" vertical="center" wrapText="1"/>
    </xf>
    <xf numFmtId="0" fontId="116" fillId="8" borderId="26" xfId="0" applyFont="1" applyFill="1" applyBorder="1" applyAlignment="1">
      <alignment horizontal="center" vertical="center" wrapText="1"/>
    </xf>
    <xf numFmtId="0" fontId="8" fillId="5" borderId="46" xfId="0" applyFont="1" applyFill="1" applyBorder="1" applyAlignment="1">
      <alignment horizontal="center" vertical="center" wrapText="1"/>
    </xf>
    <xf numFmtId="0" fontId="8" fillId="5" borderId="47" xfId="0" applyFont="1" applyFill="1" applyBorder="1" applyAlignment="1">
      <alignment horizontal="center" vertical="center" wrapText="1"/>
    </xf>
    <xf numFmtId="16" fontId="11" fillId="40" borderId="2" xfId="0" applyNumberFormat="1" applyFont="1" applyFill="1" applyBorder="1" applyAlignment="1">
      <alignment horizontal="center" vertical="center"/>
    </xf>
    <xf numFmtId="16" fontId="38" fillId="51" borderId="2" xfId="0" applyNumberFormat="1" applyFont="1" applyFill="1" applyBorder="1" applyAlignment="1">
      <alignment horizontal="center" vertical="center"/>
    </xf>
    <xf numFmtId="16" fontId="11" fillId="24" borderId="2" xfId="0" applyNumberFormat="1" applyFont="1" applyFill="1" applyBorder="1" applyAlignment="1">
      <alignment horizontal="center" vertical="center"/>
    </xf>
    <xf numFmtId="16" fontId="11" fillId="15" borderId="2" xfId="0" applyNumberFormat="1" applyFont="1" applyFill="1" applyBorder="1" applyAlignment="1">
      <alignment horizontal="center" vertical="center"/>
    </xf>
    <xf numFmtId="16" fontId="11" fillId="34" borderId="2" xfId="0" applyNumberFormat="1" applyFont="1" applyFill="1" applyBorder="1" applyAlignment="1">
      <alignment horizontal="center" vertical="center"/>
    </xf>
    <xf numFmtId="0" fontId="12" fillId="11" borderId="2" xfId="0" applyFont="1" applyFill="1" applyBorder="1" applyAlignment="1">
      <alignment horizontal="center" vertical="center" wrapText="1"/>
    </xf>
    <xf numFmtId="0" fontId="107" fillId="0" borderId="31" xfId="0" applyFont="1" applyBorder="1" applyAlignment="1">
      <alignment horizontal="center" vertical="center" wrapText="1"/>
    </xf>
    <xf numFmtId="0" fontId="109" fillId="3" borderId="53" xfId="0" applyFont="1" applyFill="1" applyBorder="1" applyAlignment="1">
      <alignment horizontal="center" vertical="center" wrapText="1"/>
    </xf>
    <xf numFmtId="0" fontId="107" fillId="0" borderId="37" xfId="0" applyFont="1" applyBorder="1" applyAlignment="1">
      <alignment horizontal="center" vertical="center" wrapText="1"/>
    </xf>
    <xf numFmtId="16" fontId="11" fillId="40" borderId="22" xfId="0" applyNumberFormat="1" applyFont="1" applyFill="1" applyBorder="1" applyAlignment="1">
      <alignment horizontal="center" vertical="center"/>
    </xf>
    <xf numFmtId="16" fontId="38" fillId="51" borderId="22" xfId="0" applyNumberFormat="1" applyFont="1" applyFill="1" applyBorder="1" applyAlignment="1">
      <alignment horizontal="center" vertical="center"/>
    </xf>
    <xf numFmtId="16" fontId="11" fillId="24" borderId="22" xfId="0" applyNumberFormat="1" applyFont="1" applyFill="1" applyBorder="1" applyAlignment="1">
      <alignment horizontal="center" vertical="center"/>
    </xf>
    <xf numFmtId="16" fontId="11" fillId="15" borderId="22" xfId="0" applyNumberFormat="1" applyFont="1" applyFill="1" applyBorder="1" applyAlignment="1">
      <alignment horizontal="center" vertical="center"/>
    </xf>
    <xf numFmtId="16" fontId="11" fillId="34" borderId="22" xfId="0" applyNumberFormat="1" applyFont="1" applyFill="1" applyBorder="1" applyAlignment="1">
      <alignment horizontal="center" vertical="center"/>
    </xf>
    <xf numFmtId="0" fontId="8" fillId="5" borderId="26" xfId="0" applyFont="1" applyFill="1" applyBorder="1" applyAlignment="1">
      <alignment horizontal="center" vertical="center" wrapText="1"/>
    </xf>
    <xf numFmtId="0" fontId="8" fillId="5" borderId="22" xfId="0" applyFont="1" applyFill="1" applyBorder="1" applyAlignment="1">
      <alignment horizontal="center" vertical="center" wrapText="1"/>
    </xf>
    <xf numFmtId="0" fontId="67" fillId="5" borderId="18" xfId="0" applyFont="1" applyFill="1" applyBorder="1" applyAlignment="1">
      <alignment horizontal="center" vertical="center" wrapText="1"/>
    </xf>
    <xf numFmtId="0" fontId="67" fillId="5" borderId="26" xfId="0" applyFont="1" applyFill="1" applyBorder="1" applyAlignment="1">
      <alignment horizontal="center" vertical="center" wrapText="1"/>
    </xf>
    <xf numFmtId="0" fontId="105" fillId="0" borderId="35" xfId="0" applyFont="1" applyBorder="1" applyAlignment="1">
      <alignment horizontal="center" vertical="center" wrapText="1"/>
    </xf>
    <xf numFmtId="0" fontId="107" fillId="0" borderId="71" xfId="0" applyFont="1" applyBorder="1" applyAlignment="1">
      <alignment horizontal="center" vertical="center" wrapText="1"/>
    </xf>
    <xf numFmtId="0" fontId="105" fillId="0" borderId="36" xfId="0" applyFont="1" applyBorder="1" applyAlignment="1">
      <alignment horizontal="center" vertical="center" wrapText="1"/>
    </xf>
    <xf numFmtId="0" fontId="105" fillId="3" borderId="53" xfId="0" applyFont="1" applyFill="1" applyBorder="1" applyAlignment="1">
      <alignment horizontal="center" vertical="center" wrapText="1"/>
    </xf>
    <xf numFmtId="0" fontId="107" fillId="0" borderId="75" xfId="0" applyFont="1" applyBorder="1" applyAlignment="1">
      <alignment horizontal="center" vertical="center" wrapText="1"/>
    </xf>
    <xf numFmtId="0" fontId="67" fillId="5" borderId="73" xfId="0" applyFont="1" applyFill="1" applyBorder="1" applyAlignment="1">
      <alignment horizontal="center" vertical="center" wrapText="1"/>
    </xf>
    <xf numFmtId="0" fontId="67" fillId="5" borderId="46" xfId="0" applyFont="1" applyFill="1" applyBorder="1" applyAlignment="1">
      <alignment horizontal="center" vertical="center" wrapText="1"/>
    </xf>
    <xf numFmtId="16" fontId="11" fillId="24" borderId="21" xfId="0" applyNumberFormat="1" applyFont="1" applyFill="1" applyBorder="1" applyAlignment="1">
      <alignment horizontal="center" vertical="center"/>
    </xf>
    <xf numFmtId="0" fontId="109" fillId="3" borderId="30" xfId="0" applyFont="1" applyFill="1" applyBorder="1" applyAlignment="1">
      <alignment horizontal="center" vertical="center" wrapText="1"/>
    </xf>
    <xf numFmtId="0" fontId="107" fillId="0" borderId="36" xfId="0" applyFont="1" applyBorder="1" applyAlignment="1">
      <alignment horizontal="center" vertical="center" wrapText="1"/>
    </xf>
    <xf numFmtId="16" fontId="11" fillId="11" borderId="25" xfId="0" applyNumberFormat="1" applyFont="1" applyFill="1" applyBorder="1" applyAlignment="1">
      <alignment horizontal="center" vertical="center"/>
    </xf>
    <xf numFmtId="16" fontId="11" fillId="11" borderId="47" xfId="0" applyNumberFormat="1" applyFont="1" applyFill="1" applyBorder="1" applyAlignment="1">
      <alignment horizontal="center" vertical="center"/>
    </xf>
    <xf numFmtId="16" fontId="11" fillId="36" borderId="2" xfId="0" applyNumberFormat="1" applyFont="1" applyFill="1" applyBorder="1" applyAlignment="1">
      <alignment horizontal="center" vertical="center"/>
    </xf>
    <xf numFmtId="16" fontId="11" fillId="31" borderId="2" xfId="0" applyNumberFormat="1" applyFont="1" applyFill="1" applyBorder="1" applyAlignment="1">
      <alignment horizontal="center" vertical="center"/>
    </xf>
    <xf numFmtId="16" fontId="11" fillId="11" borderId="22" xfId="0" applyNumberFormat="1" applyFont="1" applyFill="1" applyBorder="1" applyAlignment="1">
      <alignment horizontal="center" vertical="center"/>
    </xf>
    <xf numFmtId="16" fontId="11" fillId="31" borderId="22" xfId="0" applyNumberFormat="1" applyFont="1" applyFill="1" applyBorder="1" applyAlignment="1">
      <alignment horizontal="center" vertical="center"/>
    </xf>
    <xf numFmtId="16" fontId="11" fillId="65" borderId="2" xfId="0" applyNumberFormat="1" applyFont="1" applyFill="1" applyBorder="1" applyAlignment="1">
      <alignment horizontal="center" vertical="center"/>
    </xf>
    <xf numFmtId="0" fontId="109" fillId="0" borderId="64" xfId="0" applyFont="1" applyBorder="1" applyAlignment="1">
      <alignment horizontal="center" vertical="center" wrapText="1"/>
    </xf>
    <xf numFmtId="20" fontId="109" fillId="0" borderId="64" xfId="0" applyNumberFormat="1" applyFont="1" applyBorder="1" applyAlignment="1">
      <alignment horizontal="center" vertical="center" wrapText="1"/>
    </xf>
    <xf numFmtId="0" fontId="109" fillId="4" borderId="64" xfId="0" applyFont="1" applyFill="1" applyBorder="1" applyAlignment="1">
      <alignment horizontal="center" vertical="center" wrapText="1"/>
    </xf>
    <xf numFmtId="20" fontId="109" fillId="0" borderId="53" xfId="0" applyNumberFormat="1" applyFont="1" applyBorder="1" applyAlignment="1">
      <alignment horizontal="center" vertical="center" wrapText="1"/>
    </xf>
    <xf numFmtId="0" fontId="107" fillId="4" borderId="53" xfId="0" applyFont="1" applyFill="1" applyBorder="1" applyAlignment="1">
      <alignment horizontal="center" vertical="center" wrapText="1"/>
    </xf>
    <xf numFmtId="16" fontId="11" fillId="11" borderId="21" xfId="0" applyNumberFormat="1" applyFont="1" applyFill="1" applyBorder="1" applyAlignment="1">
      <alignment horizontal="center" vertical="center"/>
    </xf>
    <xf numFmtId="16" fontId="11" fillId="65" borderId="22" xfId="0" applyNumberFormat="1" applyFont="1" applyFill="1" applyBorder="1" applyAlignment="1">
      <alignment horizontal="center" vertical="center"/>
    </xf>
    <xf numFmtId="16" fontId="11" fillId="20" borderId="2" xfId="0" applyNumberFormat="1" applyFont="1" applyFill="1" applyBorder="1" applyAlignment="1">
      <alignment horizontal="center" vertical="center"/>
    </xf>
    <xf numFmtId="16" fontId="11" fillId="14" borderId="2" xfId="0" applyNumberFormat="1" applyFont="1" applyFill="1" applyBorder="1" applyAlignment="1">
      <alignment horizontal="center" vertical="center"/>
    </xf>
    <xf numFmtId="16" fontId="11" fillId="20" borderId="22" xfId="0" applyNumberFormat="1" applyFont="1" applyFill="1" applyBorder="1" applyAlignment="1">
      <alignment horizontal="center" vertical="center"/>
    </xf>
    <xf numFmtId="16" fontId="11" fillId="14" borderId="22" xfId="0" applyNumberFormat="1" applyFont="1" applyFill="1" applyBorder="1" applyAlignment="1">
      <alignment horizontal="center" vertical="center"/>
    </xf>
    <xf numFmtId="0" fontId="8" fillId="33" borderId="26" xfId="0" applyFont="1" applyFill="1" applyBorder="1" applyAlignment="1">
      <alignment horizontal="center" vertical="center" wrapText="1"/>
    </xf>
    <xf numFmtId="0" fontId="8" fillId="33" borderId="0" xfId="0" applyFont="1" applyFill="1" applyAlignment="1">
      <alignment horizontal="center" vertical="center" wrapText="1"/>
    </xf>
    <xf numFmtId="0" fontId="138" fillId="0" borderId="30" xfId="0" applyFont="1" applyBorder="1" applyAlignment="1">
      <alignment horizontal="center" vertical="center" wrapText="1"/>
    </xf>
    <xf numFmtId="0" fontId="26" fillId="0" borderId="30" xfId="0" applyFont="1" applyBorder="1" applyAlignment="1">
      <alignment horizontal="center" vertical="center"/>
    </xf>
    <xf numFmtId="0" fontId="8" fillId="15" borderId="20" xfId="0" applyFont="1" applyFill="1" applyBorder="1" applyAlignment="1">
      <alignment horizontal="center" vertical="center" wrapText="1"/>
    </xf>
    <xf numFmtId="16" fontId="11" fillId="3" borderId="64" xfId="0" applyNumberFormat="1" applyFont="1" applyFill="1" applyBorder="1" applyAlignment="1">
      <alignment horizontal="center" vertical="center"/>
    </xf>
    <xf numFmtId="16" fontId="11" fillId="14" borderId="20" xfId="0" applyNumberFormat="1" applyFont="1" applyFill="1" applyBorder="1" applyAlignment="1">
      <alignment horizontal="center" vertical="center"/>
    </xf>
    <xf numFmtId="16" fontId="11" fillId="14" borderId="64" xfId="0" applyNumberFormat="1" applyFont="1" applyFill="1" applyBorder="1" applyAlignment="1">
      <alignment horizontal="center" vertical="center"/>
    </xf>
    <xf numFmtId="0" fontId="26" fillId="0" borderId="30" xfId="0" applyFont="1" applyBorder="1" applyAlignment="1">
      <alignment horizontal="center" vertical="center" wrapText="1"/>
    </xf>
    <xf numFmtId="0" fontId="12" fillId="14" borderId="20" xfId="0" applyFont="1" applyFill="1" applyBorder="1" applyAlignment="1">
      <alignment horizontal="center" vertical="center" wrapText="1"/>
    </xf>
    <xf numFmtId="0" fontId="12" fillId="24" borderId="20" xfId="0" applyFont="1" applyFill="1" applyBorder="1" applyAlignment="1">
      <alignment horizontal="center" vertical="center" wrapText="1"/>
    </xf>
    <xf numFmtId="0" fontId="107" fillId="0" borderId="51" xfId="0" applyFont="1" applyBorder="1" applyAlignment="1">
      <alignment horizontal="center" vertical="center" wrapText="1"/>
    </xf>
    <xf numFmtId="0" fontId="109" fillId="0" borderId="19" xfId="0" applyFont="1" applyBorder="1" applyAlignment="1">
      <alignment horizontal="center" vertical="center" wrapText="1"/>
    </xf>
    <xf numFmtId="0" fontId="8" fillId="5" borderId="19" xfId="0" applyFont="1" applyFill="1" applyBorder="1" applyAlignment="1">
      <alignment horizontal="center" vertical="center" wrapText="1"/>
    </xf>
    <xf numFmtId="16" fontId="11" fillId="2" borderId="20" xfId="0" applyNumberFormat="1" applyFont="1" applyFill="1" applyBorder="1" applyAlignment="1">
      <alignment horizontal="center" vertical="center"/>
    </xf>
    <xf numFmtId="16" fontId="11" fillId="15" borderId="20" xfId="0" applyNumberFormat="1" applyFont="1" applyFill="1" applyBorder="1" applyAlignment="1">
      <alignment horizontal="center" vertical="center"/>
    </xf>
    <xf numFmtId="16" fontId="11" fillId="15" borderId="23" xfId="0" applyNumberFormat="1" applyFont="1" applyFill="1" applyBorder="1" applyAlignment="1">
      <alignment horizontal="center" vertical="center"/>
    </xf>
    <xf numFmtId="0" fontId="107" fillId="0" borderId="48" xfId="0" applyFont="1" applyBorder="1" applyAlignment="1">
      <alignment horizontal="center" vertical="center" wrapText="1"/>
    </xf>
    <xf numFmtId="0" fontId="8" fillId="5" borderId="23" xfId="0" applyFont="1" applyFill="1" applyBorder="1" applyAlignment="1">
      <alignment horizontal="center" vertical="center" wrapText="1"/>
    </xf>
    <xf numFmtId="0" fontId="8" fillId="5" borderId="51" xfId="0" applyFont="1" applyFill="1" applyBorder="1" applyAlignment="1">
      <alignment horizontal="center" vertical="center" wrapText="1"/>
    </xf>
    <xf numFmtId="0" fontId="8" fillId="5" borderId="32" xfId="0" applyFont="1" applyFill="1" applyBorder="1" applyAlignment="1">
      <alignment horizontal="center" vertical="center" wrapText="1"/>
    </xf>
    <xf numFmtId="16" fontId="11" fillId="44" borderId="2" xfId="0" applyNumberFormat="1" applyFont="1" applyFill="1" applyBorder="1" applyAlignment="1">
      <alignment horizontal="center" vertical="center"/>
    </xf>
    <xf numFmtId="16" fontId="11" fillId="44" borderId="30" xfId="0" applyNumberFormat="1" applyFont="1" applyFill="1" applyBorder="1" applyAlignment="1">
      <alignment horizontal="center" vertical="center"/>
    </xf>
    <xf numFmtId="16" fontId="11" fillId="44" borderId="25" xfId="0" applyNumberFormat="1" applyFont="1" applyFill="1" applyBorder="1" applyAlignment="1">
      <alignment horizontal="center" vertical="center"/>
    </xf>
    <xf numFmtId="16" fontId="11" fillId="44" borderId="33" xfId="0" applyNumberFormat="1" applyFont="1" applyFill="1" applyBorder="1" applyAlignment="1">
      <alignment horizontal="center" vertical="center"/>
    </xf>
    <xf numFmtId="0" fontId="8" fillId="5" borderId="34" xfId="0" applyFont="1" applyFill="1" applyBorder="1" applyAlignment="1">
      <alignment horizontal="center" vertical="center" wrapText="1"/>
    </xf>
    <xf numFmtId="16" fontId="11" fillId="2" borderId="25" xfId="0" applyNumberFormat="1" applyFont="1" applyFill="1" applyBorder="1" applyAlignment="1">
      <alignment horizontal="center" vertical="center"/>
    </xf>
    <xf numFmtId="16" fontId="11" fillId="2" borderId="33" xfId="0" applyNumberFormat="1" applyFont="1" applyFill="1" applyBorder="1" applyAlignment="1">
      <alignment horizontal="center" vertical="center"/>
    </xf>
    <xf numFmtId="0" fontId="8" fillId="5" borderId="53" xfId="0" applyFont="1" applyFill="1" applyBorder="1" applyAlignment="1">
      <alignment horizontal="center" vertical="center" wrapText="1"/>
    </xf>
    <xf numFmtId="16" fontId="11" fillId="50" borderId="45" xfId="0" applyNumberFormat="1" applyFont="1" applyFill="1" applyBorder="1" applyAlignment="1">
      <alignment horizontal="center" vertical="center"/>
    </xf>
    <xf numFmtId="0" fontId="105" fillId="3" borderId="45" xfId="0" applyFont="1" applyFill="1" applyBorder="1" applyAlignment="1">
      <alignment horizontal="center" vertical="center" wrapText="1"/>
    </xf>
    <xf numFmtId="0" fontId="8" fillId="5" borderId="45" xfId="0" applyFont="1" applyFill="1" applyBorder="1" applyAlignment="1">
      <alignment horizontal="center" vertical="center" wrapText="1"/>
    </xf>
    <xf numFmtId="0" fontId="116" fillId="8" borderId="45" xfId="0" applyFont="1" applyFill="1" applyBorder="1" applyAlignment="1">
      <alignment horizontal="center" vertical="center" wrapText="1"/>
    </xf>
    <xf numFmtId="0" fontId="107" fillId="0" borderId="25" xfId="0" applyFont="1" applyBorder="1" applyAlignment="1">
      <alignment horizontal="center" vertical="center" wrapText="1"/>
    </xf>
    <xf numFmtId="0" fontId="106" fillId="3" borderId="23" xfId="0" applyFont="1" applyFill="1" applyBorder="1" applyAlignment="1">
      <alignment horizontal="center" vertical="center" wrapText="1"/>
    </xf>
    <xf numFmtId="16" fontId="11" fillId="28" borderId="19" xfId="0" applyNumberFormat="1" applyFont="1" applyFill="1" applyBorder="1" applyAlignment="1">
      <alignment horizontal="center" vertical="center"/>
    </xf>
    <xf numFmtId="16" fontId="11" fillId="28" borderId="53" xfId="0" applyNumberFormat="1" applyFont="1" applyFill="1" applyBorder="1" applyAlignment="1">
      <alignment horizontal="center" vertical="center"/>
    </xf>
    <xf numFmtId="16" fontId="11" fillId="28" borderId="20" xfId="0" applyNumberFormat="1" applyFont="1" applyFill="1" applyBorder="1" applyAlignment="1">
      <alignment horizontal="center" vertical="center"/>
    </xf>
    <xf numFmtId="0" fontId="105" fillId="0" borderId="20" xfId="0" applyFont="1" applyBorder="1" applyAlignment="1">
      <alignment horizontal="center" vertical="center" wrapText="1"/>
    </xf>
    <xf numFmtId="0" fontId="8" fillId="5" borderId="48" xfId="0" applyFont="1" applyFill="1" applyBorder="1" applyAlignment="1">
      <alignment horizontal="center" vertical="center" wrapText="1"/>
    </xf>
    <xf numFmtId="0" fontId="67" fillId="5" borderId="48" xfId="0" applyFont="1" applyFill="1" applyBorder="1" applyAlignment="1">
      <alignment horizontal="center" vertical="center" wrapText="1"/>
    </xf>
    <xf numFmtId="0" fontId="12" fillId="0" borderId="48" xfId="0" applyFont="1" applyBorder="1" applyAlignment="1">
      <alignment horizontal="center" vertical="center" wrapText="1"/>
    </xf>
    <xf numFmtId="0" fontId="22" fillId="0" borderId="32" xfId="0" applyFont="1" applyBorder="1" applyAlignment="1">
      <alignment horizontal="center" vertical="center" wrapText="1"/>
    </xf>
    <xf numFmtId="0" fontId="15" fillId="3" borderId="32" xfId="0" applyFont="1" applyFill="1" applyBorder="1" applyAlignment="1">
      <alignment horizontal="center" vertical="center"/>
    </xf>
    <xf numFmtId="0" fontId="109" fillId="0" borderId="32" xfId="0" applyFont="1" applyBorder="1" applyAlignment="1">
      <alignment horizontal="center" vertical="center" wrapText="1"/>
    </xf>
    <xf numFmtId="0" fontId="8" fillId="33" borderId="46" xfId="0" applyFont="1" applyFill="1" applyBorder="1" applyAlignment="1">
      <alignment horizontal="center" vertical="center" wrapText="1"/>
    </xf>
    <xf numFmtId="0" fontId="15" fillId="3" borderId="30" xfId="0" applyFont="1" applyFill="1" applyBorder="1" applyAlignment="1">
      <alignment horizontal="center" vertical="center"/>
    </xf>
    <xf numFmtId="0" fontId="67" fillId="5" borderId="72" xfId="0" applyFont="1" applyFill="1" applyBorder="1" applyAlignment="1">
      <alignment horizontal="center" vertical="center" wrapText="1"/>
    </xf>
    <xf numFmtId="16" fontId="11" fillId="16" borderId="2" xfId="0" applyNumberFormat="1" applyFont="1" applyFill="1" applyBorder="1" applyAlignment="1">
      <alignment horizontal="center" vertical="center"/>
    </xf>
    <xf numFmtId="0" fontId="8" fillId="15" borderId="2" xfId="0" applyFont="1" applyFill="1" applyBorder="1" applyAlignment="1">
      <alignment horizontal="center" vertical="center" wrapText="1"/>
    </xf>
    <xf numFmtId="0" fontId="12" fillId="24" borderId="2" xfId="0" applyFont="1" applyFill="1" applyBorder="1" applyAlignment="1">
      <alignment horizontal="center" vertical="center" wrapText="1"/>
    </xf>
    <xf numFmtId="16" fontId="38" fillId="35" borderId="19" xfId="0" applyNumberFormat="1" applyFont="1" applyFill="1" applyBorder="1" applyAlignment="1">
      <alignment horizontal="center" vertical="center"/>
    </xf>
    <xf numFmtId="16" fontId="38" fillId="35" borderId="21" xfId="0" applyNumberFormat="1" applyFont="1" applyFill="1" applyBorder="1" applyAlignment="1">
      <alignment horizontal="center" vertical="center"/>
    </xf>
    <xf numFmtId="16" fontId="11" fillId="16" borderId="22" xfId="0" applyNumberFormat="1" applyFont="1" applyFill="1" applyBorder="1" applyAlignment="1">
      <alignment horizontal="center" vertical="center"/>
    </xf>
    <xf numFmtId="16" fontId="11" fillId="16" borderId="23" xfId="0" applyNumberFormat="1" applyFont="1" applyFill="1" applyBorder="1" applyAlignment="1">
      <alignment horizontal="center" vertical="center"/>
    </xf>
    <xf numFmtId="16" fontId="11" fillId="16" borderId="24" xfId="0" applyNumberFormat="1" applyFont="1" applyFill="1" applyBorder="1" applyAlignment="1">
      <alignment horizontal="center" vertical="center"/>
    </xf>
    <xf numFmtId="0" fontId="24" fillId="0" borderId="18" xfId="0" applyFont="1" applyBorder="1" applyAlignment="1">
      <alignment horizontal="center"/>
    </xf>
    <xf numFmtId="0" fontId="24" fillId="0" borderId="21" xfId="0" applyFont="1" applyBorder="1" applyAlignment="1">
      <alignment horizontal="center"/>
    </xf>
    <xf numFmtId="0" fontId="24" fillId="0" borderId="26" xfId="0" applyFont="1" applyBorder="1" applyAlignment="1">
      <alignment horizontal="center"/>
    </xf>
    <xf numFmtId="0" fontId="24" fillId="0" borderId="22" xfId="0" applyFont="1" applyBorder="1" applyAlignment="1">
      <alignment horizontal="center"/>
    </xf>
    <xf numFmtId="0" fontId="27" fillId="5" borderId="20" xfId="0" applyFont="1" applyFill="1" applyBorder="1" applyAlignment="1">
      <alignment horizontal="center" vertical="center"/>
    </xf>
    <xf numFmtId="16" fontId="11" fillId="3" borderId="20" xfId="0" applyNumberFormat="1" applyFont="1" applyFill="1" applyBorder="1" applyAlignment="1">
      <alignment horizontal="center" vertical="center" wrapText="1"/>
    </xf>
    <xf numFmtId="16" fontId="11" fillId="31" borderId="20" xfId="0" applyNumberFormat="1" applyFont="1" applyFill="1" applyBorder="1" applyAlignment="1">
      <alignment horizontal="center" vertical="center"/>
    </xf>
    <xf numFmtId="0" fontId="134" fillId="0" borderId="2" xfId="0" applyFont="1" applyBorder="1" applyAlignment="1">
      <alignment vertical="center"/>
    </xf>
    <xf numFmtId="16" fontId="11" fillId="31" borderId="25" xfId="0" applyNumberFormat="1" applyFont="1" applyFill="1" applyBorder="1" applyAlignment="1">
      <alignment horizontal="center" vertical="center"/>
    </xf>
    <xf numFmtId="0" fontId="134" fillId="0" borderId="25" xfId="0" applyFont="1" applyBorder="1" applyAlignment="1">
      <alignment vertical="center"/>
    </xf>
    <xf numFmtId="16" fontId="11" fillId="12" borderId="2" xfId="0" applyNumberFormat="1" applyFont="1" applyFill="1" applyBorder="1" applyAlignment="1">
      <alignment horizontal="center" vertical="center"/>
    </xf>
    <xf numFmtId="0" fontId="27" fillId="5" borderId="2" xfId="0" applyFont="1" applyFill="1" applyBorder="1" applyAlignment="1">
      <alignment horizontal="center" vertical="center"/>
    </xf>
    <xf numFmtId="16" fontId="11" fillId="12" borderId="20" xfId="0" applyNumberFormat="1" applyFont="1" applyFill="1" applyBorder="1" applyAlignment="1">
      <alignment horizontal="center" vertical="center"/>
    </xf>
    <xf numFmtId="16" fontId="11" fillId="12" borderId="48" xfId="0" applyNumberFormat="1" applyFont="1" applyFill="1" applyBorder="1" applyAlignment="1">
      <alignment horizontal="center" vertical="center"/>
    </xf>
    <xf numFmtId="0" fontId="106" fillId="0" borderId="48" xfId="0" applyFont="1" applyBorder="1" applyAlignment="1">
      <alignment horizontal="center" vertical="center" wrapText="1"/>
    </xf>
    <xf numFmtId="0" fontId="106" fillId="5" borderId="48" xfId="0" applyFont="1" applyFill="1" applyBorder="1" applyAlignment="1">
      <alignment horizontal="center" vertical="center" wrapText="1"/>
    </xf>
    <xf numFmtId="0" fontId="27" fillId="5" borderId="48" xfId="0" applyFont="1" applyFill="1" applyBorder="1" applyAlignment="1">
      <alignment horizontal="center" vertical="center"/>
    </xf>
    <xf numFmtId="0" fontId="105" fillId="3" borderId="20" xfId="0" applyFont="1" applyFill="1" applyBorder="1" applyAlignment="1">
      <alignment horizontal="center" vertical="center" wrapText="1"/>
    </xf>
    <xf numFmtId="16" fontId="11" fillId="24" borderId="23" xfId="0" applyNumberFormat="1" applyFont="1" applyFill="1" applyBorder="1" applyAlignment="1">
      <alignment horizontal="center" vertical="center"/>
    </xf>
    <xf numFmtId="0" fontId="107" fillId="0" borderId="23" xfId="0" applyFont="1" applyBorder="1" applyAlignment="1">
      <alignment horizontal="center" vertical="center" wrapText="1"/>
    </xf>
    <xf numFmtId="0" fontId="27" fillId="5" borderId="23" xfId="0" applyFont="1" applyFill="1" applyBorder="1" applyAlignment="1">
      <alignment horizontal="center" vertical="center"/>
    </xf>
    <xf numFmtId="0" fontId="27" fillId="5" borderId="25" xfId="0" applyFont="1" applyFill="1" applyBorder="1" applyAlignment="1">
      <alignment horizontal="center" vertical="center"/>
    </xf>
    <xf numFmtId="0" fontId="139" fillId="0" borderId="20" xfId="0" applyFont="1" applyBorder="1" applyAlignment="1">
      <alignment horizontal="center" vertical="center" wrapText="1"/>
    </xf>
    <xf numFmtId="0" fontId="139" fillId="5" borderId="20" xfId="0" applyFont="1" applyFill="1" applyBorder="1" applyAlignment="1">
      <alignment horizontal="center" vertical="center" wrapText="1"/>
    </xf>
    <xf numFmtId="16" fontId="11" fillId="33" borderId="51" xfId="0" applyNumberFormat="1" applyFont="1" applyFill="1" applyBorder="1" applyAlignment="1">
      <alignment horizontal="center" vertical="center"/>
    </xf>
    <xf numFmtId="0" fontId="27" fillId="5" borderId="51" xfId="0" applyFont="1" applyFill="1" applyBorder="1" applyAlignment="1">
      <alignment horizontal="center" vertical="center"/>
    </xf>
    <xf numFmtId="0" fontId="8" fillId="5" borderId="30" xfId="0" applyFont="1" applyFill="1" applyBorder="1" applyAlignment="1">
      <alignment horizontal="center" vertical="center" wrapText="1"/>
    </xf>
    <xf numFmtId="16" fontId="11" fillId="25" borderId="20" xfId="0" applyNumberFormat="1" applyFont="1" applyFill="1" applyBorder="1" applyAlignment="1">
      <alignment horizontal="center" vertical="center"/>
    </xf>
    <xf numFmtId="16" fontId="11" fillId="4" borderId="20" xfId="0" applyNumberFormat="1" applyFont="1" applyFill="1" applyBorder="1" applyAlignment="1">
      <alignment horizontal="center" vertical="center"/>
    </xf>
    <xf numFmtId="0" fontId="107" fillId="4" borderId="20" xfId="0" applyFont="1" applyFill="1" applyBorder="1" applyAlignment="1">
      <alignment horizontal="center" vertical="center" wrapText="1"/>
    </xf>
    <xf numFmtId="0" fontId="105" fillId="4" borderId="20" xfId="0" applyFont="1" applyFill="1" applyBorder="1" applyAlignment="1">
      <alignment horizontal="center" vertical="center" wrapText="1"/>
    </xf>
    <xf numFmtId="0" fontId="27" fillId="5" borderId="20" xfId="0" applyFont="1" applyFill="1" applyBorder="1" applyAlignment="1">
      <alignment horizontal="center" vertical="center" wrapText="1"/>
    </xf>
    <xf numFmtId="16" fontId="38" fillId="51" borderId="19" xfId="0" applyNumberFormat="1" applyFont="1" applyFill="1" applyBorder="1" applyAlignment="1">
      <alignment horizontal="center" vertical="center"/>
    </xf>
    <xf numFmtId="16" fontId="11" fillId="33" borderId="19" xfId="0" applyNumberFormat="1" applyFont="1" applyFill="1" applyBorder="1" applyAlignment="1">
      <alignment horizontal="center" vertical="center"/>
    </xf>
    <xf numFmtId="16" fontId="11" fillId="14" borderId="25" xfId="0" applyNumberFormat="1" applyFont="1" applyFill="1" applyBorder="1" applyAlignment="1">
      <alignment horizontal="center" vertical="center"/>
    </xf>
    <xf numFmtId="16" fontId="11" fillId="14" borderId="19" xfId="0" applyNumberFormat="1" applyFont="1" applyFill="1" applyBorder="1" applyAlignment="1">
      <alignment horizontal="center" vertical="center"/>
    </xf>
    <xf numFmtId="16" fontId="11" fillId="27" borderId="2" xfId="0" applyNumberFormat="1" applyFont="1" applyFill="1" applyBorder="1" applyAlignment="1">
      <alignment horizontal="center" vertical="center"/>
    </xf>
    <xf numFmtId="0" fontId="8" fillId="27" borderId="2" xfId="0" applyFont="1" applyFill="1" applyBorder="1" applyAlignment="1">
      <alignment horizontal="center" vertical="center" wrapText="1"/>
    </xf>
    <xf numFmtId="0" fontId="139" fillId="0" borderId="30" xfId="0" applyFont="1" applyBorder="1" applyAlignment="1">
      <alignment horizontal="center" vertical="center" wrapText="1"/>
    </xf>
    <xf numFmtId="0" fontId="105" fillId="0" borderId="30" xfId="0" applyFont="1" applyBorder="1" applyAlignment="1">
      <alignment horizontal="center" vertical="center" wrapText="1"/>
    </xf>
    <xf numFmtId="0" fontId="139" fillId="0" borderId="32" xfId="0" applyFont="1" applyBorder="1" applyAlignment="1">
      <alignment horizontal="center" vertical="center" wrapText="1"/>
    </xf>
    <xf numFmtId="0" fontId="67" fillId="5" borderId="61" xfId="0" applyFont="1" applyFill="1" applyBorder="1" applyAlignment="1">
      <alignment horizontal="center" vertical="center" wrapText="1"/>
    </xf>
    <xf numFmtId="16" fontId="11" fillId="25" borderId="51" xfId="0" applyNumberFormat="1" applyFont="1" applyFill="1" applyBorder="1" applyAlignment="1">
      <alignment horizontal="center" vertical="center"/>
    </xf>
    <xf numFmtId="16" fontId="38" fillId="51" borderId="21" xfId="0" applyNumberFormat="1" applyFont="1" applyFill="1" applyBorder="1" applyAlignment="1">
      <alignment horizontal="center" vertical="center"/>
    </xf>
    <xf numFmtId="0" fontId="27" fillId="5" borderId="21" xfId="0" applyFont="1" applyFill="1" applyBorder="1" applyAlignment="1">
      <alignment horizontal="center" vertical="center"/>
    </xf>
    <xf numFmtId="0" fontId="27" fillId="5" borderId="22" xfId="0" applyFont="1" applyFill="1" applyBorder="1" applyAlignment="1">
      <alignment horizontal="center" vertical="center"/>
    </xf>
    <xf numFmtId="0" fontId="27" fillId="5" borderId="24" xfId="0" applyFont="1" applyFill="1" applyBorder="1" applyAlignment="1">
      <alignment horizontal="center" vertical="center"/>
    </xf>
    <xf numFmtId="0" fontId="116" fillId="3" borderId="26" xfId="0" applyFont="1" applyFill="1" applyBorder="1" applyAlignment="1">
      <alignment horizontal="center" vertical="center" wrapText="1"/>
    </xf>
    <xf numFmtId="0" fontId="140" fillId="0" borderId="53" xfId="0" applyFont="1" applyBorder="1" applyAlignment="1">
      <alignment horizontal="center" vertical="center" wrapText="1"/>
    </xf>
    <xf numFmtId="0" fontId="115" fillId="5" borderId="32" xfId="0" applyFont="1" applyFill="1" applyBorder="1" applyAlignment="1">
      <alignment horizontal="center" vertical="center" wrapText="1"/>
    </xf>
    <xf numFmtId="0" fontId="140" fillId="5" borderId="32" xfId="0" applyFont="1" applyFill="1" applyBorder="1" applyAlignment="1">
      <alignment horizontal="center" vertical="center" wrapText="1"/>
    </xf>
    <xf numFmtId="0" fontId="115" fillId="0" borderId="32" xfId="0" applyFont="1" applyBorder="1" applyAlignment="1">
      <alignment horizontal="center" vertical="center" wrapText="1"/>
    </xf>
    <xf numFmtId="0" fontId="104" fillId="0" borderId="32" xfId="0" applyFont="1" applyBorder="1" applyAlignment="1">
      <alignment horizontal="center" vertical="center" wrapText="1"/>
    </xf>
    <xf numFmtId="0" fontId="140" fillId="0" borderId="34" xfId="0" applyFont="1" applyBorder="1" applyAlignment="1">
      <alignment horizontal="center" vertical="center" wrapText="1"/>
    </xf>
    <xf numFmtId="0" fontId="140" fillId="0" borderId="64" xfId="0" applyFont="1" applyBorder="1" applyAlignment="1">
      <alignment horizontal="center" vertical="center" wrapText="1"/>
    </xf>
    <xf numFmtId="0" fontId="115" fillId="5" borderId="30" xfId="0" applyFont="1" applyFill="1" applyBorder="1" applyAlignment="1">
      <alignment horizontal="center" vertical="center" wrapText="1"/>
    </xf>
    <xf numFmtId="0" fontId="140" fillId="5" borderId="30" xfId="0" applyFont="1" applyFill="1" applyBorder="1" applyAlignment="1">
      <alignment horizontal="center" vertical="center" wrapText="1"/>
    </xf>
    <xf numFmtId="0" fontId="115" fillId="0" borderId="30" xfId="0" applyFont="1" applyBorder="1" applyAlignment="1">
      <alignment horizontal="center" vertical="center" wrapText="1"/>
    </xf>
    <xf numFmtId="0" fontId="104" fillId="0" borderId="30" xfId="0" applyFont="1" applyBorder="1" applyAlignment="1">
      <alignment horizontal="center" vertical="center" wrapText="1"/>
    </xf>
    <xf numFmtId="0" fontId="140" fillId="5" borderId="33" xfId="0" applyFont="1" applyFill="1" applyBorder="1" applyAlignment="1">
      <alignment horizontal="center" vertical="center" wrapText="1"/>
    </xf>
    <xf numFmtId="16" fontId="11" fillId="0" borderId="25" xfId="0" applyNumberFormat="1" applyFont="1" applyBorder="1" applyAlignment="1">
      <alignment horizontal="center" vertical="center"/>
    </xf>
    <xf numFmtId="16" fontId="11" fillId="0" borderId="47" xfId="0" applyNumberFormat="1" applyFont="1" applyBorder="1" applyAlignment="1">
      <alignment horizontal="center" vertical="center"/>
    </xf>
    <xf numFmtId="0" fontId="27" fillId="5" borderId="47" xfId="0" applyFont="1" applyFill="1" applyBorder="1" applyAlignment="1">
      <alignment horizontal="center" vertical="center"/>
    </xf>
    <xf numFmtId="16" fontId="11" fillId="33" borderId="21" xfId="0" applyNumberFormat="1" applyFont="1" applyFill="1" applyBorder="1" applyAlignment="1">
      <alignment horizontal="center" vertical="center"/>
    </xf>
    <xf numFmtId="0" fontId="104" fillId="0" borderId="35" xfId="0" applyFont="1" applyBorder="1" applyAlignment="1">
      <alignment horizontal="center" vertical="center" wrapText="1"/>
    </xf>
    <xf numFmtId="0" fontId="104" fillId="0" borderId="36" xfId="0" applyFont="1" applyBorder="1" applyAlignment="1">
      <alignment horizontal="center" vertical="center" wrapText="1"/>
    </xf>
    <xf numFmtId="0" fontId="140" fillId="0" borderId="32" xfId="0" applyFont="1" applyBorder="1" applyAlignment="1">
      <alignment horizontal="center" vertical="center" wrapText="1"/>
    </xf>
    <xf numFmtId="0" fontId="104" fillId="0" borderId="37" xfId="0" applyFont="1" applyBorder="1" applyAlignment="1">
      <alignment horizontal="center" vertical="center" wrapText="1"/>
    </xf>
    <xf numFmtId="0" fontId="27" fillId="4" borderId="47" xfId="0" applyFont="1" applyFill="1" applyBorder="1" applyAlignment="1">
      <alignment horizontal="center" vertical="center"/>
    </xf>
    <xf numFmtId="0" fontId="116" fillId="3" borderId="46" xfId="0" applyFont="1" applyFill="1" applyBorder="1" applyAlignment="1">
      <alignment horizontal="center" vertical="center" wrapText="1"/>
    </xf>
    <xf numFmtId="0" fontId="27" fillId="4" borderId="22" xfId="0" applyFont="1" applyFill="1" applyBorder="1" applyAlignment="1">
      <alignment horizontal="center" vertical="center"/>
    </xf>
    <xf numFmtId="0" fontId="27" fillId="5" borderId="22" xfId="0" applyFont="1" applyFill="1" applyBorder="1" applyAlignment="1">
      <alignment horizontal="center" vertical="center" wrapText="1"/>
    </xf>
    <xf numFmtId="20" fontId="107" fillId="0" borderId="30" xfId="0" applyNumberFormat="1" applyFont="1" applyBorder="1" applyAlignment="1">
      <alignment horizontal="center" vertical="center" wrapText="1"/>
    </xf>
    <xf numFmtId="0" fontId="106" fillId="3" borderId="30" xfId="0" applyFont="1" applyFill="1" applyBorder="1" applyAlignment="1">
      <alignment horizontal="center" vertical="center" wrapText="1"/>
    </xf>
    <xf numFmtId="0" fontId="140" fillId="0" borderId="30" xfId="0" applyFont="1" applyBorder="1" applyAlignment="1">
      <alignment horizontal="center" vertical="center" wrapText="1"/>
    </xf>
    <xf numFmtId="0" fontId="106" fillId="0" borderId="33" xfId="0" applyFont="1" applyBorder="1" applyAlignment="1">
      <alignment horizontal="center" vertical="center" wrapText="1"/>
    </xf>
    <xf numFmtId="20" fontId="107" fillId="0" borderId="32" xfId="0" applyNumberFormat="1" applyFont="1" applyBorder="1" applyAlignment="1">
      <alignment horizontal="center" vertical="center" wrapText="1"/>
    </xf>
    <xf numFmtId="20" fontId="106" fillId="3" borderId="32" xfId="0" applyNumberFormat="1" applyFont="1" applyFill="1" applyBorder="1" applyAlignment="1">
      <alignment horizontal="center" vertical="center" wrapText="1"/>
    </xf>
    <xf numFmtId="20" fontId="107" fillId="0" borderId="34" xfId="0" applyNumberFormat="1" applyFont="1" applyBorder="1" applyAlignment="1">
      <alignment horizontal="center" vertical="center" wrapText="1"/>
    </xf>
    <xf numFmtId="16" fontId="11" fillId="38" borderId="25" xfId="0" applyNumberFormat="1" applyFont="1" applyFill="1" applyBorder="1" applyAlignment="1">
      <alignment horizontal="center" vertical="center"/>
    </xf>
    <xf numFmtId="16" fontId="11" fillId="38" borderId="47" xfId="0" applyNumberFormat="1" applyFont="1" applyFill="1" applyBorder="1" applyAlignment="1">
      <alignment horizontal="center" vertical="center"/>
    </xf>
    <xf numFmtId="16" fontId="80" fillId="33" borderId="2" xfId="0" applyNumberFormat="1" applyFont="1" applyFill="1" applyBorder="1" applyAlignment="1">
      <alignment horizontal="center" vertical="center"/>
    </xf>
    <xf numFmtId="16" fontId="11" fillId="38" borderId="19" xfId="0" applyNumberFormat="1" applyFont="1" applyFill="1" applyBorder="1" applyAlignment="1">
      <alignment horizontal="center" vertical="center"/>
    </xf>
    <xf numFmtId="16" fontId="11" fillId="38" borderId="21" xfId="0" applyNumberFormat="1" applyFont="1" applyFill="1" applyBorder="1" applyAlignment="1">
      <alignment horizontal="center" vertical="center"/>
    </xf>
    <xf numFmtId="16" fontId="80" fillId="33" borderId="22" xfId="0" applyNumberFormat="1" applyFont="1" applyFill="1" applyBorder="1" applyAlignment="1">
      <alignment horizontal="center" vertical="center"/>
    </xf>
    <xf numFmtId="16" fontId="11" fillId="12" borderId="22" xfId="0" applyNumberFormat="1" applyFont="1" applyFill="1" applyBorder="1" applyAlignment="1">
      <alignment horizontal="center" vertical="center"/>
    </xf>
    <xf numFmtId="0" fontId="27" fillId="4" borderId="21" xfId="0" applyFont="1" applyFill="1" applyBorder="1" applyAlignment="1">
      <alignment horizontal="center" vertical="center"/>
    </xf>
    <xf numFmtId="0" fontId="116" fillId="0" borderId="26" xfId="0" applyFont="1" applyBorder="1" applyAlignment="1">
      <alignment horizontal="center" vertical="center" wrapText="1"/>
    </xf>
    <xf numFmtId="0" fontId="116" fillId="0" borderId="35" xfId="0" applyFont="1" applyBorder="1" applyAlignment="1">
      <alignment horizontal="center" vertical="center" wrapText="1"/>
    </xf>
    <xf numFmtId="20" fontId="105" fillId="0" borderId="30" xfId="0" applyNumberFormat="1" applyFont="1" applyBorder="1" applyAlignment="1">
      <alignment horizontal="center" vertical="center" wrapText="1"/>
    </xf>
    <xf numFmtId="0" fontId="116" fillId="0" borderId="36" xfId="0" applyFont="1" applyBorder="1" applyAlignment="1">
      <alignment horizontal="center" vertical="center" wrapText="1"/>
    </xf>
    <xf numFmtId="20" fontId="105" fillId="0" borderId="32" xfId="0" applyNumberFormat="1" applyFont="1" applyBorder="1" applyAlignment="1">
      <alignment horizontal="center" vertical="center" wrapText="1"/>
    </xf>
    <xf numFmtId="0" fontId="8" fillId="14" borderId="47" xfId="0" applyFont="1" applyFill="1" applyBorder="1" applyAlignment="1">
      <alignment horizontal="center" vertical="center" wrapText="1"/>
    </xf>
    <xf numFmtId="0" fontId="8" fillId="0" borderId="46" xfId="0" applyFont="1" applyBorder="1" applyAlignment="1">
      <alignment horizontal="center" vertical="center" wrapText="1"/>
    </xf>
    <xf numFmtId="0" fontId="8" fillId="14" borderId="21" xfId="0" applyFont="1" applyFill="1" applyBorder="1" applyAlignment="1">
      <alignment horizontal="center" vertical="center" wrapText="1"/>
    </xf>
    <xf numFmtId="0" fontId="8" fillId="27" borderId="22" xfId="0" applyFont="1" applyFill="1" applyBorder="1" applyAlignment="1">
      <alignment horizontal="center" vertical="center" wrapText="1"/>
    </xf>
    <xf numFmtId="16" fontId="11" fillId="27" borderId="22" xfId="0" applyNumberFormat="1" applyFont="1" applyFill="1" applyBorder="1" applyAlignment="1">
      <alignment horizontal="center" vertical="center"/>
    </xf>
    <xf numFmtId="0" fontId="8" fillId="38" borderId="22" xfId="0" applyFont="1" applyFill="1" applyBorder="1" applyAlignment="1">
      <alignment horizontal="center" vertical="center" wrapText="1"/>
    </xf>
    <xf numFmtId="0" fontId="8" fillId="14" borderId="22" xfId="0" applyFont="1" applyFill="1" applyBorder="1" applyAlignment="1">
      <alignment horizontal="center" vertical="center" wrapText="1"/>
    </xf>
    <xf numFmtId="0" fontId="8" fillId="0" borderId="18" xfId="0" applyFont="1" applyBorder="1" applyAlignment="1">
      <alignment horizontal="center" vertical="center" wrapText="1"/>
    </xf>
    <xf numFmtId="0" fontId="0" fillId="0" borderId="43" xfId="0" applyBorder="1"/>
    <xf numFmtId="0" fontId="0" fillId="3" borderId="0" xfId="0" applyFill="1"/>
    <xf numFmtId="0" fontId="12" fillId="0" borderId="0" xfId="0" applyFont="1" applyAlignment="1">
      <alignment horizontal="center" vertical="center" wrapText="1"/>
    </xf>
    <xf numFmtId="0" fontId="27" fillId="5" borderId="54" xfId="0" applyFont="1" applyFill="1" applyBorder="1" applyAlignment="1">
      <alignment horizontal="center" vertical="center"/>
    </xf>
    <xf numFmtId="0" fontId="116" fillId="8" borderId="60" xfId="0" applyFont="1" applyFill="1" applyBorder="1" applyAlignment="1">
      <alignment horizontal="center" vertical="center" wrapText="1"/>
    </xf>
    <xf numFmtId="16" fontId="11" fillId="31" borderId="19" xfId="0" applyNumberFormat="1" applyFont="1" applyFill="1" applyBorder="1" applyAlignment="1">
      <alignment horizontal="center" vertical="center"/>
    </xf>
    <xf numFmtId="16" fontId="15" fillId="0" borderId="19" xfId="0" applyNumberFormat="1" applyFont="1" applyBorder="1" applyAlignment="1">
      <alignment horizontal="center" vertical="center"/>
    </xf>
    <xf numFmtId="16" fontId="11" fillId="0" borderId="19" xfId="0" applyNumberFormat="1" applyFont="1" applyBorder="1" applyAlignment="1">
      <alignment horizontal="center" vertical="center"/>
    </xf>
    <xf numFmtId="16" fontId="11" fillId="0" borderId="21" xfId="0" applyNumberFormat="1" applyFont="1" applyBorder="1" applyAlignment="1">
      <alignment horizontal="center" vertical="center"/>
    </xf>
    <xf numFmtId="16" fontId="11" fillId="37" borderId="2" xfId="0" applyNumberFormat="1" applyFont="1" applyFill="1" applyBorder="1" applyAlignment="1">
      <alignment horizontal="center" vertical="center"/>
    </xf>
    <xf numFmtId="16" fontId="11" fillId="49" borderId="2" xfId="0" applyNumberFormat="1" applyFont="1" applyFill="1" applyBorder="1" applyAlignment="1">
      <alignment horizontal="center" vertical="center"/>
    </xf>
    <xf numFmtId="16" fontId="11" fillId="26" borderId="2" xfId="0" applyNumberFormat="1" applyFont="1" applyFill="1" applyBorder="1" applyAlignment="1">
      <alignment horizontal="center" vertical="center"/>
    </xf>
    <xf numFmtId="16" fontId="11" fillId="19" borderId="23" xfId="0" applyNumberFormat="1" applyFont="1" applyFill="1" applyBorder="1" applyAlignment="1">
      <alignment horizontal="center" vertical="center"/>
    </xf>
    <xf numFmtId="16" fontId="11" fillId="0" borderId="24" xfId="0" applyNumberFormat="1" applyFont="1" applyBorder="1" applyAlignment="1">
      <alignment horizontal="center" vertical="center"/>
    </xf>
    <xf numFmtId="49" fontId="11" fillId="0" borderId="20" xfId="0" applyNumberFormat="1" applyFont="1" applyBorder="1" applyAlignment="1">
      <alignment horizontal="center" vertical="center"/>
    </xf>
    <xf numFmtId="16" fontId="11" fillId="0" borderId="22" xfId="0" applyNumberFormat="1" applyFont="1" applyBorder="1" applyAlignment="1">
      <alignment horizontal="center" vertical="center" wrapText="1"/>
    </xf>
    <xf numFmtId="16" fontId="11" fillId="41" borderId="2" xfId="0" applyNumberFormat="1" applyFont="1" applyFill="1" applyBorder="1" applyAlignment="1">
      <alignment horizontal="center" vertical="center"/>
    </xf>
    <xf numFmtId="16" fontId="11" fillId="28" borderId="2" xfId="0" applyNumberFormat="1" applyFont="1" applyFill="1" applyBorder="1" applyAlignment="1">
      <alignment horizontal="center" vertical="center"/>
    </xf>
    <xf numFmtId="16" fontId="11" fillId="0" borderId="48" xfId="0" applyNumberFormat="1" applyFont="1" applyBorder="1" applyAlignment="1">
      <alignment horizontal="center" vertical="center"/>
    </xf>
    <xf numFmtId="16" fontId="15" fillId="0" borderId="48" xfId="0" applyNumberFormat="1" applyFont="1" applyBorder="1" applyAlignment="1">
      <alignment horizontal="center" vertical="center"/>
    </xf>
    <xf numFmtId="49" fontId="11" fillId="0" borderId="48" xfId="0" applyNumberFormat="1" applyFont="1" applyBorder="1" applyAlignment="1">
      <alignment horizontal="center" vertical="center"/>
    </xf>
    <xf numFmtId="16" fontId="15" fillId="0" borderId="64" xfId="0" applyNumberFormat="1" applyFont="1" applyBorder="1" applyAlignment="1">
      <alignment horizontal="center" vertical="center"/>
    </xf>
    <xf numFmtId="16" fontId="15" fillId="0" borderId="30" xfId="0" applyNumberFormat="1" applyFont="1" applyBorder="1" applyAlignment="1">
      <alignment horizontal="center" vertical="center"/>
    </xf>
    <xf numFmtId="16" fontId="16" fillId="0" borderId="30" xfId="0" applyNumberFormat="1" applyFont="1" applyBorder="1" applyAlignment="1">
      <alignment horizontal="center" vertical="center"/>
    </xf>
    <xf numFmtId="16" fontId="141" fillId="0" borderId="30" xfId="0" applyNumberFormat="1" applyFont="1" applyBorder="1" applyAlignment="1">
      <alignment horizontal="center" vertical="center"/>
    </xf>
    <xf numFmtId="16" fontId="11" fillId="0" borderId="33" xfId="0" applyNumberFormat="1" applyFont="1" applyBorder="1" applyAlignment="1">
      <alignment horizontal="center" vertical="center"/>
    </xf>
    <xf numFmtId="16" fontId="15" fillId="0" borderId="53" xfId="0" applyNumberFormat="1" applyFont="1" applyBorder="1" applyAlignment="1">
      <alignment horizontal="center" vertical="center"/>
    </xf>
    <xf numFmtId="16" fontId="15" fillId="0" borderId="32" xfId="0" applyNumberFormat="1" applyFont="1" applyBorder="1" applyAlignment="1">
      <alignment horizontal="center" vertical="center"/>
    </xf>
    <xf numFmtId="16" fontId="16" fillId="0" borderId="32" xfId="0" applyNumberFormat="1" applyFont="1" applyBorder="1" applyAlignment="1">
      <alignment horizontal="center" vertical="center"/>
    </xf>
    <xf numFmtId="16" fontId="141" fillId="0" borderId="32" xfId="0" applyNumberFormat="1" applyFont="1" applyBorder="1" applyAlignment="1">
      <alignment horizontal="center" vertical="center"/>
    </xf>
    <xf numFmtId="16" fontId="11" fillId="0" borderId="34" xfId="0" applyNumberFormat="1" applyFont="1" applyBorder="1" applyAlignment="1">
      <alignment horizontal="center" vertical="center"/>
    </xf>
    <xf numFmtId="16" fontId="11" fillId="0" borderId="76" xfId="0" applyNumberFormat="1" applyFont="1" applyBorder="1" applyAlignment="1">
      <alignment horizontal="center" vertical="center"/>
    </xf>
    <xf numFmtId="16" fontId="11" fillId="0" borderId="61" xfId="0" applyNumberFormat="1" applyFont="1" applyBorder="1" applyAlignment="1">
      <alignment horizontal="center" vertical="center"/>
    </xf>
    <xf numFmtId="16" fontId="11" fillId="0" borderId="72" xfId="0" applyNumberFormat="1" applyFont="1" applyBorder="1" applyAlignment="1">
      <alignment horizontal="center" vertical="center"/>
    </xf>
    <xf numFmtId="16" fontId="11" fillId="41" borderId="22" xfId="0" applyNumberFormat="1" applyFont="1" applyFill="1" applyBorder="1" applyAlignment="1">
      <alignment horizontal="center" vertical="center"/>
    </xf>
    <xf numFmtId="16" fontId="11" fillId="28" borderId="22" xfId="0" applyNumberFormat="1" applyFont="1" applyFill="1" applyBorder="1" applyAlignment="1">
      <alignment horizontal="center" vertical="center"/>
    </xf>
    <xf numFmtId="16" fontId="11" fillId="28" borderId="23" xfId="0" applyNumberFormat="1" applyFont="1" applyFill="1" applyBorder="1" applyAlignment="1">
      <alignment horizontal="center" vertical="center"/>
    </xf>
    <xf numFmtId="16" fontId="11" fillId="28" borderId="24" xfId="0" applyNumberFormat="1" applyFont="1" applyFill="1" applyBorder="1" applyAlignment="1">
      <alignment horizontal="center" vertical="center"/>
    </xf>
    <xf numFmtId="49" fontId="11" fillId="0" borderId="22" xfId="0" applyNumberFormat="1" applyFont="1" applyBorder="1" applyAlignment="1">
      <alignment horizontal="center" vertical="center"/>
    </xf>
    <xf numFmtId="49" fontId="11" fillId="0" borderId="24" xfId="0" applyNumberFormat="1" applyFont="1" applyBorder="1" applyAlignment="1">
      <alignment horizontal="center" vertical="center"/>
    </xf>
    <xf numFmtId="16" fontId="11" fillId="0" borderId="26" xfId="0" applyNumberFormat="1" applyFont="1" applyBorder="1" applyAlignment="1">
      <alignment horizontal="center" vertical="center"/>
    </xf>
    <xf numFmtId="16" fontId="15" fillId="0" borderId="35" xfId="0" applyNumberFormat="1" applyFont="1" applyBorder="1" applyAlignment="1">
      <alignment horizontal="center" vertical="center"/>
    </xf>
    <xf numFmtId="16" fontId="17" fillId="0" borderId="30" xfId="0" applyNumberFormat="1" applyFont="1" applyBorder="1" applyAlignment="1">
      <alignment horizontal="center" vertical="center"/>
    </xf>
    <xf numFmtId="16" fontId="141" fillId="0" borderId="31" xfId="0" applyNumberFormat="1" applyFont="1" applyBorder="1" applyAlignment="1">
      <alignment horizontal="center" vertical="center"/>
    </xf>
    <xf numFmtId="16" fontId="11" fillId="0" borderId="35" xfId="0" applyNumberFormat="1" applyFont="1" applyBorder="1" applyAlignment="1">
      <alignment horizontal="center" vertical="center"/>
    </xf>
    <xf numFmtId="16" fontId="15" fillId="0" borderId="36" xfId="0" applyNumberFormat="1" applyFont="1" applyBorder="1" applyAlignment="1">
      <alignment horizontal="center" vertical="center"/>
    </xf>
    <xf numFmtId="16" fontId="17" fillId="0" borderId="32" xfId="0" applyNumberFormat="1" applyFont="1" applyBorder="1" applyAlignment="1">
      <alignment horizontal="center" vertical="center"/>
    </xf>
    <xf numFmtId="16" fontId="141" fillId="0" borderId="37" xfId="0" applyNumberFormat="1" applyFont="1" applyBorder="1" applyAlignment="1">
      <alignment horizontal="center" vertical="center"/>
    </xf>
    <xf numFmtId="16" fontId="11" fillId="0" borderId="73" xfId="0" applyNumberFormat="1" applyFont="1" applyBorder="1" applyAlignment="1">
      <alignment horizontal="center" vertical="center"/>
    </xf>
    <xf numFmtId="16" fontId="11" fillId="0" borderId="74" xfId="0" applyNumberFormat="1" applyFont="1" applyBorder="1" applyAlignment="1">
      <alignment horizontal="center" vertical="center"/>
    </xf>
    <xf numFmtId="49" fontId="11" fillId="0" borderId="54" xfId="0" applyNumberFormat="1" applyFont="1" applyBorder="1" applyAlignment="1">
      <alignment horizontal="center" vertical="center"/>
    </xf>
    <xf numFmtId="16" fontId="11" fillId="0" borderId="60" xfId="0" applyNumberFormat="1" applyFont="1" applyBorder="1" applyAlignment="1">
      <alignment horizontal="center" vertical="center"/>
    </xf>
    <xf numFmtId="16" fontId="11" fillId="26" borderId="22" xfId="0" applyNumberFormat="1" applyFont="1" applyFill="1" applyBorder="1" applyAlignment="1">
      <alignment horizontal="center" vertical="center"/>
    </xf>
    <xf numFmtId="16" fontId="11" fillId="19" borderId="24" xfId="0" applyNumberFormat="1" applyFont="1" applyFill="1" applyBorder="1" applyAlignment="1">
      <alignment horizontal="center" vertical="center"/>
    </xf>
    <xf numFmtId="16" fontId="142" fillId="0" borderId="35" xfId="0" applyNumberFormat="1" applyFont="1" applyBorder="1" applyAlignment="1">
      <alignment horizontal="center" vertical="center"/>
    </xf>
    <xf numFmtId="16" fontId="142" fillId="0" borderId="33" xfId="0" applyNumberFormat="1" applyFont="1" applyBorder="1" applyAlignment="1">
      <alignment horizontal="center" vertical="center"/>
    </xf>
    <xf numFmtId="16" fontId="142" fillId="0" borderId="36" xfId="0" applyNumberFormat="1" applyFont="1" applyBorder="1" applyAlignment="1">
      <alignment horizontal="center" vertical="center"/>
    </xf>
    <xf numFmtId="16" fontId="142" fillId="0" borderId="34" xfId="0" applyNumberFormat="1" applyFont="1" applyBorder="1" applyAlignment="1">
      <alignment horizontal="center" vertical="center"/>
    </xf>
    <xf numFmtId="16" fontId="11" fillId="29" borderId="20" xfId="0" applyNumberFormat="1" applyFont="1" applyFill="1" applyBorder="1" applyAlignment="1">
      <alignment horizontal="center" vertical="center"/>
    </xf>
    <xf numFmtId="16" fontId="11" fillId="29" borderId="54" xfId="0" applyNumberFormat="1" applyFont="1" applyFill="1" applyBorder="1" applyAlignment="1">
      <alignment horizontal="center" vertical="center"/>
    </xf>
    <xf numFmtId="16" fontId="11" fillId="3" borderId="0" xfId="0" applyNumberFormat="1" applyFont="1" applyFill="1" applyAlignment="1">
      <alignment horizontal="center" vertical="center"/>
    </xf>
    <xf numFmtId="0" fontId="50" fillId="0" borderId="0" xfId="0" applyFont="1" applyAlignment="1">
      <alignment horizontal="center" vertical="center"/>
    </xf>
    <xf numFmtId="16" fontId="11" fillId="47" borderId="0" xfId="0" applyNumberFormat="1" applyFont="1" applyFill="1" applyAlignment="1">
      <alignment horizontal="center" vertical="center"/>
    </xf>
    <xf numFmtId="16" fontId="11" fillId="0" borderId="0" xfId="0" applyNumberFormat="1" applyFont="1" applyAlignment="1">
      <alignment horizontal="center" vertical="center"/>
    </xf>
    <xf numFmtId="0" fontId="11" fillId="0" borderId="80" xfId="0" applyFont="1" applyBorder="1" applyAlignment="1">
      <alignment horizontal="center" vertical="center"/>
    </xf>
    <xf numFmtId="16" fontId="11" fillId="3" borderId="38" xfId="0" applyNumberFormat="1" applyFont="1" applyFill="1" applyBorder="1" applyAlignment="1">
      <alignment horizontal="center" vertical="center"/>
    </xf>
    <xf numFmtId="0" fontId="50" fillId="0" borderId="38" xfId="0" applyFont="1" applyBorder="1" applyAlignment="1">
      <alignment horizontal="center" vertical="center"/>
    </xf>
    <xf numFmtId="16" fontId="11" fillId="29" borderId="38" xfId="0" applyNumberFormat="1" applyFont="1" applyFill="1" applyBorder="1" applyAlignment="1">
      <alignment horizontal="center" vertical="center"/>
    </xf>
    <xf numFmtId="16" fontId="11" fillId="29" borderId="85" xfId="0" applyNumberFormat="1" applyFont="1" applyFill="1" applyBorder="1" applyAlignment="1">
      <alignment horizontal="center" vertical="center"/>
    </xf>
    <xf numFmtId="0" fontId="8" fillId="5" borderId="80" xfId="0" applyFont="1" applyFill="1" applyBorder="1" applyAlignment="1">
      <alignment horizontal="center" vertical="center" wrapText="1"/>
    </xf>
    <xf numFmtId="49" fontId="11" fillId="0" borderId="85" xfId="0" applyNumberFormat="1" applyFont="1" applyBorder="1" applyAlignment="1">
      <alignment horizontal="center" vertical="center"/>
    </xf>
    <xf numFmtId="16" fontId="17" fillId="0" borderId="80" xfId="0" applyNumberFormat="1" applyFont="1" applyBorder="1" applyAlignment="1">
      <alignment horizontal="center" vertical="center"/>
    </xf>
    <xf numFmtId="16" fontId="11" fillId="0" borderId="38" xfId="0" applyNumberFormat="1" applyFont="1" applyBorder="1" applyAlignment="1">
      <alignment horizontal="center" vertical="center"/>
    </xf>
    <xf numFmtId="16" fontId="11" fillId="0" borderId="85" xfId="0" applyNumberFormat="1" applyFont="1" applyBorder="1" applyAlignment="1">
      <alignment horizontal="center" vertical="center"/>
    </xf>
    <xf numFmtId="16" fontId="142" fillId="0" borderId="30" xfId="0" applyNumberFormat="1" applyFont="1" applyBorder="1" applyAlignment="1">
      <alignment horizontal="center" vertical="center"/>
    </xf>
    <xf numFmtId="16" fontId="11" fillId="0" borderId="36" xfId="0" applyNumberFormat="1" applyFont="1" applyBorder="1" applyAlignment="1">
      <alignment horizontal="center" vertical="center"/>
    </xf>
    <xf numFmtId="16" fontId="142" fillId="0" borderId="32" xfId="0" applyNumberFormat="1" applyFont="1" applyBorder="1" applyAlignment="1">
      <alignment horizontal="center" vertical="center"/>
    </xf>
    <xf numFmtId="0" fontId="11" fillId="0" borderId="92" xfId="0" applyFont="1" applyBorder="1" applyAlignment="1">
      <alignment horizontal="center" vertical="center"/>
    </xf>
    <xf numFmtId="16" fontId="11" fillId="47" borderId="86" xfId="0" applyNumberFormat="1" applyFont="1" applyFill="1" applyBorder="1" applyAlignment="1">
      <alignment horizontal="center" vertical="center"/>
    </xf>
    <xf numFmtId="0" fontId="8" fillId="5" borderId="92" xfId="0" applyFont="1" applyFill="1" applyBorder="1" applyAlignment="1">
      <alignment horizontal="center" vertical="center" wrapText="1"/>
    </xf>
    <xf numFmtId="49" fontId="11" fillId="0" borderId="86" xfId="0" applyNumberFormat="1" applyFont="1" applyBorder="1" applyAlignment="1">
      <alignment horizontal="center" vertical="center"/>
    </xf>
    <xf numFmtId="16" fontId="17" fillId="0" borderId="92" xfId="0" applyNumberFormat="1" applyFont="1" applyBorder="1" applyAlignment="1">
      <alignment horizontal="center" vertical="center"/>
    </xf>
    <xf numFmtId="16" fontId="11" fillId="0" borderId="86" xfId="0" applyNumberFormat="1" applyFont="1" applyBorder="1" applyAlignment="1">
      <alignment horizontal="center" vertical="center"/>
    </xf>
    <xf numFmtId="16" fontId="17" fillId="0" borderId="26" xfId="0" applyNumberFormat="1" applyFont="1" applyBorder="1" applyAlignment="1">
      <alignment horizontal="center" vertical="center"/>
    </xf>
    <xf numFmtId="16" fontId="17" fillId="0" borderId="27" xfId="0" applyNumberFormat="1" applyFont="1" applyBorder="1" applyAlignment="1">
      <alignment horizontal="center" vertical="center"/>
    </xf>
    <xf numFmtId="16" fontId="141" fillId="0" borderId="35" xfId="0" applyNumberFormat="1" applyFont="1" applyBorder="1" applyAlignment="1">
      <alignment horizontal="center" vertical="center"/>
    </xf>
    <xf numFmtId="16" fontId="15" fillId="0" borderId="33" xfId="0" applyNumberFormat="1" applyFont="1" applyBorder="1" applyAlignment="1">
      <alignment horizontal="center" vertical="center"/>
    </xf>
    <xf numFmtId="16" fontId="15" fillId="0" borderId="34" xfId="0" applyNumberFormat="1" applyFont="1" applyBorder="1" applyAlignment="1">
      <alignment horizontal="center" vertical="center"/>
    </xf>
    <xf numFmtId="16" fontId="11" fillId="3" borderId="70" xfId="0" applyNumberFormat="1" applyFont="1" applyFill="1" applyBorder="1" applyAlignment="1">
      <alignment horizontal="center" vertical="center"/>
    </xf>
    <xf numFmtId="0" fontId="8" fillId="5" borderId="44" xfId="0" applyFont="1" applyFill="1" applyBorder="1" applyAlignment="1">
      <alignment horizontal="center" vertical="center" wrapText="1"/>
    </xf>
    <xf numFmtId="0" fontId="27" fillId="5" borderId="70" xfId="0" applyFont="1" applyFill="1" applyBorder="1" applyAlignment="1">
      <alignment horizontal="center" vertical="center"/>
    </xf>
    <xf numFmtId="0" fontId="116" fillId="3" borderId="44" xfId="0" applyFont="1" applyFill="1" applyBorder="1" applyAlignment="1">
      <alignment horizontal="center" vertical="center" wrapText="1"/>
    </xf>
    <xf numFmtId="16" fontId="11" fillId="12" borderId="54" xfId="0" applyNumberFormat="1" applyFont="1" applyFill="1" applyBorder="1" applyAlignment="1">
      <alignment horizontal="center" vertical="center"/>
    </xf>
    <xf numFmtId="16" fontId="11" fillId="31" borderId="21" xfId="0" applyNumberFormat="1" applyFont="1" applyFill="1" applyBorder="1" applyAlignment="1">
      <alignment horizontal="center" vertical="center"/>
    </xf>
    <xf numFmtId="16" fontId="11" fillId="37" borderId="22" xfId="0" applyNumberFormat="1" applyFont="1" applyFill="1" applyBorder="1" applyAlignment="1">
      <alignment horizontal="center" vertical="center"/>
    </xf>
    <xf numFmtId="16" fontId="11" fillId="49" borderId="22" xfId="0" applyNumberFormat="1" applyFont="1" applyFill="1" applyBorder="1" applyAlignment="1">
      <alignment horizontal="center" vertical="center"/>
    </xf>
    <xf numFmtId="16" fontId="11" fillId="12" borderId="23" xfId="0" applyNumberFormat="1" applyFont="1" applyFill="1" applyBorder="1" applyAlignment="1">
      <alignment horizontal="center" vertical="center"/>
    </xf>
    <xf numFmtId="16" fontId="11" fillId="12" borderId="24" xfId="0" applyNumberFormat="1" applyFont="1" applyFill="1" applyBorder="1" applyAlignment="1">
      <alignment horizontal="center" vertical="center"/>
    </xf>
    <xf numFmtId="16" fontId="16" fillId="0" borderId="18" xfId="0" applyNumberFormat="1" applyFont="1" applyBorder="1" applyAlignment="1">
      <alignment horizontal="center" vertical="center"/>
    </xf>
    <xf numFmtId="16" fontId="16" fillId="0" borderId="26" xfId="0" applyNumberFormat="1" applyFont="1" applyBorder="1" applyAlignment="1">
      <alignment horizontal="center" vertical="center"/>
    </xf>
    <xf numFmtId="16" fontId="11" fillId="4" borderId="26" xfId="0" applyNumberFormat="1" applyFont="1" applyFill="1" applyBorder="1" applyAlignment="1">
      <alignment horizontal="center" vertical="center"/>
    </xf>
    <xf numFmtId="16" fontId="11" fillId="0" borderId="68" xfId="0" applyNumberFormat="1" applyFont="1" applyBorder="1" applyAlignment="1">
      <alignment horizontal="center" vertical="center" wrapText="1"/>
    </xf>
    <xf numFmtId="0" fontId="0" fillId="0" borderId="0" xfId="0" applyAlignment="1">
      <alignment wrapText="1"/>
    </xf>
    <xf numFmtId="0" fontId="0" fillId="0" borderId="0" xfId="0" applyAlignment="1">
      <alignment horizontal="center" vertical="center" wrapText="1"/>
    </xf>
    <xf numFmtId="49" fontId="21" fillId="0" borderId="54" xfId="0" applyNumberFormat="1" applyFont="1" applyBorder="1" applyAlignment="1">
      <alignment horizontal="center" vertical="center"/>
    </xf>
    <xf numFmtId="16" fontId="21" fillId="0" borderId="21" xfId="0" applyNumberFormat="1" applyFont="1" applyBorder="1" applyAlignment="1">
      <alignment horizontal="center" vertical="center"/>
    </xf>
    <xf numFmtId="0" fontId="1" fillId="61" borderId="37" xfId="0" applyFont="1" applyFill="1" applyBorder="1" applyAlignment="1">
      <alignment horizontal="center" vertical="center" wrapText="1"/>
    </xf>
    <xf numFmtId="0" fontId="1" fillId="61" borderId="34" xfId="0" applyFont="1" applyFill="1" applyBorder="1" applyAlignment="1">
      <alignment horizontal="center" vertical="center" wrapText="1"/>
    </xf>
    <xf numFmtId="16" fontId="21" fillId="0" borderId="19" xfId="0" applyNumberFormat="1" applyFont="1" applyBorder="1" applyAlignment="1">
      <alignment horizontal="center" vertical="center"/>
    </xf>
    <xf numFmtId="16" fontId="15" fillId="0" borderId="2" xfId="0" applyNumberFormat="1" applyFont="1" applyBorder="1" applyAlignment="1">
      <alignment horizontal="center" vertical="center"/>
    </xf>
    <xf numFmtId="49" fontId="11" fillId="0" borderId="2" xfId="0" applyNumberFormat="1" applyFont="1" applyBorder="1" applyAlignment="1">
      <alignment horizontal="center" vertical="center"/>
    </xf>
    <xf numFmtId="49" fontId="11" fillId="0" borderId="32" xfId="0" applyNumberFormat="1" applyFont="1" applyBorder="1" applyAlignment="1">
      <alignment horizontal="center" vertical="center"/>
    </xf>
    <xf numFmtId="16" fontId="141" fillId="0" borderId="2" xfId="0" applyNumberFormat="1" applyFont="1" applyBorder="1" applyAlignment="1">
      <alignment horizontal="center" vertical="center"/>
    </xf>
    <xf numFmtId="16" fontId="17" fillId="4" borderId="2" xfId="0" applyNumberFormat="1" applyFont="1" applyFill="1" applyBorder="1" applyAlignment="1">
      <alignment horizontal="center" vertical="center"/>
    </xf>
    <xf numFmtId="16" fontId="16" fillId="4" borderId="2" xfId="0" applyNumberFormat="1" applyFont="1" applyFill="1" applyBorder="1" applyAlignment="1">
      <alignment horizontal="center" vertical="center"/>
    </xf>
    <xf numFmtId="16" fontId="16" fillId="0" borderId="2" xfId="0" applyNumberFormat="1" applyFont="1" applyBorder="1" applyAlignment="1">
      <alignment horizontal="center" vertical="center"/>
    </xf>
    <xf numFmtId="16" fontId="17" fillId="0" borderId="2" xfId="0" applyNumberFormat="1" applyFont="1" applyBorder="1" applyAlignment="1">
      <alignment horizontal="center" vertical="center"/>
    </xf>
    <xf numFmtId="16" fontId="11" fillId="12" borderId="25" xfId="0" applyNumberFormat="1" applyFont="1" applyFill="1" applyBorder="1" applyAlignment="1">
      <alignment horizontal="center" vertical="center"/>
    </xf>
    <xf numFmtId="16" fontId="11" fillId="12" borderId="33" xfId="0" applyNumberFormat="1" applyFont="1" applyFill="1" applyBorder="1" applyAlignment="1">
      <alignment horizontal="center" vertical="center"/>
    </xf>
    <xf numFmtId="16" fontId="141" fillId="0" borderId="25" xfId="0" applyNumberFormat="1" applyFont="1" applyBorder="1" applyAlignment="1">
      <alignment horizontal="center" vertical="center"/>
    </xf>
    <xf numFmtId="49" fontId="11" fillId="0" borderId="25" xfId="0" applyNumberFormat="1" applyFont="1" applyBorder="1" applyAlignment="1">
      <alignment horizontal="center" vertical="center"/>
    </xf>
    <xf numFmtId="16" fontId="17" fillId="0" borderId="19" xfId="0" applyNumberFormat="1" applyFont="1" applyBorder="1" applyAlignment="1">
      <alignment horizontal="center" vertical="center"/>
    </xf>
    <xf numFmtId="20" fontId="21" fillId="0" borderId="2" xfId="0" applyNumberFormat="1" applyFont="1" applyBorder="1" applyAlignment="1">
      <alignment horizontal="center" vertical="center"/>
    </xf>
    <xf numFmtId="16" fontId="21" fillId="0" borderId="32" xfId="0" applyNumberFormat="1" applyFont="1" applyBorder="1" applyAlignment="1">
      <alignment horizontal="center" vertical="center"/>
    </xf>
    <xf numFmtId="20" fontId="17" fillId="0" borderId="20" xfId="0" applyNumberFormat="1" applyFont="1" applyBorder="1" applyAlignment="1">
      <alignment horizontal="center" vertical="center"/>
    </xf>
    <xf numFmtId="16" fontId="142" fillId="0" borderId="2" xfId="0" applyNumberFormat="1" applyFont="1" applyBorder="1" applyAlignment="1">
      <alignment horizontal="center" vertical="center"/>
    </xf>
    <xf numFmtId="16" fontId="11" fillId="24" borderId="20" xfId="0" applyNumberFormat="1" applyFont="1" applyFill="1" applyBorder="1" applyAlignment="1">
      <alignment horizontal="center" vertical="center"/>
    </xf>
    <xf numFmtId="16" fontId="11" fillId="3" borderId="71" xfId="0" applyNumberFormat="1" applyFont="1" applyFill="1" applyBorder="1" applyAlignment="1">
      <alignment horizontal="center" vertical="center"/>
    </xf>
    <xf numFmtId="16" fontId="11" fillId="24" borderId="75" xfId="0" applyNumberFormat="1" applyFont="1" applyFill="1" applyBorder="1" applyAlignment="1">
      <alignment horizontal="center" vertical="center"/>
    </xf>
    <xf numFmtId="16" fontId="11" fillId="24" borderId="48" xfId="0" applyNumberFormat="1" applyFont="1" applyFill="1" applyBorder="1" applyAlignment="1">
      <alignment horizontal="center" vertical="center"/>
    </xf>
    <xf numFmtId="16" fontId="17" fillId="0" borderId="48" xfId="0" applyNumberFormat="1" applyFont="1" applyBorder="1" applyAlignment="1">
      <alignment horizontal="center" vertical="center"/>
    </xf>
    <xf numFmtId="49" fontId="11" fillId="0" borderId="75" xfId="0" applyNumberFormat="1" applyFont="1" applyBorder="1" applyAlignment="1">
      <alignment horizontal="center" vertical="center"/>
    </xf>
    <xf numFmtId="0" fontId="116" fillId="3" borderId="48" xfId="0" applyFont="1" applyFill="1" applyBorder="1" applyAlignment="1">
      <alignment horizontal="center" vertical="center" wrapText="1"/>
    </xf>
    <xf numFmtId="16" fontId="11" fillId="0" borderId="68" xfId="0" applyNumberFormat="1" applyFont="1" applyBorder="1" applyAlignment="1">
      <alignment horizontal="center" vertical="center"/>
    </xf>
    <xf numFmtId="16" fontId="11" fillId="32" borderId="45" xfId="0" applyNumberFormat="1" applyFont="1" applyFill="1" applyBorder="1" applyAlignment="1">
      <alignment horizontal="center" vertical="center"/>
    </xf>
    <xf numFmtId="16" fontId="15" fillId="3" borderId="45" xfId="0" applyNumberFormat="1" applyFont="1" applyFill="1" applyBorder="1" applyAlignment="1">
      <alignment horizontal="center" vertical="center"/>
    </xf>
    <xf numFmtId="20" fontId="15" fillId="3" borderId="45" xfId="0" applyNumberFormat="1" applyFont="1" applyFill="1" applyBorder="1" applyAlignment="1">
      <alignment horizontal="center" vertical="center"/>
    </xf>
    <xf numFmtId="49" fontId="11" fillId="0" borderId="19" xfId="0" applyNumberFormat="1" applyFont="1" applyBorder="1" applyAlignment="1">
      <alignment horizontal="center" vertical="center"/>
    </xf>
    <xf numFmtId="49" fontId="11" fillId="0" borderId="45" xfId="0" applyNumberFormat="1" applyFont="1" applyBorder="1" applyAlignment="1">
      <alignment horizontal="center" vertical="center"/>
    </xf>
    <xf numFmtId="16" fontId="11" fillId="0" borderId="45" xfId="0" applyNumberFormat="1" applyFont="1" applyBorder="1" applyAlignment="1">
      <alignment horizontal="center" vertical="center"/>
    </xf>
    <xf numFmtId="16" fontId="11" fillId="31" borderId="30" xfId="0" applyNumberFormat="1" applyFont="1" applyFill="1" applyBorder="1" applyAlignment="1">
      <alignment horizontal="center" vertical="center"/>
    </xf>
    <xf numFmtId="16" fontId="15" fillId="0" borderId="23" xfId="0" applyNumberFormat="1" applyFont="1" applyBorder="1" applyAlignment="1">
      <alignment horizontal="center" vertical="center"/>
    </xf>
    <xf numFmtId="16" fontId="142" fillId="0" borderId="23" xfId="0" applyNumberFormat="1" applyFont="1" applyBorder="1" applyAlignment="1">
      <alignment horizontal="center" vertical="center"/>
    </xf>
    <xf numFmtId="49" fontId="11" fillId="0" borderId="23" xfId="0" applyNumberFormat="1" applyFont="1" applyBorder="1" applyAlignment="1">
      <alignment horizontal="center" vertical="center"/>
    </xf>
    <xf numFmtId="16" fontId="11" fillId="32" borderId="20" xfId="0" applyNumberFormat="1" applyFont="1" applyFill="1" applyBorder="1" applyAlignment="1">
      <alignment horizontal="center" vertical="center"/>
    </xf>
    <xf numFmtId="16" fontId="11" fillId="28" borderId="48" xfId="0" applyNumberFormat="1" applyFont="1" applyFill="1" applyBorder="1" applyAlignment="1">
      <alignment horizontal="center" vertical="center"/>
    </xf>
    <xf numFmtId="16" fontId="11" fillId="47" borderId="25" xfId="0" applyNumberFormat="1" applyFont="1" applyFill="1" applyBorder="1" applyAlignment="1">
      <alignment horizontal="center" vertical="center"/>
    </xf>
    <xf numFmtId="16" fontId="11" fillId="35" borderId="20" xfId="0" applyNumberFormat="1" applyFont="1" applyFill="1" applyBorder="1" applyAlignment="1">
      <alignment horizontal="center" vertical="center"/>
    </xf>
    <xf numFmtId="16" fontId="11" fillId="0" borderId="54" xfId="0" applyNumberFormat="1" applyFont="1" applyBorder="1" applyAlignment="1">
      <alignment horizontal="center" vertical="center" wrapText="1"/>
    </xf>
    <xf numFmtId="16" fontId="21" fillId="0" borderId="53" xfId="0" applyNumberFormat="1" applyFont="1" applyBorder="1" applyAlignment="1">
      <alignment horizontal="center" vertical="center"/>
    </xf>
    <xf numFmtId="16" fontId="143" fillId="0" borderId="34" xfId="0" applyNumberFormat="1" applyFont="1" applyBorder="1" applyAlignment="1">
      <alignment horizontal="center" vertical="center"/>
    </xf>
    <xf numFmtId="20" fontId="15" fillId="0" borderId="32" xfId="0" applyNumberFormat="1" applyFont="1" applyBorder="1" applyAlignment="1">
      <alignment horizontal="center" vertical="center"/>
    </xf>
    <xf numFmtId="16" fontId="142" fillId="0" borderId="53" xfId="0" applyNumberFormat="1" applyFont="1" applyBorder="1" applyAlignment="1">
      <alignment horizontal="center" vertical="center"/>
    </xf>
    <xf numFmtId="20" fontId="21" fillId="0" borderId="32" xfId="0" applyNumberFormat="1" applyFont="1" applyBorder="1" applyAlignment="1">
      <alignment horizontal="center" vertical="center"/>
    </xf>
    <xf numFmtId="16" fontId="21" fillId="0" borderId="64" xfId="0" applyNumberFormat="1" applyFont="1" applyBorder="1" applyAlignment="1">
      <alignment horizontal="center" vertical="center"/>
    </xf>
    <xf numFmtId="16" fontId="143" fillId="0" borderId="33" xfId="0" applyNumberFormat="1" applyFont="1" applyBorder="1" applyAlignment="1">
      <alignment horizontal="center" vertical="center"/>
    </xf>
    <xf numFmtId="20" fontId="15" fillId="0" borderId="30" xfId="0" applyNumberFormat="1" applyFont="1" applyBorder="1" applyAlignment="1">
      <alignment horizontal="center" vertical="center"/>
    </xf>
    <xf numFmtId="16" fontId="142" fillId="0" borderId="64" xfId="0" applyNumberFormat="1" applyFont="1" applyBorder="1" applyAlignment="1">
      <alignment horizontal="center" vertical="center"/>
    </xf>
    <xf numFmtId="16" fontId="21" fillId="0" borderId="61" xfId="0" applyNumberFormat="1" applyFont="1" applyBorder="1" applyAlignment="1">
      <alignment horizontal="center" vertical="center"/>
    </xf>
    <xf numFmtId="49" fontId="11" fillId="0" borderId="72" xfId="0" applyNumberFormat="1" applyFont="1" applyBorder="1" applyAlignment="1">
      <alignment horizontal="center" vertical="center"/>
    </xf>
    <xf numFmtId="49" fontId="11" fillId="0" borderId="61" xfId="0" applyNumberFormat="1" applyFont="1" applyBorder="1" applyAlignment="1">
      <alignment horizontal="center" vertical="center"/>
    </xf>
    <xf numFmtId="49" fontId="11" fillId="0" borderId="76" xfId="0" applyNumberFormat="1" applyFont="1" applyBorder="1" applyAlignment="1">
      <alignment horizontal="center" vertical="center"/>
    </xf>
    <xf numFmtId="16" fontId="11" fillId="47" borderId="47" xfId="0" applyNumberFormat="1" applyFont="1" applyFill="1" applyBorder="1" applyAlignment="1">
      <alignment horizontal="center" vertical="center"/>
    </xf>
    <xf numFmtId="16" fontId="11" fillId="35" borderId="54" xfId="0" applyNumberFormat="1" applyFont="1" applyFill="1" applyBorder="1" applyAlignment="1">
      <alignment horizontal="center" vertical="center"/>
    </xf>
    <xf numFmtId="16" fontId="11" fillId="24" borderId="54" xfId="0" applyNumberFormat="1" applyFont="1" applyFill="1" applyBorder="1" applyAlignment="1">
      <alignment horizontal="center" vertical="center"/>
    </xf>
    <xf numFmtId="16" fontId="11" fillId="24" borderId="68" xfId="0" applyNumberFormat="1" applyFont="1" applyFill="1" applyBorder="1" applyAlignment="1">
      <alignment horizontal="center" vertical="center"/>
    </xf>
    <xf numFmtId="49" fontId="11" fillId="0" borderId="47" xfId="0" applyNumberFormat="1" applyFont="1" applyBorder="1" applyAlignment="1">
      <alignment horizontal="center" vertical="center"/>
    </xf>
    <xf numFmtId="0" fontId="116" fillId="8" borderId="63" xfId="0" applyFont="1" applyFill="1" applyBorder="1" applyAlignment="1">
      <alignment horizontal="center" vertical="center" wrapText="1"/>
    </xf>
    <xf numFmtId="49" fontId="11" fillId="0" borderId="26" xfId="0" applyNumberFormat="1" applyFont="1" applyBorder="1" applyAlignment="1">
      <alignment horizontal="center" vertical="center"/>
    </xf>
    <xf numFmtId="49" fontId="11" fillId="0" borderId="60" xfId="0" applyNumberFormat="1" applyFont="1" applyBorder="1" applyAlignment="1">
      <alignment horizontal="center" vertical="center"/>
    </xf>
    <xf numFmtId="49" fontId="11" fillId="0" borderId="69" xfId="0" applyNumberFormat="1" applyFont="1" applyBorder="1" applyAlignment="1">
      <alignment horizontal="center" vertical="center"/>
    </xf>
    <xf numFmtId="16" fontId="142" fillId="0" borderId="31" xfId="0" applyNumberFormat="1" applyFont="1" applyBorder="1" applyAlignment="1">
      <alignment horizontal="center" vertical="center"/>
    </xf>
    <xf numFmtId="16" fontId="142" fillId="0" borderId="37" xfId="0" applyNumberFormat="1" applyFont="1" applyBorder="1" applyAlignment="1">
      <alignment horizontal="center" vertical="center"/>
    </xf>
    <xf numFmtId="49" fontId="11" fillId="0" borderId="38" xfId="0" applyNumberFormat="1" applyFont="1" applyBorder="1" applyAlignment="1">
      <alignment horizontal="center" vertical="center"/>
    </xf>
    <xf numFmtId="16" fontId="11" fillId="32" borderId="54" xfId="0" applyNumberFormat="1" applyFont="1" applyFill="1" applyBorder="1" applyAlignment="1">
      <alignment horizontal="center" vertical="center"/>
    </xf>
    <xf numFmtId="16" fontId="11" fillId="28" borderId="68" xfId="0" applyNumberFormat="1" applyFont="1" applyFill="1" applyBorder="1" applyAlignment="1">
      <alignment horizontal="center" vertical="center"/>
    </xf>
    <xf numFmtId="0" fontId="8" fillId="5" borderId="69" xfId="0" applyFont="1" applyFill="1" applyBorder="1" applyAlignment="1">
      <alignment horizontal="center" vertical="center" wrapText="1"/>
    </xf>
    <xf numFmtId="49" fontId="11" fillId="0" borderId="68" xfId="0" applyNumberFormat="1" applyFont="1" applyBorder="1" applyAlignment="1">
      <alignment horizontal="center" vertical="center"/>
    </xf>
    <xf numFmtId="49" fontId="21" fillId="0" borderId="2" xfId="0" applyNumberFormat="1" applyFont="1" applyBorder="1" applyAlignment="1">
      <alignment horizontal="center" vertical="center"/>
    </xf>
    <xf numFmtId="0" fontId="53" fillId="0" borderId="0" xfId="0" applyFont="1" applyAlignment="1">
      <alignment horizontal="center" vertical="center"/>
    </xf>
    <xf numFmtId="16" fontId="27" fillId="32" borderId="2" xfId="0" applyNumberFormat="1" applyFont="1" applyFill="1" applyBorder="1" applyAlignment="1">
      <alignment horizontal="center" vertical="center"/>
    </xf>
    <xf numFmtId="16" fontId="27" fillId="32" borderId="30" xfId="0" applyNumberFormat="1" applyFont="1" applyFill="1" applyBorder="1" applyAlignment="1">
      <alignment horizontal="center" vertical="center"/>
    </xf>
    <xf numFmtId="49" fontId="27" fillId="0" borderId="2" xfId="0" applyNumberFormat="1" applyFont="1" applyBorder="1" applyAlignment="1">
      <alignment horizontal="center" vertical="center"/>
    </xf>
    <xf numFmtId="49" fontId="27" fillId="0" borderId="51" xfId="0" applyNumberFormat="1" applyFont="1" applyBorder="1" applyAlignment="1">
      <alignment horizontal="center" vertical="center"/>
    </xf>
    <xf numFmtId="0" fontId="102" fillId="3" borderId="19" xfId="0" applyFont="1" applyFill="1" applyBorder="1" applyAlignment="1">
      <alignment horizontal="center" vertical="center" wrapText="1"/>
    </xf>
    <xf numFmtId="0" fontId="109" fillId="3" borderId="25" xfId="0" applyFont="1" applyFill="1" applyBorder="1" applyAlignment="1">
      <alignment horizontal="center" vertical="center" wrapText="1"/>
    </xf>
    <xf numFmtId="0" fontId="67" fillId="14" borderId="19" xfId="0" applyFont="1" applyFill="1" applyBorder="1" applyAlignment="1">
      <alignment horizontal="center" vertical="center"/>
    </xf>
    <xf numFmtId="0" fontId="1" fillId="3" borderId="19" xfId="0" applyFont="1" applyFill="1" applyBorder="1" applyAlignment="1">
      <alignment horizontal="center" vertical="center" wrapText="1"/>
    </xf>
    <xf numFmtId="0" fontId="109" fillId="3" borderId="19" xfId="0" applyFont="1" applyFill="1" applyBorder="1" applyAlignment="1">
      <alignment horizontal="center" vertical="center" wrapText="1"/>
    </xf>
    <xf numFmtId="0" fontId="102" fillId="3" borderId="2" xfId="0" applyFont="1" applyFill="1" applyBorder="1" applyAlignment="1">
      <alignment horizontal="center" vertical="center" wrapText="1"/>
    </xf>
    <xf numFmtId="0" fontId="1" fillId="3" borderId="23" xfId="0" applyFont="1" applyFill="1" applyBorder="1" applyAlignment="1">
      <alignment vertical="center" wrapText="1"/>
    </xf>
    <xf numFmtId="0" fontId="109" fillId="3" borderId="23" xfId="0" applyFont="1" applyFill="1" applyBorder="1" applyAlignment="1">
      <alignment vertical="center" wrapText="1"/>
    </xf>
    <xf numFmtId="0" fontId="1" fillId="3" borderId="20" xfId="0" applyFont="1" applyFill="1" applyBorder="1" applyAlignment="1">
      <alignment horizontal="center" vertical="center" wrapText="1"/>
    </xf>
    <xf numFmtId="0" fontId="100" fillId="3" borderId="2" xfId="0" applyFont="1" applyFill="1" applyBorder="1" applyAlignment="1">
      <alignment horizontal="center" vertical="center" wrapText="1"/>
    </xf>
    <xf numFmtId="0" fontId="100" fillId="3" borderId="25" xfId="0" applyFont="1" applyFill="1" applyBorder="1" applyAlignment="1">
      <alignment horizontal="center" vertical="center" wrapText="1"/>
    </xf>
    <xf numFmtId="0" fontId="67" fillId="26" borderId="19" xfId="0" applyFont="1" applyFill="1" applyBorder="1" applyAlignment="1">
      <alignment horizontal="center" vertical="center"/>
    </xf>
    <xf numFmtId="0" fontId="106" fillId="3" borderId="19" xfId="0" applyFont="1" applyFill="1" applyBorder="1" applyAlignment="1">
      <alignment horizontal="center" vertical="center" wrapText="1"/>
    </xf>
    <xf numFmtId="0" fontId="67" fillId="5" borderId="21" xfId="0" applyFont="1" applyFill="1" applyBorder="1" applyAlignment="1">
      <alignment horizontal="center" vertical="center" wrapText="1"/>
    </xf>
    <xf numFmtId="0" fontId="67" fillId="2" borderId="2" xfId="0" applyFont="1" applyFill="1" applyBorder="1" applyAlignment="1">
      <alignment horizontal="center" vertical="center"/>
    </xf>
    <xf numFmtId="0" fontId="67" fillId="2" borderId="23" xfId="0" applyFont="1" applyFill="1" applyBorder="1" applyAlignment="1">
      <alignment horizontal="center" vertical="center"/>
    </xf>
    <xf numFmtId="0" fontId="67" fillId="5" borderId="24" xfId="0" applyFont="1" applyFill="1" applyBorder="1" applyAlignment="1">
      <alignment horizontal="center" vertical="center" wrapText="1"/>
    </xf>
    <xf numFmtId="0" fontId="67" fillId="5" borderId="54" xfId="0" applyFont="1" applyFill="1" applyBorder="1" applyAlignment="1">
      <alignment horizontal="center" vertical="center" wrapText="1"/>
    </xf>
    <xf numFmtId="0" fontId="67" fillId="40" borderId="19" xfId="0" applyFont="1" applyFill="1" applyBorder="1" applyAlignment="1">
      <alignment horizontal="center" vertical="center"/>
    </xf>
    <xf numFmtId="0" fontId="1" fillId="3" borderId="19" xfId="0" applyFont="1" applyFill="1" applyBorder="1" applyAlignment="1">
      <alignment vertical="center" wrapText="1"/>
    </xf>
    <xf numFmtId="0" fontId="109" fillId="3" borderId="19" xfId="0" applyFont="1" applyFill="1" applyBorder="1" applyAlignment="1">
      <alignment vertical="center" wrapText="1"/>
    </xf>
    <xf numFmtId="0" fontId="67" fillId="40" borderId="2" xfId="0" applyFont="1" applyFill="1" applyBorder="1" applyAlignment="1">
      <alignment horizontal="center" vertical="center"/>
    </xf>
    <xf numFmtId="0" fontId="67" fillId="43" borderId="2" xfId="0" applyFont="1" applyFill="1" applyBorder="1" applyAlignment="1">
      <alignment horizontal="center" vertical="center"/>
    </xf>
    <xf numFmtId="0" fontId="67" fillId="37" borderId="2" xfId="0" applyFont="1" applyFill="1" applyBorder="1" applyAlignment="1">
      <alignment horizontal="center" vertical="center"/>
    </xf>
    <xf numFmtId="20" fontId="107" fillId="3" borderId="53" xfId="0" applyNumberFormat="1" applyFont="1" applyFill="1" applyBorder="1" applyAlignment="1">
      <alignment horizontal="center" vertical="center" wrapText="1"/>
    </xf>
    <xf numFmtId="0" fontId="109" fillId="3" borderId="20" xfId="0" applyFont="1" applyFill="1" applyBorder="1" applyAlignment="1">
      <alignment horizontal="center" vertical="center" wrapText="1"/>
    </xf>
    <xf numFmtId="20" fontId="109" fillId="3" borderId="32" xfId="0" applyNumberFormat="1" applyFont="1" applyFill="1" applyBorder="1" applyAlignment="1">
      <alignment horizontal="center" vertical="center" wrapText="1"/>
    </xf>
    <xf numFmtId="0" fontId="1" fillId="0" borderId="30" xfId="0" applyFont="1" applyBorder="1" applyAlignment="1">
      <alignment horizontal="center" vertical="center" wrapText="1"/>
    </xf>
    <xf numFmtId="0" fontId="67" fillId="40" borderId="21" xfId="0" applyFont="1" applyFill="1" applyBorder="1" applyAlignment="1">
      <alignment horizontal="center" vertical="center"/>
    </xf>
    <xf numFmtId="0" fontId="109" fillId="5" borderId="36" xfId="0" applyFont="1" applyFill="1" applyBorder="1" applyAlignment="1">
      <alignment horizontal="center" vertical="center" wrapText="1"/>
    </xf>
    <xf numFmtId="0" fontId="67" fillId="40" borderId="22" xfId="0" applyFont="1" applyFill="1" applyBorder="1" applyAlignment="1">
      <alignment horizontal="center" vertical="center"/>
    </xf>
    <xf numFmtId="20" fontId="109" fillId="5" borderId="32" xfId="0" applyNumberFormat="1" applyFont="1" applyFill="1" applyBorder="1" applyAlignment="1">
      <alignment horizontal="center" vertical="center" wrapText="1"/>
    </xf>
    <xf numFmtId="0" fontId="67" fillId="65" borderId="2" xfId="0" applyFont="1" applyFill="1" applyBorder="1" applyAlignment="1">
      <alignment horizontal="center" vertical="center"/>
    </xf>
    <xf numFmtId="0" fontId="67" fillId="7" borderId="2" xfId="0" applyFont="1" applyFill="1" applyBorder="1" applyAlignment="1">
      <alignment horizontal="center" vertical="center"/>
    </xf>
    <xf numFmtId="0" fontId="67" fillId="7" borderId="22" xfId="0" applyFont="1" applyFill="1" applyBorder="1" applyAlignment="1">
      <alignment horizontal="center" vertical="center"/>
    </xf>
    <xf numFmtId="0" fontId="67" fillId="15" borderId="24" xfId="0" applyFont="1" applyFill="1" applyBorder="1" applyAlignment="1">
      <alignment horizontal="center" vertical="center"/>
    </xf>
    <xf numFmtId="0" fontId="109" fillId="5" borderId="59" xfId="0" applyFont="1" applyFill="1" applyBorder="1" applyAlignment="1">
      <alignment horizontal="center" vertical="center" wrapText="1"/>
    </xf>
    <xf numFmtId="0" fontId="1" fillId="3" borderId="45" xfId="0" applyFont="1" applyFill="1" applyBorder="1" applyAlignment="1">
      <alignment vertical="center" wrapText="1"/>
    </xf>
    <xf numFmtId="0" fontId="107" fillId="5" borderId="62" xfId="0" applyFont="1" applyFill="1" applyBorder="1" applyAlignment="1">
      <alignment horizontal="center" vertical="center" wrapText="1"/>
    </xf>
    <xf numFmtId="0" fontId="104" fillId="5" borderId="34" xfId="0" applyFont="1" applyFill="1" applyBorder="1" applyAlignment="1">
      <alignment horizontal="center" vertical="center" wrapText="1"/>
    </xf>
    <xf numFmtId="0" fontId="67" fillId="31" borderId="25" xfId="0" applyFont="1" applyFill="1" applyBorder="1" applyAlignment="1">
      <alignment horizontal="center" vertical="center"/>
    </xf>
    <xf numFmtId="0" fontId="67" fillId="31" borderId="33" xfId="0" applyFont="1" applyFill="1" applyBorder="1" applyAlignment="1">
      <alignment horizontal="center" vertical="center"/>
    </xf>
    <xf numFmtId="0" fontId="67" fillId="16" borderId="19" xfId="0" applyFont="1" applyFill="1" applyBorder="1" applyAlignment="1">
      <alignment horizontal="center" vertical="center"/>
    </xf>
    <xf numFmtId="20" fontId="109" fillId="5" borderId="36" xfId="0" applyNumberFormat="1" applyFont="1" applyFill="1" applyBorder="1" applyAlignment="1">
      <alignment horizontal="center" vertical="center" wrapText="1"/>
    </xf>
    <xf numFmtId="0" fontId="1" fillId="3" borderId="70" xfId="0" applyFont="1" applyFill="1" applyBorder="1" applyAlignment="1">
      <alignment vertical="center" wrapText="1"/>
    </xf>
    <xf numFmtId="0" fontId="1" fillId="3" borderId="62" xfId="0" applyFont="1" applyFill="1" applyBorder="1" applyAlignment="1">
      <alignment vertical="center" wrapText="1"/>
    </xf>
    <xf numFmtId="0" fontId="67" fillId="0" borderId="30" xfId="0" applyFont="1" applyBorder="1" applyAlignment="1">
      <alignment horizontal="center" vertical="center"/>
    </xf>
    <xf numFmtId="20" fontId="109" fillId="5" borderId="53" xfId="0" applyNumberFormat="1" applyFont="1" applyFill="1" applyBorder="1" applyAlignment="1">
      <alignment horizontal="center" vertical="center" wrapText="1"/>
    </xf>
    <xf numFmtId="0" fontId="1" fillId="0" borderId="91" xfId="0" applyFont="1" applyBorder="1" applyAlignment="1">
      <alignment horizontal="center" vertical="center" wrapText="1"/>
    </xf>
    <xf numFmtId="0" fontId="1" fillId="0" borderId="34" xfId="0" applyFont="1" applyBorder="1" applyAlignment="1">
      <alignment horizontal="center" vertical="center" wrapText="1"/>
    </xf>
    <xf numFmtId="20" fontId="107" fillId="5" borderId="53" xfId="0" applyNumberFormat="1" applyFont="1" applyFill="1" applyBorder="1" applyAlignment="1">
      <alignment horizontal="center" vertical="center" wrapText="1"/>
    </xf>
    <xf numFmtId="0" fontId="67" fillId="12" borderId="23" xfId="0" applyFont="1" applyFill="1" applyBorder="1" applyAlignment="1">
      <alignment horizontal="center" vertical="center"/>
    </xf>
    <xf numFmtId="0" fontId="107" fillId="4" borderId="23" xfId="0" applyFont="1" applyFill="1" applyBorder="1" applyAlignment="1">
      <alignment horizontal="center" vertical="center" wrapText="1"/>
    </xf>
    <xf numFmtId="16" fontId="68" fillId="0" borderId="28" xfId="0" applyNumberFormat="1" applyFont="1" applyBorder="1" applyAlignment="1">
      <alignment horizontal="center" vertical="center"/>
    </xf>
    <xf numFmtId="0" fontId="67" fillId="0" borderId="28" xfId="0" applyFont="1" applyBorder="1" applyAlignment="1">
      <alignment horizontal="center" vertical="center"/>
    </xf>
    <xf numFmtId="0" fontId="107" fillId="0" borderId="28" xfId="0" applyFont="1" applyBorder="1" applyAlignment="1">
      <alignment horizontal="center" vertical="center" wrapText="1"/>
    </xf>
    <xf numFmtId="0" fontId="67" fillId="20" borderId="0" xfId="0" applyFont="1" applyFill="1" applyAlignment="1">
      <alignment horizontal="center" vertical="center"/>
    </xf>
    <xf numFmtId="0" fontId="67" fillId="20" borderId="20" xfId="0" applyFont="1" applyFill="1" applyBorder="1" applyAlignment="1">
      <alignment horizontal="center" vertical="center"/>
    </xf>
    <xf numFmtId="0" fontId="67" fillId="20" borderId="30" xfId="0" applyFont="1" applyFill="1" applyBorder="1" applyAlignment="1">
      <alignment horizontal="center" vertical="center"/>
    </xf>
    <xf numFmtId="16" fontId="11" fillId="28" borderId="25" xfId="0" applyNumberFormat="1" applyFont="1" applyFill="1" applyBorder="1" applyAlignment="1">
      <alignment horizontal="center" vertical="center"/>
    </xf>
    <xf numFmtId="16" fontId="8" fillId="32" borderId="23" xfId="0" applyNumberFormat="1" applyFont="1" applyFill="1" applyBorder="1" applyAlignment="1">
      <alignment horizontal="center" vertical="center"/>
    </xf>
    <xf numFmtId="16" fontId="11" fillId="32" borderId="23" xfId="0" applyNumberFormat="1" applyFont="1" applyFill="1" applyBorder="1" applyAlignment="1">
      <alignment horizontal="center" vertical="center"/>
    </xf>
    <xf numFmtId="16" fontId="11" fillId="3" borderId="31" xfId="0" applyNumberFormat="1" applyFont="1" applyFill="1" applyBorder="1" applyAlignment="1">
      <alignment horizontal="center" vertical="center"/>
    </xf>
    <xf numFmtId="16" fontId="11" fillId="19" borderId="20" xfId="0" applyNumberFormat="1" applyFont="1" applyFill="1" applyBorder="1" applyAlignment="1">
      <alignment horizontal="center" vertical="center"/>
    </xf>
    <xf numFmtId="16" fontId="11" fillId="30" borderId="20" xfId="0" applyNumberFormat="1" applyFont="1" applyFill="1" applyBorder="1" applyAlignment="1">
      <alignment horizontal="center" vertical="center"/>
    </xf>
    <xf numFmtId="16" fontId="11" fillId="4" borderId="23" xfId="0" applyNumberFormat="1" applyFont="1" applyFill="1" applyBorder="1" applyAlignment="1">
      <alignment horizontal="center" vertical="center"/>
    </xf>
    <xf numFmtId="49" fontId="11" fillId="3" borderId="2" xfId="0" applyNumberFormat="1" applyFont="1" applyFill="1" applyBorder="1" applyAlignment="1">
      <alignment horizontal="center" vertical="center"/>
    </xf>
    <xf numFmtId="49" fontId="11" fillId="0" borderId="91" xfId="0" applyNumberFormat="1" applyFont="1" applyBorder="1" applyAlignment="1">
      <alignment horizontal="center" vertical="center"/>
    </xf>
    <xf numFmtId="49" fontId="11" fillId="0" borderId="50" xfId="0" applyNumberFormat="1" applyFont="1" applyBorder="1" applyAlignment="1">
      <alignment horizontal="center" vertical="center"/>
    </xf>
    <xf numFmtId="49" fontId="11" fillId="0" borderId="51" xfId="0" applyNumberFormat="1" applyFont="1" applyBorder="1" applyAlignment="1">
      <alignment horizontal="center" vertical="center"/>
    </xf>
    <xf numFmtId="16" fontId="11" fillId="0" borderId="51" xfId="0" applyNumberFormat="1" applyFont="1" applyBorder="1" applyAlignment="1">
      <alignment horizontal="center" vertical="center"/>
    </xf>
    <xf numFmtId="16" fontId="11" fillId="0" borderId="52" xfId="0" applyNumberFormat="1" applyFont="1" applyBorder="1" applyAlignment="1">
      <alignment horizontal="center" vertical="center"/>
    </xf>
    <xf numFmtId="16" fontId="16" fillId="0" borderId="20" xfId="0" applyNumberFormat="1" applyFont="1" applyBorder="1" applyAlignment="1">
      <alignment horizontal="center" vertical="center"/>
    </xf>
    <xf numFmtId="49" fontId="142" fillId="0" borderId="20" xfId="0" applyNumberFormat="1" applyFont="1" applyBorder="1" applyAlignment="1">
      <alignment horizontal="center" vertical="center"/>
    </xf>
    <xf numFmtId="16" fontId="11" fillId="4" borderId="54" xfId="0" applyNumberFormat="1" applyFont="1" applyFill="1" applyBorder="1" applyAlignment="1">
      <alignment horizontal="center" vertical="center" wrapText="1"/>
    </xf>
    <xf numFmtId="16" fontId="16" fillId="0" borderId="51" xfId="0" applyNumberFormat="1" applyFont="1" applyBorder="1" applyAlignment="1">
      <alignment horizontal="center" vertical="center"/>
    </xf>
    <xf numFmtId="16" fontId="142" fillId="0" borderId="19" xfId="0" applyNumberFormat="1" applyFont="1" applyBorder="1" applyAlignment="1">
      <alignment horizontal="center" vertical="center"/>
    </xf>
    <xf numFmtId="0" fontId="116" fillId="0" borderId="19" xfId="0" applyFont="1" applyBorder="1" applyAlignment="1">
      <alignment horizontal="center" vertical="center" wrapText="1"/>
    </xf>
    <xf numFmtId="16" fontId="142" fillId="0" borderId="20" xfId="0" applyNumberFormat="1" applyFont="1" applyBorder="1" applyAlignment="1">
      <alignment horizontal="center" vertical="center"/>
    </xf>
    <xf numFmtId="20" fontId="15" fillId="3" borderId="2" xfId="0" applyNumberFormat="1" applyFont="1" applyFill="1" applyBorder="1" applyAlignment="1">
      <alignment horizontal="center" vertical="center"/>
    </xf>
    <xf numFmtId="16" fontId="15" fillId="3" borderId="2" xfId="0" applyNumberFormat="1" applyFont="1" applyFill="1" applyBorder="1" applyAlignment="1">
      <alignment horizontal="center" vertical="center"/>
    </xf>
    <xf numFmtId="0" fontId="8" fillId="3" borderId="20" xfId="0" applyFont="1" applyFill="1" applyBorder="1" applyAlignment="1">
      <alignment horizontal="center" vertical="center" wrapText="1"/>
    </xf>
    <xf numFmtId="49" fontId="11" fillId="3" borderId="20" xfId="0" applyNumberFormat="1" applyFont="1" applyFill="1" applyBorder="1" applyAlignment="1">
      <alignment horizontal="center" vertical="center"/>
    </xf>
    <xf numFmtId="16" fontId="11" fillId="4" borderId="22" xfId="0" applyNumberFormat="1" applyFont="1" applyFill="1" applyBorder="1" applyAlignment="1">
      <alignment horizontal="center" vertical="center" wrapText="1"/>
    </xf>
    <xf numFmtId="16" fontId="141" fillId="3" borderId="2" xfId="0" applyNumberFormat="1" applyFont="1" applyFill="1" applyBorder="1" applyAlignment="1">
      <alignment horizontal="center" vertical="center"/>
    </xf>
    <xf numFmtId="20" fontId="17" fillId="0" borderId="23" xfId="0" applyNumberFormat="1" applyFont="1" applyBorder="1" applyAlignment="1">
      <alignment horizontal="center" vertical="center"/>
    </xf>
    <xf numFmtId="49" fontId="11" fillId="0" borderId="64" xfId="0" applyNumberFormat="1" applyFont="1" applyBorder="1" applyAlignment="1">
      <alignment horizontal="center" vertical="center"/>
    </xf>
    <xf numFmtId="16" fontId="15" fillId="0" borderId="20" xfId="0" applyNumberFormat="1" applyFont="1" applyBorder="1" applyAlignment="1">
      <alignment horizontal="center" vertical="center"/>
    </xf>
    <xf numFmtId="16" fontId="17" fillId="0" borderId="20" xfId="0" applyNumberFormat="1" applyFont="1" applyBorder="1" applyAlignment="1">
      <alignment horizontal="center" vertical="center"/>
    </xf>
    <xf numFmtId="16" fontId="15" fillId="0" borderId="51" xfId="0" applyNumberFormat="1" applyFont="1" applyBorder="1" applyAlignment="1">
      <alignment horizontal="center" vertical="center"/>
    </xf>
    <xf numFmtId="49" fontId="11" fillId="0" borderId="30" xfId="0" applyNumberFormat="1" applyFont="1" applyBorder="1" applyAlignment="1">
      <alignment horizontal="center" vertical="center"/>
    </xf>
    <xf numFmtId="16" fontId="141" fillId="0" borderId="23" xfId="0" applyNumberFormat="1" applyFont="1" applyBorder="1" applyAlignment="1">
      <alignment horizontal="center" vertical="center"/>
    </xf>
    <xf numFmtId="49" fontId="11" fillId="0" borderId="33" xfId="0" applyNumberFormat="1" applyFont="1" applyBorder="1" applyAlignment="1">
      <alignment horizontal="center" vertical="center"/>
    </xf>
    <xf numFmtId="16" fontId="142" fillId="0" borderId="25" xfId="0" applyNumberFormat="1" applyFont="1" applyBorder="1" applyAlignment="1">
      <alignment horizontal="center" vertical="center"/>
    </xf>
    <xf numFmtId="20" fontId="15" fillId="0" borderId="23" xfId="0" applyNumberFormat="1" applyFont="1" applyBorder="1" applyAlignment="1">
      <alignment horizontal="center" vertical="center"/>
    </xf>
    <xf numFmtId="20" fontId="141" fillId="3" borderId="20" xfId="0" applyNumberFormat="1" applyFont="1" applyFill="1" applyBorder="1" applyAlignment="1">
      <alignment horizontal="center" vertical="center"/>
    </xf>
    <xf numFmtId="16" fontId="141" fillId="3" borderId="20" xfId="0" applyNumberFormat="1" applyFont="1" applyFill="1" applyBorder="1" applyAlignment="1">
      <alignment horizontal="center" vertical="center"/>
    </xf>
    <xf numFmtId="16" fontId="15" fillId="4" borderId="35" xfId="0" applyNumberFormat="1" applyFont="1" applyFill="1" applyBorder="1" applyAlignment="1">
      <alignment horizontal="center" vertical="center"/>
    </xf>
    <xf numFmtId="16" fontId="142" fillId="3" borderId="32" xfId="0" applyNumberFormat="1" applyFont="1" applyFill="1" applyBorder="1" applyAlignment="1">
      <alignment horizontal="center" vertical="center"/>
    </xf>
    <xf numFmtId="16" fontId="15" fillId="4" borderId="36" xfId="0" applyNumberFormat="1" applyFont="1" applyFill="1" applyBorder="1" applyAlignment="1">
      <alignment horizontal="center" vertical="center"/>
    </xf>
    <xf numFmtId="49" fontId="11" fillId="0" borderId="73" xfId="0" applyNumberFormat="1" applyFont="1" applyBorder="1" applyAlignment="1">
      <alignment horizontal="center" vertical="center"/>
    </xf>
    <xf numFmtId="49" fontId="11" fillId="0" borderId="21" xfId="0" applyNumberFormat="1" applyFont="1" applyBorder="1" applyAlignment="1">
      <alignment horizontal="center" vertical="center"/>
    </xf>
    <xf numFmtId="49" fontId="11" fillId="0" borderId="18" xfId="0" applyNumberFormat="1" applyFont="1" applyBorder="1" applyAlignment="1">
      <alignment vertical="center"/>
    </xf>
    <xf numFmtId="49" fontId="11" fillId="0" borderId="19" xfId="0" applyNumberFormat="1" applyFont="1" applyBorder="1" applyAlignment="1">
      <alignment vertical="center"/>
    </xf>
    <xf numFmtId="49" fontId="11" fillId="0" borderId="26" xfId="0" applyNumberFormat="1" applyFont="1" applyBorder="1" applyAlignment="1">
      <alignment vertical="center"/>
    </xf>
    <xf numFmtId="49" fontId="11" fillId="0" borderId="2" xfId="0" applyNumberFormat="1" applyFont="1" applyBorder="1" applyAlignment="1">
      <alignment vertical="center"/>
    </xf>
    <xf numFmtId="16" fontId="11" fillId="0" borderId="21" xfId="0" applyNumberFormat="1" applyFont="1" applyBorder="1" applyAlignment="1">
      <alignment horizontal="center" vertical="center" wrapText="1"/>
    </xf>
    <xf numFmtId="16" fontId="16" fillId="0" borderId="64" xfId="0" applyNumberFormat="1" applyFont="1" applyBorder="1" applyAlignment="1">
      <alignment horizontal="center" vertical="center"/>
    </xf>
    <xf numFmtId="16" fontId="15" fillId="0" borderId="31" xfId="0" applyNumberFormat="1" applyFont="1" applyBorder="1" applyAlignment="1">
      <alignment horizontal="center" vertical="center"/>
    </xf>
    <xf numFmtId="16" fontId="16" fillId="0" borderId="53" xfId="0" applyNumberFormat="1" applyFont="1" applyBorder="1" applyAlignment="1">
      <alignment horizontal="center" vertical="center"/>
    </xf>
    <xf numFmtId="16" fontId="15" fillId="0" borderId="37" xfId="0" applyNumberFormat="1" applyFont="1" applyBorder="1" applyAlignment="1">
      <alignment horizontal="center" vertical="center"/>
    </xf>
    <xf numFmtId="0" fontId="116" fillId="3" borderId="27" xfId="0" applyFont="1" applyFill="1" applyBorder="1" applyAlignment="1">
      <alignment horizontal="center" vertical="center" wrapText="1"/>
    </xf>
    <xf numFmtId="16" fontId="16" fillId="0" borderId="35" xfId="0" applyNumberFormat="1" applyFont="1" applyBorder="1" applyAlignment="1">
      <alignment horizontal="center" vertical="center"/>
    </xf>
    <xf numFmtId="16" fontId="17" fillId="3" borderId="64" xfId="0" applyNumberFormat="1" applyFont="1" applyFill="1" applyBorder="1" applyAlignment="1">
      <alignment horizontal="center" vertical="center"/>
    </xf>
    <xf numFmtId="16" fontId="142" fillId="3" borderId="30" xfId="0" applyNumberFormat="1" applyFont="1" applyFill="1" applyBorder="1" applyAlignment="1">
      <alignment horizontal="center" vertical="center"/>
    </xf>
    <xf numFmtId="16" fontId="141" fillId="3" borderId="30" xfId="0" applyNumberFormat="1" applyFont="1" applyFill="1" applyBorder="1" applyAlignment="1">
      <alignment horizontal="center" vertical="center"/>
    </xf>
    <xf numFmtId="16" fontId="16" fillId="0" borderId="36" xfId="0" applyNumberFormat="1" applyFont="1" applyBorder="1" applyAlignment="1">
      <alignment horizontal="center" vertical="center"/>
    </xf>
    <xf numFmtId="20" fontId="17" fillId="3" borderId="53" xfId="0" applyNumberFormat="1" applyFont="1" applyFill="1" applyBorder="1" applyAlignment="1">
      <alignment horizontal="center" vertical="center"/>
    </xf>
    <xf numFmtId="20" fontId="142" fillId="3" borderId="32" xfId="0" applyNumberFormat="1" applyFont="1" applyFill="1" applyBorder="1" applyAlignment="1">
      <alignment horizontal="center" vertical="center"/>
    </xf>
    <xf numFmtId="20" fontId="141" fillId="3" borderId="32" xfId="0" applyNumberFormat="1" applyFont="1" applyFill="1" applyBorder="1" applyAlignment="1">
      <alignment horizontal="center" vertical="center"/>
    </xf>
    <xf numFmtId="20" fontId="15" fillId="0" borderId="37" xfId="0" applyNumberFormat="1" applyFont="1" applyBorder="1" applyAlignment="1">
      <alignment horizontal="center" vertical="center"/>
    </xf>
    <xf numFmtId="0" fontId="116" fillId="3" borderId="60" xfId="0" applyFont="1" applyFill="1" applyBorder="1" applyAlignment="1">
      <alignment horizontal="center" vertical="center" wrapText="1"/>
    </xf>
    <xf numFmtId="16" fontId="11" fillId="0" borderId="4" xfId="0" applyNumberFormat="1" applyFont="1" applyBorder="1" applyAlignment="1">
      <alignment horizontal="center" vertical="center"/>
    </xf>
    <xf numFmtId="16" fontId="21" fillId="0" borderId="30" xfId="0" applyNumberFormat="1" applyFont="1" applyBorder="1" applyAlignment="1">
      <alignment horizontal="center" vertical="center"/>
    </xf>
    <xf numFmtId="16" fontId="22" fillId="0" borderId="30" xfId="0" applyNumberFormat="1" applyFont="1" applyBorder="1" applyAlignment="1">
      <alignment horizontal="center" vertical="center"/>
    </xf>
    <xf numFmtId="16" fontId="21" fillId="0" borderId="31" xfId="0" applyNumberFormat="1" applyFont="1" applyBorder="1" applyAlignment="1">
      <alignment horizontal="center" vertical="center"/>
    </xf>
    <xf numFmtId="16" fontId="22" fillId="0" borderId="53" xfId="0" applyNumberFormat="1" applyFont="1" applyBorder="1" applyAlignment="1">
      <alignment horizontal="center" vertical="center"/>
    </xf>
    <xf numFmtId="16" fontId="22" fillId="0" borderId="32" xfId="0" applyNumberFormat="1" applyFont="1" applyBorder="1" applyAlignment="1">
      <alignment horizontal="center" vertical="center"/>
    </xf>
    <xf numFmtId="16" fontId="21" fillId="0" borderId="37" xfId="0" applyNumberFormat="1" applyFont="1" applyBorder="1" applyAlignment="1">
      <alignment horizontal="center" vertical="center"/>
    </xf>
    <xf numFmtId="49" fontId="11" fillId="0" borderId="46" xfId="0" applyNumberFormat="1" applyFont="1" applyBorder="1" applyAlignment="1">
      <alignment vertical="center"/>
    </xf>
    <xf numFmtId="49" fontId="11" fillId="0" borderId="25" xfId="0" applyNumberFormat="1" applyFont="1" applyBorder="1" applyAlignment="1">
      <alignment vertical="center"/>
    </xf>
    <xf numFmtId="16" fontId="11" fillId="20" borderId="19" xfId="0" applyNumberFormat="1" applyFont="1" applyFill="1" applyBorder="1" applyAlignment="1">
      <alignment horizontal="center" vertical="center"/>
    </xf>
    <xf numFmtId="16" fontId="145" fillId="3" borderId="2" xfId="0" applyNumberFormat="1" applyFont="1" applyFill="1" applyBorder="1" applyAlignment="1">
      <alignment horizontal="center" vertical="center"/>
    </xf>
    <xf numFmtId="16" fontId="17" fillId="0" borderId="53" xfId="0" applyNumberFormat="1" applyFont="1" applyBorder="1" applyAlignment="1">
      <alignment horizontal="center" vertical="center"/>
    </xf>
    <xf numFmtId="0" fontId="11" fillId="3" borderId="18" xfId="0" applyFont="1" applyFill="1" applyBorder="1" applyAlignment="1">
      <alignment horizontal="center" vertical="center"/>
    </xf>
    <xf numFmtId="16" fontId="11" fillId="4" borderId="19" xfId="0" applyNumberFormat="1" applyFont="1" applyFill="1" applyBorder="1" applyAlignment="1">
      <alignment horizontal="center" vertical="center"/>
    </xf>
    <xf numFmtId="16" fontId="15" fillId="3" borderId="28" xfId="0" applyNumberFormat="1" applyFont="1" applyFill="1" applyBorder="1" applyAlignment="1">
      <alignment horizontal="center" vertical="center"/>
    </xf>
    <xf numFmtId="16" fontId="141" fillId="0" borderId="64" xfId="0" applyNumberFormat="1" applyFont="1" applyBorder="1" applyAlignment="1">
      <alignment horizontal="center" vertical="center"/>
    </xf>
    <xf numFmtId="16" fontId="15" fillId="3" borderId="30" xfId="0" applyNumberFormat="1" applyFont="1" applyFill="1" applyBorder="1" applyAlignment="1">
      <alignment horizontal="center" vertical="center"/>
    </xf>
    <xf numFmtId="16" fontId="16" fillId="3" borderId="30" xfId="0" applyNumberFormat="1" applyFont="1" applyFill="1" applyBorder="1" applyAlignment="1">
      <alignment horizontal="center" vertical="center"/>
    </xf>
    <xf numFmtId="16" fontId="141" fillId="3" borderId="64" xfId="0" applyNumberFormat="1" applyFont="1" applyFill="1" applyBorder="1" applyAlignment="1">
      <alignment horizontal="center" vertical="center"/>
    </xf>
    <xf numFmtId="16" fontId="21" fillId="3" borderId="49" xfId="0" applyNumberFormat="1" applyFont="1" applyFill="1" applyBorder="1" applyAlignment="1">
      <alignment horizontal="center" vertical="center"/>
    </xf>
    <xf numFmtId="16" fontId="141" fillId="3" borderId="31" xfId="0" applyNumberFormat="1" applyFont="1" applyFill="1" applyBorder="1" applyAlignment="1">
      <alignment horizontal="center" vertical="center"/>
    </xf>
    <xf numFmtId="16" fontId="11" fillId="3" borderId="61" xfId="0" applyNumberFormat="1" applyFont="1" applyFill="1" applyBorder="1" applyAlignment="1">
      <alignment horizontal="center" vertical="center"/>
    </xf>
    <xf numFmtId="16" fontId="141" fillId="0" borderId="36" xfId="0" applyNumberFormat="1" applyFont="1" applyBorder="1" applyAlignment="1">
      <alignment horizontal="center" vertical="center"/>
    </xf>
    <xf numFmtId="16" fontId="141" fillId="0" borderId="53" xfId="0" applyNumberFormat="1" applyFont="1" applyBorder="1" applyAlignment="1">
      <alignment horizontal="center" vertical="center"/>
    </xf>
    <xf numFmtId="16" fontId="37" fillId="3" borderId="32" xfId="0" applyNumberFormat="1" applyFont="1" applyFill="1" applyBorder="1" applyAlignment="1">
      <alignment horizontal="center" vertical="center"/>
    </xf>
    <xf numFmtId="16" fontId="15" fillId="3" borderId="32" xfId="0" applyNumberFormat="1" applyFont="1" applyFill="1" applyBorder="1" applyAlignment="1">
      <alignment horizontal="center" vertical="center"/>
    </xf>
    <xf numFmtId="16" fontId="16" fillId="3" borderId="32" xfId="0" applyNumberFormat="1" applyFont="1" applyFill="1" applyBorder="1" applyAlignment="1">
      <alignment horizontal="center" vertical="center"/>
    </xf>
    <xf numFmtId="16" fontId="141" fillId="3" borderId="32" xfId="0" applyNumberFormat="1" applyFont="1" applyFill="1" applyBorder="1" applyAlignment="1">
      <alignment horizontal="center" vertical="center"/>
    </xf>
    <xf numFmtId="16" fontId="141" fillId="3" borderId="53" xfId="0" applyNumberFormat="1" applyFont="1" applyFill="1" applyBorder="1" applyAlignment="1">
      <alignment horizontal="center" vertical="center"/>
    </xf>
    <xf numFmtId="16" fontId="21" fillId="3" borderId="62" xfId="0" applyNumberFormat="1" applyFont="1" applyFill="1" applyBorder="1" applyAlignment="1">
      <alignment horizontal="center" vertical="center"/>
    </xf>
    <xf numFmtId="16" fontId="141" fillId="3" borderId="37" xfId="0" applyNumberFormat="1" applyFont="1" applyFill="1" applyBorder="1" applyAlignment="1">
      <alignment horizontal="center" vertical="center"/>
    </xf>
    <xf numFmtId="16" fontId="11" fillId="20" borderId="21" xfId="0" applyNumberFormat="1" applyFont="1" applyFill="1" applyBorder="1" applyAlignment="1">
      <alignment horizontal="center" vertical="center"/>
    </xf>
    <xf numFmtId="0" fontId="8" fillId="3" borderId="26" xfId="0" applyFont="1" applyFill="1" applyBorder="1" applyAlignment="1">
      <alignment horizontal="center" vertical="center" wrapText="1"/>
    </xf>
    <xf numFmtId="0" fontId="116" fillId="3" borderId="18" xfId="0" applyFont="1" applyFill="1" applyBorder="1" applyAlignment="1">
      <alignment horizontal="center" vertical="center" wrapText="1"/>
    </xf>
    <xf numFmtId="16" fontId="15" fillId="4" borderId="64" xfId="0" applyNumberFormat="1" applyFont="1" applyFill="1" applyBorder="1" applyAlignment="1">
      <alignment horizontal="center" vertical="center"/>
    </xf>
    <xf numFmtId="16" fontId="15" fillId="0" borderId="76" xfId="0" applyNumberFormat="1" applyFont="1" applyBorder="1" applyAlignment="1">
      <alignment horizontal="center" vertical="center"/>
    </xf>
    <xf numFmtId="16" fontId="17" fillId="0" borderId="76" xfId="0" applyNumberFormat="1" applyFont="1" applyBorder="1" applyAlignment="1">
      <alignment horizontal="center" vertical="center"/>
    </xf>
    <xf numFmtId="16" fontId="142" fillId="3" borderId="33" xfId="0" applyNumberFormat="1" applyFont="1" applyFill="1" applyBorder="1" applyAlignment="1">
      <alignment horizontal="center" vertical="center"/>
    </xf>
    <xf numFmtId="16" fontId="15" fillId="4" borderId="62" xfId="0" applyNumberFormat="1" applyFont="1" applyFill="1" applyBorder="1" applyAlignment="1">
      <alignment horizontal="center" vertical="center"/>
    </xf>
    <xf numFmtId="16" fontId="15" fillId="3" borderId="34" xfId="0" applyNumberFormat="1" applyFont="1" applyFill="1" applyBorder="1" applyAlignment="1">
      <alignment horizontal="center" vertical="center"/>
    </xf>
    <xf numFmtId="16" fontId="11" fillId="3" borderId="72" xfId="0" applyNumberFormat="1" applyFont="1" applyFill="1" applyBorder="1" applyAlignment="1">
      <alignment horizontal="center" vertical="center"/>
    </xf>
    <xf numFmtId="16" fontId="11" fillId="0" borderId="46" xfId="0" applyNumberFormat="1" applyFont="1" applyBorder="1" applyAlignment="1">
      <alignment horizontal="center" vertical="center"/>
    </xf>
    <xf numFmtId="0" fontId="105" fillId="3" borderId="18" xfId="0" applyFont="1" applyFill="1" applyBorder="1" applyAlignment="1">
      <alignment horizontal="center" vertical="center" wrapText="1"/>
    </xf>
    <xf numFmtId="0" fontId="105" fillId="3" borderId="26" xfId="0" applyFont="1" applyFill="1" applyBorder="1" applyAlignment="1">
      <alignment horizontal="center" vertical="center" wrapText="1"/>
    </xf>
    <xf numFmtId="16" fontId="142" fillId="3" borderId="35" xfId="0" applyNumberFormat="1" applyFont="1" applyFill="1" applyBorder="1" applyAlignment="1">
      <alignment horizontal="center" vertical="center"/>
    </xf>
    <xf numFmtId="16" fontId="17" fillId="3" borderId="30" xfId="0" applyNumberFormat="1" applyFont="1" applyFill="1" applyBorder="1" applyAlignment="1">
      <alignment horizontal="center" vertical="center"/>
    </xf>
    <xf numFmtId="16" fontId="15" fillId="3" borderId="31" xfId="0" applyNumberFormat="1" applyFont="1" applyFill="1" applyBorder="1" applyAlignment="1">
      <alignment horizontal="center" vertical="center"/>
    </xf>
    <xf numFmtId="20" fontId="142" fillId="3" borderId="36" xfId="0" applyNumberFormat="1" applyFont="1" applyFill="1" applyBorder="1" applyAlignment="1">
      <alignment horizontal="center" vertical="center"/>
    </xf>
    <xf numFmtId="20" fontId="17" fillId="3" borderId="32" xfId="0" applyNumberFormat="1" applyFont="1" applyFill="1" applyBorder="1" applyAlignment="1">
      <alignment horizontal="center" vertical="center"/>
    </xf>
    <xf numFmtId="16" fontId="15" fillId="3" borderId="37" xfId="0" applyNumberFormat="1" applyFont="1" applyFill="1" applyBorder="1" applyAlignment="1">
      <alignment horizontal="center" vertical="center"/>
    </xf>
    <xf numFmtId="16" fontId="11" fillId="3" borderId="73" xfId="0" applyNumberFormat="1" applyFont="1" applyFill="1" applyBorder="1" applyAlignment="1">
      <alignment horizontal="center" vertical="center"/>
    </xf>
    <xf numFmtId="16" fontId="11" fillId="3" borderId="74" xfId="0" applyNumberFormat="1" applyFont="1" applyFill="1" applyBorder="1" applyAlignment="1">
      <alignment horizontal="center" vertical="center"/>
    </xf>
    <xf numFmtId="0" fontId="105" fillId="3" borderId="46" xfId="0" applyFont="1" applyFill="1" applyBorder="1" applyAlignment="1">
      <alignment horizontal="center" vertical="center" wrapText="1"/>
    </xf>
    <xf numFmtId="16" fontId="11" fillId="4" borderId="21" xfId="0" applyNumberFormat="1" applyFont="1" applyFill="1" applyBorder="1" applyAlignment="1">
      <alignment horizontal="center" vertical="center"/>
    </xf>
    <xf numFmtId="0" fontId="38" fillId="8" borderId="26" xfId="0" applyFont="1" applyFill="1" applyBorder="1" applyAlignment="1">
      <alignment horizontal="center" vertical="center"/>
    </xf>
    <xf numFmtId="16" fontId="15" fillId="3" borderId="64" xfId="0" applyNumberFormat="1" applyFont="1" applyFill="1" applyBorder="1" applyAlignment="1">
      <alignment horizontal="center" vertical="center"/>
    </xf>
    <xf numFmtId="16" fontId="15" fillId="3" borderId="53" xfId="0" applyNumberFormat="1" applyFont="1" applyFill="1" applyBorder="1" applyAlignment="1">
      <alignment horizontal="center" vertical="center"/>
    </xf>
    <xf numFmtId="16" fontId="11" fillId="3" borderId="76" xfId="0" applyNumberFormat="1" applyFont="1" applyFill="1" applyBorder="1" applyAlignment="1">
      <alignment horizontal="center" vertical="center"/>
    </xf>
    <xf numFmtId="16" fontId="11" fillId="18" borderId="19" xfId="0" applyNumberFormat="1" applyFont="1" applyFill="1" applyBorder="1" applyAlignment="1">
      <alignment horizontal="center" vertical="center"/>
    </xf>
    <xf numFmtId="16" fontId="11" fillId="18" borderId="21" xfId="0" applyNumberFormat="1" applyFont="1" applyFill="1" applyBorder="1" applyAlignment="1">
      <alignment horizontal="center" vertical="center"/>
    </xf>
    <xf numFmtId="16" fontId="142" fillId="3" borderId="64" xfId="0" applyNumberFormat="1" applyFont="1" applyFill="1" applyBorder="1" applyAlignment="1">
      <alignment horizontal="center" vertical="center"/>
    </xf>
    <xf numFmtId="16" fontId="142" fillId="3" borderId="53" xfId="0" applyNumberFormat="1" applyFont="1" applyFill="1" applyBorder="1" applyAlignment="1">
      <alignment horizontal="center" vertical="center"/>
    </xf>
    <xf numFmtId="0" fontId="11" fillId="3" borderId="69" xfId="0" applyFont="1" applyFill="1" applyBorder="1" applyAlignment="1">
      <alignment horizontal="center" vertical="center"/>
    </xf>
    <xf numFmtId="0" fontId="38" fillId="8" borderId="48" xfId="0" applyFont="1" applyFill="1" applyBorder="1" applyAlignment="1">
      <alignment horizontal="center" vertical="center"/>
    </xf>
    <xf numFmtId="1" fontId="11" fillId="0" borderId="24" xfId="0" applyNumberFormat="1" applyFont="1" applyBorder="1" applyAlignment="1">
      <alignment horizontal="center" vertical="center"/>
    </xf>
    <xf numFmtId="16" fontId="11" fillId="3" borderId="33" xfId="0" applyNumberFormat="1" applyFont="1" applyFill="1" applyBorder="1" applyAlignment="1">
      <alignment horizontal="center" vertical="center"/>
    </xf>
    <xf numFmtId="16" fontId="11" fillId="0" borderId="30" xfId="0" applyNumberFormat="1" applyFont="1" applyBorder="1" applyAlignment="1">
      <alignment horizontal="center" vertical="center"/>
    </xf>
    <xf numFmtId="16" fontId="11" fillId="3" borderId="35" xfId="0" applyNumberFormat="1" applyFont="1" applyFill="1" applyBorder="1" applyAlignment="1">
      <alignment horizontal="center" vertical="center"/>
    </xf>
    <xf numFmtId="16" fontId="11" fillId="3" borderId="33" xfId="0" applyNumberFormat="1" applyFont="1" applyFill="1" applyBorder="1" applyAlignment="1">
      <alignment horizontal="center" vertical="center" wrapText="1"/>
    </xf>
    <xf numFmtId="16" fontId="11" fillId="3" borderId="30" xfId="0" applyNumberFormat="1" applyFont="1" applyFill="1" applyBorder="1" applyAlignment="1">
      <alignment horizontal="center" vertical="center" wrapText="1"/>
    </xf>
    <xf numFmtId="0" fontId="10" fillId="0" borderId="2" xfId="0" applyFont="1" applyBorder="1" applyAlignment="1">
      <alignment horizontal="center" vertical="center" wrapText="1"/>
    </xf>
    <xf numFmtId="16" fontId="21" fillId="3" borderId="2" xfId="0" applyNumberFormat="1" applyFont="1" applyFill="1" applyBorder="1" applyAlignment="1">
      <alignment horizontal="center" vertical="center"/>
    </xf>
    <xf numFmtId="0" fontId="146" fillId="0" borderId="25" xfId="0" applyFont="1" applyBorder="1" applyAlignment="1">
      <alignment horizontal="center" vertical="center"/>
    </xf>
    <xf numFmtId="0" fontId="146" fillId="0" borderId="30" xfId="0" applyFont="1" applyBorder="1" applyAlignment="1">
      <alignment horizontal="center" vertical="center"/>
    </xf>
    <xf numFmtId="0" fontId="25" fillId="0" borderId="51" xfId="0" applyFont="1" applyBorder="1" applyAlignment="1">
      <alignment horizontal="center" vertical="center"/>
    </xf>
    <xf numFmtId="0" fontId="38" fillId="8" borderId="51" xfId="0" applyFont="1" applyFill="1" applyBorder="1" applyAlignment="1">
      <alignment horizontal="center" vertical="center"/>
    </xf>
    <xf numFmtId="16" fontId="17" fillId="3" borderId="25" xfId="0" applyNumberFormat="1" applyFont="1" applyFill="1" applyBorder="1" applyAlignment="1">
      <alignment horizontal="center" vertical="center"/>
    </xf>
    <xf numFmtId="0" fontId="11" fillId="3" borderId="32" xfId="0" applyFont="1" applyFill="1" applyBorder="1" applyAlignment="1">
      <alignment horizontal="center" vertical="center"/>
    </xf>
    <xf numFmtId="0" fontId="123" fillId="11" borderId="2" xfId="0" applyFont="1" applyFill="1" applyBorder="1" applyAlignment="1">
      <alignment horizontal="center" vertical="center"/>
    </xf>
    <xf numFmtId="16" fontId="142" fillId="3" borderId="19" xfId="0" applyNumberFormat="1" applyFont="1" applyFill="1" applyBorder="1" applyAlignment="1">
      <alignment horizontal="center" vertical="center"/>
    </xf>
    <xf numFmtId="0" fontId="34" fillId="0" borderId="2" xfId="0" applyFont="1" applyBorder="1"/>
    <xf numFmtId="0" fontId="25" fillId="0" borderId="2" xfId="0" applyFont="1" applyBorder="1" applyAlignment="1">
      <alignment horizontal="center" vertical="center"/>
    </xf>
    <xf numFmtId="0" fontId="38" fillId="8" borderId="2" xfId="0" applyFont="1" applyFill="1" applyBorder="1" applyAlignment="1">
      <alignment horizontal="center" vertical="center"/>
    </xf>
    <xf numFmtId="0" fontId="10" fillId="20" borderId="2" xfId="0" applyFont="1" applyFill="1" applyBorder="1" applyAlignment="1">
      <alignment horizontal="center" vertical="center"/>
    </xf>
    <xf numFmtId="0" fontId="34" fillId="0" borderId="22" xfId="0" applyFont="1" applyBorder="1" applyAlignment="1">
      <alignment wrapText="1"/>
    </xf>
    <xf numFmtId="16" fontId="142" fillId="3" borderId="2" xfId="0" applyNumberFormat="1" applyFont="1" applyFill="1" applyBorder="1" applyAlignment="1">
      <alignment horizontal="center" vertical="center"/>
    </xf>
    <xf numFmtId="0" fontId="34" fillId="3" borderId="22" xfId="0" applyFont="1" applyFill="1" applyBorder="1"/>
    <xf numFmtId="0" fontId="34" fillId="3" borderId="54" xfId="0" applyFont="1" applyFill="1" applyBorder="1"/>
    <xf numFmtId="16" fontId="21" fillId="3" borderId="25" xfId="0" applyNumberFormat="1" applyFont="1" applyFill="1" applyBorder="1" applyAlignment="1">
      <alignment horizontal="center" vertical="center"/>
    </xf>
    <xf numFmtId="0" fontId="34" fillId="3" borderId="47" xfId="0" applyFont="1" applyFill="1" applyBorder="1"/>
    <xf numFmtId="0" fontId="11" fillId="0" borderId="81" xfId="0" applyFont="1" applyBorder="1" applyAlignment="1">
      <alignment horizontal="center" vertical="center"/>
    </xf>
    <xf numFmtId="16" fontId="11" fillId="3" borderId="93" xfId="0" applyNumberFormat="1" applyFont="1" applyFill="1" applyBorder="1" applyAlignment="1">
      <alignment horizontal="center" vertical="center"/>
    </xf>
    <xf numFmtId="165" fontId="17" fillId="3" borderId="19" xfId="0" applyNumberFormat="1" applyFont="1" applyFill="1" applyBorder="1" applyAlignment="1">
      <alignment horizontal="center" vertical="center"/>
    </xf>
    <xf numFmtId="16" fontId="17" fillId="3" borderId="45" xfId="0" applyNumberFormat="1" applyFont="1" applyFill="1" applyBorder="1" applyAlignment="1">
      <alignment horizontal="center" vertical="center"/>
    </xf>
    <xf numFmtId="0" fontId="0" fillId="3" borderId="45" xfId="0" applyFill="1" applyBorder="1"/>
    <xf numFmtId="0" fontId="34" fillId="3" borderId="70" xfId="0" applyFont="1" applyFill="1" applyBorder="1"/>
    <xf numFmtId="0" fontId="11" fillId="0" borderId="65" xfId="0" applyFont="1" applyBorder="1" applyAlignment="1">
      <alignment horizontal="center" vertical="center"/>
    </xf>
    <xf numFmtId="16" fontId="11" fillId="3" borderId="94" xfId="0" applyNumberFormat="1" applyFont="1" applyFill="1" applyBorder="1" applyAlignment="1">
      <alignment horizontal="center" vertical="center"/>
    </xf>
    <xf numFmtId="0" fontId="11" fillId="3" borderId="95" xfId="0" applyFont="1" applyFill="1" applyBorder="1" applyAlignment="1">
      <alignment horizontal="center" vertical="center"/>
    </xf>
    <xf numFmtId="0" fontId="0" fillId="0" borderId="95" xfId="0" applyBorder="1"/>
    <xf numFmtId="0" fontId="0" fillId="0" borderId="96" xfId="0" applyBorder="1"/>
    <xf numFmtId="16" fontId="11" fillId="3" borderId="97" xfId="0" applyNumberFormat="1" applyFont="1" applyFill="1" applyBorder="1" applyAlignment="1">
      <alignment horizontal="center" vertical="center"/>
    </xf>
    <xf numFmtId="0" fontId="11" fillId="0" borderId="98" xfId="0" applyFont="1" applyBorder="1" applyAlignment="1">
      <alignment horizontal="center" vertical="center"/>
    </xf>
    <xf numFmtId="16" fontId="11" fillId="3" borderId="99" xfId="0" applyNumberFormat="1" applyFont="1" applyFill="1" applyBorder="1" applyAlignment="1">
      <alignment horizontal="center" vertical="center"/>
    </xf>
    <xf numFmtId="16" fontId="17" fillId="3" borderId="51" xfId="0" applyNumberFormat="1" applyFont="1" applyFill="1" applyBorder="1" applyAlignment="1">
      <alignment horizontal="center" vertical="center"/>
    </xf>
    <xf numFmtId="20" fontId="142" fillId="0" borderId="19" xfId="0" applyNumberFormat="1" applyFont="1" applyBorder="1" applyAlignment="1">
      <alignment horizontal="center" vertical="center"/>
    </xf>
    <xf numFmtId="0" fontId="11" fillId="0" borderId="66" xfId="0" applyFont="1" applyBorder="1" applyAlignment="1">
      <alignment horizontal="center" vertical="center"/>
    </xf>
    <xf numFmtId="16" fontId="11" fillId="3" borderId="100" xfId="0" applyNumberFormat="1" applyFont="1" applyFill="1" applyBorder="1" applyAlignment="1">
      <alignment horizontal="center" vertical="center"/>
    </xf>
    <xf numFmtId="16" fontId="11" fillId="3" borderId="101" xfId="0" applyNumberFormat="1" applyFont="1" applyFill="1" applyBorder="1" applyAlignment="1">
      <alignment horizontal="center" vertical="center"/>
    </xf>
    <xf numFmtId="16" fontId="142" fillId="3" borderId="23" xfId="0" applyNumberFormat="1" applyFont="1" applyFill="1" applyBorder="1" applyAlignment="1">
      <alignment horizontal="center" vertical="center"/>
    </xf>
    <xf numFmtId="0" fontId="38" fillId="8" borderId="20" xfId="0" applyFont="1" applyFill="1" applyBorder="1" applyAlignment="1">
      <alignment horizontal="center" vertical="center"/>
    </xf>
    <xf numFmtId="0" fontId="146" fillId="0" borderId="20" xfId="0" applyFont="1" applyBorder="1" applyAlignment="1">
      <alignment horizontal="center" vertical="center"/>
    </xf>
    <xf numFmtId="0" fontId="38" fillId="8" borderId="28" xfId="0" applyFont="1" applyFill="1" applyBorder="1" applyAlignment="1">
      <alignment horizontal="center" vertical="center"/>
    </xf>
    <xf numFmtId="16" fontId="11" fillId="0" borderId="2" xfId="0" applyNumberFormat="1" applyFont="1" applyBorder="1" applyAlignment="1">
      <alignment horizontal="center" vertical="center" wrapText="1"/>
    </xf>
    <xf numFmtId="16" fontId="27" fillId="0" borderId="51" xfId="0" applyNumberFormat="1" applyFont="1" applyBorder="1" applyAlignment="1">
      <alignment horizontal="center" vertical="center"/>
    </xf>
    <xf numFmtId="16" fontId="27" fillId="0" borderId="28" xfId="0" applyNumberFormat="1" applyFont="1" applyBorder="1" applyAlignment="1">
      <alignment horizontal="center" vertical="center"/>
    </xf>
    <xf numFmtId="0" fontId="146" fillId="0" borderId="58" xfId="0" applyFont="1" applyBorder="1" applyAlignment="1">
      <alignment horizontal="center" vertical="center"/>
    </xf>
    <xf numFmtId="16" fontId="21" fillId="3" borderId="30" xfId="0" applyNumberFormat="1" applyFont="1" applyFill="1" applyBorder="1" applyAlignment="1">
      <alignment horizontal="center" vertical="center"/>
    </xf>
    <xf numFmtId="0" fontId="146" fillId="0" borderId="33" xfId="0" applyFont="1" applyBorder="1" applyAlignment="1">
      <alignment horizontal="center" vertical="center"/>
    </xf>
    <xf numFmtId="0" fontId="25" fillId="0" borderId="49" xfId="0" applyFont="1" applyBorder="1" applyAlignment="1">
      <alignment horizontal="center" vertical="center"/>
    </xf>
    <xf numFmtId="16" fontId="17" fillId="3" borderId="33" xfId="0" applyNumberFormat="1" applyFont="1" applyFill="1" applyBorder="1" applyAlignment="1">
      <alignment horizontal="center" vertical="center"/>
    </xf>
    <xf numFmtId="0" fontId="146" fillId="0" borderId="59" xfId="0" applyFont="1" applyBorder="1" applyAlignment="1">
      <alignment horizontal="center" vertical="center"/>
    </xf>
    <xf numFmtId="16" fontId="17" fillId="3" borderId="32" xfId="0" applyNumberFormat="1" applyFont="1" applyFill="1" applyBorder="1" applyAlignment="1">
      <alignment horizontal="center" vertical="center"/>
    </xf>
    <xf numFmtId="16" fontId="21" fillId="3" borderId="32" xfId="0" applyNumberFormat="1" applyFont="1" applyFill="1" applyBorder="1" applyAlignment="1">
      <alignment horizontal="center" vertical="center"/>
    </xf>
    <xf numFmtId="0" fontId="146" fillId="0" borderId="34" xfId="0" applyFont="1" applyBorder="1" applyAlignment="1">
      <alignment horizontal="center" vertical="center"/>
    </xf>
    <xf numFmtId="0" fontId="146" fillId="0" borderId="61" xfId="0" applyFont="1" applyBorder="1" applyAlignment="1">
      <alignment horizontal="center" vertical="center"/>
    </xf>
    <xf numFmtId="0" fontId="25" fillId="0" borderId="62" xfId="0" applyFont="1" applyBorder="1" applyAlignment="1">
      <alignment horizontal="center" vertical="center"/>
    </xf>
    <xf numFmtId="16" fontId="17" fillId="3" borderId="34" xfId="0" applyNumberFormat="1" applyFont="1" applyFill="1" applyBorder="1" applyAlignment="1">
      <alignment horizontal="center" vertical="center"/>
    </xf>
    <xf numFmtId="0" fontId="11" fillId="3" borderId="61" xfId="0" applyFont="1" applyFill="1" applyBorder="1" applyAlignment="1">
      <alignment horizontal="center" vertical="center"/>
    </xf>
    <xf numFmtId="0" fontId="11" fillId="3" borderId="74" xfId="0" applyFont="1" applyFill="1" applyBorder="1" applyAlignment="1">
      <alignment horizontal="center" vertical="center"/>
    </xf>
    <xf numFmtId="0" fontId="10" fillId="0" borderId="32" xfId="0" applyFont="1" applyBorder="1" applyAlignment="1">
      <alignment horizontal="center" vertical="center" wrapText="1"/>
    </xf>
    <xf numFmtId="0" fontId="34" fillId="0" borderId="52" xfId="0" applyFont="1" applyBorder="1"/>
    <xf numFmtId="0" fontId="38" fillId="8" borderId="18" xfId="0" applyFont="1" applyFill="1" applyBorder="1" applyAlignment="1">
      <alignment horizontal="center" vertical="center"/>
    </xf>
    <xf numFmtId="16" fontId="11" fillId="3" borderId="26" xfId="0" applyNumberFormat="1" applyFont="1" applyFill="1" applyBorder="1" applyAlignment="1">
      <alignment horizontal="center" vertical="center"/>
    </xf>
    <xf numFmtId="0" fontId="38" fillId="8" borderId="27" xfId="0" applyFont="1" applyFill="1" applyBorder="1" applyAlignment="1">
      <alignment horizontal="center" vertical="center"/>
    </xf>
    <xf numFmtId="0" fontId="10" fillId="35" borderId="2" xfId="0" applyFont="1" applyFill="1" applyBorder="1" applyAlignment="1">
      <alignment horizontal="center" vertical="center"/>
    </xf>
    <xf numFmtId="0" fontId="8" fillId="0" borderId="76" xfId="0" applyFont="1" applyBorder="1" applyAlignment="1">
      <alignment horizontal="center" vertical="center" wrapText="1"/>
    </xf>
    <xf numFmtId="0" fontId="24" fillId="0" borderId="24" xfId="0" applyFont="1" applyBorder="1" applyAlignment="1">
      <alignment horizontal="center" vertical="center"/>
    </xf>
    <xf numFmtId="0" fontId="24" fillId="0" borderId="21" xfId="0" applyFont="1" applyBorder="1" applyAlignment="1">
      <alignment horizontal="center" vertical="center"/>
    </xf>
    <xf numFmtId="0" fontId="24" fillId="0" borderId="68" xfId="0" applyFont="1" applyBorder="1" applyAlignment="1">
      <alignment horizontal="center" vertical="center"/>
    </xf>
    <xf numFmtId="0" fontId="10" fillId="33" borderId="32" xfId="0" applyFont="1" applyFill="1" applyBorder="1" applyAlignment="1">
      <alignment horizontal="center" vertical="center" wrapText="1"/>
    </xf>
    <xf numFmtId="0" fontId="34" fillId="0" borderId="24" xfId="0" applyFont="1" applyBorder="1" applyAlignment="1">
      <alignment horizontal="left" vertical="center"/>
    </xf>
    <xf numFmtId="16" fontId="27" fillId="0" borderId="19" xfId="0" applyNumberFormat="1" applyFont="1" applyBorder="1" applyAlignment="1">
      <alignment horizontal="center" vertical="center"/>
    </xf>
    <xf numFmtId="16" fontId="27" fillId="0" borderId="21" xfId="0" applyNumberFormat="1" applyFont="1" applyBorder="1" applyAlignment="1">
      <alignment horizontal="center" vertical="center"/>
    </xf>
    <xf numFmtId="16" fontId="38" fillId="11" borderId="2" xfId="0" applyNumberFormat="1" applyFont="1" applyFill="1" applyBorder="1" applyAlignment="1">
      <alignment horizontal="center" vertical="center"/>
    </xf>
    <xf numFmtId="16" fontId="11" fillId="56" borderId="2" xfId="0" applyNumberFormat="1" applyFont="1" applyFill="1" applyBorder="1" applyAlignment="1">
      <alignment horizontal="center" vertical="center"/>
    </xf>
    <xf numFmtId="16" fontId="11" fillId="27" borderId="23" xfId="0" applyNumberFormat="1" applyFont="1" applyFill="1" applyBorder="1" applyAlignment="1">
      <alignment horizontal="center" vertical="center"/>
    </xf>
    <xf numFmtId="16" fontId="11" fillId="56" borderId="19" xfId="0" applyNumberFormat="1" applyFont="1" applyFill="1" applyBorder="1" applyAlignment="1">
      <alignment horizontal="center" vertical="center"/>
    </xf>
    <xf numFmtId="16" fontId="11" fillId="24" borderId="25" xfId="0" applyNumberFormat="1" applyFont="1" applyFill="1" applyBorder="1" applyAlignment="1">
      <alignment horizontal="center" vertical="center"/>
    </xf>
    <xf numFmtId="16" fontId="11" fillId="4" borderId="75" xfId="0" applyNumberFormat="1" applyFont="1" applyFill="1" applyBorder="1" applyAlignment="1">
      <alignment horizontal="center" vertical="center"/>
    </xf>
    <xf numFmtId="16" fontId="11" fillId="4" borderId="71" xfId="0" applyNumberFormat="1" applyFont="1" applyFill="1" applyBorder="1" applyAlignment="1">
      <alignment horizontal="center" vertical="center"/>
    </xf>
    <xf numFmtId="16" fontId="11" fillId="24" borderId="45" xfId="0" applyNumberFormat="1" applyFont="1" applyFill="1" applyBorder="1" applyAlignment="1">
      <alignment horizontal="center" vertical="center"/>
    </xf>
    <xf numFmtId="16" fontId="11" fillId="20" borderId="48" xfId="0" applyNumberFormat="1" applyFont="1" applyFill="1" applyBorder="1" applyAlignment="1">
      <alignment horizontal="center" vertical="center"/>
    </xf>
    <xf numFmtId="16" fontId="11" fillId="49" borderId="30" xfId="0" applyNumberFormat="1" applyFont="1" applyFill="1" applyBorder="1" applyAlignment="1">
      <alignment horizontal="center" vertical="center"/>
    </xf>
    <xf numFmtId="16" fontId="11" fillId="20" borderId="20" xfId="0" applyNumberFormat="1" applyFont="1" applyFill="1" applyBorder="1" applyAlignment="1">
      <alignment horizontal="center" vertical="center"/>
    </xf>
    <xf numFmtId="16" fontId="11" fillId="59" borderId="2" xfId="0" applyNumberFormat="1" applyFont="1" applyFill="1" applyBorder="1" applyAlignment="1">
      <alignment horizontal="center" vertical="center"/>
    </xf>
    <xf numFmtId="16" fontId="11" fillId="3" borderId="37" xfId="0" applyNumberFormat="1" applyFont="1" applyFill="1" applyBorder="1" applyAlignment="1">
      <alignment horizontal="center" vertical="center"/>
    </xf>
    <xf numFmtId="0" fontId="11" fillId="0" borderId="0" xfId="0" applyFont="1" applyAlignment="1">
      <alignment horizontal="center"/>
    </xf>
    <xf numFmtId="16" fontId="11" fillId="16" borderId="32" xfId="0" applyNumberFormat="1" applyFont="1" applyFill="1" applyBorder="1" applyAlignment="1">
      <alignment horizontal="center" vertical="center"/>
    </xf>
    <xf numFmtId="16" fontId="11" fillId="3" borderId="32" xfId="0" applyNumberFormat="1" applyFont="1" applyFill="1" applyBorder="1" applyAlignment="1">
      <alignment horizontal="center" vertical="center"/>
    </xf>
    <xf numFmtId="16" fontId="11" fillId="27" borderId="32" xfId="0" applyNumberFormat="1" applyFont="1" applyFill="1" applyBorder="1" applyAlignment="1">
      <alignment horizontal="center" vertical="center"/>
    </xf>
    <xf numFmtId="16" fontId="11" fillId="27" borderId="37" xfId="0" applyNumberFormat="1" applyFont="1" applyFill="1" applyBorder="1" applyAlignment="1">
      <alignment horizontal="center" vertical="center"/>
    </xf>
    <xf numFmtId="16" fontId="11" fillId="56" borderId="36" xfId="0" applyNumberFormat="1" applyFont="1" applyFill="1" applyBorder="1" applyAlignment="1">
      <alignment horizontal="center" vertical="center"/>
    </xf>
    <xf numFmtId="16" fontId="11" fillId="24" borderId="34" xfId="0" applyNumberFormat="1" applyFont="1" applyFill="1" applyBorder="1" applyAlignment="1">
      <alignment horizontal="center" vertical="center"/>
    </xf>
    <xf numFmtId="16" fontId="11" fillId="4" borderId="32" xfId="0" applyNumberFormat="1" applyFont="1" applyFill="1" applyBorder="1" applyAlignment="1">
      <alignment horizontal="center" vertical="center"/>
    </xf>
    <xf numFmtId="16" fontId="11" fillId="24" borderId="59" xfId="0" applyNumberFormat="1" applyFont="1" applyFill="1" applyBorder="1" applyAlignment="1">
      <alignment horizontal="center" vertical="center"/>
    </xf>
    <xf numFmtId="16" fontId="11" fillId="56" borderId="32" xfId="0" applyNumberFormat="1" applyFont="1" applyFill="1" applyBorder="1" applyAlignment="1">
      <alignment horizontal="center" vertical="center"/>
    </xf>
    <xf numFmtId="16" fontId="11" fillId="3" borderId="53" xfId="0" applyNumberFormat="1" applyFont="1" applyFill="1" applyBorder="1" applyAlignment="1">
      <alignment horizontal="center" vertical="center"/>
    </xf>
    <xf numFmtId="16" fontId="11" fillId="19" borderId="32" xfId="0" applyNumberFormat="1" applyFont="1" applyFill="1" applyBorder="1" applyAlignment="1">
      <alignment horizontal="center" vertical="center"/>
    </xf>
    <xf numFmtId="16" fontId="11" fillId="20" borderId="75" xfId="0" applyNumberFormat="1" applyFont="1" applyFill="1" applyBorder="1" applyAlignment="1">
      <alignment horizontal="center" vertical="center"/>
    </xf>
    <xf numFmtId="16" fontId="11" fillId="20" borderId="36" xfId="0" applyNumberFormat="1" applyFont="1" applyFill="1" applyBorder="1" applyAlignment="1">
      <alignment horizontal="center" vertical="center"/>
    </xf>
    <xf numFmtId="16" fontId="11" fillId="0" borderId="53" xfId="0" applyNumberFormat="1" applyFont="1" applyBorder="1" applyAlignment="1">
      <alignment horizontal="center" vertical="center"/>
    </xf>
    <xf numFmtId="16" fontId="11" fillId="19" borderId="53" xfId="0" applyNumberFormat="1" applyFont="1" applyFill="1" applyBorder="1" applyAlignment="1">
      <alignment horizontal="center" vertical="center"/>
    </xf>
    <xf numFmtId="16" fontId="11" fillId="49" borderId="32" xfId="0" applyNumberFormat="1" applyFont="1" applyFill="1" applyBorder="1" applyAlignment="1">
      <alignment horizontal="center" vertical="center"/>
    </xf>
    <xf numFmtId="16" fontId="11" fillId="20" borderId="53" xfId="0" applyNumberFormat="1" applyFont="1" applyFill="1" applyBorder="1" applyAlignment="1">
      <alignment horizontal="center" vertical="center"/>
    </xf>
    <xf numFmtId="16" fontId="11" fillId="59" borderId="32" xfId="0" applyNumberFormat="1" applyFont="1" applyFill="1" applyBorder="1" applyAlignment="1">
      <alignment horizontal="center" vertical="center"/>
    </xf>
    <xf numFmtId="0" fontId="11" fillId="0" borderId="20" xfId="0" applyFont="1" applyBorder="1" applyAlignment="1">
      <alignment horizontal="center"/>
    </xf>
    <xf numFmtId="0" fontId="11" fillId="0" borderId="48" xfId="0" applyFont="1" applyBorder="1" applyAlignment="1">
      <alignment horizontal="center"/>
    </xf>
    <xf numFmtId="16" fontId="11" fillId="3" borderId="75" xfId="0" applyNumberFormat="1" applyFont="1" applyFill="1" applyBorder="1" applyAlignment="1">
      <alignment horizontal="center" vertical="center"/>
    </xf>
    <xf numFmtId="0" fontId="11" fillId="3" borderId="2" xfId="0" applyFont="1" applyFill="1" applyBorder="1" applyAlignment="1">
      <alignment horizontal="center" wrapText="1"/>
    </xf>
    <xf numFmtId="0" fontId="11" fillId="3" borderId="2" xfId="0" applyFont="1" applyFill="1" applyBorder="1" applyAlignment="1">
      <alignment horizontal="center" vertical="center" wrapText="1"/>
    </xf>
    <xf numFmtId="0" fontId="147" fillId="0" borderId="2" xfId="0" applyFont="1" applyBorder="1" applyAlignment="1">
      <alignment horizontal="center" vertical="center"/>
    </xf>
    <xf numFmtId="16" fontId="11" fillId="3" borderId="62" xfId="0" applyNumberFormat="1" applyFont="1" applyFill="1" applyBorder="1" applyAlignment="1">
      <alignment horizontal="center" vertical="center"/>
    </xf>
    <xf numFmtId="0" fontId="24" fillId="3" borderId="2" xfId="0" applyFont="1" applyFill="1" applyBorder="1" applyAlignment="1">
      <alignment horizontal="center" vertical="center"/>
    </xf>
    <xf numFmtId="0" fontId="24" fillId="25" borderId="2" xfId="0" applyFont="1" applyFill="1" applyBorder="1" applyAlignment="1">
      <alignment horizontal="center" vertical="center"/>
    </xf>
    <xf numFmtId="0" fontId="24" fillId="50" borderId="48" xfId="0" applyFont="1" applyFill="1" applyBorder="1" applyAlignment="1">
      <alignment horizontal="center" vertical="center"/>
    </xf>
    <xf numFmtId="0" fontId="24" fillId="3" borderId="51" xfId="0" applyFont="1" applyFill="1" applyBorder="1" applyAlignment="1">
      <alignment horizontal="center" vertical="center"/>
    </xf>
    <xf numFmtId="0" fontId="24" fillId="0" borderId="22" xfId="0" applyFont="1" applyBorder="1" applyAlignment="1">
      <alignment horizontal="center" vertical="center"/>
    </xf>
    <xf numFmtId="0" fontId="24" fillId="3" borderId="22" xfId="0" applyFont="1" applyFill="1" applyBorder="1" applyAlignment="1">
      <alignment horizontal="center" vertical="center"/>
    </xf>
    <xf numFmtId="16" fontId="11" fillId="3" borderId="52" xfId="0" applyNumberFormat="1" applyFont="1" applyFill="1" applyBorder="1" applyAlignment="1">
      <alignment horizontal="center" vertical="center"/>
    </xf>
    <xf numFmtId="0" fontId="148" fillId="0" borderId="20" xfId="0" applyFont="1" applyBorder="1" applyAlignment="1">
      <alignment horizontal="center" vertical="center"/>
    </xf>
    <xf numFmtId="0" fontId="148" fillId="0" borderId="2" xfId="0" applyFont="1" applyBorder="1" applyAlignment="1">
      <alignment horizontal="center" vertical="center"/>
    </xf>
    <xf numFmtId="0" fontId="24" fillId="28" borderId="2" xfId="0" applyFont="1" applyFill="1" applyBorder="1" applyAlignment="1">
      <alignment horizontal="center" vertical="center"/>
    </xf>
    <xf numFmtId="0" fontId="148" fillId="0" borderId="51" xfId="0" applyFont="1" applyBorder="1" applyAlignment="1">
      <alignment horizontal="center" vertical="center"/>
    </xf>
    <xf numFmtId="0" fontId="24" fillId="33" borderId="23" xfId="0" applyFont="1" applyFill="1" applyBorder="1" applyAlignment="1">
      <alignment horizontal="center" vertical="center"/>
    </xf>
    <xf numFmtId="16" fontId="11" fillId="3" borderId="36" xfId="0" applyNumberFormat="1" applyFont="1" applyFill="1" applyBorder="1" applyAlignment="1">
      <alignment horizontal="center" vertical="center"/>
    </xf>
    <xf numFmtId="0" fontId="10" fillId="3" borderId="32" xfId="0" applyFont="1" applyFill="1" applyBorder="1" applyAlignment="1">
      <alignment horizontal="center"/>
    </xf>
    <xf numFmtId="0" fontId="147" fillId="0" borderId="32" xfId="0" applyFont="1" applyBorder="1" applyAlignment="1">
      <alignment horizontal="center" vertical="center"/>
    </xf>
    <xf numFmtId="0" fontId="24" fillId="3" borderId="32" xfId="0" applyFont="1" applyFill="1" applyBorder="1" applyAlignment="1">
      <alignment horizontal="center" vertical="center"/>
    </xf>
    <xf numFmtId="0" fontId="0" fillId="0" borderId="75" xfId="0" applyBorder="1"/>
    <xf numFmtId="0" fontId="0" fillId="0" borderId="62" xfId="0" applyBorder="1"/>
    <xf numFmtId="0" fontId="147" fillId="0" borderId="30" xfId="0" applyFont="1" applyBorder="1" applyAlignment="1">
      <alignment horizontal="center" vertical="center"/>
    </xf>
    <xf numFmtId="16" fontId="11" fillId="3" borderId="49" xfId="0" applyNumberFormat="1" applyFont="1" applyFill="1" applyBorder="1" applyAlignment="1">
      <alignment horizontal="center" vertical="center"/>
    </xf>
    <xf numFmtId="0" fontId="24" fillId="0" borderId="2" xfId="0" applyFont="1" applyBorder="1" applyAlignment="1">
      <alignment horizontal="center" wrapText="1"/>
    </xf>
    <xf numFmtId="0" fontId="24" fillId="50" borderId="23" xfId="0" applyFont="1" applyFill="1" applyBorder="1" applyAlignment="1">
      <alignment horizontal="center" vertical="center"/>
    </xf>
    <xf numFmtId="0" fontId="24" fillId="0" borderId="53" xfId="0" applyFont="1" applyBorder="1" applyAlignment="1">
      <alignment horizontal="center" vertical="center"/>
    </xf>
    <xf numFmtId="0" fontId="24" fillId="25" borderId="20" xfId="0" applyFont="1" applyFill="1" applyBorder="1" applyAlignment="1">
      <alignment horizontal="center" vertical="center"/>
    </xf>
    <xf numFmtId="0" fontId="24" fillId="0" borderId="19" xfId="0" applyFont="1" applyBorder="1" applyAlignment="1">
      <alignment horizontal="center" vertical="center" wrapText="1"/>
    </xf>
    <xf numFmtId="0" fontId="11" fillId="3" borderId="19" xfId="0" applyFont="1" applyFill="1" applyBorder="1" applyAlignment="1">
      <alignment horizontal="center" vertical="center" wrapText="1"/>
    </xf>
    <xf numFmtId="0" fontId="38" fillId="8" borderId="51" xfId="0" applyFont="1" applyFill="1" applyBorder="1" applyAlignment="1">
      <alignment horizontal="center" vertical="center" wrapText="1"/>
    </xf>
    <xf numFmtId="0" fontId="38" fillId="0" borderId="23" xfId="0" applyFont="1" applyBorder="1" applyAlignment="1">
      <alignment horizontal="center" vertical="center" wrapText="1"/>
    </xf>
    <xf numFmtId="0" fontId="0" fillId="0" borderId="19" xfId="0" applyBorder="1" applyAlignment="1">
      <alignment wrapText="1"/>
    </xf>
    <xf numFmtId="0" fontId="0" fillId="0" borderId="25" xfId="0" applyBorder="1" applyAlignment="1">
      <alignment wrapText="1"/>
    </xf>
    <xf numFmtId="0" fontId="0" fillId="0" borderId="48" xfId="0" applyBorder="1" applyAlignment="1">
      <alignment wrapText="1"/>
    </xf>
    <xf numFmtId="16" fontId="16" fillId="3" borderId="2" xfId="0" applyNumberFormat="1" applyFont="1" applyFill="1" applyBorder="1" applyAlignment="1">
      <alignment horizontal="center" vertical="center" wrapText="1"/>
    </xf>
    <xf numFmtId="16" fontId="16" fillId="3" borderId="25" xfId="0" applyNumberFormat="1" applyFont="1" applyFill="1" applyBorder="1" applyAlignment="1">
      <alignment horizontal="center" vertical="center" wrapText="1"/>
    </xf>
    <xf numFmtId="16" fontId="16" fillId="3" borderId="23" xfId="0" applyNumberFormat="1" applyFont="1" applyFill="1" applyBorder="1" applyAlignment="1">
      <alignment horizontal="center" vertical="center" wrapText="1"/>
    </xf>
    <xf numFmtId="0" fontId="0" fillId="0" borderId="20" xfId="0" applyBorder="1" applyAlignment="1">
      <alignment wrapText="1"/>
    </xf>
    <xf numFmtId="16" fontId="16" fillId="3" borderId="33" xfId="0" applyNumberFormat="1" applyFont="1" applyFill="1" applyBorder="1" applyAlignment="1">
      <alignment horizontal="center" vertical="center" wrapText="1"/>
    </xf>
    <xf numFmtId="0" fontId="0" fillId="0" borderId="23" xfId="0" applyBorder="1" applyAlignment="1">
      <alignment wrapText="1"/>
    </xf>
    <xf numFmtId="0" fontId="0" fillId="0" borderId="71" xfId="0" applyBorder="1" applyAlignment="1">
      <alignment wrapText="1"/>
    </xf>
    <xf numFmtId="0" fontId="60" fillId="8" borderId="2" xfId="0" applyFont="1" applyFill="1" applyBorder="1" applyAlignment="1">
      <alignment horizontal="center" vertical="center" wrapText="1"/>
    </xf>
    <xf numFmtId="0" fontId="0" fillId="4" borderId="32" xfId="0" applyFill="1" applyBorder="1" applyAlignment="1">
      <alignment horizontal="center" vertical="center"/>
    </xf>
    <xf numFmtId="0" fontId="12" fillId="0" borderId="30" xfId="0" applyFont="1" applyBorder="1" applyAlignment="1">
      <alignment horizontal="center" vertical="center"/>
    </xf>
    <xf numFmtId="0" fontId="11" fillId="0" borderId="22" xfId="0" quotePrefix="1" applyFont="1" applyBorder="1" applyAlignment="1">
      <alignment horizontal="center" vertical="center" wrapText="1"/>
    </xf>
    <xf numFmtId="0" fontId="24" fillId="0" borderId="0" xfId="0" applyFont="1" applyAlignment="1">
      <alignment horizontal="center"/>
    </xf>
    <xf numFmtId="0" fontId="24" fillId="0" borderId="22" xfId="0" applyFont="1" applyBorder="1" applyAlignment="1">
      <alignment horizontal="center" wrapText="1"/>
    </xf>
    <xf numFmtId="0" fontId="24" fillId="0" borderId="24" xfId="0" applyFont="1" applyBorder="1" applyAlignment="1">
      <alignment horizontal="center"/>
    </xf>
    <xf numFmtId="0" fontId="24" fillId="0" borderId="25" xfId="0" applyFont="1" applyBorder="1" applyAlignment="1">
      <alignment horizontal="center"/>
    </xf>
    <xf numFmtId="0" fontId="24" fillId="0" borderId="19" xfId="0" applyFont="1" applyBorder="1" applyAlignment="1">
      <alignment horizontal="center"/>
    </xf>
    <xf numFmtId="16" fontId="11" fillId="3" borderId="64" xfId="0" applyNumberFormat="1" applyFont="1" applyFill="1" applyBorder="1" applyAlignment="1">
      <alignment horizontal="center" vertical="center" wrapText="1"/>
    </xf>
    <xf numFmtId="0" fontId="24" fillId="33" borderId="48" xfId="0" applyFont="1" applyFill="1" applyBorder="1" applyAlignment="1">
      <alignment horizontal="center" vertical="center"/>
    </xf>
    <xf numFmtId="0" fontId="11" fillId="0" borderId="48" xfId="0" applyFont="1" applyBorder="1" applyAlignment="1">
      <alignment horizontal="center" vertical="center" wrapText="1"/>
    </xf>
    <xf numFmtId="0" fontId="24" fillId="33" borderId="32" xfId="0" applyFont="1" applyFill="1" applyBorder="1" applyAlignment="1">
      <alignment horizontal="center" vertical="center"/>
    </xf>
    <xf numFmtId="0" fontId="149" fillId="8" borderId="2" xfId="0" applyFont="1" applyFill="1" applyBorder="1" applyAlignment="1">
      <alignment horizontal="center" vertical="center"/>
    </xf>
    <xf numFmtId="16" fontId="11" fillId="3" borderId="22" xfId="0" applyNumberFormat="1" applyFont="1" applyFill="1" applyBorder="1" applyAlignment="1">
      <alignment horizontal="center" vertical="center" wrapText="1"/>
    </xf>
    <xf numFmtId="16" fontId="11" fillId="3" borderId="2" xfId="0" applyNumberFormat="1" applyFont="1" applyFill="1" applyBorder="1" applyAlignment="1">
      <alignment horizontal="center" vertical="center" wrapText="1"/>
    </xf>
    <xf numFmtId="0" fontId="149" fillId="8" borderId="20" xfId="0" applyFont="1" applyFill="1" applyBorder="1" applyAlignment="1">
      <alignment horizontal="center" vertical="center"/>
    </xf>
    <xf numFmtId="16" fontId="27" fillId="4" borderId="19" xfId="0" applyNumberFormat="1" applyFont="1" applyFill="1" applyBorder="1" applyAlignment="1">
      <alignment horizontal="center" vertical="center"/>
    </xf>
    <xf numFmtId="16" fontId="27" fillId="4" borderId="51" xfId="0" applyNumberFormat="1" applyFont="1" applyFill="1" applyBorder="1" applyAlignment="1">
      <alignment horizontal="center" vertical="center"/>
    </xf>
    <xf numFmtId="16" fontId="11" fillId="3" borderId="52" xfId="0" applyNumberFormat="1" applyFont="1" applyFill="1" applyBorder="1" applyAlignment="1">
      <alignment horizontal="center" vertical="center" wrapText="1"/>
    </xf>
    <xf numFmtId="0" fontId="149" fillId="3" borderId="2" xfId="0" applyFont="1" applyFill="1" applyBorder="1" applyAlignment="1">
      <alignment horizontal="center" vertical="center"/>
    </xf>
    <xf numFmtId="16" fontId="11" fillId="3" borderId="68" xfId="0" applyNumberFormat="1" applyFont="1" applyFill="1" applyBorder="1" applyAlignment="1">
      <alignment horizontal="center" vertical="center"/>
    </xf>
    <xf numFmtId="0" fontId="0" fillId="4" borderId="2" xfId="0" applyFill="1" applyBorder="1" applyAlignment="1">
      <alignment horizontal="center" vertical="center" wrapText="1"/>
    </xf>
    <xf numFmtId="0" fontId="11" fillId="0" borderId="51" xfId="0" applyFont="1" applyBorder="1" applyAlignment="1">
      <alignment horizontal="center"/>
    </xf>
    <xf numFmtId="0" fontId="21" fillId="3" borderId="25" xfId="0" applyFont="1" applyFill="1" applyBorder="1" applyAlignment="1">
      <alignment horizontal="center" vertical="center"/>
    </xf>
    <xf numFmtId="0" fontId="11" fillId="0" borderId="28" xfId="0" applyFont="1" applyBorder="1" applyAlignment="1">
      <alignment horizontal="center"/>
    </xf>
    <xf numFmtId="16" fontId="27" fillId="4" borderId="21" xfId="0" applyNumberFormat="1" applyFont="1" applyFill="1" applyBorder="1" applyAlignment="1">
      <alignment horizontal="center" vertical="center"/>
    </xf>
    <xf numFmtId="16" fontId="27" fillId="4" borderId="52" xfId="0" applyNumberFormat="1" applyFont="1" applyFill="1" applyBorder="1" applyAlignment="1">
      <alignment horizontal="center" vertical="center"/>
    </xf>
    <xf numFmtId="16" fontId="27" fillId="3" borderId="22" xfId="0" applyNumberFormat="1" applyFont="1" applyFill="1" applyBorder="1" applyAlignment="1">
      <alignment horizontal="center" vertical="center"/>
    </xf>
    <xf numFmtId="16" fontId="27" fillId="43" borderId="22" xfId="0" applyNumberFormat="1" applyFont="1" applyFill="1" applyBorder="1" applyAlignment="1">
      <alignment horizontal="center" vertical="center"/>
    </xf>
    <xf numFmtId="16" fontId="27" fillId="3" borderId="48" xfId="0" applyNumberFormat="1" applyFont="1" applyFill="1" applyBorder="1" applyAlignment="1">
      <alignment horizontal="center" vertical="center"/>
    </xf>
    <xf numFmtId="16" fontId="27" fillId="3" borderId="68" xfId="0" applyNumberFormat="1" applyFont="1" applyFill="1" applyBorder="1" applyAlignment="1">
      <alignment horizontal="center" vertical="center"/>
    </xf>
    <xf numFmtId="0" fontId="11" fillId="3" borderId="50" xfId="0" applyFont="1" applyFill="1" applyBorder="1" applyAlignment="1">
      <alignment horizontal="center" vertical="center"/>
    </xf>
    <xf numFmtId="0" fontId="149" fillId="8" borderId="23" xfId="0" applyFont="1" applyFill="1" applyBorder="1" applyAlignment="1">
      <alignment horizontal="center" vertical="center"/>
    </xf>
    <xf numFmtId="0" fontId="67" fillId="5" borderId="32" xfId="0" applyFont="1" applyFill="1" applyBorder="1" applyAlignment="1">
      <alignment horizontal="center" vertical="center"/>
    </xf>
    <xf numFmtId="0" fontId="67" fillId="17" borderId="19" xfId="0" applyFont="1" applyFill="1" applyBorder="1" applyAlignment="1">
      <alignment horizontal="center" vertical="center"/>
    </xf>
    <xf numFmtId="0" fontId="67" fillId="20" borderId="32" xfId="0" applyFont="1" applyFill="1" applyBorder="1" applyAlignment="1">
      <alignment horizontal="center" vertical="center"/>
    </xf>
    <xf numFmtId="0" fontId="67" fillId="32" borderId="2" xfId="0" applyFont="1" applyFill="1" applyBorder="1" applyAlignment="1">
      <alignment horizontal="center" vertical="center"/>
    </xf>
    <xf numFmtId="0" fontId="67" fillId="20" borderId="25" xfId="0" applyFont="1" applyFill="1" applyBorder="1" applyAlignment="1">
      <alignment horizontal="center" vertical="center"/>
    </xf>
    <xf numFmtId="0" fontId="67" fillId="34" borderId="23" xfId="0" applyFont="1" applyFill="1" applyBorder="1" applyAlignment="1">
      <alignment horizontal="center" vertical="center"/>
    </xf>
    <xf numFmtId="0" fontId="67" fillId="32" borderId="19" xfId="0" applyFont="1" applyFill="1" applyBorder="1" applyAlignment="1">
      <alignment horizontal="center" vertical="center"/>
    </xf>
    <xf numFmtId="0" fontId="67" fillId="27" borderId="25" xfId="0" applyFont="1" applyFill="1" applyBorder="1" applyAlignment="1">
      <alignment horizontal="center" vertical="center"/>
    </xf>
    <xf numFmtId="0" fontId="67" fillId="5" borderId="102" xfId="0" applyFont="1" applyFill="1" applyBorder="1" applyAlignment="1">
      <alignment horizontal="center" vertical="center" wrapText="1"/>
    </xf>
    <xf numFmtId="0" fontId="67" fillId="5" borderId="88" xfId="0" applyFont="1" applyFill="1" applyBorder="1" applyAlignment="1">
      <alignment horizontal="center" vertical="center" wrapText="1"/>
    </xf>
    <xf numFmtId="0" fontId="12" fillId="0" borderId="75" xfId="0" applyFont="1" applyBorder="1" applyAlignment="1">
      <alignment horizontal="center" vertical="center" wrapText="1"/>
    </xf>
    <xf numFmtId="0" fontId="0" fillId="0" borderId="0" xfId="0" applyAlignment="1">
      <alignment vertical="center" wrapText="1"/>
    </xf>
    <xf numFmtId="0" fontId="34" fillId="0" borderId="0" xfId="0" applyFont="1" applyAlignment="1">
      <alignment vertical="center"/>
    </xf>
    <xf numFmtId="0" fontId="0" fillId="0" borderId="0" xfId="0" applyAlignment="1">
      <alignment vertical="top" wrapText="1"/>
    </xf>
    <xf numFmtId="0" fontId="52" fillId="3" borderId="0" xfId="0" applyFont="1" applyFill="1" applyAlignment="1">
      <alignment horizontal="center" vertical="center" wrapText="1"/>
    </xf>
    <xf numFmtId="0" fontId="52" fillId="3" borderId="0" xfId="0" applyFont="1" applyFill="1" applyAlignment="1">
      <alignment horizontal="center" wrapText="1"/>
    </xf>
    <xf numFmtId="0" fontId="0" fillId="3" borderId="0" xfId="0" applyFill="1" applyAlignment="1">
      <alignment horizontal="center"/>
    </xf>
    <xf numFmtId="0" fontId="34" fillId="3" borderId="0" xfId="0" applyFont="1" applyFill="1" applyAlignment="1">
      <alignment horizontal="center" wrapText="1"/>
    </xf>
    <xf numFmtId="0" fontId="50" fillId="3" borderId="0" xfId="0" applyFont="1" applyFill="1" applyAlignment="1">
      <alignment horizontal="center"/>
    </xf>
    <xf numFmtId="0" fontId="78" fillId="3" borderId="0" xfId="0" applyFont="1" applyFill="1" applyAlignment="1">
      <alignment horizontal="left"/>
    </xf>
    <xf numFmtId="0" fontId="78" fillId="3" borderId="0" xfId="0" applyFont="1" applyFill="1" applyAlignment="1">
      <alignment horizontal="left" vertical="center" wrapText="1"/>
    </xf>
    <xf numFmtId="0" fontId="78" fillId="3" borderId="0" xfId="0" applyFont="1" applyFill="1" applyAlignment="1">
      <alignment horizontal="left" wrapText="1"/>
    </xf>
    <xf numFmtId="0" fontId="78" fillId="0" borderId="0" xfId="0" applyFont="1" applyAlignment="1">
      <alignment horizontal="left"/>
    </xf>
    <xf numFmtId="0" fontId="78" fillId="0" borderId="0" xfId="0" applyFont="1" applyAlignment="1">
      <alignment horizontal="left" wrapText="1"/>
    </xf>
    <xf numFmtId="0" fontId="78" fillId="0" borderId="0" xfId="0" applyFont="1" applyAlignment="1">
      <alignment horizontal="left" vertical="center"/>
    </xf>
    <xf numFmtId="0" fontId="10" fillId="0" borderId="0" xfId="0" applyFont="1" applyAlignment="1">
      <alignment horizontal="left"/>
    </xf>
    <xf numFmtId="0" fontId="59" fillId="5" borderId="0" xfId="0" applyFont="1" applyFill="1" applyAlignment="1">
      <alignment horizontal="center" vertical="center" wrapText="1"/>
    </xf>
    <xf numFmtId="0" fontId="15" fillId="5" borderId="0" xfId="0" applyFont="1" applyFill="1" applyAlignment="1">
      <alignment horizontal="center" vertical="center" wrapText="1"/>
    </xf>
    <xf numFmtId="0" fontId="79" fillId="59" borderId="0" xfId="0" applyFont="1" applyFill="1" applyAlignment="1">
      <alignment vertical="center" wrapText="1"/>
    </xf>
    <xf numFmtId="0" fontId="69" fillId="5" borderId="0" xfId="0" applyFont="1" applyFill="1" applyAlignment="1">
      <alignment vertical="center" wrapText="1"/>
    </xf>
    <xf numFmtId="0" fontId="99" fillId="0" borderId="0" xfId="0" applyFont="1"/>
    <xf numFmtId="0" fontId="65" fillId="0" borderId="0" xfId="0" applyFont="1"/>
    <xf numFmtId="0" fontId="12" fillId="5" borderId="0" xfId="0" applyFont="1" applyFill="1" applyAlignment="1">
      <alignment horizontal="center" vertical="center" wrapText="1"/>
    </xf>
    <xf numFmtId="0" fontId="2" fillId="5" borderId="0" xfId="0" applyFont="1" applyFill="1" applyAlignment="1">
      <alignment horizontal="center" vertical="center" wrapText="1"/>
    </xf>
    <xf numFmtId="0" fontId="5" fillId="5" borderId="0" xfId="0" applyFont="1" applyFill="1" applyAlignment="1">
      <alignment horizontal="center" vertical="center" wrapText="1"/>
    </xf>
    <xf numFmtId="0" fontId="67" fillId="0" borderId="0" xfId="0" applyFont="1" applyAlignment="1">
      <alignment horizontal="center" vertical="center" wrapText="1"/>
    </xf>
    <xf numFmtId="0" fontId="12" fillId="3" borderId="0" xfId="0" applyFont="1" applyFill="1" applyAlignment="1">
      <alignment horizontal="center" vertical="center" wrapText="1"/>
    </xf>
    <xf numFmtId="0" fontId="34" fillId="0" borderId="0" xfId="0" applyFont="1" applyAlignment="1">
      <alignment horizontal="center" vertical="center" wrapText="1"/>
    </xf>
    <xf numFmtId="0" fontId="34" fillId="0" borderId="0" xfId="0" applyFont="1" applyAlignment="1">
      <alignment horizontal="center" vertical="center"/>
    </xf>
    <xf numFmtId="0" fontId="34" fillId="0" borderId="0" xfId="0" applyFont="1" applyAlignment="1">
      <alignment vertical="center" wrapText="1"/>
    </xf>
    <xf numFmtId="0" fontId="36" fillId="0" borderId="0" xfId="0" applyFont="1" applyAlignment="1">
      <alignment horizontal="center" vertical="center"/>
    </xf>
    <xf numFmtId="0" fontId="11" fillId="0" borderId="0" xfId="0" applyFont="1" applyAlignment="1">
      <alignment horizontal="center" vertical="center" wrapText="1"/>
    </xf>
    <xf numFmtId="0" fontId="24" fillId="0" borderId="0" xfId="0" applyFont="1" applyAlignment="1">
      <alignment horizontal="center" vertical="center" wrapText="1"/>
    </xf>
    <xf numFmtId="0" fontId="11" fillId="0" borderId="0" xfId="0" applyFont="1" applyAlignment="1">
      <alignment horizontal="center" vertical="center"/>
    </xf>
    <xf numFmtId="0" fontId="34" fillId="0" borderId="34" xfId="0" applyFont="1" applyBorder="1" applyAlignment="1">
      <alignment wrapText="1"/>
    </xf>
    <xf numFmtId="0" fontId="24" fillId="0" borderId="0" xfId="0" applyFont="1"/>
    <xf numFmtId="0" fontId="10" fillId="0" borderId="0" xfId="0" applyFont="1" applyAlignment="1">
      <alignment horizontal="center" vertical="center"/>
    </xf>
    <xf numFmtId="0" fontId="44" fillId="0" borderId="0" xfId="0" applyFont="1" applyAlignment="1">
      <alignment vertical="center"/>
    </xf>
    <xf numFmtId="0" fontId="126" fillId="0" borderId="0" xfId="0" applyFont="1"/>
    <xf numFmtId="0" fontId="15" fillId="0" borderId="0" xfId="0" applyFont="1" applyAlignment="1">
      <alignment horizontal="center" vertical="center"/>
    </xf>
    <xf numFmtId="0" fontId="126" fillId="0" borderId="0" xfId="0" applyFont="1" applyAlignment="1">
      <alignment wrapText="1"/>
    </xf>
    <xf numFmtId="0" fontId="8" fillId="5" borderId="0" xfId="0" applyFont="1" applyFill="1" applyAlignment="1">
      <alignment horizontal="center" vertical="center" wrapText="1"/>
    </xf>
    <xf numFmtId="16" fontId="11" fillId="0" borderId="0" xfId="0" applyNumberFormat="1" applyFont="1" applyAlignment="1">
      <alignment horizontal="center" vertical="center" wrapText="1"/>
    </xf>
    <xf numFmtId="16" fontId="11" fillId="4" borderId="0" xfId="0" applyNumberFormat="1" applyFont="1" applyFill="1" applyAlignment="1">
      <alignment horizontal="center" vertical="center" wrapText="1"/>
    </xf>
    <xf numFmtId="16" fontId="11" fillId="0" borderId="64" xfId="0" applyNumberFormat="1" applyFont="1" applyBorder="1" applyAlignment="1">
      <alignment horizontal="center" vertical="center"/>
    </xf>
    <xf numFmtId="0" fontId="34" fillId="0" borderId="61" xfId="0" applyFont="1" applyBorder="1"/>
    <xf numFmtId="0" fontId="34" fillId="0" borderId="61" xfId="0" applyFont="1" applyBorder="1" applyAlignment="1">
      <alignment vertical="center"/>
    </xf>
    <xf numFmtId="0" fontId="34" fillId="0" borderId="72" xfId="0" applyFont="1" applyBorder="1" applyAlignment="1">
      <alignment horizontal="left" vertical="center"/>
    </xf>
    <xf numFmtId="0" fontId="34" fillId="0" borderId="49" xfId="0" applyFont="1" applyBorder="1"/>
    <xf numFmtId="0" fontId="34" fillId="0" borderId="32" xfId="0" applyFont="1" applyBorder="1"/>
    <xf numFmtId="0" fontId="34" fillId="0" borderId="30" xfId="0" applyFont="1" applyBorder="1"/>
    <xf numFmtId="0" fontId="34" fillId="3" borderId="30" xfId="0" applyFont="1" applyFill="1" applyBorder="1"/>
    <xf numFmtId="0" fontId="34" fillId="3" borderId="64" xfId="0" applyFont="1" applyFill="1" applyBorder="1"/>
    <xf numFmtId="0" fontId="34" fillId="3" borderId="33" xfId="0" applyFont="1" applyFill="1" applyBorder="1"/>
    <xf numFmtId="0" fontId="34" fillId="3" borderId="49" xfId="0" applyFont="1" applyFill="1" applyBorder="1"/>
    <xf numFmtId="0" fontId="0" fillId="3" borderId="64" xfId="0" applyFill="1" applyBorder="1"/>
    <xf numFmtId="0" fontId="0" fillId="0" borderId="30" xfId="0" applyBorder="1" applyAlignment="1">
      <alignment wrapText="1"/>
    </xf>
    <xf numFmtId="0" fontId="24" fillId="0" borderId="33" xfId="0" applyFont="1" applyBorder="1" applyAlignment="1">
      <alignment horizontal="center" vertical="center"/>
    </xf>
    <xf numFmtId="0" fontId="24" fillId="0" borderId="76" xfId="0" applyFont="1" applyBorder="1" applyAlignment="1">
      <alignment horizontal="center" vertical="center"/>
    </xf>
    <xf numFmtId="0" fontId="24" fillId="0" borderId="49" xfId="0" applyFont="1" applyBorder="1" applyAlignment="1">
      <alignment horizontal="center" vertical="center" wrapText="1"/>
    </xf>
    <xf numFmtId="0" fontId="11" fillId="0" borderId="30" xfId="0" quotePrefix="1" applyFont="1" applyBorder="1" applyAlignment="1">
      <alignment horizontal="center" vertical="center" wrapText="1"/>
    </xf>
    <xf numFmtId="0" fontId="24" fillId="0" borderId="30" xfId="0" applyFont="1" applyBorder="1" applyAlignment="1">
      <alignment horizontal="center"/>
    </xf>
    <xf numFmtId="0" fontId="24" fillId="0" borderId="30" xfId="0" applyFont="1" applyBorder="1" applyAlignment="1">
      <alignment horizontal="center" vertical="center" wrapText="1"/>
    </xf>
    <xf numFmtId="0" fontId="24" fillId="0" borderId="30" xfId="0" applyFont="1" applyBorder="1" applyAlignment="1">
      <alignment horizontal="center" wrapText="1"/>
    </xf>
    <xf numFmtId="0" fontId="24" fillId="0" borderId="33" xfId="0" applyFont="1" applyBorder="1" applyAlignment="1">
      <alignment horizontal="center"/>
    </xf>
    <xf numFmtId="0" fontId="24" fillId="0" borderId="30" xfId="0" applyFont="1" applyBorder="1" applyAlignment="1">
      <alignment horizontal="center" vertical="center"/>
    </xf>
    <xf numFmtId="0" fontId="24" fillId="3" borderId="30" xfId="0" applyFont="1" applyFill="1" applyBorder="1" applyAlignment="1">
      <alignment horizontal="center" vertical="center"/>
    </xf>
    <xf numFmtId="0" fontId="11" fillId="0" borderId="25" xfId="0" applyFont="1" applyBorder="1" applyAlignment="1">
      <alignment horizontal="center"/>
    </xf>
    <xf numFmtId="0" fontId="11" fillId="0" borderId="51" xfId="0" applyFont="1" applyBorder="1" applyAlignment="1">
      <alignment horizontal="center" vertical="center" wrapText="1"/>
    </xf>
    <xf numFmtId="16" fontId="11" fillId="3" borderId="0" xfId="0" applyNumberFormat="1" applyFont="1" applyFill="1" applyAlignment="1">
      <alignment horizontal="center" vertical="center" wrapText="1"/>
    </xf>
    <xf numFmtId="16" fontId="11" fillId="3" borderId="61" xfId="0" applyNumberFormat="1" applyFont="1" applyFill="1" applyBorder="1" applyAlignment="1">
      <alignment horizontal="center" vertical="center" wrapText="1"/>
    </xf>
    <xf numFmtId="0" fontId="139" fillId="5" borderId="36" xfId="0" applyFont="1" applyFill="1" applyBorder="1" applyAlignment="1">
      <alignment horizontal="center" vertical="center" wrapText="1"/>
    </xf>
    <xf numFmtId="0" fontId="106" fillId="5" borderId="21" xfId="0" applyFont="1" applyFill="1" applyBorder="1" applyAlignment="1">
      <alignment horizontal="center" vertical="center" wrapText="1"/>
    </xf>
    <xf numFmtId="0" fontId="139" fillId="5" borderId="32" xfId="0" applyFont="1" applyFill="1" applyBorder="1" applyAlignment="1">
      <alignment horizontal="center" vertical="center" wrapText="1"/>
    </xf>
    <xf numFmtId="0" fontId="106" fillId="5" borderId="22" xfId="0" applyFont="1" applyFill="1" applyBorder="1" applyAlignment="1">
      <alignment horizontal="center" vertical="center" wrapText="1"/>
    </xf>
    <xf numFmtId="0" fontId="67" fillId="36" borderId="22" xfId="0" applyFont="1" applyFill="1" applyBorder="1" applyAlignment="1">
      <alignment horizontal="center" vertical="center"/>
    </xf>
    <xf numFmtId="0" fontId="139" fillId="5" borderId="2" xfId="0" applyFont="1" applyFill="1" applyBorder="1" applyAlignment="1">
      <alignment horizontal="center" vertical="center" wrapText="1"/>
    </xf>
    <xf numFmtId="0" fontId="104" fillId="5" borderId="22" xfId="0" applyFont="1" applyFill="1" applyBorder="1" applyAlignment="1">
      <alignment horizontal="center" vertical="center" wrapText="1"/>
    </xf>
    <xf numFmtId="0" fontId="104" fillId="5" borderId="61" xfId="0" applyFont="1" applyFill="1" applyBorder="1" applyAlignment="1">
      <alignment horizontal="center" vertical="center" wrapText="1"/>
    </xf>
    <xf numFmtId="0" fontId="67" fillId="36" borderId="20" xfId="0" applyFont="1" applyFill="1" applyBorder="1" applyAlignment="1">
      <alignment horizontal="center" vertical="center"/>
    </xf>
    <xf numFmtId="0" fontId="67" fillId="36" borderId="54" xfId="0" applyFont="1" applyFill="1" applyBorder="1" applyAlignment="1">
      <alignment horizontal="center" vertical="center"/>
    </xf>
    <xf numFmtId="0" fontId="140" fillId="5" borderId="76" xfId="0" applyFont="1" applyFill="1" applyBorder="1" applyAlignment="1">
      <alignment horizontal="center" vertical="center" wrapText="1"/>
    </xf>
    <xf numFmtId="0" fontId="140" fillId="5" borderId="2" xfId="0" applyFont="1" applyFill="1" applyBorder="1" applyAlignment="1">
      <alignment horizontal="center" vertical="center" wrapText="1"/>
    </xf>
    <xf numFmtId="0" fontId="105" fillId="5" borderId="61" xfId="0" applyFont="1" applyFill="1" applyBorder="1" applyAlignment="1">
      <alignment horizontal="center" vertical="center" wrapText="1"/>
    </xf>
    <xf numFmtId="0" fontId="67" fillId="26" borderId="54" xfId="0" applyFont="1" applyFill="1" applyBorder="1" applyAlignment="1">
      <alignment horizontal="center" vertical="center"/>
    </xf>
    <xf numFmtId="0" fontId="139" fillId="5" borderId="61" xfId="0" applyFont="1" applyFill="1" applyBorder="1" applyAlignment="1">
      <alignment horizontal="center" vertical="center" wrapText="1"/>
    </xf>
    <xf numFmtId="0" fontId="109" fillId="5" borderId="74" xfId="0" applyFont="1" applyFill="1" applyBorder="1" applyAlignment="1">
      <alignment horizontal="center" vertical="center" wrapText="1"/>
    </xf>
    <xf numFmtId="0" fontId="109" fillId="5" borderId="24" xfId="0" applyFont="1" applyFill="1" applyBorder="1" applyAlignment="1">
      <alignment horizontal="center" vertical="center" wrapText="1"/>
    </xf>
    <xf numFmtId="0" fontId="67" fillId="26" borderId="21" xfId="0" applyFont="1" applyFill="1" applyBorder="1" applyAlignment="1">
      <alignment horizontal="center" vertical="center"/>
    </xf>
    <xf numFmtId="0" fontId="105" fillId="5" borderId="54" xfId="0" applyFont="1" applyFill="1" applyBorder="1" applyAlignment="1">
      <alignment horizontal="center" vertical="center" wrapText="1"/>
    </xf>
    <xf numFmtId="0" fontId="67" fillId="47" borderId="22" xfId="0" applyFont="1" applyFill="1" applyBorder="1" applyAlignment="1">
      <alignment horizontal="center" vertical="center"/>
    </xf>
    <xf numFmtId="0" fontId="67" fillId="38" borderId="22" xfId="0" applyFont="1" applyFill="1" applyBorder="1" applyAlignment="1">
      <alignment horizontal="center" vertical="center"/>
    </xf>
    <xf numFmtId="0" fontId="67" fillId="50" borderId="22" xfId="0" applyFont="1" applyFill="1" applyBorder="1" applyAlignment="1">
      <alignment horizontal="center" vertical="center"/>
    </xf>
    <xf numFmtId="0" fontId="105" fillId="5" borderId="22" xfId="0" applyFont="1" applyFill="1" applyBorder="1" applyAlignment="1">
      <alignment horizontal="center" vertical="center" wrapText="1"/>
    </xf>
    <xf numFmtId="0" fontId="27" fillId="0" borderId="2" xfId="0" applyFont="1" applyBorder="1" applyAlignment="1">
      <alignment horizontal="center"/>
    </xf>
    <xf numFmtId="0" fontId="58" fillId="0" borderId="2" xfId="0" applyFont="1" applyBorder="1" applyAlignment="1">
      <alignment vertical="center"/>
    </xf>
    <xf numFmtId="0" fontId="67" fillId="25" borderId="30" xfId="0" applyFont="1" applyFill="1" applyBorder="1" applyAlignment="1">
      <alignment horizontal="center" vertical="center"/>
    </xf>
    <xf numFmtId="0" fontId="109" fillId="5" borderId="54" xfId="0" applyFont="1" applyFill="1" applyBorder="1" applyAlignment="1">
      <alignment horizontal="center" vertical="center" wrapText="1"/>
    </xf>
    <xf numFmtId="0" fontId="67" fillId="35" borderId="23" xfId="0" applyFont="1" applyFill="1" applyBorder="1" applyAlignment="1">
      <alignment horizontal="center" vertical="center"/>
    </xf>
    <xf numFmtId="0" fontId="67" fillId="35" borderId="24" xfId="0" applyFont="1" applyFill="1" applyBorder="1" applyAlignment="1">
      <alignment horizontal="center" vertical="center"/>
    </xf>
    <xf numFmtId="0" fontId="140" fillId="5" borderId="74" xfId="0" applyFont="1" applyFill="1" applyBorder="1" applyAlignment="1">
      <alignment horizontal="center" vertical="center" wrapText="1"/>
    </xf>
    <xf numFmtId="0" fontId="67" fillId="35" borderId="21" xfId="0" applyFont="1" applyFill="1" applyBorder="1" applyAlignment="1">
      <alignment horizontal="center" vertical="center"/>
    </xf>
    <xf numFmtId="0" fontId="139" fillId="5" borderId="54" xfId="0" applyFont="1" applyFill="1" applyBorder="1" applyAlignment="1">
      <alignment horizontal="center" vertical="center" wrapText="1"/>
    </xf>
    <xf numFmtId="0" fontId="67" fillId="70" borderId="2" xfId="0" applyFont="1" applyFill="1" applyBorder="1" applyAlignment="1">
      <alignment horizontal="center" vertical="center"/>
    </xf>
    <xf numFmtId="0" fontId="67" fillId="70" borderId="22" xfId="0" applyFont="1" applyFill="1" applyBorder="1" applyAlignment="1">
      <alignment horizontal="center" vertical="center"/>
    </xf>
    <xf numFmtId="0" fontId="139" fillId="5" borderId="22" xfId="0" applyFont="1" applyFill="1" applyBorder="1" applyAlignment="1">
      <alignment horizontal="center" vertical="center" wrapText="1"/>
    </xf>
    <xf numFmtId="0" fontId="109" fillId="5" borderId="22" xfId="0" applyFont="1" applyFill="1" applyBorder="1" applyAlignment="1">
      <alignment horizontal="center" vertical="center" wrapText="1"/>
    </xf>
    <xf numFmtId="0" fontId="109" fillId="22" borderId="32" xfId="0" applyFont="1" applyFill="1" applyBorder="1" applyAlignment="1">
      <alignment horizontal="center" vertical="center" wrapText="1"/>
    </xf>
    <xf numFmtId="0" fontId="109" fillId="22" borderId="22" xfId="0" applyFont="1" applyFill="1" applyBorder="1" applyAlignment="1">
      <alignment horizontal="center" vertical="center" wrapText="1"/>
    </xf>
    <xf numFmtId="0" fontId="67" fillId="26" borderId="22" xfId="0" applyFont="1" applyFill="1" applyBorder="1" applyAlignment="1">
      <alignment horizontal="center" vertical="center"/>
    </xf>
    <xf numFmtId="0" fontId="109" fillId="5" borderId="34" xfId="0" applyFont="1" applyFill="1" applyBorder="1" applyAlignment="1">
      <alignment horizontal="center" vertical="center" wrapText="1"/>
    </xf>
    <xf numFmtId="0" fontId="67" fillId="26" borderId="25" xfId="0" applyFont="1" applyFill="1" applyBorder="1" applyAlignment="1">
      <alignment horizontal="center" vertical="center"/>
    </xf>
    <xf numFmtId="0" fontId="67" fillId="0" borderId="25" xfId="0" applyFont="1" applyBorder="1" applyAlignment="1">
      <alignment horizontal="center" vertical="center"/>
    </xf>
    <xf numFmtId="0" fontId="67" fillId="0" borderId="33" xfId="0" applyFont="1" applyBorder="1" applyAlignment="1">
      <alignment horizontal="center" vertical="center"/>
    </xf>
    <xf numFmtId="0" fontId="24" fillId="0" borderId="25" xfId="0" applyFont="1" applyBorder="1" applyAlignment="1">
      <alignment wrapText="1"/>
    </xf>
    <xf numFmtId="0" fontId="10" fillId="0" borderId="20" xfId="0" applyFont="1" applyBorder="1" applyAlignment="1">
      <alignment horizontal="center" vertical="center" wrapText="1"/>
    </xf>
    <xf numFmtId="0" fontId="24" fillId="0" borderId="76" xfId="0" applyFont="1" applyBorder="1" applyAlignment="1">
      <alignment horizontal="center"/>
    </xf>
    <xf numFmtId="0" fontId="67" fillId="0" borderId="48" xfId="0" applyFont="1" applyBorder="1" applyAlignment="1">
      <alignment horizontal="center" vertical="center"/>
    </xf>
    <xf numFmtId="0" fontId="24" fillId="0" borderId="38" xfId="0" applyFont="1" applyBorder="1" applyAlignment="1">
      <alignment horizontal="center"/>
    </xf>
    <xf numFmtId="0" fontId="24" fillId="0" borderId="48" xfId="0" applyFont="1" applyBorder="1" applyAlignment="1">
      <alignment wrapText="1"/>
    </xf>
    <xf numFmtId="0" fontId="10" fillId="0" borderId="48" xfId="0" applyFont="1" applyBorder="1" applyAlignment="1">
      <alignment horizontal="center" vertical="center" wrapText="1"/>
    </xf>
    <xf numFmtId="0" fontId="12" fillId="0" borderId="32" xfId="0" applyFont="1" applyBorder="1" applyAlignment="1">
      <alignment horizontal="center" vertical="center" wrapText="1"/>
    </xf>
    <xf numFmtId="0" fontId="2" fillId="0" borderId="2" xfId="0" applyFont="1" applyBorder="1" applyAlignment="1">
      <alignment horizontal="center" vertical="center" wrapText="1"/>
    </xf>
    <xf numFmtId="0" fontId="117" fillId="0" borderId="2" xfId="0" applyFont="1" applyBorder="1" applyAlignment="1">
      <alignment horizontal="center" vertical="center" wrapText="1"/>
    </xf>
    <xf numFmtId="0" fontId="151" fillId="3" borderId="2" xfId="0" applyFont="1" applyFill="1" applyBorder="1" applyAlignment="1">
      <alignment horizontal="center" vertical="center" wrapText="1"/>
    </xf>
    <xf numFmtId="0" fontId="2" fillId="0" borderId="2" xfId="0" applyFont="1" applyBorder="1" applyAlignment="1">
      <alignment horizontal="center" vertical="center"/>
    </xf>
    <xf numFmtId="49" fontId="2" fillId="5" borderId="2" xfId="0" applyNumberFormat="1" applyFont="1" applyFill="1" applyBorder="1" applyAlignment="1">
      <alignment horizontal="center" vertical="center" wrapText="1"/>
    </xf>
    <xf numFmtId="0" fontId="150" fillId="0" borderId="2" xfId="0" applyFont="1" applyBorder="1" applyAlignment="1">
      <alignment horizontal="center" vertical="center"/>
    </xf>
    <xf numFmtId="0" fontId="150" fillId="0" borderId="0" xfId="0" applyFont="1" applyAlignment="1">
      <alignment horizontal="center" vertical="center"/>
    </xf>
    <xf numFmtId="0" fontId="152" fillId="0" borderId="0" xfId="0" applyFont="1" applyAlignment="1">
      <alignment horizontal="center" vertical="center"/>
    </xf>
    <xf numFmtId="14" fontId="150" fillId="0" borderId="2" xfId="0" applyNumberFormat="1" applyFont="1" applyBorder="1" applyAlignment="1">
      <alignment horizontal="center" vertical="center"/>
    </xf>
    <xf numFmtId="16" fontId="150" fillId="0" borderId="2" xfId="0" applyNumberFormat="1" applyFont="1" applyBorder="1" applyAlignment="1">
      <alignment horizontal="center" vertical="center"/>
    </xf>
    <xf numFmtId="49" fontId="150" fillId="0" borderId="2" xfId="0" applyNumberFormat="1" applyFont="1" applyBorder="1" applyAlignment="1">
      <alignment horizontal="center" vertical="center"/>
    </xf>
    <xf numFmtId="0" fontId="150" fillId="0" borderId="2" xfId="0" applyFont="1" applyBorder="1" applyAlignment="1">
      <alignment horizontal="center" vertical="center" wrapText="1"/>
    </xf>
    <xf numFmtId="0" fontId="67" fillId="5" borderId="33" xfId="0" applyFont="1" applyFill="1" applyBorder="1" applyAlignment="1">
      <alignment horizontal="center" vertical="center" wrapText="1"/>
    </xf>
    <xf numFmtId="0" fontId="139" fillId="5" borderId="25" xfId="0" applyFont="1" applyFill="1" applyBorder="1" applyAlignment="1">
      <alignment horizontal="center" vertical="center" wrapText="1"/>
    </xf>
    <xf numFmtId="0" fontId="67" fillId="35" borderId="25" xfId="0" applyFont="1" applyFill="1" applyBorder="1" applyAlignment="1">
      <alignment horizontal="center" vertical="center"/>
    </xf>
    <xf numFmtId="0" fontId="67" fillId="11" borderId="25" xfId="0" applyFont="1" applyFill="1" applyBorder="1" applyAlignment="1">
      <alignment horizontal="center" vertical="center"/>
    </xf>
    <xf numFmtId="0" fontId="116" fillId="6" borderId="25" xfId="0" applyFont="1" applyFill="1" applyBorder="1" applyAlignment="1">
      <alignment horizontal="center" vertical="center" wrapText="1"/>
    </xf>
    <xf numFmtId="0" fontId="139" fillId="5" borderId="23" xfId="0" applyFont="1" applyFill="1" applyBorder="1" applyAlignment="1">
      <alignment horizontal="center" vertical="center" wrapText="1"/>
    </xf>
    <xf numFmtId="0" fontId="116" fillId="6" borderId="23" xfId="0" applyFont="1" applyFill="1" applyBorder="1" applyAlignment="1">
      <alignment horizontal="center" vertical="center" wrapText="1"/>
    </xf>
    <xf numFmtId="0" fontId="140" fillId="5" borderId="25" xfId="0" applyFont="1" applyFill="1" applyBorder="1" applyAlignment="1">
      <alignment horizontal="center" vertical="center" wrapText="1"/>
    </xf>
    <xf numFmtId="0" fontId="67" fillId="3" borderId="45" xfId="0" applyFont="1" applyFill="1" applyBorder="1" applyAlignment="1">
      <alignment horizontal="center" vertical="center"/>
    </xf>
    <xf numFmtId="0" fontId="116" fillId="6" borderId="51" xfId="0" applyFont="1" applyFill="1" applyBorder="1" applyAlignment="1">
      <alignment horizontal="center" vertical="center" wrapText="1"/>
    </xf>
    <xf numFmtId="0" fontId="67" fillId="51" borderId="2" xfId="0" applyFont="1" applyFill="1" applyBorder="1" applyAlignment="1">
      <alignment horizontal="center" vertical="center"/>
    </xf>
    <xf numFmtId="0" fontId="106" fillId="22" borderId="2" xfId="0" applyFont="1" applyFill="1" applyBorder="1" applyAlignment="1">
      <alignment horizontal="center" vertical="center" wrapText="1"/>
    </xf>
    <xf numFmtId="0" fontId="140" fillId="5" borderId="23" xfId="0" applyFont="1" applyFill="1" applyBorder="1" applyAlignment="1">
      <alignment horizontal="center" vertical="center" wrapText="1"/>
    </xf>
    <xf numFmtId="0" fontId="67" fillId="3" borderId="32" xfId="0" applyFont="1" applyFill="1" applyBorder="1" applyAlignment="1">
      <alignment horizontal="center" vertical="center"/>
    </xf>
    <xf numFmtId="0" fontId="139" fillId="5" borderId="33" xfId="0" applyFont="1" applyFill="1" applyBorder="1" applyAlignment="1">
      <alignment horizontal="center" vertical="center" wrapText="1"/>
    </xf>
    <xf numFmtId="0" fontId="67" fillId="5" borderId="30" xfId="0" applyFont="1" applyFill="1" applyBorder="1" applyAlignment="1">
      <alignment horizontal="center" vertical="center" wrapText="1"/>
    </xf>
    <xf numFmtId="0" fontId="116" fillId="6" borderId="2" xfId="0" applyFont="1" applyFill="1" applyBorder="1" applyAlignment="1">
      <alignment horizontal="center" vertical="center" wrapText="1"/>
    </xf>
    <xf numFmtId="0" fontId="140" fillId="5" borderId="51" xfId="0" applyFont="1" applyFill="1" applyBorder="1" applyAlignment="1">
      <alignment horizontal="center" vertical="center" wrapText="1"/>
    </xf>
    <xf numFmtId="0" fontId="140" fillId="0" borderId="2" xfId="0" applyFont="1" applyBorder="1" applyAlignment="1">
      <alignment horizontal="center" vertical="center" wrapText="1"/>
    </xf>
    <xf numFmtId="0" fontId="67" fillId="29" borderId="23" xfId="0" applyFont="1" applyFill="1" applyBorder="1" applyAlignment="1">
      <alignment horizontal="center" vertical="center"/>
    </xf>
    <xf numFmtId="0" fontId="67" fillId="28" borderId="2" xfId="0" applyFont="1" applyFill="1" applyBorder="1" applyAlignment="1">
      <alignment horizontal="center" vertical="center"/>
    </xf>
    <xf numFmtId="0" fontId="67" fillId="29" borderId="25" xfId="0" applyFont="1" applyFill="1" applyBorder="1" applyAlignment="1">
      <alignment horizontal="center" vertical="center"/>
    </xf>
    <xf numFmtId="0" fontId="18" fillId="0" borderId="2" xfId="0" applyFont="1" applyBorder="1" applyAlignment="1">
      <alignment horizontal="center" vertical="center"/>
    </xf>
    <xf numFmtId="0" fontId="18" fillId="0" borderId="25" xfId="0" applyFont="1" applyBorder="1" applyAlignment="1">
      <alignment horizontal="center" vertical="center"/>
    </xf>
    <xf numFmtId="0" fontId="18" fillId="0" borderId="20" xfId="0" applyFont="1" applyBorder="1" applyAlignment="1">
      <alignment horizontal="center" vertical="center"/>
    </xf>
    <xf numFmtId="0" fontId="140" fillId="5" borderId="64" xfId="0" applyFont="1" applyFill="1" applyBorder="1" applyAlignment="1">
      <alignment horizontal="center" vertical="center" wrapText="1"/>
    </xf>
    <xf numFmtId="0" fontId="139" fillId="5" borderId="53" xfId="0" applyFont="1" applyFill="1" applyBorder="1" applyAlignment="1">
      <alignment horizontal="center" vertical="center" wrapText="1"/>
    </xf>
    <xf numFmtId="0" fontId="139" fillId="5" borderId="34" xfId="0" applyFont="1" applyFill="1" applyBorder="1" applyAlignment="1">
      <alignment horizontal="center" vertical="center" wrapText="1"/>
    </xf>
    <xf numFmtId="0" fontId="18" fillId="0" borderId="19" xfId="0" applyFont="1" applyBorder="1" applyAlignment="1">
      <alignment horizontal="center" vertical="center"/>
    </xf>
    <xf numFmtId="0" fontId="67" fillId="28" borderId="22" xfId="0" applyFont="1" applyFill="1" applyBorder="1" applyAlignment="1">
      <alignment horizontal="center" vertical="center"/>
    </xf>
    <xf numFmtId="0" fontId="18" fillId="0" borderId="23" xfId="0" applyFont="1" applyBorder="1" applyAlignment="1">
      <alignment horizontal="center" vertical="center"/>
    </xf>
    <xf numFmtId="0" fontId="67" fillId="29" borderId="24" xfId="0" applyFont="1" applyFill="1" applyBorder="1" applyAlignment="1">
      <alignment horizontal="center" vertical="center"/>
    </xf>
    <xf numFmtId="0" fontId="67" fillId="5" borderId="27" xfId="0" applyFont="1" applyFill="1" applyBorder="1" applyAlignment="1">
      <alignment horizontal="center" vertical="center" wrapText="1"/>
    </xf>
    <xf numFmtId="0" fontId="12" fillId="0" borderId="34" xfId="0" applyFont="1" applyBorder="1" applyAlignment="1">
      <alignment horizontal="center" vertical="center" wrapText="1"/>
    </xf>
    <xf numFmtId="0" fontId="12" fillId="0" borderId="49" xfId="0" applyFont="1" applyBorder="1" applyAlignment="1">
      <alignment horizontal="center" vertical="center" wrapText="1"/>
    </xf>
    <xf numFmtId="0" fontId="12" fillId="0" borderId="31" xfId="0" applyFont="1" applyBorder="1" applyAlignment="1">
      <alignment horizontal="center" vertical="center" wrapText="1"/>
    </xf>
    <xf numFmtId="0" fontId="12" fillId="0" borderId="35" xfId="0" applyFont="1" applyBorder="1" applyAlignment="1">
      <alignment horizontal="center" vertical="center" wrapText="1"/>
    </xf>
    <xf numFmtId="0" fontId="0" fillId="0" borderId="2" xfId="0" applyBorder="1" applyAlignment="1">
      <alignment horizontal="center" vertical="center" wrapText="1"/>
    </xf>
    <xf numFmtId="16" fontId="11" fillId="39" borderId="2" xfId="0" applyNumberFormat="1" applyFont="1" applyFill="1" applyBorder="1" applyAlignment="1">
      <alignment horizontal="center" vertical="center"/>
    </xf>
    <xf numFmtId="0" fontId="18" fillId="39" borderId="2" xfId="0" applyFont="1" applyFill="1" applyBorder="1" applyAlignment="1">
      <alignment horizontal="center" vertical="center"/>
    </xf>
    <xf numFmtId="0" fontId="67" fillId="39" borderId="2" xfId="0" applyFont="1" applyFill="1" applyBorder="1" applyAlignment="1">
      <alignment horizontal="center" vertical="center"/>
    </xf>
    <xf numFmtId="0" fontId="67" fillId="39" borderId="25" xfId="0" applyFont="1" applyFill="1" applyBorder="1" applyAlignment="1">
      <alignment horizontal="center" vertical="center"/>
    </xf>
    <xf numFmtId="0" fontId="67" fillId="39" borderId="2" xfId="0" applyFont="1" applyFill="1" applyBorder="1" applyAlignment="1">
      <alignment horizontal="center" vertical="center" wrapText="1"/>
    </xf>
    <xf numFmtId="0" fontId="12" fillId="39" borderId="2" xfId="0" applyFont="1" applyFill="1" applyBorder="1" applyAlignment="1">
      <alignment horizontal="center" vertical="center" wrapText="1"/>
    </xf>
    <xf numFmtId="0" fontId="8" fillId="39" borderId="2" xfId="0" applyFont="1" applyFill="1" applyBorder="1" applyAlignment="1">
      <alignment horizontal="center" vertical="center" wrapText="1"/>
    </xf>
    <xf numFmtId="0" fontId="12" fillId="39" borderId="20" xfId="0" applyFont="1" applyFill="1" applyBorder="1" applyAlignment="1">
      <alignment horizontal="center" vertical="center" wrapText="1"/>
    </xf>
    <xf numFmtId="0" fontId="12" fillId="39" borderId="64" xfId="0" applyFont="1" applyFill="1" applyBorder="1" applyAlignment="1">
      <alignment horizontal="center" vertical="center" wrapText="1"/>
    </xf>
    <xf numFmtId="0" fontId="0" fillId="39" borderId="2" xfId="0" applyFill="1" applyBorder="1"/>
    <xf numFmtId="0" fontId="0" fillId="39" borderId="2" xfId="0" applyFill="1" applyBorder="1" applyAlignment="1">
      <alignment horizontal="center" vertical="center"/>
    </xf>
    <xf numFmtId="0" fontId="0" fillId="39" borderId="0" xfId="0" applyFill="1"/>
    <xf numFmtId="0" fontId="67" fillId="39" borderId="25" xfId="0" applyFont="1" applyFill="1" applyBorder="1" applyAlignment="1">
      <alignment horizontal="center" vertical="center" wrapText="1"/>
    </xf>
    <xf numFmtId="0" fontId="12" fillId="39" borderId="25" xfId="0" applyFont="1" applyFill="1" applyBorder="1" applyAlignment="1">
      <alignment horizontal="center" vertical="center" wrapText="1"/>
    </xf>
    <xf numFmtId="0" fontId="12" fillId="39" borderId="51" xfId="0" applyFont="1" applyFill="1" applyBorder="1" applyAlignment="1">
      <alignment horizontal="center" vertical="center" wrapText="1"/>
    </xf>
    <xf numFmtId="0" fontId="12" fillId="39" borderId="49" xfId="0" applyFont="1" applyFill="1" applyBorder="1" applyAlignment="1">
      <alignment horizontal="center" vertical="center" wrapText="1"/>
    </xf>
    <xf numFmtId="0" fontId="11" fillId="36" borderId="2" xfId="0" applyFont="1" applyFill="1" applyBorder="1" applyAlignment="1">
      <alignment horizontal="center" vertical="center"/>
    </xf>
    <xf numFmtId="0" fontId="18" fillId="36" borderId="2" xfId="0" applyFont="1" applyFill="1" applyBorder="1" applyAlignment="1">
      <alignment horizontal="center" vertical="center"/>
    </xf>
    <xf numFmtId="0" fontId="67" fillId="36" borderId="25" xfId="0" applyFont="1" applyFill="1" applyBorder="1" applyAlignment="1">
      <alignment horizontal="center" vertical="center"/>
    </xf>
    <xf numFmtId="0" fontId="67" fillId="36" borderId="25" xfId="0" applyFont="1" applyFill="1" applyBorder="1" applyAlignment="1">
      <alignment horizontal="center" vertical="center" wrapText="1"/>
    </xf>
    <xf numFmtId="0" fontId="12" fillId="36" borderId="25" xfId="0" applyFont="1" applyFill="1" applyBorder="1" applyAlignment="1">
      <alignment horizontal="center" vertical="center" wrapText="1"/>
    </xf>
    <xf numFmtId="0" fontId="8" fillId="36" borderId="2" xfId="0" applyFont="1" applyFill="1" applyBorder="1" applyAlignment="1">
      <alignment horizontal="center" vertical="center" wrapText="1"/>
    </xf>
    <xf numFmtId="0" fontId="12" fillId="36" borderId="2" xfId="0" applyFont="1" applyFill="1" applyBorder="1" applyAlignment="1">
      <alignment horizontal="center" vertical="center" wrapText="1"/>
    </xf>
    <xf numFmtId="0" fontId="12" fillId="36" borderId="30" xfId="0" applyFont="1" applyFill="1" applyBorder="1" applyAlignment="1">
      <alignment horizontal="center" vertical="center" wrapText="1"/>
    </xf>
    <xf numFmtId="0" fontId="0" fillId="36" borderId="2" xfId="0" applyFill="1" applyBorder="1"/>
    <xf numFmtId="0" fontId="0" fillId="36" borderId="2" xfId="0" applyFill="1" applyBorder="1" applyAlignment="1">
      <alignment horizontal="center" vertical="center"/>
    </xf>
    <xf numFmtId="0" fontId="0" fillId="36" borderId="0" xfId="0" applyFill="1"/>
    <xf numFmtId="0" fontId="67" fillId="5" borderId="62" xfId="0" applyFont="1" applyFill="1" applyBorder="1" applyAlignment="1">
      <alignment horizontal="center" vertical="center"/>
    </xf>
    <xf numFmtId="0" fontId="68" fillId="5" borderId="51" xfId="0" applyFont="1" applyFill="1" applyBorder="1" applyAlignment="1">
      <alignment horizontal="center" vertical="center" wrapText="1"/>
    </xf>
    <xf numFmtId="0" fontId="68" fillId="5" borderId="25" xfId="0" applyFont="1" applyFill="1" applyBorder="1" applyAlignment="1">
      <alignment horizontal="center" vertical="center" wrapText="1"/>
    </xf>
    <xf numFmtId="0" fontId="67" fillId="5" borderId="34" xfId="0" applyFont="1" applyFill="1" applyBorder="1" applyAlignment="1">
      <alignment horizontal="center" vertical="center"/>
    </xf>
    <xf numFmtId="0" fontId="116" fillId="6" borderId="48" xfId="0" applyFont="1" applyFill="1" applyBorder="1" applyAlignment="1">
      <alignment horizontal="center" vertical="center" wrapText="1"/>
    </xf>
    <xf numFmtId="0" fontId="67" fillId="24" borderId="51" xfId="0" applyFont="1" applyFill="1" applyBorder="1" applyAlignment="1">
      <alignment horizontal="center" vertical="center"/>
    </xf>
    <xf numFmtId="0" fontId="68" fillId="5" borderId="2" xfId="0" applyFont="1" applyFill="1" applyBorder="1" applyAlignment="1">
      <alignment horizontal="center" vertical="center" wrapText="1"/>
    </xf>
    <xf numFmtId="0" fontId="67" fillId="46" borderId="34" xfId="0" applyFont="1" applyFill="1" applyBorder="1" applyAlignment="1">
      <alignment horizontal="center" vertical="center"/>
    </xf>
    <xf numFmtId="0" fontId="68" fillId="5" borderId="37" xfId="0" applyFont="1" applyFill="1" applyBorder="1" applyAlignment="1">
      <alignment horizontal="center" vertical="center" wrapText="1"/>
    </xf>
    <xf numFmtId="0" fontId="67" fillId="5" borderId="37" xfId="0" applyFont="1" applyFill="1" applyBorder="1" applyAlignment="1">
      <alignment horizontal="center" vertical="center" wrapText="1"/>
    </xf>
    <xf numFmtId="0" fontId="12" fillId="0" borderId="37" xfId="0" applyFont="1" applyBorder="1" applyAlignment="1">
      <alignment horizontal="center" vertical="center" wrapText="1"/>
    </xf>
    <xf numFmtId="0" fontId="12" fillId="0" borderId="71" xfId="0" applyFont="1" applyBorder="1" applyAlignment="1">
      <alignment horizontal="center" vertical="center" wrapText="1"/>
    </xf>
    <xf numFmtId="0" fontId="67" fillId="5" borderId="49" xfId="0" applyFont="1" applyFill="1" applyBorder="1" applyAlignment="1">
      <alignment horizontal="center" vertical="center" wrapText="1"/>
    </xf>
    <xf numFmtId="0" fontId="68" fillId="5" borderId="20" xfId="0" applyFont="1" applyFill="1" applyBorder="1" applyAlignment="1">
      <alignment horizontal="center" vertical="center" wrapText="1"/>
    </xf>
    <xf numFmtId="0" fontId="67" fillId="24" borderId="25" xfId="0" applyFont="1" applyFill="1" applyBorder="1" applyAlignment="1">
      <alignment horizontal="center" vertical="center"/>
    </xf>
    <xf numFmtId="0" fontId="116" fillId="6" borderId="30" xfId="0" applyFont="1" applyFill="1" applyBorder="1" applyAlignment="1">
      <alignment horizontal="center" vertical="center" wrapText="1"/>
    </xf>
    <xf numFmtId="0" fontId="67" fillId="46" borderId="25" xfId="0" applyFont="1" applyFill="1" applyBorder="1" applyAlignment="1">
      <alignment horizontal="center" vertical="center"/>
    </xf>
    <xf numFmtId="0" fontId="67" fillId="31" borderId="23" xfId="0" applyFont="1" applyFill="1" applyBorder="1" applyAlignment="1">
      <alignment horizontal="center" vertical="center"/>
    </xf>
    <xf numFmtId="0" fontId="8" fillId="3" borderId="2" xfId="0" applyFont="1" applyFill="1" applyBorder="1" applyAlignment="1">
      <alignment horizontal="center" vertical="center" wrapText="1"/>
    </xf>
    <xf numFmtId="0" fontId="8" fillId="3" borderId="23" xfId="0" applyFont="1" applyFill="1" applyBorder="1" applyAlignment="1">
      <alignment horizontal="center" vertical="center" wrapText="1"/>
    </xf>
    <xf numFmtId="0" fontId="68" fillId="5" borderId="23" xfId="0" applyFont="1" applyFill="1" applyBorder="1" applyAlignment="1">
      <alignment horizontal="center" vertical="center" wrapText="1"/>
    </xf>
    <xf numFmtId="0" fontId="150" fillId="0" borderId="30" xfId="0" applyFont="1" applyBorder="1" applyAlignment="1">
      <alignment horizontal="center" vertical="center"/>
    </xf>
    <xf numFmtId="0" fontId="150" fillId="0" borderId="32" xfId="0" applyFont="1" applyBorder="1" applyAlignment="1">
      <alignment horizontal="center" vertical="center"/>
    </xf>
    <xf numFmtId="0" fontId="134" fillId="0" borderId="51" xfId="0" applyFont="1" applyBorder="1" applyAlignment="1">
      <alignment vertical="center"/>
    </xf>
    <xf numFmtId="0" fontId="67" fillId="5" borderId="22" xfId="0" applyFont="1" applyFill="1" applyBorder="1" applyAlignment="1">
      <alignment horizontal="center" vertical="center"/>
    </xf>
    <xf numFmtId="0" fontId="67" fillId="5" borderId="44" xfId="0" applyFont="1" applyFill="1" applyBorder="1" applyAlignment="1">
      <alignment horizontal="center" vertical="center" wrapText="1"/>
    </xf>
    <xf numFmtId="0" fontId="150" fillId="0" borderId="0" xfId="0" applyFont="1" applyAlignment="1">
      <alignment horizontal="center" vertical="center" wrapText="1"/>
    </xf>
    <xf numFmtId="0" fontId="24" fillId="39" borderId="0" xfId="0" applyFont="1" applyFill="1" applyAlignment="1">
      <alignment wrapText="1"/>
    </xf>
    <xf numFmtId="0" fontId="24" fillId="36" borderId="0" xfId="0" applyFont="1" applyFill="1" applyAlignment="1">
      <alignment wrapText="1"/>
    </xf>
    <xf numFmtId="0" fontId="24" fillId="0" borderId="0" xfId="0" applyFont="1" applyAlignment="1">
      <alignment wrapText="1"/>
    </xf>
    <xf numFmtId="0" fontId="150" fillId="0" borderId="0" xfId="0" applyFont="1" applyAlignment="1">
      <alignment horizontal="left" vertical="center" wrapText="1"/>
    </xf>
    <xf numFmtId="0" fontId="116" fillId="3" borderId="51" xfId="0" applyFont="1" applyFill="1" applyBorder="1" applyAlignment="1">
      <alignment horizontal="center" vertical="center" wrapText="1"/>
    </xf>
    <xf numFmtId="0" fontId="12" fillId="0" borderId="103" xfId="0" applyFont="1" applyBorder="1" applyAlignment="1">
      <alignment horizontal="center" vertical="center" wrapText="1"/>
    </xf>
    <xf numFmtId="0" fontId="68" fillId="5" borderId="32" xfId="0" applyFont="1" applyFill="1" applyBorder="1" applyAlignment="1">
      <alignment horizontal="center" vertical="center" wrapText="1"/>
    </xf>
    <xf numFmtId="0" fontId="67" fillId="19" borderId="2" xfId="0" applyFont="1" applyFill="1" applyBorder="1" applyAlignment="1">
      <alignment horizontal="center" vertical="center"/>
    </xf>
    <xf numFmtId="0" fontId="116" fillId="6" borderId="20" xfId="0" applyFont="1" applyFill="1" applyBorder="1" applyAlignment="1">
      <alignment horizontal="center" vertical="center" wrapText="1"/>
    </xf>
    <xf numFmtId="0" fontId="140" fillId="5" borderId="20" xfId="0" applyFont="1" applyFill="1" applyBorder="1" applyAlignment="1">
      <alignment horizontal="center" vertical="center" wrapText="1"/>
    </xf>
    <xf numFmtId="0" fontId="8" fillId="3" borderId="25" xfId="0" applyFont="1" applyFill="1" applyBorder="1" applyAlignment="1">
      <alignment horizontal="center" vertical="center" wrapText="1"/>
    </xf>
    <xf numFmtId="0" fontId="68" fillId="5" borderId="19" xfId="0" applyFont="1" applyFill="1" applyBorder="1" applyAlignment="1">
      <alignment horizontal="center" vertical="center" wrapText="1"/>
    </xf>
    <xf numFmtId="0" fontId="140" fillId="5" borderId="35" xfId="0" applyFont="1" applyFill="1" applyBorder="1" applyAlignment="1">
      <alignment horizontal="center" vertical="center" wrapText="1"/>
    </xf>
    <xf numFmtId="0" fontId="139" fillId="5" borderId="31" xfId="0" applyFont="1" applyFill="1" applyBorder="1" applyAlignment="1">
      <alignment horizontal="center" vertical="center" wrapText="1"/>
    </xf>
    <xf numFmtId="0" fontId="150" fillId="0" borderId="25" xfId="0" applyFont="1" applyBorder="1" applyAlignment="1">
      <alignment horizontal="center" vertical="center"/>
    </xf>
    <xf numFmtId="0" fontId="117" fillId="0" borderId="25" xfId="0" applyFont="1" applyBorder="1" applyAlignment="1">
      <alignment horizontal="center" vertical="center" wrapText="1"/>
    </xf>
    <xf numFmtId="0" fontId="18" fillId="0" borderId="48" xfId="0" applyFont="1" applyBorder="1" applyAlignment="1">
      <alignment horizontal="center" vertical="center"/>
    </xf>
    <xf numFmtId="0" fontId="150" fillId="0" borderId="20" xfId="0" applyFont="1" applyBorder="1" applyAlignment="1">
      <alignment horizontal="center" vertical="center"/>
    </xf>
    <xf numFmtId="0" fontId="117" fillId="0" borderId="20" xfId="0" applyFont="1" applyBorder="1" applyAlignment="1">
      <alignment horizontal="center" vertical="center" wrapText="1"/>
    </xf>
    <xf numFmtId="0" fontId="140" fillId="5" borderId="36" xfId="0" applyFont="1" applyFill="1" applyBorder="1" applyAlignment="1">
      <alignment horizontal="center" vertical="center" wrapText="1"/>
    </xf>
    <xf numFmtId="0" fontId="139" fillId="5" borderId="37" xfId="0" applyFont="1" applyFill="1" applyBorder="1" applyAlignment="1">
      <alignment horizontal="center" vertical="center" wrapText="1"/>
    </xf>
    <xf numFmtId="0" fontId="67" fillId="5" borderId="24" xfId="0" applyFont="1" applyFill="1" applyBorder="1" applyAlignment="1">
      <alignment horizontal="center" vertical="center"/>
    </xf>
    <xf numFmtId="0" fontId="150" fillId="0" borderId="19" xfId="0" applyFont="1" applyBorder="1" applyAlignment="1">
      <alignment horizontal="center" vertical="center"/>
    </xf>
    <xf numFmtId="0" fontId="117" fillId="0" borderId="21" xfId="0" applyFont="1" applyBorder="1" applyAlignment="1">
      <alignment horizontal="center" vertical="center" wrapText="1"/>
    </xf>
    <xf numFmtId="0" fontId="117" fillId="0" borderId="22" xfId="0" applyFont="1" applyBorder="1" applyAlignment="1">
      <alignment horizontal="center" vertical="center" wrapText="1"/>
    </xf>
    <xf numFmtId="0" fontId="150" fillId="0" borderId="23" xfId="0" applyFont="1" applyBorder="1" applyAlignment="1">
      <alignment horizontal="center" vertical="center"/>
    </xf>
    <xf numFmtId="0" fontId="117" fillId="0" borderId="24" xfId="0" applyFont="1" applyBorder="1" applyAlignment="1">
      <alignment horizontal="center" vertical="center" wrapText="1"/>
    </xf>
    <xf numFmtId="0" fontId="155" fillId="5" borderId="25" xfId="0" applyFont="1" applyFill="1" applyBorder="1" applyAlignment="1">
      <alignment horizontal="center" vertical="center" wrapText="1"/>
    </xf>
    <xf numFmtId="0" fontId="67" fillId="28" borderId="25" xfId="0" applyFont="1" applyFill="1" applyBorder="1" applyAlignment="1">
      <alignment horizontal="center" vertical="center"/>
    </xf>
    <xf numFmtId="0" fontId="155" fillId="5" borderId="2" xfId="0" applyFont="1" applyFill="1" applyBorder="1" applyAlignment="1">
      <alignment horizontal="center" vertical="center" wrapText="1"/>
    </xf>
    <xf numFmtId="0" fontId="67" fillId="4" borderId="25" xfId="0" applyFont="1" applyFill="1" applyBorder="1" applyAlignment="1">
      <alignment horizontal="center" vertical="center"/>
    </xf>
    <xf numFmtId="0" fontId="67" fillId="4" borderId="23" xfId="0" applyFont="1" applyFill="1" applyBorder="1" applyAlignment="1">
      <alignment horizontal="center" vertical="center"/>
    </xf>
    <xf numFmtId="0" fontId="67" fillId="28" borderId="51" xfId="0" applyFont="1" applyFill="1" applyBorder="1" applyAlignment="1">
      <alignment horizontal="center" vertical="center"/>
    </xf>
    <xf numFmtId="0" fontId="67" fillId="8" borderId="25" xfId="0" applyFont="1" applyFill="1" applyBorder="1" applyAlignment="1">
      <alignment horizontal="center" vertical="center"/>
    </xf>
    <xf numFmtId="0" fontId="67" fillId="8" borderId="2" xfId="0" applyFont="1" applyFill="1" applyBorder="1" applyAlignment="1">
      <alignment horizontal="center" vertical="center"/>
    </xf>
    <xf numFmtId="0" fontId="150" fillId="0" borderId="20" xfId="0" applyFont="1" applyBorder="1" applyAlignment="1">
      <alignment horizontal="center" vertical="center" wrapText="1"/>
    </xf>
    <xf numFmtId="0" fontId="117" fillId="0" borderId="23" xfId="0" applyFont="1" applyBorder="1" applyAlignment="1">
      <alignment horizontal="center" vertical="center" wrapText="1"/>
    </xf>
    <xf numFmtId="0" fontId="150" fillId="0" borderId="38" xfId="0" applyFont="1" applyBorder="1" applyAlignment="1">
      <alignment horizontal="center" vertical="center" wrapText="1"/>
    </xf>
    <xf numFmtId="0" fontId="150" fillId="0" borderId="38" xfId="0" applyFont="1" applyBorder="1" applyAlignment="1">
      <alignment horizontal="center" vertical="center"/>
    </xf>
    <xf numFmtId="0" fontId="12" fillId="0" borderId="2" xfId="0" applyFont="1" applyBorder="1" applyAlignment="1">
      <alignment horizontal="center" vertical="center"/>
    </xf>
    <xf numFmtId="0" fontId="67" fillId="5" borderId="47" xfId="0" applyFont="1" applyFill="1" applyBorder="1" applyAlignment="1">
      <alignment horizontal="center" vertical="center"/>
    </xf>
    <xf numFmtId="0" fontId="117" fillId="0" borderId="47" xfId="0" applyFont="1" applyBorder="1" applyAlignment="1">
      <alignment horizontal="center" vertical="center" wrapText="1"/>
    </xf>
    <xf numFmtId="0" fontId="68" fillId="5" borderId="64" xfId="0" applyFont="1" applyFill="1" applyBorder="1" applyAlignment="1">
      <alignment horizontal="center" vertical="center" wrapText="1"/>
    </xf>
    <xf numFmtId="0" fontId="68" fillId="5" borderId="30" xfId="0" applyFont="1" applyFill="1" applyBorder="1" applyAlignment="1">
      <alignment horizontal="center" vertical="center" wrapText="1"/>
    </xf>
    <xf numFmtId="0" fontId="8" fillId="20" borderId="23" xfId="0" applyFont="1" applyFill="1" applyBorder="1" applyAlignment="1">
      <alignment horizontal="center" vertical="center" wrapText="1"/>
    </xf>
    <xf numFmtId="0" fontId="68" fillId="5" borderId="48" xfId="0" applyFont="1" applyFill="1" applyBorder="1" applyAlignment="1">
      <alignment horizontal="center" vertical="center" wrapText="1"/>
    </xf>
    <xf numFmtId="0" fontId="116" fillId="0" borderId="23" xfId="0" applyFont="1" applyBorder="1" applyAlignment="1">
      <alignment horizontal="center" vertical="center" wrapText="1"/>
    </xf>
    <xf numFmtId="0" fontId="24" fillId="0" borderId="38" xfId="0" applyFont="1" applyBorder="1" applyAlignment="1">
      <alignment wrapText="1"/>
    </xf>
    <xf numFmtId="0" fontId="150" fillId="0" borderId="53" xfId="0" applyFont="1" applyBorder="1" applyAlignment="1">
      <alignment horizontal="center" vertical="center"/>
    </xf>
    <xf numFmtId="0" fontId="150" fillId="0" borderId="26" xfId="0" applyFont="1" applyBorder="1" applyAlignment="1">
      <alignment horizontal="center" vertical="center"/>
    </xf>
    <xf numFmtId="0" fontId="150" fillId="0" borderId="27" xfId="0" applyFont="1" applyBorder="1" applyAlignment="1">
      <alignment horizontal="center" vertical="center"/>
    </xf>
    <xf numFmtId="0" fontId="150" fillId="0" borderId="71" xfId="0" applyFont="1" applyBorder="1" applyAlignment="1">
      <alignment horizontal="center" vertical="center" wrapText="1"/>
    </xf>
    <xf numFmtId="0" fontId="150" fillId="0" borderId="80" xfId="0" applyFont="1" applyBorder="1" applyAlignment="1">
      <alignment horizontal="center" vertical="center" wrapText="1"/>
    </xf>
    <xf numFmtId="0" fontId="67" fillId="32" borderId="23" xfId="0" applyFont="1" applyFill="1" applyBorder="1" applyAlignment="1">
      <alignment horizontal="center" vertical="center"/>
    </xf>
    <xf numFmtId="0" fontId="155" fillId="5" borderId="23" xfId="0" applyFont="1" applyFill="1" applyBorder="1" applyAlignment="1">
      <alignment horizontal="center" vertical="center" wrapText="1"/>
    </xf>
    <xf numFmtId="0" fontId="155" fillId="5" borderId="51" xfId="0" applyFont="1" applyFill="1" applyBorder="1" applyAlignment="1">
      <alignment horizontal="center" vertical="center" wrapText="1"/>
    </xf>
    <xf numFmtId="0" fontId="68" fillId="5" borderId="45" xfId="0" applyFont="1" applyFill="1" applyBorder="1" applyAlignment="1">
      <alignment horizontal="center" vertical="center" wrapText="1"/>
    </xf>
    <xf numFmtId="0" fontId="116" fillId="6" borderId="45" xfId="0" applyFont="1" applyFill="1" applyBorder="1" applyAlignment="1">
      <alignment horizontal="center" vertical="center" wrapText="1"/>
    </xf>
    <xf numFmtId="0" fontId="155" fillId="5" borderId="70" xfId="0" applyFont="1" applyFill="1" applyBorder="1" applyAlignment="1">
      <alignment horizontal="center" vertical="center" wrapText="1"/>
    </xf>
    <xf numFmtId="0" fontId="155" fillId="5" borderId="90" xfId="0" applyFont="1" applyFill="1" applyBorder="1" applyAlignment="1">
      <alignment horizontal="center" vertical="center" wrapText="1"/>
    </xf>
    <xf numFmtId="0" fontId="155" fillId="5" borderId="24" xfId="0" applyFont="1" applyFill="1" applyBorder="1" applyAlignment="1">
      <alignment horizontal="center" vertical="center" wrapText="1"/>
    </xf>
    <xf numFmtId="0" fontId="67" fillId="24" borderId="2" xfId="0" applyFont="1" applyFill="1" applyBorder="1" applyAlignment="1">
      <alignment horizontal="center" vertical="center"/>
    </xf>
    <xf numFmtId="0" fontId="67" fillId="5" borderId="35" xfId="0" applyFont="1" applyFill="1" applyBorder="1" applyAlignment="1">
      <alignment horizontal="center" vertical="center" wrapText="1"/>
    </xf>
    <xf numFmtId="0" fontId="155" fillId="5" borderId="47" xfId="0" applyFont="1" applyFill="1" applyBorder="1" applyAlignment="1">
      <alignment horizontal="center" vertical="center" wrapText="1"/>
    </xf>
    <xf numFmtId="0" fontId="139" fillId="5" borderId="19" xfId="0" applyFont="1" applyFill="1" applyBorder="1" applyAlignment="1">
      <alignment horizontal="center" vertical="center" wrapText="1"/>
    </xf>
    <xf numFmtId="0" fontId="150" fillId="0" borderId="25" xfId="0" applyFont="1" applyBorder="1" applyAlignment="1">
      <alignment horizontal="center" vertical="center" wrapText="1"/>
    </xf>
    <xf numFmtId="0" fontId="155" fillId="5" borderId="45" xfId="0" applyFont="1" applyFill="1" applyBorder="1" applyAlignment="1">
      <alignment horizontal="center" vertical="center" wrapText="1"/>
    </xf>
    <xf numFmtId="0" fontId="67" fillId="24" borderId="48" xfId="0" applyFont="1" applyFill="1" applyBorder="1" applyAlignment="1">
      <alignment horizontal="center" vertical="center"/>
    </xf>
    <xf numFmtId="0" fontId="67" fillId="5" borderId="71" xfId="0" applyFont="1" applyFill="1" applyBorder="1" applyAlignment="1">
      <alignment horizontal="center" vertical="center" wrapText="1"/>
    </xf>
    <xf numFmtId="0" fontId="67" fillId="3" borderId="37" xfId="0" applyFont="1" applyFill="1" applyBorder="1" applyAlignment="1">
      <alignment horizontal="center" vertical="center"/>
    </xf>
    <xf numFmtId="0" fontId="68" fillId="5" borderId="18" xfId="0" applyFont="1" applyFill="1" applyBorder="1" applyAlignment="1">
      <alignment horizontal="center" vertical="center" wrapText="1"/>
    </xf>
    <xf numFmtId="0" fontId="68" fillId="5" borderId="26" xfId="0" applyFont="1" applyFill="1" applyBorder="1" applyAlignment="1">
      <alignment horizontal="center" vertical="center" wrapText="1"/>
    </xf>
    <xf numFmtId="0" fontId="68" fillId="5" borderId="27" xfId="0" applyFont="1" applyFill="1" applyBorder="1" applyAlignment="1">
      <alignment horizontal="center" vertical="center" wrapText="1"/>
    </xf>
    <xf numFmtId="0" fontId="68" fillId="5" borderId="44" xfId="0" applyFont="1" applyFill="1" applyBorder="1" applyAlignment="1">
      <alignment horizontal="center" vertical="center" wrapText="1"/>
    </xf>
    <xf numFmtId="0" fontId="68" fillId="5" borderId="46" xfId="0" applyFont="1" applyFill="1" applyBorder="1" applyAlignment="1">
      <alignment horizontal="center" vertical="center" wrapText="1"/>
    </xf>
    <xf numFmtId="0" fontId="68" fillId="5" borderId="60" xfId="0" applyFont="1" applyFill="1" applyBorder="1" applyAlignment="1">
      <alignment horizontal="center" vertical="center" wrapText="1"/>
    </xf>
    <xf numFmtId="0" fontId="67" fillId="3" borderId="70" xfId="0" applyFont="1" applyFill="1" applyBorder="1" applyAlignment="1">
      <alignment horizontal="center" vertical="center"/>
    </xf>
    <xf numFmtId="0" fontId="67" fillId="3" borderId="35" xfId="0" applyFont="1" applyFill="1" applyBorder="1" applyAlignment="1">
      <alignment horizontal="center" vertical="center"/>
    </xf>
    <xf numFmtId="0" fontId="67" fillId="3" borderId="31" xfId="0" applyFont="1" applyFill="1" applyBorder="1" applyAlignment="1">
      <alignment horizontal="center" vertical="center"/>
    </xf>
    <xf numFmtId="0" fontId="67" fillId="3" borderId="64" xfId="0" applyFont="1" applyFill="1" applyBorder="1" applyAlignment="1">
      <alignment horizontal="center" vertical="center"/>
    </xf>
    <xf numFmtId="0" fontId="12" fillId="0" borderId="102" xfId="0" applyFont="1" applyBorder="1" applyAlignment="1">
      <alignment horizontal="center" vertical="center" wrapText="1"/>
    </xf>
    <xf numFmtId="0" fontId="12" fillId="0" borderId="88" xfId="0" applyFont="1" applyBorder="1" applyAlignment="1">
      <alignment horizontal="center" vertical="center" wrapText="1"/>
    </xf>
    <xf numFmtId="0" fontId="12" fillId="0" borderId="90"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57" xfId="0" applyFont="1" applyBorder="1" applyAlignment="1">
      <alignment horizontal="center" vertical="center" wrapText="1"/>
    </xf>
    <xf numFmtId="0" fontId="12" fillId="0" borderId="78" xfId="0" applyFont="1" applyBorder="1" applyAlignment="1">
      <alignment horizontal="center" vertical="center" wrapText="1"/>
    </xf>
    <xf numFmtId="0" fontId="12" fillId="0" borderId="55" xfId="0" applyFont="1" applyBorder="1" applyAlignment="1">
      <alignment horizontal="center" vertical="center" wrapText="1"/>
    </xf>
    <xf numFmtId="0" fontId="12" fillId="0" borderId="79" xfId="0" applyFont="1" applyBorder="1" applyAlignment="1">
      <alignment horizontal="center" vertical="center" wrapText="1"/>
    </xf>
    <xf numFmtId="0" fontId="12" fillId="0" borderId="56" xfId="0" applyFont="1" applyBorder="1" applyAlignment="1">
      <alignment horizontal="center" vertical="center" wrapText="1"/>
    </xf>
    <xf numFmtId="0" fontId="67" fillId="3" borderId="68" xfId="0" applyFont="1" applyFill="1" applyBorder="1" applyAlignment="1">
      <alignment horizontal="center" vertical="center"/>
    </xf>
    <xf numFmtId="0" fontId="68" fillId="5" borderId="75" xfId="0" applyFont="1" applyFill="1" applyBorder="1" applyAlignment="1">
      <alignment horizontal="center" vertical="center" wrapText="1"/>
    </xf>
    <xf numFmtId="0" fontId="12" fillId="0" borderId="68" xfId="0" applyFont="1" applyBorder="1" applyAlignment="1">
      <alignment horizontal="center" vertical="center" wrapText="1"/>
    </xf>
    <xf numFmtId="0" fontId="12" fillId="0" borderId="85" xfId="0" applyFont="1" applyBorder="1" applyAlignment="1">
      <alignment horizontal="center" vertical="center" wrapText="1"/>
    </xf>
    <xf numFmtId="0" fontId="67" fillId="3" borderId="48" xfId="0" applyFont="1" applyFill="1" applyBorder="1" applyAlignment="1">
      <alignment horizontal="center" vertical="center"/>
    </xf>
    <xf numFmtId="0" fontId="12" fillId="0" borderId="86" xfId="0" applyFont="1" applyBorder="1" applyAlignment="1">
      <alignment horizontal="center" vertical="center" wrapText="1"/>
    </xf>
    <xf numFmtId="49" fontId="150" fillId="0" borderId="25" xfId="0" applyNumberFormat="1" applyFont="1" applyBorder="1" applyAlignment="1">
      <alignment horizontal="center" vertical="center"/>
    </xf>
    <xf numFmtId="49" fontId="150" fillId="0" borderId="20" xfId="0" applyNumberFormat="1" applyFont="1" applyBorder="1" applyAlignment="1">
      <alignment horizontal="center" vertical="center"/>
    </xf>
    <xf numFmtId="49" fontId="150" fillId="0" borderId="19" xfId="0" applyNumberFormat="1" applyFont="1" applyBorder="1" applyAlignment="1">
      <alignment horizontal="center" vertical="center"/>
    </xf>
    <xf numFmtId="49" fontId="150" fillId="0" borderId="23" xfId="0" applyNumberFormat="1" applyFont="1" applyBorder="1" applyAlignment="1">
      <alignment horizontal="center" vertical="center"/>
    </xf>
    <xf numFmtId="0" fontId="67" fillId="5" borderId="87" xfId="0" applyFont="1" applyFill="1" applyBorder="1" applyAlignment="1">
      <alignment horizontal="center" vertical="center" wrapText="1"/>
    </xf>
    <xf numFmtId="0" fontId="68" fillId="5" borderId="62" xfId="0" applyFont="1" applyFill="1" applyBorder="1" applyAlignment="1">
      <alignment horizontal="center" vertical="center" wrapText="1"/>
    </xf>
    <xf numFmtId="0" fontId="67" fillId="5" borderId="69" xfId="0" applyFont="1" applyFill="1" applyBorder="1" applyAlignment="1">
      <alignment horizontal="center" vertical="center" wrapText="1"/>
    </xf>
    <xf numFmtId="0" fontId="67" fillId="5" borderId="84" xfId="0" applyFont="1" applyFill="1" applyBorder="1" applyAlignment="1">
      <alignment horizontal="center" vertical="center" wrapText="1"/>
    </xf>
    <xf numFmtId="0" fontId="116" fillId="6" borderId="19" xfId="0" applyFont="1" applyFill="1" applyBorder="1" applyAlignment="1">
      <alignment horizontal="center" vertical="center" wrapText="1"/>
    </xf>
    <xf numFmtId="0" fontId="150" fillId="0" borderId="31" xfId="0" applyFont="1" applyBorder="1" applyAlignment="1">
      <alignment horizontal="center" vertical="center"/>
    </xf>
    <xf numFmtId="0" fontId="150" fillId="0" borderId="34" xfId="0" applyFont="1" applyBorder="1" applyAlignment="1">
      <alignment horizontal="center" vertical="center"/>
    </xf>
    <xf numFmtId="0" fontId="150" fillId="0" borderId="36" xfId="0" applyFont="1" applyBorder="1" applyAlignment="1">
      <alignment horizontal="center" vertical="center"/>
    </xf>
    <xf numFmtId="0" fontId="150" fillId="0" borderId="37" xfId="0" applyFont="1" applyBorder="1" applyAlignment="1">
      <alignment horizontal="center" vertical="center"/>
    </xf>
    <xf numFmtId="0" fontId="158" fillId="0" borderId="25" xfId="0" applyFont="1" applyBorder="1" applyAlignment="1">
      <alignment wrapText="1"/>
    </xf>
    <xf numFmtId="49" fontId="150" fillId="0" borderId="51" xfId="0" applyNumberFormat="1" applyFont="1" applyBorder="1" applyAlignment="1">
      <alignment horizontal="center" vertical="center"/>
    </xf>
    <xf numFmtId="0" fontId="150" fillId="0" borderId="19" xfId="0" applyFont="1" applyBorder="1" applyAlignment="1">
      <alignment horizontal="center" vertical="center" wrapText="1"/>
    </xf>
    <xf numFmtId="0" fontId="150" fillId="0" borderId="21" xfId="0" applyFont="1" applyBorder="1" applyAlignment="1">
      <alignment horizontal="center" vertical="center" wrapText="1"/>
    </xf>
    <xf numFmtId="0" fontId="150" fillId="0" borderId="22" xfId="0" applyFont="1" applyBorder="1" applyAlignment="1">
      <alignment horizontal="center" vertical="center" wrapText="1"/>
    </xf>
    <xf numFmtId="49" fontId="150" fillId="0" borderId="48" xfId="0" applyNumberFormat="1" applyFont="1" applyBorder="1" applyAlignment="1">
      <alignment horizontal="center" vertical="center"/>
    </xf>
    <xf numFmtId="0" fontId="150" fillId="0" borderId="23" xfId="0" applyFont="1" applyBorder="1" applyAlignment="1">
      <alignment horizontal="center" vertical="center" wrapText="1"/>
    </xf>
    <xf numFmtId="0" fontId="150" fillId="0" borderId="24" xfId="0" applyFont="1" applyBorder="1" applyAlignment="1">
      <alignment horizontal="center" vertical="center" wrapText="1"/>
    </xf>
    <xf numFmtId="49" fontId="150" fillId="0" borderId="45" xfId="0" applyNumberFormat="1" applyFont="1" applyBorder="1" applyAlignment="1">
      <alignment horizontal="center" vertical="center"/>
    </xf>
    <xf numFmtId="0" fontId="150" fillId="0" borderId="45" xfId="0" applyFont="1" applyBorder="1" applyAlignment="1">
      <alignment horizontal="center" vertical="center"/>
    </xf>
    <xf numFmtId="0" fontId="159" fillId="0" borderId="2" xfId="0" applyFont="1" applyBorder="1" applyAlignment="1">
      <alignment horizontal="center" vertical="center"/>
    </xf>
    <xf numFmtId="16" fontId="159" fillId="3" borderId="2" xfId="0" applyNumberFormat="1" applyFont="1" applyFill="1" applyBorder="1" applyAlignment="1">
      <alignment horizontal="center" vertical="center"/>
    </xf>
    <xf numFmtId="49" fontId="160" fillId="0" borderId="20" xfId="0" applyNumberFormat="1" applyFont="1" applyBorder="1" applyAlignment="1">
      <alignment horizontal="center" vertical="center"/>
    </xf>
    <xf numFmtId="0" fontId="161" fillId="3" borderId="2" xfId="0" applyFont="1" applyFill="1" applyBorder="1" applyAlignment="1">
      <alignment horizontal="center" vertical="center"/>
    </xf>
    <xf numFmtId="0" fontId="159" fillId="0" borderId="23" xfId="0" applyFont="1" applyBorder="1" applyAlignment="1">
      <alignment horizontal="center" vertical="center"/>
    </xf>
    <xf numFmtId="16" fontId="159" fillId="3" borderId="23" xfId="0" applyNumberFormat="1" applyFont="1" applyFill="1" applyBorder="1" applyAlignment="1">
      <alignment horizontal="center" vertical="center"/>
    </xf>
    <xf numFmtId="0" fontId="159" fillId="0" borderId="25" xfId="0" applyFont="1" applyBorder="1" applyAlignment="1">
      <alignment horizontal="center" vertical="center"/>
    </xf>
    <xf numFmtId="16" fontId="159" fillId="3" borderId="25" xfId="0" applyNumberFormat="1" applyFont="1" applyFill="1" applyBorder="1" applyAlignment="1">
      <alignment horizontal="center" vertical="center"/>
    </xf>
    <xf numFmtId="0" fontId="159" fillId="0" borderId="20" xfId="0" applyFont="1" applyBorder="1" applyAlignment="1">
      <alignment horizontal="center" vertical="center"/>
    </xf>
    <xf numFmtId="16" fontId="159" fillId="3" borderId="20" xfId="0" applyNumberFormat="1" applyFont="1" applyFill="1" applyBorder="1" applyAlignment="1">
      <alignment horizontal="center" vertical="center"/>
    </xf>
    <xf numFmtId="16" fontId="159" fillId="3" borderId="30" xfId="0" applyNumberFormat="1" applyFont="1" applyFill="1" applyBorder="1" applyAlignment="1">
      <alignment horizontal="center" vertical="center"/>
    </xf>
    <xf numFmtId="0" fontId="159" fillId="0" borderId="51" xfId="0" applyFont="1" applyBorder="1" applyAlignment="1">
      <alignment horizontal="center" vertical="center"/>
    </xf>
    <xf numFmtId="0" fontId="161" fillId="5" borderId="2" xfId="0" applyFont="1" applyFill="1" applyBorder="1" applyAlignment="1">
      <alignment horizontal="center" vertical="center" wrapText="1"/>
    </xf>
    <xf numFmtId="0" fontId="162" fillId="6" borderId="25" xfId="0" applyFont="1" applyFill="1" applyBorder="1" applyAlignment="1">
      <alignment horizontal="center" vertical="center" wrapText="1"/>
    </xf>
    <xf numFmtId="0" fontId="159" fillId="0" borderId="2" xfId="0" applyFont="1" applyBorder="1" applyAlignment="1">
      <alignment horizontal="center"/>
    </xf>
    <xf numFmtId="0" fontId="157" fillId="0" borderId="2" xfId="0" applyFont="1" applyBorder="1"/>
    <xf numFmtId="0" fontId="160" fillId="0" borderId="20" xfId="0" applyFont="1" applyBorder="1" applyAlignment="1">
      <alignment horizontal="center" vertical="center"/>
    </xf>
    <xf numFmtId="0" fontId="163" fillId="0" borderId="20" xfId="0" applyFont="1" applyBorder="1" applyAlignment="1">
      <alignment horizontal="center" vertical="center" wrapText="1"/>
    </xf>
    <xf numFmtId="0" fontId="161" fillId="5" borderId="25" xfId="0" applyFont="1" applyFill="1" applyBorder="1" applyAlignment="1">
      <alignment horizontal="center" vertical="center" wrapText="1"/>
    </xf>
    <xf numFmtId="0" fontId="160" fillId="0" borderId="2" xfId="0" applyFont="1" applyBorder="1" applyAlignment="1">
      <alignment horizontal="center" vertical="center"/>
    </xf>
    <xf numFmtId="0" fontId="163" fillId="0" borderId="2" xfId="0" applyFont="1" applyBorder="1" applyAlignment="1">
      <alignment horizontal="center" vertical="center" wrapText="1"/>
    </xf>
    <xf numFmtId="0" fontId="161" fillId="5" borderId="23" xfId="0" applyFont="1" applyFill="1" applyBorder="1" applyAlignment="1">
      <alignment horizontal="center" vertical="center" wrapText="1"/>
    </xf>
    <xf numFmtId="0" fontId="159" fillId="0" borderId="23" xfId="0" applyFont="1" applyBorder="1" applyAlignment="1">
      <alignment horizontal="center"/>
    </xf>
    <xf numFmtId="0" fontId="157" fillId="0" borderId="23" xfId="0" applyFont="1" applyBorder="1"/>
    <xf numFmtId="0" fontId="157" fillId="0" borderId="51" xfId="0" applyFont="1" applyBorder="1"/>
    <xf numFmtId="0" fontId="159" fillId="0" borderId="20" xfId="0" applyFont="1" applyBorder="1" applyAlignment="1">
      <alignment horizontal="center"/>
    </xf>
    <xf numFmtId="0" fontId="162" fillId="6" borderId="2" xfId="0" applyFont="1" applyFill="1" applyBorder="1" applyAlignment="1">
      <alignment horizontal="center" vertical="center" wrapText="1"/>
    </xf>
    <xf numFmtId="0" fontId="161" fillId="5" borderId="20" xfId="0" applyFont="1" applyFill="1" applyBorder="1" applyAlignment="1">
      <alignment horizontal="center" vertical="center" wrapText="1"/>
    </xf>
    <xf numFmtId="0" fontId="157" fillId="0" borderId="25" xfId="0" applyFont="1" applyBorder="1"/>
    <xf numFmtId="0" fontId="162" fillId="6" borderId="23" xfId="0" applyFont="1" applyFill="1" applyBorder="1" applyAlignment="1">
      <alignment horizontal="center" vertical="center" wrapText="1"/>
    </xf>
    <xf numFmtId="0" fontId="157" fillId="0" borderId="20" xfId="0" applyFont="1" applyBorder="1"/>
    <xf numFmtId="0" fontId="161" fillId="0" borderId="2" xfId="0" applyFont="1" applyBorder="1" applyAlignment="1">
      <alignment horizontal="center" vertical="center" wrapText="1"/>
    </xf>
    <xf numFmtId="0" fontId="161" fillId="3" borderId="2" xfId="0" applyFont="1" applyFill="1" applyBorder="1" applyAlignment="1">
      <alignment horizontal="center" vertical="center" wrapText="1"/>
    </xf>
    <xf numFmtId="0" fontId="161" fillId="21" borderId="2" xfId="0" applyFont="1" applyFill="1" applyBorder="1" applyAlignment="1">
      <alignment horizontal="center" vertical="center" wrapText="1"/>
    </xf>
    <xf numFmtId="0" fontId="161" fillId="14" borderId="2" xfId="0" applyFont="1" applyFill="1" applyBorder="1" applyAlignment="1">
      <alignment horizontal="center" vertical="center" wrapText="1"/>
    </xf>
    <xf numFmtId="0" fontId="161" fillId="3" borderId="23" xfId="0" applyFont="1" applyFill="1" applyBorder="1" applyAlignment="1">
      <alignment horizontal="center" vertical="center" wrapText="1"/>
    </xf>
    <xf numFmtId="0" fontId="161" fillId="2" borderId="25" xfId="0" applyFont="1" applyFill="1" applyBorder="1" applyAlignment="1">
      <alignment horizontal="center" vertical="center" wrapText="1"/>
    </xf>
    <xf numFmtId="0" fontId="161" fillId="3" borderId="51" xfId="0" applyFont="1" applyFill="1" applyBorder="1" applyAlignment="1">
      <alignment horizontal="center" vertical="center" wrapText="1"/>
    </xf>
    <xf numFmtId="0" fontId="161" fillId="3" borderId="25" xfId="0" applyFont="1" applyFill="1" applyBorder="1" applyAlignment="1">
      <alignment horizontal="center" vertical="center" wrapText="1"/>
    </xf>
    <xf numFmtId="16" fontId="159" fillId="48" borderId="2" xfId="0" applyNumberFormat="1" applyFont="1" applyFill="1" applyBorder="1" applyAlignment="1">
      <alignment horizontal="center" vertical="center" wrapText="1"/>
    </xf>
    <xf numFmtId="0" fontId="159" fillId="48" borderId="2" xfId="0" applyFont="1" applyFill="1" applyBorder="1" applyAlignment="1">
      <alignment horizontal="center" vertical="center" wrapText="1"/>
    </xf>
    <xf numFmtId="16" fontId="159" fillId="35" borderId="25" xfId="0" applyNumberFormat="1" applyFont="1" applyFill="1" applyBorder="1" applyAlignment="1">
      <alignment horizontal="center" vertical="center" wrapText="1"/>
    </xf>
    <xf numFmtId="0" fontId="159" fillId="35" borderId="25" xfId="0" applyFont="1" applyFill="1" applyBorder="1" applyAlignment="1">
      <alignment horizontal="center" vertical="center" wrapText="1"/>
    </xf>
    <xf numFmtId="0" fontId="159" fillId="0" borderId="25" xfId="0" applyFont="1" applyBorder="1" applyAlignment="1">
      <alignment horizontal="center" vertical="center" wrapText="1"/>
    </xf>
    <xf numFmtId="16" fontId="159" fillId="3" borderId="25" xfId="0" applyNumberFormat="1" applyFont="1" applyFill="1" applyBorder="1" applyAlignment="1">
      <alignment horizontal="center" vertical="center" wrapText="1"/>
    </xf>
    <xf numFmtId="0" fontId="159" fillId="15" borderId="20" xfId="0" applyFont="1" applyFill="1" applyBorder="1" applyAlignment="1">
      <alignment horizontal="center" vertical="center" wrapText="1"/>
    </xf>
    <xf numFmtId="16" fontId="159" fillId="15" borderId="20" xfId="0" applyNumberFormat="1" applyFont="1" applyFill="1" applyBorder="1" applyAlignment="1">
      <alignment horizontal="center" vertical="center" wrapText="1"/>
    </xf>
    <xf numFmtId="16" fontId="159" fillId="15" borderId="2" xfId="0" applyNumberFormat="1" applyFont="1" applyFill="1" applyBorder="1" applyAlignment="1">
      <alignment horizontal="center" vertical="center" wrapText="1"/>
    </xf>
    <xf numFmtId="0" fontId="159" fillId="15" borderId="2" xfId="0" applyFont="1" applyFill="1" applyBorder="1" applyAlignment="1">
      <alignment horizontal="center" vertical="center" wrapText="1"/>
    </xf>
    <xf numFmtId="0" fontId="159" fillId="0" borderId="20" xfId="0" applyFont="1" applyBorder="1" applyAlignment="1">
      <alignment horizontal="center" vertical="center" wrapText="1"/>
    </xf>
    <xf numFmtId="0" fontId="161" fillId="3" borderId="20" xfId="0" applyFont="1" applyFill="1" applyBorder="1" applyAlignment="1">
      <alignment horizontal="center" vertical="center" wrapText="1"/>
    </xf>
    <xf numFmtId="0" fontId="159" fillId="26" borderId="2" xfId="0" applyFont="1" applyFill="1" applyBorder="1" applyAlignment="1">
      <alignment horizontal="center" vertical="center" wrapText="1"/>
    </xf>
    <xf numFmtId="16" fontId="159" fillId="26" borderId="2" xfId="0" applyNumberFormat="1" applyFont="1" applyFill="1" applyBorder="1" applyAlignment="1">
      <alignment horizontal="center" vertical="center" wrapText="1"/>
    </xf>
    <xf numFmtId="0" fontId="159" fillId="0" borderId="2" xfId="0" applyFont="1" applyBorder="1" applyAlignment="1">
      <alignment horizontal="center" vertical="center" wrapText="1"/>
    </xf>
    <xf numFmtId="16" fontId="159" fillId="3" borderId="2" xfId="0" applyNumberFormat="1" applyFont="1" applyFill="1" applyBorder="1" applyAlignment="1">
      <alignment horizontal="center" vertical="center" wrapText="1"/>
    </xf>
    <xf numFmtId="16" fontId="35" fillId="3" borderId="2" xfId="0" applyNumberFormat="1" applyFont="1" applyFill="1" applyBorder="1" applyAlignment="1">
      <alignment horizontal="center" vertical="center" wrapText="1"/>
    </xf>
    <xf numFmtId="16" fontId="35" fillId="3" borderId="23" xfId="0" applyNumberFormat="1" applyFont="1" applyFill="1" applyBorder="1" applyAlignment="1">
      <alignment horizontal="center" vertical="center" wrapText="1"/>
    </xf>
    <xf numFmtId="16" fontId="35" fillId="3" borderId="20" xfId="0" applyNumberFormat="1" applyFont="1" applyFill="1" applyBorder="1" applyAlignment="1">
      <alignment horizontal="center" vertical="center" wrapText="1"/>
    </xf>
    <xf numFmtId="0" fontId="35" fillId="0" borderId="2" xfId="0" applyFont="1" applyBorder="1" applyAlignment="1">
      <alignment wrapText="1"/>
    </xf>
    <xf numFmtId="0" fontId="35" fillId="0" borderId="2" xfId="0" applyFont="1" applyBorder="1" applyAlignment="1">
      <alignment horizontal="center" vertical="center" wrapText="1"/>
    </xf>
    <xf numFmtId="0" fontId="35" fillId="0" borderId="23" xfId="0" applyFont="1" applyBorder="1" applyAlignment="1">
      <alignment wrapText="1"/>
    </xf>
    <xf numFmtId="0" fontId="35" fillId="0" borderId="25" xfId="0" applyFont="1" applyBorder="1" applyAlignment="1">
      <alignment wrapText="1"/>
    </xf>
    <xf numFmtId="0" fontId="35" fillId="0" borderId="20" xfId="0" applyFont="1" applyBorder="1" applyAlignment="1">
      <alignment horizontal="center" vertical="center" wrapText="1"/>
    </xf>
    <xf numFmtId="0" fontId="160" fillId="0" borderId="23" xfId="0" applyFont="1" applyBorder="1" applyAlignment="1">
      <alignment horizontal="center" vertical="center"/>
    </xf>
    <xf numFmtId="0" fontId="163" fillId="0" borderId="23" xfId="0" applyFont="1" applyBorder="1" applyAlignment="1">
      <alignment horizontal="center" vertical="center" wrapText="1"/>
    </xf>
    <xf numFmtId="0" fontId="35" fillId="0" borderId="51" xfId="0" applyFont="1" applyBorder="1" applyAlignment="1">
      <alignment wrapText="1"/>
    </xf>
    <xf numFmtId="0" fontId="158" fillId="0" borderId="2" xfId="0" applyFont="1" applyBorder="1" applyAlignment="1">
      <alignment horizontal="center" vertical="center"/>
    </xf>
    <xf numFmtId="16" fontId="158" fillId="3" borderId="2" xfId="0" applyNumberFormat="1" applyFont="1" applyFill="1" applyBorder="1" applyAlignment="1">
      <alignment horizontal="center" vertical="center"/>
    </xf>
    <xf numFmtId="0" fontId="23" fillId="0" borderId="2" xfId="0" applyFont="1" applyBorder="1" applyAlignment="1">
      <alignment horizontal="center" vertical="center" wrapText="1"/>
    </xf>
    <xf numFmtId="0" fontId="165" fillId="0" borderId="2" xfId="0" applyFont="1" applyBorder="1" applyAlignment="1">
      <alignment horizontal="center" vertical="center"/>
    </xf>
    <xf numFmtId="0" fontId="158" fillId="0" borderId="23" xfId="0" applyFont="1" applyBorder="1" applyAlignment="1">
      <alignment horizontal="center" vertical="center"/>
    </xf>
    <xf numFmtId="16" fontId="158" fillId="3" borderId="23" xfId="0" applyNumberFormat="1" applyFont="1" applyFill="1" applyBorder="1" applyAlignment="1">
      <alignment horizontal="center" vertical="center"/>
    </xf>
    <xf numFmtId="0" fontId="165" fillId="0" borderId="23" xfId="0" applyFont="1" applyBorder="1" applyAlignment="1">
      <alignment horizontal="center" vertical="center"/>
    </xf>
    <xf numFmtId="0" fontId="166" fillId="0" borderId="2" xfId="0" applyFont="1" applyBorder="1" applyAlignment="1">
      <alignment horizontal="center" vertical="center" wrapText="1"/>
    </xf>
    <xf numFmtId="16" fontId="158" fillId="3" borderId="48" xfId="0" applyNumberFormat="1" applyFont="1" applyFill="1" applyBorder="1" applyAlignment="1">
      <alignment horizontal="center" vertical="center"/>
    </xf>
    <xf numFmtId="0" fontId="165" fillId="0" borderId="48" xfId="0" applyFont="1" applyBorder="1" applyAlignment="1">
      <alignment horizontal="center" vertical="center"/>
    </xf>
    <xf numFmtId="0" fontId="167" fillId="0" borderId="2" xfId="0" applyFont="1" applyBorder="1" applyAlignment="1">
      <alignment horizontal="center" vertical="center" wrapText="1"/>
    </xf>
    <xf numFmtId="0" fontId="168" fillId="0" borderId="2" xfId="0" applyFont="1" applyBorder="1" applyAlignment="1">
      <alignment horizontal="center" vertical="center" wrapText="1"/>
    </xf>
    <xf numFmtId="0" fontId="23" fillId="0" borderId="23" xfId="0" applyFont="1" applyBorder="1" applyAlignment="1">
      <alignment horizontal="center" vertical="center" wrapText="1"/>
    </xf>
    <xf numFmtId="0" fontId="158" fillId="0" borderId="20" xfId="0" applyFont="1" applyBorder="1" applyAlignment="1">
      <alignment horizontal="center" vertical="center"/>
    </xf>
    <xf numFmtId="16" fontId="158" fillId="3" borderId="20" xfId="0" applyNumberFormat="1" applyFont="1" applyFill="1" applyBorder="1" applyAlignment="1">
      <alignment horizontal="center" vertical="center"/>
    </xf>
    <xf numFmtId="0" fontId="165" fillId="0" borderId="20" xfId="0" applyFont="1" applyBorder="1" applyAlignment="1">
      <alignment horizontal="center" vertical="center"/>
    </xf>
    <xf numFmtId="0" fontId="165" fillId="4" borderId="2" xfId="0" applyFont="1" applyFill="1" applyBorder="1" applyAlignment="1">
      <alignment horizontal="center" vertical="center"/>
    </xf>
    <xf numFmtId="16" fontId="158" fillId="3" borderId="31" xfId="0" applyNumberFormat="1" applyFont="1" applyFill="1" applyBorder="1" applyAlignment="1">
      <alignment horizontal="center" vertical="center"/>
    </xf>
    <xf numFmtId="0" fontId="165" fillId="0" borderId="64" xfId="0" applyFont="1" applyBorder="1" applyAlignment="1">
      <alignment horizontal="center" vertical="center"/>
    </xf>
    <xf numFmtId="0" fontId="158" fillId="0" borderId="25" xfId="0" applyFont="1" applyBorder="1" applyAlignment="1">
      <alignment horizontal="center" vertical="center"/>
    </xf>
    <xf numFmtId="16" fontId="158" fillId="3" borderId="25" xfId="0" applyNumberFormat="1" applyFont="1" applyFill="1" applyBorder="1" applyAlignment="1">
      <alignment horizontal="center" vertical="center"/>
    </xf>
    <xf numFmtId="0" fontId="165" fillId="0" borderId="25" xfId="0" applyFont="1" applyBorder="1" applyAlignment="1">
      <alignment horizontal="center" vertical="center"/>
    </xf>
    <xf numFmtId="0" fontId="169" fillId="0" borderId="0" xfId="0" applyFont="1" applyAlignment="1">
      <alignment horizontal="center" vertical="center"/>
    </xf>
    <xf numFmtId="0" fontId="148" fillId="0" borderId="23" xfId="0" applyFont="1" applyBorder="1" applyAlignment="1">
      <alignment horizontal="center" vertical="center"/>
    </xf>
    <xf numFmtId="0" fontId="24" fillId="0" borderId="48" xfId="0" applyFont="1" applyBorder="1" applyAlignment="1">
      <alignment horizontal="center" vertical="center"/>
    </xf>
    <xf numFmtId="0" fontId="148" fillId="0" borderId="48" xfId="0" applyFont="1" applyBorder="1" applyAlignment="1">
      <alignment horizontal="center" vertical="center"/>
    </xf>
    <xf numFmtId="0" fontId="148" fillId="0" borderId="25" xfId="0" applyFont="1" applyBorder="1" applyAlignment="1">
      <alignment horizontal="center" vertical="center"/>
    </xf>
    <xf numFmtId="0" fontId="148" fillId="0" borderId="2" xfId="0" applyFont="1" applyBorder="1" applyAlignment="1">
      <alignment horizontal="center" vertical="center" wrapText="1"/>
    </xf>
    <xf numFmtId="0" fontId="170" fillId="3" borderId="25" xfId="0" applyFont="1" applyFill="1" applyBorder="1" applyAlignment="1">
      <alignment horizontal="center" vertical="center" wrapText="1"/>
    </xf>
    <xf numFmtId="0" fontId="166" fillId="0" borderId="30" xfId="0" applyFont="1" applyBorder="1" applyAlignment="1">
      <alignment horizontal="center" vertical="center" wrapText="1"/>
    </xf>
    <xf numFmtId="0" fontId="23" fillId="0" borderId="32" xfId="0" applyFont="1" applyBorder="1" applyAlignment="1">
      <alignment horizontal="center" vertical="center" wrapText="1"/>
    </xf>
    <xf numFmtId="0" fontId="166" fillId="0" borderId="32" xfId="0" applyFont="1" applyBorder="1" applyAlignment="1">
      <alignment horizontal="center" vertical="center" wrapText="1"/>
    </xf>
    <xf numFmtId="0" fontId="148" fillId="0" borderId="25" xfId="0" applyFont="1" applyBorder="1" applyAlignment="1">
      <alignment horizontal="center" vertical="center" wrapText="1"/>
    </xf>
    <xf numFmtId="0" fontId="170" fillId="3" borderId="51" xfId="0" applyFont="1" applyFill="1" applyBorder="1" applyAlignment="1">
      <alignment horizontal="center" vertical="center" wrapText="1"/>
    </xf>
    <xf numFmtId="0" fontId="158" fillId="0" borderId="18" xfId="0" applyFont="1" applyBorder="1" applyAlignment="1">
      <alignment horizontal="center" vertical="center"/>
    </xf>
    <xf numFmtId="16" fontId="158" fillId="3" borderId="19" xfId="0" applyNumberFormat="1" applyFont="1" applyFill="1" applyBorder="1" applyAlignment="1">
      <alignment horizontal="center" vertical="center"/>
    </xf>
    <xf numFmtId="0" fontId="170" fillId="3" borderId="45" xfId="0" applyFont="1" applyFill="1" applyBorder="1" applyAlignment="1">
      <alignment horizontal="center" vertical="center" wrapText="1"/>
    </xf>
    <xf numFmtId="0" fontId="158" fillId="0" borderId="26" xfId="0" applyFont="1" applyBorder="1" applyAlignment="1">
      <alignment horizontal="center" vertical="center"/>
    </xf>
    <xf numFmtId="0" fontId="158" fillId="0" borderId="69" xfId="0" applyFont="1" applyBorder="1" applyAlignment="1">
      <alignment horizontal="center" vertical="center"/>
    </xf>
    <xf numFmtId="0" fontId="170" fillId="3" borderId="23" xfId="0" applyFont="1" applyFill="1" applyBorder="1" applyAlignment="1">
      <alignment horizontal="center" vertical="center" wrapText="1"/>
    </xf>
    <xf numFmtId="0" fontId="165" fillId="0" borderId="19" xfId="0" applyFont="1" applyBorder="1" applyAlignment="1">
      <alignment horizontal="center" vertical="center"/>
    </xf>
    <xf numFmtId="0" fontId="148" fillId="0" borderId="19" xfId="0" applyFont="1" applyBorder="1" applyAlignment="1">
      <alignment horizontal="center" vertical="center"/>
    </xf>
    <xf numFmtId="0" fontId="23" fillId="0" borderId="64" xfId="0" applyFont="1" applyBorder="1" applyAlignment="1">
      <alignment horizontal="center" vertical="center" wrapText="1"/>
    </xf>
    <xf numFmtId="0" fontId="167" fillId="22" borderId="30" xfId="0" applyFont="1" applyFill="1" applyBorder="1" applyAlignment="1">
      <alignment horizontal="center" vertical="center"/>
    </xf>
    <xf numFmtId="0" fontId="167" fillId="0" borderId="30" xfId="0" applyFont="1" applyBorder="1" applyAlignment="1">
      <alignment horizontal="center" vertical="center"/>
    </xf>
    <xf numFmtId="0" fontId="23" fillId="0" borderId="30" xfId="0" applyFont="1" applyBorder="1" applyAlignment="1">
      <alignment horizontal="center" vertical="center" wrapText="1"/>
    </xf>
    <xf numFmtId="0" fontId="166" fillId="0" borderId="31" xfId="0" applyFont="1" applyBorder="1" applyAlignment="1">
      <alignment horizontal="center" vertical="center" wrapText="1"/>
    </xf>
    <xf numFmtId="0" fontId="23" fillId="0" borderId="53" xfId="0" applyFont="1" applyBorder="1" applyAlignment="1">
      <alignment horizontal="center" vertical="center" wrapText="1"/>
    </xf>
    <xf numFmtId="0" fontId="167" fillId="0" borderId="32" xfId="0" applyFont="1" applyBorder="1" applyAlignment="1">
      <alignment horizontal="center" vertical="center"/>
    </xf>
    <xf numFmtId="0" fontId="166" fillId="0" borderId="75" xfId="0" applyFont="1" applyBorder="1" applyAlignment="1">
      <alignment horizontal="center" vertical="center" wrapText="1"/>
    </xf>
    <xf numFmtId="0" fontId="158" fillId="0" borderId="60" xfId="0" applyFont="1" applyBorder="1" applyAlignment="1">
      <alignment horizontal="center" vertical="center"/>
    </xf>
    <xf numFmtId="0" fontId="158" fillId="0" borderId="27" xfId="0" applyFont="1" applyBorder="1" applyAlignment="1">
      <alignment horizontal="center" vertical="center"/>
    </xf>
    <xf numFmtId="0" fontId="167" fillId="0" borderId="64" xfId="0" applyFont="1" applyBorder="1" applyAlignment="1">
      <alignment horizontal="center" vertical="center" wrapText="1"/>
    </xf>
    <xf numFmtId="0" fontId="167" fillId="4" borderId="30" xfId="0" applyFont="1" applyFill="1" applyBorder="1" applyAlignment="1">
      <alignment horizontal="center" vertical="center" wrapText="1"/>
    </xf>
    <xf numFmtId="0" fontId="167" fillId="0" borderId="53" xfId="0" applyFont="1" applyBorder="1" applyAlignment="1">
      <alignment horizontal="center" vertical="center" wrapText="1"/>
    </xf>
    <xf numFmtId="0" fontId="167" fillId="4" borderId="32" xfId="0" applyFont="1" applyFill="1" applyBorder="1" applyAlignment="1">
      <alignment horizontal="center" vertical="center" wrapText="1"/>
    </xf>
    <xf numFmtId="0" fontId="167" fillId="0" borderId="32" xfId="0" applyFont="1" applyBorder="1" applyAlignment="1">
      <alignment horizontal="center" vertical="center" wrapText="1"/>
    </xf>
    <xf numFmtId="0" fontId="158" fillId="0" borderId="46" xfId="0" applyFont="1" applyBorder="1" applyAlignment="1">
      <alignment horizontal="center" vertical="center"/>
    </xf>
    <xf numFmtId="0" fontId="165" fillId="0" borderId="34" xfId="0" applyFont="1" applyBorder="1" applyAlignment="1">
      <alignment horizontal="center" vertical="center"/>
    </xf>
    <xf numFmtId="0" fontId="170" fillId="3" borderId="19" xfId="0" applyFont="1" applyFill="1" applyBorder="1" applyAlignment="1">
      <alignment horizontal="center" vertical="center" wrapText="1"/>
    </xf>
    <xf numFmtId="0" fontId="158" fillId="0" borderId="19" xfId="0" applyFont="1" applyBorder="1" applyAlignment="1">
      <alignment horizontal="center" vertical="center"/>
    </xf>
    <xf numFmtId="0" fontId="148" fillId="0" borderId="30" xfId="0" applyFont="1" applyBorder="1" applyAlignment="1">
      <alignment horizontal="center" vertical="center"/>
    </xf>
    <xf numFmtId="0" fontId="158" fillId="0" borderId="51" xfId="0" applyFont="1" applyBorder="1" applyAlignment="1">
      <alignment horizontal="center" vertical="center"/>
    </xf>
    <xf numFmtId="16" fontId="158" fillId="3" borderId="51" xfId="0" applyNumberFormat="1" applyFont="1" applyFill="1" applyBorder="1" applyAlignment="1">
      <alignment horizontal="center" vertical="center"/>
    </xf>
    <xf numFmtId="0" fontId="158" fillId="0" borderId="2" xfId="0" applyFont="1" applyBorder="1" applyAlignment="1">
      <alignment horizontal="center" vertical="center" wrapText="1"/>
    </xf>
    <xf numFmtId="0" fontId="158" fillId="0" borderId="48" xfId="0" applyFont="1" applyBorder="1" applyAlignment="1">
      <alignment horizontal="center" vertical="center"/>
    </xf>
    <xf numFmtId="0" fontId="155" fillId="0" borderId="2" xfId="0" applyFont="1" applyBorder="1" applyAlignment="1">
      <alignment horizontal="center" vertical="center"/>
    </xf>
    <xf numFmtId="0" fontId="155" fillId="0" borderId="20" xfId="0" applyFont="1" applyBorder="1" applyAlignment="1">
      <alignment horizontal="center" vertical="center"/>
    </xf>
    <xf numFmtId="0" fontId="171" fillId="8" borderId="2" xfId="0" applyFont="1" applyFill="1" applyBorder="1" applyAlignment="1">
      <alignment horizontal="center" vertical="center"/>
    </xf>
    <xf numFmtId="0" fontId="158" fillId="0" borderId="20" xfId="0" applyFont="1" applyBorder="1" applyAlignment="1">
      <alignment horizontal="center" vertical="center" wrapText="1"/>
    </xf>
    <xf numFmtId="49" fontId="117" fillId="0" borderId="20" xfId="0" applyNumberFormat="1" applyFont="1" applyBorder="1" applyAlignment="1">
      <alignment horizontal="center" vertical="center"/>
    </xf>
    <xf numFmtId="49" fontId="117" fillId="0" borderId="19" xfId="0" applyNumberFormat="1" applyFont="1" applyBorder="1" applyAlignment="1">
      <alignment horizontal="center" vertical="center"/>
    </xf>
    <xf numFmtId="0" fontId="158" fillId="0" borderId="21" xfId="0" applyFont="1" applyBorder="1" applyAlignment="1">
      <alignment horizontal="center" vertical="center"/>
    </xf>
    <xf numFmtId="0" fontId="158" fillId="0" borderId="22" xfId="0" applyFont="1" applyBorder="1" applyAlignment="1">
      <alignment horizontal="center" vertical="center"/>
    </xf>
    <xf numFmtId="0" fontId="155" fillId="0" borderId="22" xfId="0" applyFont="1" applyBorder="1" applyAlignment="1">
      <alignment horizontal="center" vertical="center"/>
    </xf>
    <xf numFmtId="49" fontId="117" fillId="0" borderId="48" xfId="0" applyNumberFormat="1" applyFont="1" applyBorder="1" applyAlignment="1">
      <alignment horizontal="center" vertical="center"/>
    </xf>
    <xf numFmtId="0" fontId="158" fillId="0" borderId="19" xfId="0" applyFont="1" applyBorder="1" applyAlignment="1">
      <alignment horizontal="center" vertical="center" wrapText="1"/>
    </xf>
    <xf numFmtId="49" fontId="117" fillId="0" borderId="51" xfId="0" applyNumberFormat="1" applyFont="1" applyBorder="1" applyAlignment="1">
      <alignment horizontal="center" vertical="center"/>
    </xf>
    <xf numFmtId="0" fontId="158" fillId="0" borderId="21" xfId="0" applyFont="1" applyBorder="1" applyAlignment="1">
      <alignment horizontal="center" vertical="center" wrapText="1"/>
    </xf>
    <xf numFmtId="0" fontId="158" fillId="0" borderId="22" xfId="0" applyFont="1" applyBorder="1" applyAlignment="1">
      <alignment horizontal="center" vertical="center" wrapText="1"/>
    </xf>
    <xf numFmtId="0" fontId="158" fillId="0" borderId="24" xfId="0" applyFont="1" applyBorder="1" applyAlignment="1">
      <alignment horizontal="center" vertical="center"/>
    </xf>
    <xf numFmtId="0" fontId="158" fillId="0" borderId="47" xfId="0" applyFont="1" applyBorder="1" applyAlignment="1">
      <alignment horizontal="center" vertical="center"/>
    </xf>
    <xf numFmtId="0" fontId="155" fillId="0" borderId="19" xfId="0" applyFont="1" applyBorder="1" applyAlignment="1">
      <alignment horizontal="center" vertical="center"/>
    </xf>
    <xf numFmtId="0" fontId="155" fillId="0" borderId="21" xfId="0" applyFont="1" applyBorder="1" applyAlignment="1">
      <alignment horizontal="center" vertical="center"/>
    </xf>
    <xf numFmtId="0" fontId="155" fillId="0" borderId="54" xfId="0" applyFont="1" applyBorder="1" applyAlignment="1">
      <alignment horizontal="center" vertical="center"/>
    </xf>
    <xf numFmtId="0" fontId="158" fillId="0" borderId="35" xfId="0" applyFont="1" applyBorder="1" applyAlignment="1">
      <alignment horizontal="center" vertical="center"/>
    </xf>
    <xf numFmtId="0" fontId="168" fillId="0" borderId="18" xfId="0" applyFont="1" applyBorder="1" applyAlignment="1">
      <alignment horizontal="center" vertical="center"/>
    </xf>
    <xf numFmtId="0" fontId="158" fillId="0" borderId="36" xfId="0" applyFont="1" applyBorder="1" applyAlignment="1">
      <alignment horizontal="center" vertical="center"/>
    </xf>
    <xf numFmtId="0" fontId="158" fillId="0" borderId="30" xfId="0" applyFont="1" applyBorder="1" applyAlignment="1">
      <alignment horizontal="center" vertical="center"/>
    </xf>
    <xf numFmtId="0" fontId="168" fillId="0" borderId="26" xfId="0" applyFont="1" applyBorder="1" applyAlignment="1">
      <alignment horizontal="center" vertical="center"/>
    </xf>
    <xf numFmtId="0" fontId="167" fillId="0" borderId="2" xfId="0" applyFont="1" applyBorder="1" applyAlignment="1">
      <alignment horizontal="center" vertical="center"/>
    </xf>
    <xf numFmtId="0" fontId="158" fillId="0" borderId="32" xfId="0" applyFont="1" applyBorder="1" applyAlignment="1">
      <alignment horizontal="center" vertical="center"/>
    </xf>
    <xf numFmtId="0" fontId="146" fillId="0" borderId="26" xfId="0" applyFont="1" applyBorder="1" applyAlignment="1">
      <alignment horizontal="center" vertical="center"/>
    </xf>
    <xf numFmtId="0" fontId="158" fillId="35" borderId="2" xfId="0" applyFont="1" applyFill="1" applyBorder="1" applyAlignment="1">
      <alignment horizontal="center" vertical="center"/>
    </xf>
    <xf numFmtId="0" fontId="158" fillId="35" borderId="30" xfId="0" applyFont="1" applyFill="1" applyBorder="1" applyAlignment="1">
      <alignment horizontal="center" vertical="center"/>
    </xf>
    <xf numFmtId="0" fontId="167" fillId="0" borderId="26" xfId="0" applyFont="1" applyBorder="1" applyAlignment="1">
      <alignment horizontal="center" vertical="center"/>
    </xf>
    <xf numFmtId="0" fontId="158" fillId="41" borderId="2" xfId="0" applyFont="1" applyFill="1" applyBorder="1" applyAlignment="1">
      <alignment horizontal="center" vertical="center"/>
    </xf>
    <xf numFmtId="0" fontId="158" fillId="41" borderId="30" xfId="0" applyFont="1" applyFill="1" applyBorder="1" applyAlignment="1">
      <alignment horizontal="center" vertical="center"/>
    </xf>
    <xf numFmtId="0" fontId="158" fillId="31" borderId="2" xfId="0" applyFont="1" applyFill="1" applyBorder="1" applyAlignment="1">
      <alignment horizontal="center" vertical="center"/>
    </xf>
    <xf numFmtId="0" fontId="158" fillId="31" borderId="30" xfId="0" applyFont="1" applyFill="1" applyBorder="1" applyAlignment="1">
      <alignment horizontal="center" vertical="center"/>
    </xf>
    <xf numFmtId="0" fontId="168" fillId="0" borderId="2" xfId="0" applyFont="1" applyBorder="1" applyAlignment="1">
      <alignment horizontal="center" vertical="center"/>
    </xf>
    <xf numFmtId="0" fontId="158" fillId="0" borderId="47" xfId="0" applyFont="1" applyBorder="1" applyAlignment="1">
      <alignment horizontal="center" vertical="center" wrapText="1"/>
    </xf>
    <xf numFmtId="0" fontId="158" fillId="0" borderId="34" xfId="0" applyFont="1" applyBorder="1" applyAlignment="1">
      <alignment horizontal="center" vertical="center"/>
    </xf>
    <xf numFmtId="0" fontId="158" fillId="0" borderId="37" xfId="0" applyFont="1" applyBorder="1" applyAlignment="1">
      <alignment horizontal="center" vertical="center"/>
    </xf>
    <xf numFmtId="0" fontId="158" fillId="0" borderId="24" xfId="0" applyFont="1" applyBorder="1" applyAlignment="1">
      <alignment horizontal="center" vertical="center" wrapText="1"/>
    </xf>
    <xf numFmtId="0" fontId="158" fillId="35" borderId="19" xfId="0" applyFont="1" applyFill="1" applyBorder="1" applyAlignment="1">
      <alignment horizontal="center" vertical="center"/>
    </xf>
    <xf numFmtId="0" fontId="167" fillId="0" borderId="36" xfId="0" applyFont="1" applyBorder="1" applyAlignment="1">
      <alignment horizontal="center" vertical="center"/>
    </xf>
    <xf numFmtId="0" fontId="167" fillId="0" borderId="55" xfId="0" applyFont="1" applyBorder="1" applyAlignment="1">
      <alignment horizontal="center" vertical="center"/>
    </xf>
    <xf numFmtId="0" fontId="172" fillId="0" borderId="55" xfId="0" applyFont="1" applyBorder="1" applyAlignment="1">
      <alignment horizontal="center" vertical="center"/>
    </xf>
    <xf numFmtId="0" fontId="172" fillId="0" borderId="32" xfId="0" applyFont="1" applyBorder="1" applyAlignment="1">
      <alignment horizontal="center" vertical="center"/>
    </xf>
    <xf numFmtId="0" fontId="158" fillId="12" borderId="2" xfId="0" applyFont="1" applyFill="1" applyBorder="1" applyAlignment="1">
      <alignment horizontal="center" vertical="center"/>
    </xf>
    <xf numFmtId="0" fontId="158" fillId="12" borderId="30" xfId="0" applyFont="1" applyFill="1" applyBorder="1" applyAlignment="1">
      <alignment horizontal="center" vertical="center"/>
    </xf>
    <xf numFmtId="0" fontId="23" fillId="0" borderId="55" xfId="0" applyFont="1" applyBorder="1" applyAlignment="1">
      <alignment horizontal="center" vertical="center"/>
    </xf>
    <xf numFmtId="0" fontId="158" fillId="22" borderId="2" xfId="0" applyFont="1" applyFill="1" applyBorder="1" applyAlignment="1">
      <alignment horizontal="center" vertical="center"/>
    </xf>
    <xf numFmtId="0" fontId="158" fillId="15" borderId="2" xfId="0" applyFont="1" applyFill="1" applyBorder="1" applyAlignment="1">
      <alignment horizontal="center" vertical="center"/>
    </xf>
    <xf numFmtId="0" fontId="158" fillId="15" borderId="30" xfId="0" applyFont="1" applyFill="1" applyBorder="1" applyAlignment="1">
      <alignment horizontal="center" vertical="center"/>
    </xf>
    <xf numFmtId="0" fontId="168" fillId="22" borderId="55" xfId="0" applyFont="1" applyFill="1" applyBorder="1" applyAlignment="1">
      <alignment horizontal="center" vertical="center"/>
    </xf>
    <xf numFmtId="0" fontId="167" fillId="22" borderId="32" xfId="0" applyFont="1" applyFill="1" applyBorder="1" applyAlignment="1">
      <alignment horizontal="center" vertical="center"/>
    </xf>
    <xf numFmtId="0" fontId="166" fillId="22" borderId="55" xfId="0" applyFont="1" applyFill="1" applyBorder="1" applyAlignment="1">
      <alignment horizontal="center" vertical="center"/>
    </xf>
    <xf numFmtId="0" fontId="166" fillId="22" borderId="32" xfId="0" applyFont="1" applyFill="1" applyBorder="1" applyAlignment="1">
      <alignment horizontal="center" vertical="center"/>
    </xf>
    <xf numFmtId="0" fontId="158" fillId="43" borderId="2" xfId="0" applyFont="1" applyFill="1" applyBorder="1" applyAlignment="1">
      <alignment horizontal="center" vertical="center"/>
    </xf>
    <xf numFmtId="0" fontId="158" fillId="43" borderId="30" xfId="0" applyFont="1" applyFill="1" applyBorder="1" applyAlignment="1">
      <alignment horizontal="center" vertical="center"/>
    </xf>
    <xf numFmtId="0" fontId="167" fillId="22" borderId="55" xfId="0" applyFont="1" applyFill="1" applyBorder="1" applyAlignment="1">
      <alignment horizontal="center" vertical="center"/>
    </xf>
    <xf numFmtId="0" fontId="23" fillId="22" borderId="32" xfId="0" applyFont="1" applyFill="1" applyBorder="1" applyAlignment="1">
      <alignment horizontal="center" vertical="center"/>
    </xf>
    <xf numFmtId="0" fontId="158" fillId="71" borderId="2" xfId="0" applyFont="1" applyFill="1" applyBorder="1" applyAlignment="1">
      <alignment horizontal="center" vertical="center"/>
    </xf>
    <xf numFmtId="0" fontId="158" fillId="71" borderId="30" xfId="0" applyFont="1" applyFill="1" applyBorder="1" applyAlignment="1">
      <alignment horizontal="center" vertical="center"/>
    </xf>
    <xf numFmtId="0" fontId="158" fillId="2" borderId="2" xfId="0" applyFont="1" applyFill="1" applyBorder="1" applyAlignment="1">
      <alignment horizontal="center" vertical="center"/>
    </xf>
    <xf numFmtId="0" fontId="158" fillId="2" borderId="30" xfId="0" applyFont="1" applyFill="1" applyBorder="1" applyAlignment="1">
      <alignment horizontal="center" vertical="center"/>
    </xf>
    <xf numFmtId="0" fontId="172" fillId="0" borderId="26" xfId="0" applyFont="1" applyBorder="1" applyAlignment="1">
      <alignment horizontal="center" vertical="center"/>
    </xf>
    <xf numFmtId="0" fontId="172" fillId="0" borderId="2" xfId="0" applyFont="1" applyBorder="1" applyAlignment="1">
      <alignment horizontal="center" vertical="center"/>
    </xf>
    <xf numFmtId="0" fontId="168" fillId="0" borderId="27" xfId="0" applyFont="1" applyBorder="1" applyAlignment="1">
      <alignment horizontal="center" vertical="center"/>
    </xf>
    <xf numFmtId="0" fontId="168" fillId="0" borderId="19" xfId="0" applyFont="1" applyBorder="1" applyAlignment="1">
      <alignment horizontal="center" vertical="center"/>
    </xf>
    <xf numFmtId="0" fontId="158" fillId="0" borderId="32" xfId="0" applyFont="1" applyBorder="1" applyAlignment="1">
      <alignment horizontal="center" vertical="center" wrapText="1"/>
    </xf>
    <xf numFmtId="0" fontId="158" fillId="27" borderId="2" xfId="0" applyFont="1" applyFill="1" applyBorder="1" applyAlignment="1">
      <alignment horizontal="center" vertical="center"/>
    </xf>
    <xf numFmtId="0" fontId="158" fillId="27" borderId="30" xfId="0" applyFont="1" applyFill="1" applyBorder="1" applyAlignment="1">
      <alignment horizontal="center" vertical="center"/>
    </xf>
    <xf numFmtId="0" fontId="146" fillId="22" borderId="26" xfId="0" applyFont="1" applyFill="1" applyBorder="1" applyAlignment="1">
      <alignment horizontal="center" vertical="center"/>
    </xf>
    <xf numFmtId="0" fontId="146" fillId="22" borderId="2" xfId="0" applyFont="1" applyFill="1" applyBorder="1" applyAlignment="1">
      <alignment horizontal="center" vertical="center"/>
    </xf>
    <xf numFmtId="0" fontId="158" fillId="22" borderId="22" xfId="0" applyFont="1" applyFill="1" applyBorder="1" applyAlignment="1">
      <alignment horizontal="center" vertical="center"/>
    </xf>
    <xf numFmtId="0" fontId="158" fillId="66" borderId="2" xfId="0" applyFont="1" applyFill="1" applyBorder="1" applyAlignment="1">
      <alignment horizontal="center" vertical="center"/>
    </xf>
    <xf numFmtId="0" fontId="158" fillId="66" borderId="30" xfId="0" applyFont="1" applyFill="1" applyBorder="1" applyAlignment="1">
      <alignment horizontal="center" vertical="center"/>
    </xf>
    <xf numFmtId="0" fontId="158" fillId="50" borderId="2" xfId="0" applyFont="1" applyFill="1" applyBorder="1" applyAlignment="1">
      <alignment horizontal="center" vertical="center"/>
    </xf>
    <xf numFmtId="0" fontId="158" fillId="50" borderId="30" xfId="0" applyFont="1" applyFill="1" applyBorder="1" applyAlignment="1">
      <alignment horizontal="center" vertical="center"/>
    </xf>
    <xf numFmtId="0" fontId="23" fillId="22" borderId="26" xfId="0" applyFont="1" applyFill="1" applyBorder="1" applyAlignment="1">
      <alignment horizontal="center" vertical="center"/>
    </xf>
    <xf numFmtId="0" fontId="158" fillId="0" borderId="31" xfId="0" applyFont="1" applyBorder="1" applyAlignment="1">
      <alignment horizontal="center" vertical="center"/>
    </xf>
    <xf numFmtId="0" fontId="23" fillId="22" borderId="2" xfId="0" applyFont="1" applyFill="1" applyBorder="1" applyAlignment="1">
      <alignment horizontal="center" vertical="center"/>
    </xf>
    <xf numFmtId="0" fontId="158" fillId="0" borderId="65" xfId="0" applyFont="1" applyBorder="1" applyAlignment="1">
      <alignment horizontal="center" vertical="center"/>
    </xf>
    <xf numFmtId="16" fontId="158" fillId="3" borderId="18" xfId="0" applyNumberFormat="1" applyFont="1" applyFill="1" applyBorder="1" applyAlignment="1">
      <alignment horizontal="center" vertical="center"/>
    </xf>
    <xf numFmtId="0" fontId="158" fillId="0" borderId="66" xfId="0" applyFont="1" applyBorder="1" applyAlignment="1">
      <alignment horizontal="center" vertical="center"/>
    </xf>
    <xf numFmtId="16" fontId="158" fillId="3" borderId="26" xfId="0" applyNumberFormat="1" applyFont="1" applyFill="1" applyBorder="1" applyAlignment="1">
      <alignment horizontal="center" vertical="center"/>
    </xf>
    <xf numFmtId="0" fontId="146" fillId="0" borderId="2" xfId="0" applyFont="1" applyBorder="1" applyAlignment="1">
      <alignment horizontal="center" vertical="center"/>
    </xf>
    <xf numFmtId="0" fontId="158" fillId="0" borderId="67" xfId="0" applyFont="1" applyBorder="1" applyAlignment="1">
      <alignment horizontal="center" vertical="center"/>
    </xf>
    <xf numFmtId="0" fontId="168" fillId="0" borderId="2" xfId="0" quotePrefix="1" applyFont="1" applyBorder="1" applyAlignment="1">
      <alignment horizontal="center" vertical="center" wrapText="1"/>
    </xf>
    <xf numFmtId="16" fontId="158" fillId="3" borderId="27" xfId="0" applyNumberFormat="1" applyFont="1" applyFill="1" applyBorder="1" applyAlignment="1">
      <alignment horizontal="center" vertical="center"/>
    </xf>
    <xf numFmtId="0" fontId="168" fillId="0" borderId="23" xfId="0" applyFont="1" applyBorder="1" applyAlignment="1">
      <alignment horizontal="center" vertical="center"/>
    </xf>
    <xf numFmtId="0" fontId="173" fillId="31" borderId="2" xfId="0" applyFont="1" applyFill="1" applyBorder="1" applyAlignment="1">
      <alignment horizontal="center" vertical="center"/>
    </xf>
    <xf numFmtId="0" fontId="158" fillId="0" borderId="50" xfId="0" applyFont="1" applyBorder="1" applyAlignment="1">
      <alignment horizontal="center" vertical="center"/>
    </xf>
    <xf numFmtId="0" fontId="158" fillId="0" borderId="64" xfId="0" applyFont="1" applyBorder="1" applyAlignment="1">
      <alignment horizontal="center" vertical="center"/>
    </xf>
    <xf numFmtId="0" fontId="158" fillId="0" borderId="33" xfId="0" applyFont="1" applyBorder="1" applyAlignment="1">
      <alignment horizontal="center" vertical="center"/>
    </xf>
    <xf numFmtId="0" fontId="158" fillId="0" borderId="71" xfId="0" applyFont="1" applyBorder="1" applyAlignment="1">
      <alignment horizontal="center" vertical="center"/>
    </xf>
    <xf numFmtId="0" fontId="158" fillId="0" borderId="49" xfId="0" applyFont="1" applyBorder="1" applyAlignment="1">
      <alignment horizontal="center" vertical="center"/>
    </xf>
    <xf numFmtId="0" fontId="158" fillId="0" borderId="54" xfId="0" applyFont="1" applyBorder="1" applyAlignment="1">
      <alignment horizontal="center" vertical="center"/>
    </xf>
    <xf numFmtId="0" fontId="158" fillId="0" borderId="68" xfId="0" applyFont="1" applyBorder="1" applyAlignment="1">
      <alignment horizontal="center" vertical="center"/>
    </xf>
    <xf numFmtId="0" fontId="158" fillId="0" borderId="53" xfId="0" applyFont="1" applyBorder="1" applyAlignment="1">
      <alignment horizontal="center" vertical="center"/>
    </xf>
    <xf numFmtId="0" fontId="158" fillId="0" borderId="75" xfId="0" applyFont="1" applyBorder="1" applyAlignment="1">
      <alignment horizontal="center" vertical="center"/>
    </xf>
    <xf numFmtId="0" fontId="158" fillId="0" borderId="62" xfId="0" applyFont="1" applyBorder="1" applyAlignment="1">
      <alignment horizontal="center" vertical="center"/>
    </xf>
    <xf numFmtId="0" fontId="171" fillId="8" borderId="23" xfId="0" applyFont="1" applyFill="1" applyBorder="1" applyAlignment="1">
      <alignment horizontal="center" vertical="center"/>
    </xf>
    <xf numFmtId="0" fontId="158" fillId="0" borderId="54" xfId="0" applyFont="1" applyBorder="1" applyAlignment="1">
      <alignment horizontal="center" vertical="center" wrapText="1"/>
    </xf>
    <xf numFmtId="0" fontId="158" fillId="0" borderId="68" xfId="0" applyFont="1" applyBorder="1" applyAlignment="1">
      <alignment horizontal="center" vertical="center" wrapText="1"/>
    </xf>
    <xf numFmtId="16" fontId="158" fillId="0" borderId="2" xfId="0" applyNumberFormat="1" applyFont="1" applyBorder="1" applyAlignment="1">
      <alignment horizontal="center" vertical="center"/>
    </xf>
    <xf numFmtId="16" fontId="158" fillId="0" borderId="23" xfId="0" applyNumberFormat="1" applyFont="1" applyBorder="1" applyAlignment="1">
      <alignment horizontal="center" vertical="center"/>
    </xf>
    <xf numFmtId="0" fontId="158" fillId="3" borderId="22" xfId="0" applyFont="1" applyFill="1" applyBorder="1" applyAlignment="1">
      <alignment horizontal="center" vertical="center" wrapText="1"/>
    </xf>
    <xf numFmtId="0" fontId="158" fillId="3" borderId="2" xfId="0" applyFont="1" applyFill="1" applyBorder="1" applyAlignment="1">
      <alignment horizontal="center" vertical="center"/>
    </xf>
    <xf numFmtId="0" fontId="158" fillId="25" borderId="2" xfId="0" applyFont="1" applyFill="1" applyBorder="1" applyAlignment="1">
      <alignment horizontal="center" vertical="center"/>
    </xf>
    <xf numFmtId="0" fontId="158" fillId="4" borderId="2" xfId="0" applyFont="1" applyFill="1" applyBorder="1" applyAlignment="1">
      <alignment horizontal="center" vertical="center"/>
    </xf>
    <xf numFmtId="0" fontId="158" fillId="72" borderId="2" xfId="0" applyFont="1" applyFill="1" applyBorder="1" applyAlignment="1">
      <alignment horizontal="center" vertical="center"/>
    </xf>
    <xf numFmtId="0" fontId="158" fillId="20" borderId="2" xfId="0" applyFont="1" applyFill="1" applyBorder="1" applyAlignment="1">
      <alignment horizontal="center" vertical="center"/>
    </xf>
    <xf numFmtId="0" fontId="158" fillId="48" borderId="2" xfId="0" applyFont="1" applyFill="1" applyBorder="1" applyAlignment="1">
      <alignment horizontal="center" vertical="center"/>
    </xf>
    <xf numFmtId="0" fontId="158" fillId="32" borderId="2" xfId="0" applyFont="1" applyFill="1" applyBorder="1" applyAlignment="1">
      <alignment horizontal="center" vertical="center"/>
    </xf>
    <xf numFmtId="0" fontId="158" fillId="40" borderId="2" xfId="0" applyFont="1" applyFill="1" applyBorder="1" applyAlignment="1">
      <alignment horizontal="center" vertical="center"/>
    </xf>
    <xf numFmtId="0" fontId="158" fillId="72" borderId="25" xfId="0" applyFont="1" applyFill="1" applyBorder="1" applyAlignment="1">
      <alignment horizontal="center" vertical="center"/>
    </xf>
    <xf numFmtId="0" fontId="158" fillId="28" borderId="2" xfId="0" applyFont="1" applyFill="1" applyBorder="1" applyAlignment="1">
      <alignment horizontal="center" vertical="center"/>
    </xf>
    <xf numFmtId="0" fontId="158" fillId="19" borderId="2" xfId="0" applyFont="1" applyFill="1" applyBorder="1" applyAlignment="1">
      <alignment horizontal="center" vertical="center"/>
    </xf>
    <xf numFmtId="0" fontId="158" fillId="37" borderId="2" xfId="0" applyFont="1" applyFill="1" applyBorder="1" applyAlignment="1">
      <alignment horizontal="center" vertical="center"/>
    </xf>
    <xf numFmtId="0" fontId="158" fillId="37" borderId="23" xfId="0" applyFont="1" applyFill="1" applyBorder="1" applyAlignment="1">
      <alignment horizontal="center" vertical="center"/>
    </xf>
    <xf numFmtId="0" fontId="158" fillId="35" borderId="20" xfId="0" applyFont="1" applyFill="1" applyBorder="1" applyAlignment="1">
      <alignment horizontal="center" vertical="center"/>
    </xf>
    <xf numFmtId="0" fontId="158" fillId="28" borderId="20" xfId="0" applyFont="1" applyFill="1" applyBorder="1" applyAlignment="1">
      <alignment horizontal="center" vertical="center"/>
    </xf>
    <xf numFmtId="0" fontId="158" fillId="48" borderId="20" xfId="0" applyFont="1" applyFill="1" applyBorder="1" applyAlignment="1">
      <alignment horizontal="center" vertical="center"/>
    </xf>
    <xf numFmtId="0" fontId="158" fillId="31" borderId="51" xfId="0" applyFont="1" applyFill="1" applyBorder="1" applyAlignment="1">
      <alignment horizontal="center" vertical="center"/>
    </xf>
    <xf numFmtId="0" fontId="158" fillId="31" borderId="23" xfId="0" applyFont="1" applyFill="1" applyBorder="1" applyAlignment="1">
      <alignment horizontal="center" vertical="center"/>
    </xf>
    <xf numFmtId="0" fontId="171" fillId="8" borderId="25" xfId="0" applyFont="1" applyFill="1" applyBorder="1" applyAlignment="1">
      <alignment horizontal="center" vertical="center"/>
    </xf>
    <xf numFmtId="0" fontId="171" fillId="0" borderId="25" xfId="0" applyFont="1" applyBorder="1" applyAlignment="1">
      <alignment horizontal="center" vertical="center"/>
    </xf>
    <xf numFmtId="0" fontId="171" fillId="0" borderId="23" xfId="0" applyFont="1" applyBorder="1" applyAlignment="1">
      <alignment horizontal="center" vertical="center"/>
    </xf>
    <xf numFmtId="0" fontId="171" fillId="0" borderId="2" xfId="0" applyFont="1" applyBorder="1" applyAlignment="1">
      <alignment horizontal="center" vertical="center"/>
    </xf>
    <xf numFmtId="0" fontId="158" fillId="0" borderId="25" xfId="0" applyFont="1" applyBorder="1" applyAlignment="1">
      <alignment horizontal="center" vertical="center" wrapText="1"/>
    </xf>
    <xf numFmtId="0" fontId="158" fillId="0" borderId="52" xfId="0" applyFont="1" applyBorder="1" applyAlignment="1">
      <alignment horizontal="center" vertical="center" wrapText="1"/>
    </xf>
    <xf numFmtId="0" fontId="117" fillId="0" borderId="30" xfId="0" applyFont="1" applyBorder="1" applyAlignment="1">
      <alignment horizontal="center" vertical="center"/>
    </xf>
    <xf numFmtId="0" fontId="117" fillId="0" borderId="32" xfId="0" applyFont="1" applyBorder="1" applyAlignment="1">
      <alignment horizontal="center" vertical="center"/>
    </xf>
    <xf numFmtId="0" fontId="117" fillId="0" borderId="70" xfId="0" applyFont="1" applyBorder="1" applyAlignment="1">
      <alignment horizontal="center" vertical="center" wrapText="1"/>
    </xf>
    <xf numFmtId="0" fontId="158" fillId="25" borderId="22" xfId="0" applyFont="1" applyFill="1" applyBorder="1" applyAlignment="1">
      <alignment horizontal="center" vertical="center"/>
    </xf>
    <xf numFmtId="0" fontId="158" fillId="4" borderId="22" xfId="0" applyFont="1" applyFill="1" applyBorder="1" applyAlignment="1">
      <alignment horizontal="center" vertical="center"/>
    </xf>
    <xf numFmtId="0" fontId="158" fillId="3" borderId="22" xfId="0" applyFont="1" applyFill="1" applyBorder="1" applyAlignment="1">
      <alignment horizontal="center" vertical="center"/>
    </xf>
    <xf numFmtId="0" fontId="158" fillId="2" borderId="22" xfId="0" applyFont="1" applyFill="1" applyBorder="1" applyAlignment="1">
      <alignment horizontal="center" vertical="center"/>
    </xf>
    <xf numFmtId="0" fontId="158" fillId="72" borderId="22" xfId="0" applyFont="1" applyFill="1" applyBorder="1" applyAlignment="1">
      <alignment horizontal="center" vertical="center"/>
    </xf>
    <xf numFmtId="0" fontId="158" fillId="20" borderId="22" xfId="0" applyFont="1" applyFill="1" applyBorder="1" applyAlignment="1">
      <alignment horizontal="center" vertical="center"/>
    </xf>
    <xf numFmtId="0" fontId="158" fillId="3" borderId="26" xfId="0" applyFont="1" applyFill="1" applyBorder="1" applyAlignment="1">
      <alignment horizontal="center" vertical="center"/>
    </xf>
    <xf numFmtId="0" fontId="158" fillId="32" borderId="22" xfId="0" applyFont="1" applyFill="1" applyBorder="1" applyAlignment="1">
      <alignment horizontal="center" vertical="center"/>
    </xf>
    <xf numFmtId="0" fontId="158" fillId="40" borderId="22" xfId="0" applyFont="1" applyFill="1" applyBorder="1" applyAlignment="1">
      <alignment horizontal="center" vertical="center"/>
    </xf>
    <xf numFmtId="0" fontId="158" fillId="72" borderId="47" xfId="0" applyFont="1" applyFill="1" applyBorder="1" applyAlignment="1">
      <alignment horizontal="center" vertical="center"/>
    </xf>
    <xf numFmtId="0" fontId="158" fillId="48" borderId="22" xfId="0" applyFont="1" applyFill="1" applyBorder="1" applyAlignment="1">
      <alignment horizontal="center" vertical="center"/>
    </xf>
    <xf numFmtId="0" fontId="158" fillId="28" borderId="22" xfId="0" applyFont="1" applyFill="1" applyBorder="1" applyAlignment="1">
      <alignment horizontal="center" vertical="center"/>
    </xf>
    <xf numFmtId="0" fontId="158" fillId="19" borderId="22" xfId="0" applyFont="1" applyFill="1" applyBorder="1" applyAlignment="1">
      <alignment horizontal="center" vertical="center"/>
    </xf>
    <xf numFmtId="0" fontId="158" fillId="37" borderId="22" xfId="0" applyFont="1" applyFill="1" applyBorder="1" applyAlignment="1">
      <alignment horizontal="center" vertical="center"/>
    </xf>
    <xf numFmtId="0" fontId="158" fillId="37" borderId="24" xfId="0" applyFont="1" applyFill="1" applyBorder="1" applyAlignment="1">
      <alignment horizontal="center" vertical="center"/>
    </xf>
    <xf numFmtId="0" fontId="158" fillId="0" borderId="44" xfId="0" applyFont="1" applyBorder="1" applyAlignment="1">
      <alignment horizontal="center" vertical="center"/>
    </xf>
    <xf numFmtId="16" fontId="158" fillId="3" borderId="45" xfId="0" applyNumberFormat="1" applyFont="1" applyFill="1" applyBorder="1" applyAlignment="1">
      <alignment horizontal="center" vertical="center"/>
    </xf>
    <xf numFmtId="0" fontId="158" fillId="35" borderId="54" xfId="0" applyFont="1" applyFill="1" applyBorder="1" applyAlignment="1">
      <alignment horizontal="center" vertical="center"/>
    </xf>
    <xf numFmtId="0" fontId="158" fillId="31" borderId="22" xfId="0" applyFont="1" applyFill="1" applyBorder="1" applyAlignment="1">
      <alignment horizontal="center" vertical="center"/>
    </xf>
    <xf numFmtId="0" fontId="158" fillId="0" borderId="56" xfId="0" applyFont="1" applyBorder="1" applyAlignment="1">
      <alignment horizontal="center" vertical="center"/>
    </xf>
    <xf numFmtId="0" fontId="158" fillId="0" borderId="89" xfId="0" applyFont="1" applyBorder="1" applyAlignment="1">
      <alignment horizontal="center" vertical="center"/>
    </xf>
    <xf numFmtId="0" fontId="158" fillId="37" borderId="45" xfId="0" applyFont="1" applyFill="1" applyBorder="1" applyAlignment="1">
      <alignment horizontal="center" vertical="center"/>
    </xf>
    <xf numFmtId="0" fontId="158" fillId="37" borderId="70" xfId="0" applyFont="1" applyFill="1" applyBorder="1" applyAlignment="1">
      <alignment horizontal="center" vertical="center"/>
    </xf>
    <xf numFmtId="0" fontId="158" fillId="48" borderId="54" xfId="0" applyFont="1" applyFill="1" applyBorder="1" applyAlignment="1">
      <alignment horizontal="center" vertical="center"/>
    </xf>
    <xf numFmtId="0" fontId="158" fillId="31" borderId="24" xfId="0" applyFont="1" applyFill="1" applyBorder="1" applyAlignment="1">
      <alignment horizontal="center" vertical="center"/>
    </xf>
    <xf numFmtId="0" fontId="158" fillId="0" borderId="59" xfId="0" applyFont="1" applyBorder="1" applyAlignment="1">
      <alignment horizontal="center" vertical="center"/>
    </xf>
    <xf numFmtId="0" fontId="171" fillId="8" borderId="45" xfId="0" applyFont="1" applyFill="1" applyBorder="1" applyAlignment="1">
      <alignment horizontal="center" vertical="center"/>
    </xf>
    <xf numFmtId="0" fontId="158" fillId="0" borderId="45" xfId="0" applyFont="1" applyBorder="1" applyAlignment="1">
      <alignment horizontal="center" vertical="center"/>
    </xf>
    <xf numFmtId="0" fontId="158" fillId="0" borderId="70" xfId="0" applyFont="1" applyBorder="1" applyAlignment="1">
      <alignment horizontal="center" vertical="center" wrapText="1"/>
    </xf>
    <xf numFmtId="0" fontId="158" fillId="0" borderId="55" xfId="0" applyFont="1" applyBorder="1" applyAlignment="1">
      <alignment horizontal="center" vertical="center"/>
    </xf>
    <xf numFmtId="0" fontId="150" fillId="4" borderId="2" xfId="0" applyFont="1" applyFill="1" applyBorder="1" applyAlignment="1">
      <alignment horizontal="center" vertical="center" wrapText="1"/>
    </xf>
    <xf numFmtId="0" fontId="150" fillId="4" borderId="32" xfId="0" applyFont="1" applyFill="1" applyBorder="1" applyAlignment="1">
      <alignment horizontal="center" vertical="center" wrapText="1"/>
    </xf>
    <xf numFmtId="0" fontId="171" fillId="8" borderId="20" xfId="0" applyFont="1" applyFill="1" applyBorder="1" applyAlignment="1">
      <alignment horizontal="center" vertical="center"/>
    </xf>
    <xf numFmtId="16" fontId="158" fillId="0" borderId="19" xfId="0" applyNumberFormat="1" applyFont="1" applyBorder="1" applyAlignment="1">
      <alignment horizontal="center" vertical="center"/>
    </xf>
    <xf numFmtId="16" fontId="158" fillId="0" borderId="25" xfId="0" applyNumberFormat="1" applyFont="1" applyBorder="1" applyAlignment="1">
      <alignment horizontal="center" vertical="center"/>
    </xf>
    <xf numFmtId="0" fontId="158" fillId="14" borderId="19" xfId="0" applyFont="1" applyFill="1" applyBorder="1" applyAlignment="1">
      <alignment horizontal="center" vertical="center"/>
    </xf>
    <xf numFmtId="0" fontId="158" fillId="14" borderId="35" xfId="0" applyFont="1" applyFill="1" applyBorder="1" applyAlignment="1">
      <alignment horizontal="center" vertical="center"/>
    </xf>
    <xf numFmtId="0" fontId="158" fillId="3" borderId="30" xfId="0" applyFont="1" applyFill="1" applyBorder="1" applyAlignment="1">
      <alignment horizontal="center" vertical="center"/>
    </xf>
    <xf numFmtId="0" fontId="158" fillId="24" borderId="2" xfId="0" applyFont="1" applyFill="1" applyBorder="1" applyAlignment="1">
      <alignment horizontal="center" vertical="center"/>
    </xf>
    <xf numFmtId="0" fontId="158" fillId="24" borderId="30" xfId="0" applyFont="1" applyFill="1" applyBorder="1" applyAlignment="1">
      <alignment horizontal="center" vertical="center"/>
    </xf>
    <xf numFmtId="0" fontId="158" fillId="32" borderId="30" xfId="0" applyFont="1" applyFill="1" applyBorder="1" applyAlignment="1">
      <alignment horizontal="center" vertical="center"/>
    </xf>
    <xf numFmtId="0" fontId="158" fillId="72" borderId="30" xfId="0" applyFont="1" applyFill="1" applyBorder="1" applyAlignment="1">
      <alignment horizontal="center" vertical="center"/>
    </xf>
    <xf numFmtId="0" fontId="158" fillId="14" borderId="2" xfId="0" applyFont="1" applyFill="1" applyBorder="1" applyAlignment="1">
      <alignment horizontal="center" vertical="center"/>
    </xf>
    <xf numFmtId="0" fontId="158" fillId="72" borderId="23" xfId="0" applyFont="1" applyFill="1" applyBorder="1" applyAlignment="1">
      <alignment horizontal="center" vertical="center"/>
    </xf>
    <xf numFmtId="0" fontId="158" fillId="3" borderId="20" xfId="0" applyFont="1" applyFill="1" applyBorder="1" applyAlignment="1">
      <alignment horizontal="center" vertical="center"/>
    </xf>
    <xf numFmtId="0" fontId="158" fillId="34" borderId="2" xfId="0" applyFont="1" applyFill="1" applyBorder="1" applyAlignment="1">
      <alignment horizontal="center" vertical="center"/>
    </xf>
    <xf numFmtId="0" fontId="158" fillId="34" borderId="30" xfId="0" applyFont="1" applyFill="1" applyBorder="1" applyAlignment="1">
      <alignment horizontal="center" vertical="center"/>
    </xf>
    <xf numFmtId="0" fontId="158" fillId="11" borderId="2" xfId="0" applyFont="1" applyFill="1" applyBorder="1" applyAlignment="1">
      <alignment horizontal="center" vertical="center"/>
    </xf>
    <xf numFmtId="0" fontId="158" fillId="3" borderId="25" xfId="0" applyFont="1" applyFill="1" applyBorder="1" applyAlignment="1">
      <alignment horizontal="center" vertical="center"/>
    </xf>
    <xf numFmtId="0" fontId="158" fillId="3" borderId="23" xfId="0" applyFont="1" applyFill="1" applyBorder="1" applyAlignment="1">
      <alignment horizontal="center" vertical="center"/>
    </xf>
    <xf numFmtId="0" fontId="158" fillId="8" borderId="20" xfId="0" applyFont="1" applyFill="1" applyBorder="1" applyAlignment="1">
      <alignment horizontal="center" vertical="center"/>
    </xf>
    <xf numFmtId="0" fontId="171" fillId="0" borderId="51" xfId="0" applyFont="1" applyBorder="1" applyAlignment="1">
      <alignment horizontal="center" vertical="center"/>
    </xf>
    <xf numFmtId="0" fontId="171" fillId="8" borderId="51" xfId="0" applyFont="1" applyFill="1" applyBorder="1" applyAlignment="1">
      <alignment horizontal="center" vertical="center"/>
    </xf>
    <xf numFmtId="0" fontId="171" fillId="8" borderId="19" xfId="0" applyFont="1" applyFill="1" applyBorder="1" applyAlignment="1">
      <alignment horizontal="center" vertical="center"/>
    </xf>
    <xf numFmtId="0" fontId="158" fillId="8" borderId="2" xfId="0" applyFont="1" applyFill="1" applyBorder="1" applyAlignment="1">
      <alignment horizontal="center" vertical="center"/>
    </xf>
    <xf numFmtId="0" fontId="171" fillId="3" borderId="25" xfId="0" applyFont="1" applyFill="1" applyBorder="1" applyAlignment="1">
      <alignment horizontal="center" vertical="center"/>
    </xf>
    <xf numFmtId="0" fontId="158" fillId="0" borderId="64" xfId="0" applyFont="1" applyBorder="1" applyAlignment="1">
      <alignment horizontal="center" vertical="center" wrapText="1"/>
    </xf>
    <xf numFmtId="0" fontId="94" fillId="0" borderId="2" xfId="0" applyFont="1" applyBorder="1"/>
    <xf numFmtId="0" fontId="158" fillId="20" borderId="25" xfId="0" applyFont="1" applyFill="1" applyBorder="1" applyAlignment="1">
      <alignment horizontal="center" vertical="center"/>
    </xf>
    <xf numFmtId="0" fontId="158" fillId="8" borderId="25" xfId="0" applyFont="1" applyFill="1" applyBorder="1" applyAlignment="1">
      <alignment horizontal="center" vertical="center"/>
    </xf>
    <xf numFmtId="0" fontId="158" fillId="14" borderId="22" xfId="0" applyFont="1" applyFill="1" applyBorder="1" applyAlignment="1">
      <alignment horizontal="center" vertical="center"/>
    </xf>
    <xf numFmtId="0" fontId="158" fillId="24" borderId="22" xfId="0" applyFont="1" applyFill="1" applyBorder="1" applyAlignment="1">
      <alignment horizontal="center" vertical="center"/>
    </xf>
    <xf numFmtId="0" fontId="158" fillId="72" borderId="24" xfId="0" applyFont="1" applyFill="1" applyBorder="1" applyAlignment="1">
      <alignment horizontal="center" vertical="center"/>
    </xf>
    <xf numFmtId="0" fontId="158" fillId="0" borderId="5" xfId="0" applyFont="1" applyBorder="1" applyAlignment="1">
      <alignment horizontal="center" vertical="center"/>
    </xf>
    <xf numFmtId="0" fontId="158" fillId="8" borderId="19" xfId="0" applyFont="1" applyFill="1" applyBorder="1" applyAlignment="1">
      <alignment horizontal="center" vertical="center"/>
    </xf>
    <xf numFmtId="0" fontId="158" fillId="0" borderId="58" xfId="0" applyFont="1" applyBorder="1" applyAlignment="1">
      <alignment horizontal="center" vertical="center" wrapText="1"/>
    </xf>
    <xf numFmtId="0" fontId="158" fillId="0" borderId="23" xfId="0" applyFont="1" applyBorder="1" applyAlignment="1">
      <alignment horizontal="center" vertical="center" wrapText="1"/>
    </xf>
    <xf numFmtId="0" fontId="158" fillId="3" borderId="19" xfId="0" applyFont="1" applyFill="1" applyBorder="1" applyAlignment="1">
      <alignment horizontal="center" vertical="center"/>
    </xf>
    <xf numFmtId="0" fontId="158" fillId="3" borderId="21" xfId="0" applyFont="1" applyFill="1" applyBorder="1" applyAlignment="1">
      <alignment horizontal="center" vertical="center"/>
    </xf>
    <xf numFmtId="0" fontId="158" fillId="34" borderId="22" xfId="0" applyFont="1" applyFill="1" applyBorder="1" applyAlignment="1">
      <alignment horizontal="center" vertical="center"/>
    </xf>
    <xf numFmtId="0" fontId="158" fillId="12" borderId="22" xfId="0" applyFont="1" applyFill="1" applyBorder="1" applyAlignment="1">
      <alignment horizontal="center" vertical="center"/>
    </xf>
    <xf numFmtId="0" fontId="158" fillId="35" borderId="22" xfId="0" applyFont="1" applyFill="1" applyBorder="1" applyAlignment="1">
      <alignment horizontal="center" vertical="center"/>
    </xf>
    <xf numFmtId="0" fontId="158" fillId="11" borderId="22" xfId="0" applyFont="1" applyFill="1" applyBorder="1" applyAlignment="1">
      <alignment horizontal="center" vertical="center"/>
    </xf>
    <xf numFmtId="0" fontId="158" fillId="3" borderId="47" xfId="0" applyFont="1" applyFill="1" applyBorder="1" applyAlignment="1">
      <alignment horizontal="center" vertical="center"/>
    </xf>
    <xf numFmtId="0" fontId="158" fillId="3" borderId="24" xfId="0" applyFont="1" applyFill="1" applyBorder="1" applyAlignment="1">
      <alignment horizontal="center" vertical="center"/>
    </xf>
    <xf numFmtId="0" fontId="158" fillId="0" borderId="58" xfId="0" applyFont="1" applyBorder="1" applyAlignment="1">
      <alignment horizontal="center" vertical="center"/>
    </xf>
    <xf numFmtId="16" fontId="158" fillId="3" borderId="2" xfId="0" applyNumberFormat="1" applyFont="1" applyFill="1" applyBorder="1" applyAlignment="1">
      <alignment horizontal="center" vertical="center" wrapText="1"/>
    </xf>
    <xf numFmtId="0" fontId="158" fillId="3" borderId="45" xfId="0" applyFont="1" applyFill="1" applyBorder="1" applyAlignment="1">
      <alignment horizontal="center" vertical="center"/>
    </xf>
    <xf numFmtId="0" fontId="158" fillId="3" borderId="58" xfId="0" applyFont="1" applyFill="1" applyBorder="1" applyAlignment="1">
      <alignment horizontal="center" vertical="center"/>
    </xf>
    <xf numFmtId="0" fontId="158" fillId="35" borderId="25" xfId="0" applyFont="1" applyFill="1" applyBorder="1" applyAlignment="1">
      <alignment horizontal="center" vertical="center"/>
    </xf>
    <xf numFmtId="0" fontId="158" fillId="26" borderId="2" xfId="0" applyFont="1" applyFill="1" applyBorder="1" applyAlignment="1">
      <alignment horizontal="center" vertical="center"/>
    </xf>
    <xf numFmtId="0" fontId="158" fillId="11" borderId="20" xfId="0" applyFont="1" applyFill="1" applyBorder="1" applyAlignment="1">
      <alignment horizontal="center" vertical="center"/>
    </xf>
    <xf numFmtId="0" fontId="158" fillId="65" borderId="2" xfId="0" applyFont="1" applyFill="1" applyBorder="1" applyAlignment="1">
      <alignment horizontal="center" vertical="center"/>
    </xf>
    <xf numFmtId="0" fontId="158" fillId="65" borderId="2" xfId="0" applyFont="1" applyFill="1" applyBorder="1" applyAlignment="1">
      <alignment horizontal="center" vertical="center" wrapText="1"/>
    </xf>
    <xf numFmtId="0" fontId="158" fillId="11" borderId="23" xfId="0" applyFont="1" applyFill="1" applyBorder="1" applyAlignment="1">
      <alignment horizontal="center" vertical="center"/>
    </xf>
    <xf numFmtId="0" fontId="158" fillId="3" borderId="70" xfId="0" applyFont="1" applyFill="1" applyBorder="1" applyAlignment="1">
      <alignment horizontal="center" vertical="center"/>
    </xf>
    <xf numFmtId="0" fontId="158" fillId="3" borderId="59" xfId="0" applyFont="1" applyFill="1" applyBorder="1" applyAlignment="1">
      <alignment horizontal="center" vertical="center"/>
    </xf>
    <xf numFmtId="0" fontId="158" fillId="3" borderId="34" xfId="0" applyFont="1" applyFill="1" applyBorder="1" applyAlignment="1">
      <alignment horizontal="center" vertical="center"/>
    </xf>
    <xf numFmtId="0" fontId="158" fillId="3" borderId="21" xfId="0" applyFont="1" applyFill="1" applyBorder="1" applyAlignment="1">
      <alignment horizontal="center" vertical="center" wrapText="1"/>
    </xf>
    <xf numFmtId="0" fontId="158" fillId="3" borderId="54" xfId="0" applyFont="1" applyFill="1" applyBorder="1" applyAlignment="1">
      <alignment horizontal="center" vertical="center" wrapText="1"/>
    </xf>
    <xf numFmtId="0" fontId="158" fillId="3" borderId="52" xfId="0" applyFont="1" applyFill="1" applyBorder="1" applyAlignment="1">
      <alignment horizontal="center" vertical="center" wrapText="1"/>
    </xf>
    <xf numFmtId="0" fontId="158" fillId="3" borderId="2" xfId="0" applyFont="1" applyFill="1" applyBorder="1" applyAlignment="1">
      <alignment horizontal="center" vertical="center" wrapText="1"/>
    </xf>
    <xf numFmtId="0" fontId="158" fillId="0" borderId="48" xfId="0" applyFont="1" applyBorder="1" applyAlignment="1">
      <alignment horizontal="center" vertical="center" wrapText="1"/>
    </xf>
    <xf numFmtId="0" fontId="171" fillId="8" borderId="48" xfId="0" applyFont="1" applyFill="1" applyBorder="1" applyAlignment="1">
      <alignment horizontal="center" vertical="center"/>
    </xf>
    <xf numFmtId="0" fontId="150" fillId="0" borderId="48" xfId="0" applyFont="1" applyBorder="1" applyAlignment="1">
      <alignment horizontal="center" vertical="center"/>
    </xf>
    <xf numFmtId="0" fontId="158" fillId="3" borderId="25" xfId="0" applyFont="1" applyFill="1" applyBorder="1" applyAlignment="1">
      <alignment horizontal="center" vertical="center" wrapText="1"/>
    </xf>
    <xf numFmtId="0" fontId="158" fillId="3" borderId="51" xfId="0" applyFont="1" applyFill="1" applyBorder="1" applyAlignment="1">
      <alignment horizontal="center" vertical="center" wrapText="1"/>
    </xf>
    <xf numFmtId="0" fontId="158" fillId="26" borderId="22" xfId="0" applyFont="1" applyFill="1" applyBorder="1" applyAlignment="1">
      <alignment horizontal="center" vertical="center"/>
    </xf>
    <xf numFmtId="0" fontId="158" fillId="35" borderId="47" xfId="0" applyFont="1" applyFill="1" applyBorder="1" applyAlignment="1">
      <alignment horizontal="center" vertical="center"/>
    </xf>
    <xf numFmtId="0" fontId="158" fillId="3" borderId="46" xfId="0" applyFont="1" applyFill="1" applyBorder="1" applyAlignment="1">
      <alignment horizontal="center" vertical="center"/>
    </xf>
    <xf numFmtId="0" fontId="18" fillId="39" borderId="25" xfId="0" applyFont="1" applyFill="1" applyBorder="1" applyAlignment="1">
      <alignment horizontal="center" vertical="center"/>
    </xf>
    <xf numFmtId="0" fontId="18" fillId="36" borderId="25" xfId="0" applyFont="1" applyFill="1" applyBorder="1" applyAlignment="1">
      <alignment horizontal="center" vertical="center"/>
    </xf>
    <xf numFmtId="0" fontId="18" fillId="0" borderId="51" xfId="0" applyFont="1" applyBorder="1" applyAlignment="1">
      <alignment horizontal="center" vertical="center"/>
    </xf>
    <xf numFmtId="0" fontId="18" fillId="0" borderId="62" xfId="0" applyFont="1" applyBorder="1" applyAlignment="1">
      <alignment horizontal="center" vertical="center"/>
    </xf>
    <xf numFmtId="0" fontId="18" fillId="0" borderId="34" xfId="0" applyFont="1" applyBorder="1" applyAlignment="1">
      <alignment horizontal="center" vertical="center"/>
    </xf>
    <xf numFmtId="0" fontId="18" fillId="0" borderId="74" xfId="0" applyFont="1" applyBorder="1" applyAlignment="1">
      <alignment horizontal="center" vertical="center"/>
    </xf>
    <xf numFmtId="0" fontId="18" fillId="0" borderId="72" xfId="0" applyFont="1" applyBorder="1" applyAlignment="1">
      <alignment horizontal="center" vertical="center"/>
    </xf>
    <xf numFmtId="0" fontId="18" fillId="0" borderId="33" xfId="0" applyFont="1" applyBorder="1" applyAlignment="1">
      <alignment horizontal="center" vertical="center"/>
    </xf>
    <xf numFmtId="0" fontId="18" fillId="0" borderId="45" xfId="0" applyFont="1" applyBorder="1" applyAlignment="1">
      <alignment horizontal="center" vertical="center"/>
    </xf>
    <xf numFmtId="49" fontId="150" fillId="0" borderId="30" xfId="0" applyNumberFormat="1" applyFont="1" applyBorder="1" applyAlignment="1">
      <alignment horizontal="center" vertical="center"/>
    </xf>
    <xf numFmtId="49" fontId="150" fillId="0" borderId="49" xfId="0" applyNumberFormat="1" applyFont="1" applyBorder="1" applyAlignment="1">
      <alignment horizontal="center" vertical="center"/>
    </xf>
    <xf numFmtId="49" fontId="150" fillId="0" borderId="71" xfId="0" applyNumberFormat="1" applyFont="1" applyBorder="1" applyAlignment="1">
      <alignment horizontal="center" vertical="center"/>
    </xf>
    <xf numFmtId="49" fontId="150" fillId="0" borderId="58" xfId="0" applyNumberFormat="1" applyFont="1" applyBorder="1" applyAlignment="1">
      <alignment horizontal="center" vertical="center"/>
    </xf>
    <xf numFmtId="49" fontId="160" fillId="0" borderId="51" xfId="0" applyNumberFormat="1" applyFont="1" applyBorder="1" applyAlignment="1">
      <alignment horizontal="center" vertical="center"/>
    </xf>
    <xf numFmtId="0" fontId="170" fillId="3" borderId="48" xfId="0" applyFont="1" applyFill="1" applyBorder="1" applyAlignment="1">
      <alignment horizontal="center" vertical="center" wrapText="1"/>
    </xf>
    <xf numFmtId="0" fontId="170" fillId="3" borderId="37" xfId="0" applyFont="1" applyFill="1" applyBorder="1" applyAlignment="1">
      <alignment horizontal="center" vertical="center" wrapText="1"/>
    </xf>
    <xf numFmtId="0" fontId="170" fillId="3" borderId="33" xfId="0" applyFont="1" applyFill="1" applyBorder="1" applyAlignment="1">
      <alignment horizontal="center" vertical="center" wrapText="1"/>
    </xf>
    <xf numFmtId="0" fontId="158" fillId="3" borderId="51" xfId="0" applyFont="1" applyFill="1" applyBorder="1" applyAlignment="1">
      <alignment horizontal="center" vertical="center"/>
    </xf>
    <xf numFmtId="16" fontId="158" fillId="3" borderId="64" xfId="0" applyNumberFormat="1" applyFont="1" applyFill="1" applyBorder="1" applyAlignment="1">
      <alignment horizontal="center" vertical="center"/>
    </xf>
    <xf numFmtId="0" fontId="158" fillId="3" borderId="48" xfId="0" applyFont="1" applyFill="1" applyBorder="1" applyAlignment="1">
      <alignment horizontal="center" vertical="center"/>
    </xf>
    <xf numFmtId="0" fontId="158" fillId="3" borderId="33" xfId="0" applyFont="1" applyFill="1" applyBorder="1" applyAlignment="1">
      <alignment horizontal="center" vertical="center"/>
    </xf>
    <xf numFmtId="0" fontId="158" fillId="3" borderId="62" xfId="0" applyFont="1" applyFill="1" applyBorder="1" applyAlignment="1">
      <alignment horizontal="center" vertical="center"/>
    </xf>
    <xf numFmtId="0" fontId="158" fillId="0" borderId="45" xfId="0" applyFont="1" applyBorder="1" applyAlignment="1">
      <alignment horizontal="center" vertical="center" wrapText="1"/>
    </xf>
    <xf numFmtId="0" fontId="158" fillId="0" borderId="51" xfId="0" applyFont="1" applyBorder="1" applyAlignment="1">
      <alignment horizontal="center" vertical="center" wrapText="1"/>
    </xf>
    <xf numFmtId="0" fontId="168" fillId="3" borderId="25" xfId="0" applyFont="1" applyFill="1" applyBorder="1" applyAlignment="1">
      <alignment horizontal="center" vertical="center"/>
    </xf>
    <xf numFmtId="0" fontId="146" fillId="3" borderId="2" xfId="0" applyFont="1" applyFill="1" applyBorder="1" applyAlignment="1">
      <alignment horizontal="center" vertical="center"/>
    </xf>
    <xf numFmtId="0" fontId="168" fillId="22" borderId="2" xfId="0" applyFont="1" applyFill="1" applyBorder="1" applyAlignment="1">
      <alignment horizontal="center" vertical="center"/>
    </xf>
    <xf numFmtId="0" fontId="168" fillId="2" borderId="2" xfId="0" applyFont="1" applyFill="1" applyBorder="1" applyAlignment="1">
      <alignment horizontal="center" vertical="center"/>
    </xf>
    <xf numFmtId="0" fontId="146" fillId="2" borderId="2" xfId="0" applyFont="1" applyFill="1" applyBorder="1" applyAlignment="1">
      <alignment horizontal="center" vertical="center"/>
    </xf>
    <xf numFmtId="0" fontId="146" fillId="3" borderId="25" xfId="0" applyFont="1" applyFill="1" applyBorder="1" applyAlignment="1">
      <alignment horizontal="center" vertical="center"/>
    </xf>
    <xf numFmtId="0" fontId="168" fillId="3" borderId="23" xfId="0" applyFont="1" applyFill="1" applyBorder="1" applyAlignment="1">
      <alignment horizontal="center" vertical="center"/>
    </xf>
    <xf numFmtId="0" fontId="168" fillId="3" borderId="2" xfId="0" applyFont="1" applyFill="1" applyBorder="1" applyAlignment="1">
      <alignment horizontal="center" vertical="center"/>
    </xf>
    <xf numFmtId="0" fontId="158" fillId="3" borderId="64" xfId="0" applyFont="1" applyFill="1" applyBorder="1" applyAlignment="1">
      <alignment horizontal="center" vertical="center"/>
    </xf>
    <xf numFmtId="0" fontId="158" fillId="3" borderId="31" xfId="0" applyFont="1" applyFill="1" applyBorder="1" applyAlignment="1">
      <alignment horizontal="center" vertical="center"/>
    </xf>
    <xf numFmtId="0" fontId="168" fillId="3" borderId="37" xfId="0" applyFont="1" applyFill="1" applyBorder="1" applyAlignment="1">
      <alignment horizontal="center" vertical="center"/>
    </xf>
    <xf numFmtId="0" fontId="168" fillId="3" borderId="32" xfId="0" applyFont="1" applyFill="1" applyBorder="1" applyAlignment="1">
      <alignment horizontal="center" vertical="center"/>
    </xf>
    <xf numFmtId="0" fontId="146" fillId="3" borderId="34" xfId="0" applyFont="1" applyFill="1" applyBorder="1" applyAlignment="1">
      <alignment horizontal="center" vertical="center"/>
    </xf>
    <xf numFmtId="0" fontId="146" fillId="3" borderId="37" xfId="0" applyFont="1" applyFill="1" applyBorder="1" applyAlignment="1">
      <alignment horizontal="center" vertical="center"/>
    </xf>
    <xf numFmtId="0" fontId="171" fillId="0" borderId="19" xfId="0" applyFont="1" applyBorder="1" applyAlignment="1">
      <alignment horizontal="center" vertical="center"/>
    </xf>
    <xf numFmtId="0" fontId="158" fillId="3" borderId="27" xfId="0" applyFont="1" applyFill="1" applyBorder="1" applyAlignment="1">
      <alignment horizontal="center" vertical="center"/>
    </xf>
    <xf numFmtId="0" fontId="158" fillId="3" borderId="49" xfId="0" applyFont="1" applyFill="1" applyBorder="1" applyAlignment="1">
      <alignment horizontal="center" vertical="center"/>
    </xf>
    <xf numFmtId="0" fontId="146" fillId="22" borderId="34" xfId="0" applyFont="1" applyFill="1" applyBorder="1" applyAlignment="1">
      <alignment horizontal="center" vertical="center"/>
    </xf>
    <xf numFmtId="0" fontId="158" fillId="3" borderId="44" xfId="0" applyFont="1" applyFill="1" applyBorder="1" applyAlignment="1">
      <alignment horizontal="center" vertical="center"/>
    </xf>
    <xf numFmtId="0" fontId="158" fillId="42" borderId="2" xfId="0" applyFont="1" applyFill="1" applyBorder="1" applyAlignment="1">
      <alignment horizontal="center" vertical="center"/>
    </xf>
    <xf numFmtId="0" fontId="158" fillId="42" borderId="25" xfId="0" applyFont="1" applyFill="1" applyBorder="1" applyAlignment="1">
      <alignment horizontal="center" vertical="center"/>
    </xf>
    <xf numFmtId="0" fontId="158" fillId="51" borderId="51" xfId="0" applyFont="1" applyFill="1" applyBorder="1" applyAlignment="1">
      <alignment horizontal="center" vertical="center"/>
    </xf>
    <xf numFmtId="0" fontId="158" fillId="33" borderId="2" xfId="0" applyFont="1" applyFill="1" applyBorder="1" applyAlignment="1">
      <alignment horizontal="center" vertical="center"/>
    </xf>
    <xf numFmtId="0" fontId="176" fillId="3" borderId="25" xfId="0" applyFont="1" applyFill="1" applyBorder="1" applyAlignment="1">
      <alignment horizontal="center" vertical="center"/>
    </xf>
    <xf numFmtId="0" fontId="158" fillId="51" borderId="25" xfId="0" applyFont="1" applyFill="1" applyBorder="1" applyAlignment="1">
      <alignment horizontal="center" vertical="center"/>
    </xf>
    <xf numFmtId="0" fontId="158" fillId="51" borderId="54" xfId="0" applyFont="1" applyFill="1" applyBorder="1" applyAlignment="1">
      <alignment horizontal="center" vertical="center"/>
    </xf>
    <xf numFmtId="0" fontId="158" fillId="33" borderId="22" xfId="0" applyFont="1" applyFill="1" applyBorder="1" applyAlignment="1">
      <alignment horizontal="center" vertical="center"/>
    </xf>
    <xf numFmtId="0" fontId="150" fillId="0" borderId="21" xfId="0" applyFont="1" applyBorder="1" applyAlignment="1">
      <alignment horizontal="center" vertical="center"/>
    </xf>
    <xf numFmtId="0" fontId="150" fillId="0" borderId="22" xfId="0" applyFont="1" applyBorder="1" applyAlignment="1">
      <alignment horizontal="center" vertical="center"/>
    </xf>
    <xf numFmtId="0" fontId="150" fillId="0" borderId="24" xfId="0" applyFont="1" applyBorder="1" applyAlignment="1">
      <alignment horizontal="center" vertical="center"/>
    </xf>
    <xf numFmtId="0" fontId="117" fillId="0" borderId="54" xfId="0" applyFont="1" applyBorder="1" applyAlignment="1">
      <alignment horizontal="center" vertical="center" wrapText="1"/>
    </xf>
    <xf numFmtId="0" fontId="158" fillId="0" borderId="78" xfId="0" applyFont="1" applyBorder="1" applyAlignment="1">
      <alignment horizontal="center" vertical="center" wrapText="1"/>
    </xf>
    <xf numFmtId="0" fontId="158" fillId="0" borderId="55" xfId="0" applyFont="1" applyBorder="1" applyAlignment="1">
      <alignment horizontal="center" vertical="center" wrapText="1"/>
    </xf>
    <xf numFmtId="0" fontId="158" fillId="0" borderId="79" xfId="0" applyFont="1" applyBorder="1" applyAlignment="1">
      <alignment horizontal="center" vertical="center" wrapText="1"/>
    </xf>
    <xf numFmtId="0" fontId="158" fillId="0" borderId="89" xfId="0" applyFont="1" applyBorder="1" applyAlignment="1">
      <alignment horizontal="center" vertical="center" wrapText="1"/>
    </xf>
    <xf numFmtId="0" fontId="158" fillId="0" borderId="57" xfId="0" applyFont="1" applyBorder="1" applyAlignment="1">
      <alignment horizontal="center" vertical="center" wrapText="1"/>
    </xf>
    <xf numFmtId="0" fontId="23" fillId="3" borderId="25" xfId="0" applyFont="1" applyFill="1" applyBorder="1" applyAlignment="1">
      <alignment horizontal="center" vertical="center"/>
    </xf>
    <xf numFmtId="0" fontId="23" fillId="3" borderId="2" xfId="0" applyFont="1" applyFill="1" applyBorder="1" applyAlignment="1">
      <alignment horizontal="center" vertical="center"/>
    </xf>
    <xf numFmtId="0" fontId="146" fillId="3" borderId="23" xfId="0" applyFont="1" applyFill="1" applyBorder="1" applyAlignment="1">
      <alignment horizontal="center" vertical="center"/>
    </xf>
    <xf numFmtId="0" fontId="158" fillId="72" borderId="51" xfId="0" applyFont="1" applyFill="1" applyBorder="1" applyAlignment="1">
      <alignment horizontal="center" vertical="center"/>
    </xf>
    <xf numFmtId="0" fontId="23" fillId="3" borderId="51" xfId="0" applyFont="1" applyFill="1" applyBorder="1" applyAlignment="1">
      <alignment horizontal="center" vertical="center"/>
    </xf>
    <xf numFmtId="0" fontId="146" fillId="3" borderId="51" xfId="0" applyFont="1" applyFill="1" applyBorder="1" applyAlignment="1">
      <alignment horizontal="center" vertical="center"/>
    </xf>
    <xf numFmtId="0" fontId="158" fillId="33" borderId="30" xfId="0" applyFont="1" applyFill="1" applyBorder="1" applyAlignment="1">
      <alignment horizontal="center" vertical="center"/>
    </xf>
    <xf numFmtId="0" fontId="167" fillId="3" borderId="25" xfId="0" applyFont="1" applyFill="1" applyBorder="1" applyAlignment="1">
      <alignment horizontal="center" vertical="center"/>
    </xf>
    <xf numFmtId="0" fontId="158" fillId="72" borderId="19" xfId="0" applyFont="1" applyFill="1" applyBorder="1" applyAlignment="1">
      <alignment horizontal="center" vertical="center"/>
    </xf>
    <xf numFmtId="0" fontId="167" fillId="3" borderId="19" xfId="0" applyFont="1" applyFill="1" applyBorder="1" applyAlignment="1">
      <alignment horizontal="center" vertical="center"/>
    </xf>
    <xf numFmtId="0" fontId="167" fillId="3" borderId="2" xfId="0" applyFont="1" applyFill="1" applyBorder="1" applyAlignment="1">
      <alignment horizontal="center" vertical="center"/>
    </xf>
    <xf numFmtId="0" fontId="166" fillId="3" borderId="2" xfId="0" applyFont="1" applyFill="1" applyBorder="1" applyAlignment="1">
      <alignment horizontal="center" vertical="center"/>
    </xf>
    <xf numFmtId="0" fontId="158" fillId="49" borderId="2" xfId="0" applyFont="1" applyFill="1" applyBorder="1" applyAlignment="1">
      <alignment horizontal="center" vertical="center"/>
    </xf>
    <xf numFmtId="0" fontId="168" fillId="4" borderId="2" xfId="0" applyFont="1" applyFill="1" applyBorder="1" applyAlignment="1">
      <alignment horizontal="center" vertical="center"/>
    </xf>
    <xf numFmtId="0" fontId="158" fillId="51" borderId="2" xfId="0" applyFont="1" applyFill="1" applyBorder="1" applyAlignment="1">
      <alignment horizontal="center" vertical="center"/>
    </xf>
    <xf numFmtId="0" fontId="158" fillId="49" borderId="20" xfId="0" applyFont="1" applyFill="1" applyBorder="1" applyAlignment="1">
      <alignment horizontal="center" vertical="center"/>
    </xf>
    <xf numFmtId="0" fontId="158" fillId="49" borderId="64" xfId="0" applyFont="1" applyFill="1" applyBorder="1" applyAlignment="1">
      <alignment horizontal="center" vertical="center"/>
    </xf>
    <xf numFmtId="0" fontId="166" fillId="3" borderId="20" xfId="0" applyFont="1" applyFill="1" applyBorder="1" applyAlignment="1">
      <alignment horizontal="center" vertical="center"/>
    </xf>
    <xf numFmtId="0" fontId="158" fillId="20" borderId="20" xfId="0" applyFont="1" applyFill="1" applyBorder="1" applyAlignment="1">
      <alignment horizontal="center" vertical="center"/>
    </xf>
    <xf numFmtId="0" fontId="158" fillId="20" borderId="64" xfId="0" applyFont="1" applyFill="1" applyBorder="1" applyAlignment="1">
      <alignment horizontal="center" vertical="center"/>
    </xf>
    <xf numFmtId="0" fontId="166" fillId="4" borderId="2" xfId="0" applyFont="1" applyFill="1" applyBorder="1" applyAlignment="1">
      <alignment horizontal="center" vertical="center"/>
    </xf>
    <xf numFmtId="0" fontId="171" fillId="35" borderId="20" xfId="0" applyFont="1" applyFill="1" applyBorder="1" applyAlignment="1">
      <alignment horizontal="center" vertical="center"/>
    </xf>
    <xf numFmtId="0" fontId="158" fillId="31" borderId="20" xfId="0" applyFont="1" applyFill="1" applyBorder="1" applyAlignment="1">
      <alignment horizontal="center" vertical="center"/>
    </xf>
    <xf numFmtId="0" fontId="158" fillId="22" borderId="37" xfId="0" applyFont="1" applyFill="1" applyBorder="1" applyAlignment="1">
      <alignment horizontal="center" vertical="center"/>
    </xf>
    <xf numFmtId="0" fontId="158" fillId="51" borderId="20" xfId="0" applyFont="1" applyFill="1" applyBorder="1" applyAlignment="1">
      <alignment horizontal="center" vertical="center"/>
    </xf>
    <xf numFmtId="0" fontId="167" fillId="3" borderId="20" xfId="0" applyFont="1" applyFill="1" applyBorder="1" applyAlignment="1">
      <alignment horizontal="center" vertical="center"/>
    </xf>
    <xf numFmtId="0" fontId="158" fillId="3" borderId="53" xfId="0" applyFont="1" applyFill="1" applyBorder="1" applyAlignment="1">
      <alignment horizontal="center" vertical="center"/>
    </xf>
    <xf numFmtId="0" fontId="158" fillId="3" borderId="32" xfId="0" applyFont="1" applyFill="1" applyBorder="1" applyAlignment="1">
      <alignment horizontal="center" vertical="center"/>
    </xf>
    <xf numFmtId="0" fontId="158" fillId="3" borderId="37" xfId="0" applyFont="1" applyFill="1" applyBorder="1" applyAlignment="1">
      <alignment horizontal="center" vertical="center"/>
    </xf>
    <xf numFmtId="0" fontId="23" fillId="3" borderId="32" xfId="0" applyFont="1" applyFill="1" applyBorder="1" applyAlignment="1">
      <alignment horizontal="center" vertical="center"/>
    </xf>
    <xf numFmtId="0" fontId="158" fillId="4" borderId="20" xfId="0" applyFont="1" applyFill="1" applyBorder="1" applyAlignment="1">
      <alignment horizontal="center" vertical="center"/>
    </xf>
    <xf numFmtId="0" fontId="158" fillId="72" borderId="33" xfId="0" applyFont="1" applyFill="1" applyBorder="1" applyAlignment="1">
      <alignment horizontal="center" vertical="center"/>
    </xf>
    <xf numFmtId="0" fontId="158" fillId="28" borderId="25" xfId="0" applyFont="1" applyFill="1" applyBorder="1" applyAlignment="1">
      <alignment horizontal="center" vertical="center"/>
    </xf>
    <xf numFmtId="0" fontId="177" fillId="0" borderId="0" xfId="0" applyFont="1" applyAlignment="1">
      <alignment horizontal="center" vertical="center"/>
    </xf>
    <xf numFmtId="0" fontId="158" fillId="72" borderId="45" xfId="0" applyFont="1" applyFill="1" applyBorder="1" applyAlignment="1">
      <alignment horizontal="center" vertical="center"/>
    </xf>
    <xf numFmtId="0" fontId="158" fillId="72" borderId="70" xfId="0" applyFont="1" applyFill="1" applyBorder="1" applyAlignment="1">
      <alignment horizontal="center" vertical="center"/>
    </xf>
    <xf numFmtId="0" fontId="158" fillId="51" borderId="22" xfId="0" applyFont="1" applyFill="1" applyBorder="1" applyAlignment="1">
      <alignment horizontal="center" vertical="center"/>
    </xf>
    <xf numFmtId="0" fontId="158" fillId="8" borderId="22" xfId="0" applyFont="1" applyFill="1" applyBorder="1" applyAlignment="1">
      <alignment horizontal="center" vertical="center"/>
    </xf>
    <xf numFmtId="0" fontId="158" fillId="72" borderId="21" xfId="0" applyFont="1" applyFill="1" applyBorder="1" applyAlignment="1">
      <alignment horizontal="center" vertical="center"/>
    </xf>
    <xf numFmtId="16" fontId="158" fillId="3" borderId="30" xfId="0" applyNumberFormat="1" applyFont="1" applyFill="1" applyBorder="1" applyAlignment="1">
      <alignment horizontal="center" vertical="center"/>
    </xf>
    <xf numFmtId="0" fontId="158" fillId="15" borderId="20" xfId="0" applyFont="1" applyFill="1" applyBorder="1" applyAlignment="1">
      <alignment horizontal="center" vertical="center"/>
    </xf>
    <xf numFmtId="0" fontId="158" fillId="71" borderId="20" xfId="0" applyFont="1" applyFill="1" applyBorder="1" applyAlignment="1">
      <alignment horizontal="center" vertical="center"/>
    </xf>
    <xf numFmtId="0" fontId="158" fillId="72" borderId="20" xfId="0" applyFont="1" applyFill="1" applyBorder="1" applyAlignment="1">
      <alignment horizontal="center" vertical="center"/>
    </xf>
    <xf numFmtId="0" fontId="158" fillId="12" borderId="25" xfId="0" applyFont="1" applyFill="1" applyBorder="1" applyAlignment="1">
      <alignment horizontal="center" vertical="center"/>
    </xf>
    <xf numFmtId="0" fontId="158" fillId="12" borderId="51" xfId="0" applyFont="1" applyFill="1" applyBorder="1" applyAlignment="1">
      <alignment horizontal="center" vertical="center"/>
    </xf>
    <xf numFmtId="0" fontId="158" fillId="16" borderId="2" xfId="0" applyFont="1" applyFill="1" applyBorder="1" applyAlignment="1">
      <alignment horizontal="center" vertical="center"/>
    </xf>
    <xf numFmtId="0" fontId="158" fillId="23" borderId="23" xfId="0" applyFont="1" applyFill="1" applyBorder="1" applyAlignment="1">
      <alignment horizontal="center" vertical="center"/>
    </xf>
    <xf numFmtId="0" fontId="158" fillId="23" borderId="20" xfId="0" applyFont="1" applyFill="1" applyBorder="1" applyAlignment="1">
      <alignment horizontal="center" vertical="center"/>
    </xf>
    <xf numFmtId="0" fontId="158" fillId="23" borderId="51" xfId="0" applyFont="1" applyFill="1" applyBorder="1" applyAlignment="1">
      <alignment horizontal="center" vertical="center"/>
    </xf>
    <xf numFmtId="0" fontId="158" fillId="12" borderId="23" xfId="0" applyFont="1" applyFill="1" applyBorder="1" applyAlignment="1">
      <alignment horizontal="center" vertical="center"/>
    </xf>
    <xf numFmtId="0" fontId="158" fillId="47" borderId="2" xfId="0" applyFont="1" applyFill="1" applyBorder="1" applyAlignment="1">
      <alignment horizontal="center" vertical="center"/>
    </xf>
    <xf numFmtId="0" fontId="158" fillId="26" borderId="30" xfId="0" applyFont="1" applyFill="1" applyBorder="1" applyAlignment="1">
      <alignment horizontal="center" vertical="center"/>
    </xf>
    <xf numFmtId="0" fontId="158" fillId="0" borderId="62" xfId="0" applyFont="1" applyBorder="1" applyAlignment="1">
      <alignment horizontal="center" vertical="center" wrapText="1"/>
    </xf>
    <xf numFmtId="0" fontId="158" fillId="0" borderId="53" xfId="0" applyFont="1" applyBorder="1" applyAlignment="1">
      <alignment horizontal="center" vertical="center" wrapText="1"/>
    </xf>
    <xf numFmtId="0" fontId="158" fillId="0" borderId="72" xfId="0" applyFont="1" applyBorder="1" applyAlignment="1">
      <alignment horizontal="center" vertical="center"/>
    </xf>
    <xf numFmtId="0" fontId="171" fillId="8" borderId="34" xfId="0" applyFont="1" applyFill="1" applyBorder="1" applyAlignment="1">
      <alignment horizontal="center" vertical="center"/>
    </xf>
    <xf numFmtId="0" fontId="158" fillId="0" borderId="98" xfId="0" applyFont="1" applyBorder="1" applyAlignment="1">
      <alignment horizontal="center" vertical="center"/>
    </xf>
    <xf numFmtId="0" fontId="158" fillId="20" borderId="47" xfId="0" applyFont="1" applyFill="1" applyBorder="1" applyAlignment="1">
      <alignment horizontal="center" vertical="center"/>
    </xf>
    <xf numFmtId="0" fontId="158" fillId="0" borderId="86" xfId="0" applyFont="1" applyBorder="1" applyAlignment="1">
      <alignment horizontal="center" vertical="center"/>
    </xf>
    <xf numFmtId="0" fontId="158" fillId="47" borderId="22" xfId="0" applyFont="1" applyFill="1" applyBorder="1" applyAlignment="1">
      <alignment horizontal="center" vertical="center"/>
    </xf>
    <xf numFmtId="0" fontId="158" fillId="43" borderId="25" xfId="0" applyFont="1" applyFill="1" applyBorder="1" applyAlignment="1">
      <alignment horizontal="center" vertical="center"/>
    </xf>
    <xf numFmtId="0" fontId="158" fillId="43" borderId="51" xfId="0" applyFont="1" applyFill="1" applyBorder="1" applyAlignment="1">
      <alignment horizontal="center" vertical="center"/>
    </xf>
    <xf numFmtId="0" fontId="158" fillId="0" borderId="37" xfId="0" applyFont="1" applyBorder="1" applyAlignment="1">
      <alignment horizontal="center" vertical="center" wrapText="1"/>
    </xf>
    <xf numFmtId="0" fontId="158" fillId="31" borderId="25" xfId="0" applyFont="1" applyFill="1" applyBorder="1" applyAlignment="1">
      <alignment horizontal="center" vertical="center"/>
    </xf>
    <xf numFmtId="0" fontId="158" fillId="0" borderId="34" xfId="0" applyFont="1" applyBorder="1" applyAlignment="1">
      <alignment horizontal="center" vertical="center" wrapText="1"/>
    </xf>
    <xf numFmtId="0" fontId="158" fillId="0" borderId="36" xfId="0" applyFont="1" applyBorder="1" applyAlignment="1">
      <alignment horizontal="center" vertical="center" wrapText="1"/>
    </xf>
    <xf numFmtId="0" fontId="176" fillId="0" borderId="19" xfId="0" applyFont="1" applyBorder="1" applyAlignment="1">
      <alignment horizontal="center" vertical="center" wrapText="1"/>
    </xf>
    <xf numFmtId="0" fontId="158" fillId="0" borderId="81" xfId="0" applyFont="1" applyBorder="1" applyAlignment="1">
      <alignment horizontal="center" vertical="center"/>
    </xf>
    <xf numFmtId="0" fontId="158" fillId="3" borderId="54" xfId="0" applyFont="1" applyFill="1" applyBorder="1" applyAlignment="1">
      <alignment horizontal="center" vertical="center"/>
    </xf>
    <xf numFmtId="0" fontId="158" fillId="0" borderId="92" xfId="0" applyFont="1" applyBorder="1" applyAlignment="1">
      <alignment horizontal="center" vertical="center"/>
    </xf>
    <xf numFmtId="0" fontId="134" fillId="0" borderId="19" xfId="0" applyFont="1" applyBorder="1" applyAlignment="1">
      <alignment vertical="center"/>
    </xf>
    <xf numFmtId="0" fontId="178" fillId="8" borderId="2" xfId="0" applyFont="1" applyFill="1" applyBorder="1" applyAlignment="1">
      <alignment horizontal="center" vertical="center"/>
    </xf>
    <xf numFmtId="0" fontId="134" fillId="0" borderId="20" xfId="0" applyFont="1" applyBorder="1" applyAlignment="1">
      <alignment vertical="center"/>
    </xf>
    <xf numFmtId="0" fontId="158" fillId="0" borderId="1" xfId="0" applyFont="1" applyBorder="1" applyAlignment="1">
      <alignment horizontal="center" vertical="center" wrapText="1"/>
    </xf>
    <xf numFmtId="0" fontId="134" fillId="0" borderId="23" xfId="0" applyFont="1" applyBorder="1" applyAlignment="1">
      <alignment vertical="center"/>
    </xf>
    <xf numFmtId="0" fontId="150" fillId="0" borderId="33" xfId="0" applyFont="1" applyBorder="1" applyAlignment="1">
      <alignment horizontal="center" vertical="center"/>
    </xf>
    <xf numFmtId="0" fontId="158" fillId="0" borderId="59" xfId="0" applyFont="1" applyBorder="1" applyAlignment="1">
      <alignment horizontal="center" vertical="center" wrapText="1"/>
    </xf>
    <xf numFmtId="0" fontId="158" fillId="29" borderId="2" xfId="0" applyFont="1" applyFill="1" applyBorder="1" applyAlignment="1">
      <alignment horizontal="center" vertical="center"/>
    </xf>
    <xf numFmtId="0" fontId="168" fillId="3" borderId="51" xfId="0" applyFont="1" applyFill="1" applyBorder="1" applyAlignment="1">
      <alignment horizontal="center" vertical="center"/>
    </xf>
    <xf numFmtId="0" fontId="167" fillId="3" borderId="51" xfId="0" applyFont="1" applyFill="1" applyBorder="1" applyAlignment="1">
      <alignment horizontal="center" vertical="center"/>
    </xf>
    <xf numFmtId="0" fontId="173" fillId="32" borderId="2" xfId="0" applyFont="1" applyFill="1" applyBorder="1" applyAlignment="1">
      <alignment horizontal="center" vertical="center"/>
    </xf>
    <xf numFmtId="0" fontId="158" fillId="29" borderId="20" xfId="0" applyFont="1" applyFill="1" applyBorder="1" applyAlignment="1">
      <alignment horizontal="center" vertical="center"/>
    </xf>
    <xf numFmtId="0" fontId="171" fillId="3" borderId="2" xfId="0" applyFont="1" applyFill="1" applyBorder="1" applyAlignment="1">
      <alignment horizontal="center" vertical="center"/>
    </xf>
    <xf numFmtId="0" fontId="166" fillId="22" borderId="2" xfId="0" applyFont="1" applyFill="1" applyBorder="1" applyAlignment="1">
      <alignment horizontal="center" vertical="center"/>
    </xf>
    <xf numFmtId="0" fontId="167" fillId="3" borderId="23" xfId="0" applyFont="1" applyFill="1" applyBorder="1" applyAlignment="1">
      <alignment horizontal="center" vertical="center"/>
    </xf>
    <xf numFmtId="0" fontId="168" fillId="3" borderId="20" xfId="0" applyFont="1" applyFill="1" applyBorder="1" applyAlignment="1">
      <alignment horizontal="center" vertical="center"/>
    </xf>
    <xf numFmtId="0" fontId="166" fillId="3" borderId="23" xfId="0" applyFont="1" applyFill="1" applyBorder="1" applyAlignment="1">
      <alignment horizontal="center" vertical="center"/>
    </xf>
    <xf numFmtId="0" fontId="117" fillId="0" borderId="53" xfId="0" applyFont="1" applyBorder="1" applyAlignment="1">
      <alignment horizontal="center" vertical="center" wrapText="1"/>
    </xf>
    <xf numFmtId="0" fontId="171" fillId="8" borderId="36" xfId="0" applyFont="1" applyFill="1" applyBorder="1" applyAlignment="1">
      <alignment horizontal="center" vertical="center"/>
    </xf>
    <xf numFmtId="0" fontId="134" fillId="0" borderId="32" xfId="0" applyFont="1" applyBorder="1" applyAlignment="1">
      <alignment vertical="center"/>
    </xf>
    <xf numFmtId="0" fontId="158" fillId="0" borderId="102" xfId="0" applyFont="1" applyBorder="1" applyAlignment="1">
      <alignment horizontal="center" vertical="center" wrapText="1"/>
    </xf>
    <xf numFmtId="0" fontId="158" fillId="0" borderId="88" xfId="0" applyFont="1" applyBorder="1" applyAlignment="1">
      <alignment horizontal="center" vertical="center" wrapText="1"/>
    </xf>
    <xf numFmtId="0" fontId="158" fillId="0" borderId="90" xfId="0" applyFont="1" applyBorder="1" applyAlignment="1">
      <alignment horizontal="center" vertical="center" wrapText="1"/>
    </xf>
    <xf numFmtId="0" fontId="134" fillId="0" borderId="60" xfId="0" applyFont="1" applyBorder="1" applyAlignment="1">
      <alignment vertical="center"/>
    </xf>
    <xf numFmtId="0" fontId="158" fillId="0" borderId="104" xfId="0" applyFont="1" applyBorder="1" applyAlignment="1">
      <alignment horizontal="center" vertical="center" wrapText="1"/>
    </xf>
    <xf numFmtId="0" fontId="158" fillId="29" borderId="22" xfId="0" applyFont="1" applyFill="1" applyBorder="1" applyAlignment="1">
      <alignment horizontal="center" vertical="center"/>
    </xf>
    <xf numFmtId="0" fontId="134" fillId="0" borderId="26" xfId="0" applyFont="1" applyBorder="1" applyAlignment="1">
      <alignment vertical="center"/>
    </xf>
    <xf numFmtId="0" fontId="158" fillId="3" borderId="68" xfId="0" applyFont="1" applyFill="1" applyBorder="1" applyAlignment="1">
      <alignment horizontal="center" vertical="center"/>
    </xf>
    <xf numFmtId="0" fontId="158" fillId="43" borderId="22" xfId="0" applyFont="1" applyFill="1" applyBorder="1" applyAlignment="1">
      <alignment horizontal="center" vertical="center"/>
    </xf>
    <xf numFmtId="0" fontId="171" fillId="8" borderId="69" xfId="0" applyFont="1" applyFill="1" applyBorder="1" applyAlignment="1">
      <alignment horizontal="center" vertical="center"/>
    </xf>
    <xf numFmtId="0" fontId="134" fillId="0" borderId="46" xfId="0" applyFont="1" applyBorder="1" applyAlignment="1">
      <alignment vertical="center"/>
    </xf>
    <xf numFmtId="0" fontId="158" fillId="0" borderId="91" xfId="0" applyFont="1" applyBorder="1" applyAlignment="1">
      <alignment horizontal="center" vertical="center" wrapText="1"/>
    </xf>
    <xf numFmtId="0" fontId="134" fillId="0" borderId="34" xfId="0" applyFont="1" applyBorder="1" applyAlignment="1">
      <alignment vertical="center"/>
    </xf>
    <xf numFmtId="49" fontId="2" fillId="5" borderId="20" xfId="0" applyNumberFormat="1" applyFont="1" applyFill="1" applyBorder="1" applyAlignment="1">
      <alignment horizontal="center" vertical="center" wrapText="1"/>
    </xf>
    <xf numFmtId="0" fontId="151" fillId="3" borderId="20" xfId="0" applyFont="1" applyFill="1" applyBorder="1" applyAlignment="1">
      <alignment horizontal="center" vertical="center" wrapText="1"/>
    </xf>
    <xf numFmtId="0" fontId="2" fillId="0" borderId="20" xfId="0" applyFont="1" applyBorder="1" applyAlignment="1">
      <alignment horizontal="center" vertical="center" wrapText="1"/>
    </xf>
    <xf numFmtId="0" fontId="2" fillId="0" borderId="20" xfId="0" applyFont="1" applyBorder="1" applyAlignment="1">
      <alignment horizontal="center" vertical="center"/>
    </xf>
    <xf numFmtId="0" fontId="0" fillId="0" borderId="0" xfId="0" pivotButton="1" applyAlignment="1">
      <alignment horizontal="center"/>
    </xf>
    <xf numFmtId="0" fontId="158" fillId="29" borderId="30" xfId="0" applyFont="1" applyFill="1" applyBorder="1" applyAlignment="1">
      <alignment horizontal="center" vertical="center"/>
    </xf>
    <xf numFmtId="0" fontId="158" fillId="15" borderId="22" xfId="0" applyFont="1" applyFill="1" applyBorder="1" applyAlignment="1">
      <alignment horizontal="center" vertical="center"/>
    </xf>
    <xf numFmtId="0" fontId="171" fillId="8" borderId="73" xfId="0" applyFont="1" applyFill="1" applyBorder="1" applyAlignment="1">
      <alignment horizontal="center" vertical="center"/>
    </xf>
    <xf numFmtId="0" fontId="134" fillId="0" borderId="61" xfId="0" applyFont="1" applyBorder="1" applyAlignment="1">
      <alignment vertical="center"/>
    </xf>
    <xf numFmtId="0" fontId="158" fillId="0" borderId="30" xfId="0" applyFont="1" applyBorder="1" applyAlignment="1">
      <alignment horizontal="center" vertical="center" wrapText="1"/>
    </xf>
    <xf numFmtId="0" fontId="134" fillId="0" borderId="74" xfId="0" applyFont="1" applyBorder="1" applyAlignment="1">
      <alignment vertical="center"/>
    </xf>
    <xf numFmtId="0" fontId="158" fillId="0" borderId="35" xfId="0" applyFont="1" applyBorder="1" applyAlignment="1">
      <alignment horizontal="center" vertical="center" wrapText="1"/>
    </xf>
    <xf numFmtId="0" fontId="134" fillId="0" borderId="73" xfId="0" applyFont="1" applyBorder="1" applyAlignment="1">
      <alignment vertical="center"/>
    </xf>
    <xf numFmtId="0" fontId="158" fillId="29" borderId="19" xfId="0" applyFont="1" applyFill="1" applyBorder="1" applyAlignment="1">
      <alignment horizontal="center" vertical="center"/>
    </xf>
    <xf numFmtId="0" fontId="158" fillId="29" borderId="21" xfId="0" applyFont="1" applyFill="1" applyBorder="1" applyAlignment="1">
      <alignment horizontal="center" vertical="center"/>
    </xf>
    <xf numFmtId="0" fontId="134" fillId="0" borderId="36" xfId="0" applyFont="1" applyBorder="1" applyAlignment="1">
      <alignment vertical="center"/>
    </xf>
    <xf numFmtId="0" fontId="134" fillId="0" borderId="37" xfId="0" applyFont="1" applyBorder="1" applyAlignment="1">
      <alignment vertical="center"/>
    </xf>
    <xf numFmtId="0" fontId="158" fillId="0" borderId="31" xfId="0" applyFont="1" applyBorder="1" applyAlignment="1">
      <alignment horizontal="center" vertical="center" wrapText="1"/>
    </xf>
    <xf numFmtId="0" fontId="158" fillId="3" borderId="35" xfId="0" applyFont="1" applyFill="1" applyBorder="1" applyAlignment="1">
      <alignment horizontal="center" vertical="center"/>
    </xf>
    <xf numFmtId="0" fontId="166" fillId="3" borderId="18" xfId="0" applyFont="1" applyFill="1" applyBorder="1" applyAlignment="1">
      <alignment horizontal="center" vertical="center"/>
    </xf>
    <xf numFmtId="0" fontId="146" fillId="3" borderId="21" xfId="0" applyFont="1" applyFill="1" applyBorder="1" applyAlignment="1">
      <alignment horizontal="center" vertical="center"/>
    </xf>
    <xf numFmtId="0" fontId="134" fillId="0" borderId="78" xfId="0" applyFont="1" applyBorder="1" applyAlignment="1">
      <alignment vertical="center"/>
    </xf>
    <xf numFmtId="0" fontId="166" fillId="3" borderId="26" xfId="0" applyFont="1" applyFill="1" applyBorder="1" applyAlignment="1">
      <alignment horizontal="center" vertical="center"/>
    </xf>
    <xf numFmtId="0" fontId="146" fillId="3" borderId="22" xfId="0" applyFont="1" applyFill="1" applyBorder="1" applyAlignment="1">
      <alignment horizontal="center" vertical="center"/>
    </xf>
    <xf numFmtId="0" fontId="134" fillId="0" borderId="55" xfId="0" applyFont="1" applyBorder="1" applyAlignment="1">
      <alignment vertical="center"/>
    </xf>
    <xf numFmtId="0" fontId="166" fillId="3" borderId="27" xfId="0" applyFont="1" applyFill="1" applyBorder="1" applyAlignment="1">
      <alignment horizontal="center" vertical="center"/>
    </xf>
    <xf numFmtId="0" fontId="146" fillId="3" borderId="24" xfId="0" applyFont="1" applyFill="1" applyBorder="1" applyAlignment="1">
      <alignment horizontal="center" vertical="center"/>
    </xf>
    <xf numFmtId="0" fontId="168" fillId="3" borderId="26" xfId="0" applyFont="1" applyFill="1" applyBorder="1" applyAlignment="1">
      <alignment horizontal="center" vertical="center"/>
    </xf>
    <xf numFmtId="0" fontId="168" fillId="3" borderId="22" xfId="0" applyFont="1" applyFill="1" applyBorder="1" applyAlignment="1">
      <alignment horizontal="center" vertical="center"/>
    </xf>
    <xf numFmtId="0" fontId="17" fillId="22" borderId="55" xfId="0" applyFont="1" applyFill="1" applyBorder="1" applyAlignment="1">
      <alignment horizontal="center" vertical="center"/>
    </xf>
    <xf numFmtId="0" fontId="134" fillId="22" borderId="32" xfId="0" applyFont="1" applyFill="1" applyBorder="1" applyAlignment="1">
      <alignment vertical="center"/>
    </xf>
    <xf numFmtId="0" fontId="23" fillId="3" borderId="22" xfId="0" applyFont="1" applyFill="1" applyBorder="1" applyAlignment="1">
      <alignment horizontal="center" vertical="center"/>
    </xf>
    <xf numFmtId="0" fontId="17" fillId="0" borderId="55" xfId="0" applyFont="1" applyBorder="1" applyAlignment="1">
      <alignment horizontal="center" vertical="center"/>
    </xf>
    <xf numFmtId="0" fontId="158" fillId="29" borderId="25" xfId="0" applyFont="1" applyFill="1" applyBorder="1" applyAlignment="1">
      <alignment horizontal="center" vertical="center"/>
    </xf>
    <xf numFmtId="0" fontId="158" fillId="29" borderId="33" xfId="0" applyFont="1" applyFill="1" applyBorder="1" applyAlignment="1">
      <alignment horizontal="center" vertical="center"/>
    </xf>
    <xf numFmtId="0" fontId="166" fillId="3" borderId="46" xfId="0" applyFont="1" applyFill="1" applyBorder="1" applyAlignment="1">
      <alignment horizontal="center" vertical="center"/>
    </xf>
    <xf numFmtId="0" fontId="167" fillId="3" borderId="26" xfId="0" applyFont="1" applyFill="1" applyBorder="1" applyAlignment="1">
      <alignment horizontal="center" vertical="center"/>
    </xf>
    <xf numFmtId="0" fontId="167" fillId="3" borderId="22" xfId="0" applyFont="1" applyFill="1" applyBorder="1" applyAlignment="1">
      <alignment horizontal="center" vertical="center"/>
    </xf>
    <xf numFmtId="0" fontId="17" fillId="0" borderId="57" xfId="0" applyFont="1" applyBorder="1" applyAlignment="1">
      <alignment horizontal="center" vertical="center"/>
    </xf>
    <xf numFmtId="0" fontId="158" fillId="29" borderId="35" xfId="0" applyFont="1" applyFill="1" applyBorder="1" applyAlignment="1">
      <alignment horizontal="center" vertical="center"/>
    </xf>
    <xf numFmtId="0" fontId="23" fillId="3" borderId="21" xfId="0" applyFont="1" applyFill="1" applyBorder="1" applyAlignment="1">
      <alignment horizontal="center" vertical="center"/>
    </xf>
    <xf numFmtId="0" fontId="158" fillId="25" borderId="20" xfId="0" applyFont="1" applyFill="1" applyBorder="1" applyAlignment="1">
      <alignment horizontal="center" vertical="center"/>
    </xf>
    <xf numFmtId="0" fontId="158" fillId="17" borderId="30" xfId="0" applyFont="1" applyFill="1" applyBorder="1" applyAlignment="1">
      <alignment horizontal="center" vertical="center"/>
    </xf>
    <xf numFmtId="0" fontId="158" fillId="17" borderId="2" xfId="0" applyFont="1" applyFill="1" applyBorder="1" applyAlignment="1">
      <alignment horizontal="center" vertical="center"/>
    </xf>
    <xf numFmtId="0" fontId="158" fillId="20" borderId="30" xfId="0" applyFont="1" applyFill="1" applyBorder="1" applyAlignment="1">
      <alignment horizontal="center" vertical="center"/>
    </xf>
    <xf numFmtId="0" fontId="146" fillId="3" borderId="46" xfId="0" applyFont="1" applyFill="1" applyBorder="1" applyAlignment="1">
      <alignment horizontal="center" vertical="center"/>
    </xf>
    <xf numFmtId="0" fontId="166" fillId="22" borderId="46" xfId="0" applyFont="1" applyFill="1" applyBorder="1" applyAlignment="1">
      <alignment horizontal="center" vertical="center"/>
    </xf>
    <xf numFmtId="0" fontId="23" fillId="22" borderId="22" xfId="0" applyFont="1" applyFill="1" applyBorder="1" applyAlignment="1">
      <alignment horizontal="center" vertical="center"/>
    </xf>
    <xf numFmtId="0" fontId="168" fillId="3" borderId="27" xfId="0" applyFont="1" applyFill="1" applyBorder="1" applyAlignment="1">
      <alignment horizontal="center" vertical="center"/>
    </xf>
    <xf numFmtId="0" fontId="134" fillId="0" borderId="79" xfId="0" applyFont="1" applyBorder="1" applyAlignment="1">
      <alignment vertical="center"/>
    </xf>
    <xf numFmtId="0" fontId="168" fillId="3" borderId="19" xfId="0" applyFont="1" applyFill="1" applyBorder="1" applyAlignment="1">
      <alignment horizontal="center" vertical="center"/>
    </xf>
    <xf numFmtId="0" fontId="134" fillId="0" borderId="2" xfId="0" applyFont="1" applyBorder="1" applyAlignment="1">
      <alignment horizontal="center" vertical="center"/>
    </xf>
    <xf numFmtId="20" fontId="167" fillId="4" borderId="2" xfId="0" applyNumberFormat="1" applyFont="1" applyFill="1" applyBorder="1" applyAlignment="1">
      <alignment horizontal="center" vertical="center"/>
    </xf>
    <xf numFmtId="0" fontId="167" fillId="4" borderId="2" xfId="0" applyFont="1" applyFill="1" applyBorder="1" applyAlignment="1">
      <alignment horizontal="center" vertical="center"/>
    </xf>
    <xf numFmtId="0" fontId="158" fillId="29" borderId="23" xfId="0" applyFont="1" applyFill="1" applyBorder="1" applyAlignment="1">
      <alignment horizontal="center" vertical="center"/>
    </xf>
    <xf numFmtId="0" fontId="134" fillId="0" borderId="23" xfId="0" applyFont="1" applyBorder="1" applyAlignment="1">
      <alignment horizontal="center" vertical="center"/>
    </xf>
    <xf numFmtId="0" fontId="167" fillId="3" borderId="18" xfId="0" applyFont="1" applyFill="1" applyBorder="1" applyAlignment="1">
      <alignment horizontal="center" vertical="center"/>
    </xf>
    <xf numFmtId="0" fontId="167" fillId="3" borderId="21" xfId="0" applyFont="1" applyFill="1" applyBorder="1" applyAlignment="1">
      <alignment horizontal="center" vertical="center"/>
    </xf>
    <xf numFmtId="0" fontId="167" fillId="3" borderId="24" xfId="0" applyFont="1" applyFill="1" applyBorder="1" applyAlignment="1">
      <alignment horizontal="center" vertical="center"/>
    </xf>
    <xf numFmtId="0" fontId="171" fillId="3" borderId="73" xfId="0" applyFont="1" applyFill="1" applyBorder="1" applyAlignment="1">
      <alignment horizontal="center" vertical="center"/>
    </xf>
    <xf numFmtId="0" fontId="167" fillId="3" borderId="73" xfId="0" applyFont="1" applyFill="1" applyBorder="1" applyAlignment="1">
      <alignment horizontal="center" vertical="center"/>
    </xf>
    <xf numFmtId="0" fontId="134" fillId="3" borderId="2" xfId="0" applyFont="1" applyFill="1" applyBorder="1" applyAlignment="1">
      <alignment vertical="center"/>
    </xf>
    <xf numFmtId="0" fontId="134" fillId="0" borderId="32" xfId="0" applyFont="1" applyBorder="1" applyAlignment="1">
      <alignment horizontal="center" vertical="center"/>
    </xf>
    <xf numFmtId="0" fontId="57" fillId="0" borderId="36" xfId="0" applyFont="1" applyBorder="1" applyAlignment="1">
      <alignment horizontal="center" vertical="center"/>
    </xf>
    <xf numFmtId="0" fontId="57" fillId="0" borderId="32" xfId="0" applyFont="1" applyBorder="1" applyAlignment="1">
      <alignment horizontal="center" vertical="center"/>
    </xf>
    <xf numFmtId="0" fontId="57" fillId="0" borderId="2" xfId="0" applyFont="1" applyBorder="1" applyAlignment="1">
      <alignment horizontal="center" vertical="center"/>
    </xf>
    <xf numFmtId="0" fontId="57" fillId="0" borderId="37" xfId="0" applyFont="1" applyBorder="1" applyAlignment="1">
      <alignment horizontal="center" vertical="center"/>
    </xf>
    <xf numFmtId="16" fontId="158" fillId="3" borderId="34" xfId="0" applyNumberFormat="1" applyFont="1" applyFill="1" applyBorder="1" applyAlignment="1">
      <alignment horizontal="center" vertical="center"/>
    </xf>
    <xf numFmtId="16" fontId="158" fillId="3" borderId="49" xfId="0" applyNumberFormat="1" applyFont="1" applyFill="1" applyBorder="1" applyAlignment="1">
      <alignment horizontal="center" vertical="center"/>
    </xf>
    <xf numFmtId="16" fontId="158" fillId="3" borderId="74" xfId="0" applyNumberFormat="1" applyFont="1" applyFill="1" applyBorder="1" applyAlignment="1">
      <alignment horizontal="center" vertical="center"/>
    </xf>
    <xf numFmtId="16" fontId="158" fillId="3" borderId="35" xfId="0" applyNumberFormat="1" applyFont="1" applyFill="1" applyBorder="1" applyAlignment="1">
      <alignment horizontal="center" vertical="center"/>
    </xf>
    <xf numFmtId="0" fontId="158" fillId="3" borderId="52" xfId="0" applyFont="1" applyFill="1" applyBorder="1" applyAlignment="1">
      <alignment horizontal="center" vertical="center"/>
    </xf>
    <xf numFmtId="0" fontId="158" fillId="3" borderId="36" xfId="0" applyFont="1" applyFill="1" applyBorder="1" applyAlignment="1">
      <alignment horizontal="center" vertical="center"/>
    </xf>
    <xf numFmtId="0" fontId="158" fillId="0" borderId="78" xfId="0" applyFont="1" applyBorder="1" applyAlignment="1">
      <alignment horizontal="center" vertical="center"/>
    </xf>
    <xf numFmtId="0" fontId="158" fillId="0" borderId="57" xfId="0" applyFont="1" applyBorder="1" applyAlignment="1">
      <alignment horizontal="center" vertical="center"/>
    </xf>
    <xf numFmtId="0" fontId="158" fillId="0" borderId="79" xfId="0" applyFont="1" applyBorder="1" applyAlignment="1">
      <alignment horizontal="center" vertical="center"/>
    </xf>
    <xf numFmtId="0" fontId="158" fillId="0" borderId="88" xfId="0" applyFont="1" applyBorder="1" applyAlignment="1">
      <alignment horizontal="center" vertical="center"/>
    </xf>
    <xf numFmtId="0" fontId="158" fillId="0" borderId="104" xfId="0" applyFont="1" applyBorder="1" applyAlignment="1">
      <alignment horizontal="center" vertical="center"/>
    </xf>
    <xf numFmtId="0" fontId="158" fillId="0" borderId="61" xfId="0" applyFont="1" applyBorder="1" applyAlignment="1">
      <alignment horizontal="center" vertical="center"/>
    </xf>
    <xf numFmtId="0" fontId="158" fillId="0" borderId="90" xfId="0" applyFont="1" applyBorder="1" applyAlignment="1">
      <alignment horizontal="center" vertical="center"/>
    </xf>
    <xf numFmtId="0" fontId="158" fillId="3" borderId="55" xfId="0" applyFont="1" applyFill="1" applyBorder="1" applyAlignment="1">
      <alignment horizontal="center" vertical="center"/>
    </xf>
    <xf numFmtId="0" fontId="158" fillId="0" borderId="91" xfId="0" applyFont="1" applyBorder="1" applyAlignment="1">
      <alignment horizontal="center" vertical="center"/>
    </xf>
    <xf numFmtId="0" fontId="134" fillId="0" borderId="57" xfId="0" applyFont="1" applyBorder="1" applyAlignment="1">
      <alignment vertical="center"/>
    </xf>
    <xf numFmtId="0" fontId="57" fillId="0" borderId="34" xfId="0" applyFont="1" applyBorder="1" applyAlignment="1">
      <alignment horizontal="center" vertical="center"/>
    </xf>
    <xf numFmtId="0" fontId="150" fillId="0" borderId="61" xfId="0" applyFont="1" applyBorder="1" applyAlignment="1">
      <alignment horizontal="center" vertical="center"/>
    </xf>
    <xf numFmtId="0" fontId="158" fillId="3" borderId="47" xfId="0" applyFont="1" applyFill="1" applyBorder="1" applyAlignment="1">
      <alignment horizontal="center" vertical="center" wrapText="1"/>
    </xf>
    <xf numFmtId="0" fontId="150" fillId="0" borderId="18" xfId="0" applyFont="1" applyBorder="1" applyAlignment="1">
      <alignment horizontal="center" vertical="center"/>
    </xf>
    <xf numFmtId="0" fontId="158" fillId="0" borderId="105" xfId="0" applyFont="1" applyBorder="1" applyAlignment="1">
      <alignment horizontal="center" vertical="center"/>
    </xf>
    <xf numFmtId="16" fontId="158" fillId="3" borderId="28" xfId="0" applyNumberFormat="1" applyFont="1" applyFill="1" applyBorder="1" applyAlignment="1">
      <alignment horizontal="center" vertical="center"/>
    </xf>
    <xf numFmtId="49" fontId="150" fillId="0" borderId="28" xfId="0" applyNumberFormat="1" applyFont="1" applyBorder="1" applyAlignment="1">
      <alignment horizontal="center" vertical="center"/>
    </xf>
    <xf numFmtId="0" fontId="158" fillId="3" borderId="28" xfId="0" applyFont="1" applyFill="1" applyBorder="1" applyAlignment="1">
      <alignment horizontal="center" vertical="center"/>
    </xf>
    <xf numFmtId="0" fontId="158" fillId="3" borderId="29" xfId="0" applyFont="1" applyFill="1" applyBorder="1" applyAlignment="1">
      <alignment horizontal="center" vertical="center" wrapText="1"/>
    </xf>
    <xf numFmtId="0" fontId="150" fillId="0" borderId="63" xfId="0" applyFont="1" applyBorder="1" applyAlignment="1">
      <alignment horizontal="center" vertical="center"/>
    </xf>
    <xf numFmtId="0" fontId="158" fillId="0" borderId="83" xfId="0" applyFont="1" applyBorder="1" applyAlignment="1">
      <alignment horizontal="center" vertical="center"/>
    </xf>
    <xf numFmtId="0" fontId="158" fillId="0" borderId="82" xfId="0" applyFont="1" applyBorder="1" applyAlignment="1">
      <alignment horizontal="center" vertical="center"/>
    </xf>
    <xf numFmtId="0" fontId="150" fillId="0" borderId="28" xfId="0" applyFont="1" applyBorder="1" applyAlignment="1">
      <alignment horizontal="center" vertical="center" wrapText="1"/>
    </xf>
    <xf numFmtId="0" fontId="158" fillId="0" borderId="28" xfId="0" applyFont="1" applyBorder="1" applyAlignment="1">
      <alignment horizontal="center" vertical="center"/>
    </xf>
    <xf numFmtId="0" fontId="150" fillId="0" borderId="28" xfId="0" applyFont="1" applyBorder="1" applyAlignment="1">
      <alignment horizontal="center" vertical="center"/>
    </xf>
    <xf numFmtId="0" fontId="117" fillId="0" borderId="29" xfId="0" applyFont="1" applyBorder="1" applyAlignment="1">
      <alignment horizontal="center" vertical="center" wrapText="1"/>
    </xf>
    <xf numFmtId="0" fontId="158" fillId="0" borderId="102" xfId="0" applyFont="1" applyBorder="1" applyAlignment="1">
      <alignment horizontal="center" vertical="center"/>
    </xf>
    <xf numFmtId="0" fontId="158" fillId="29" borderId="64" xfId="0" applyFont="1" applyFill="1" applyBorder="1" applyAlignment="1">
      <alignment horizontal="center" vertical="center"/>
    </xf>
    <xf numFmtId="0" fontId="158" fillId="24" borderId="51" xfId="0" applyFont="1" applyFill="1" applyBorder="1" applyAlignment="1">
      <alignment horizontal="center" vertical="center"/>
    </xf>
    <xf numFmtId="0" fontId="158" fillId="4" borderId="25" xfId="0" applyFont="1" applyFill="1" applyBorder="1" applyAlignment="1">
      <alignment horizontal="center" vertical="center"/>
    </xf>
    <xf numFmtId="0" fontId="158" fillId="4" borderId="33" xfId="0" applyFont="1" applyFill="1" applyBorder="1" applyAlignment="1">
      <alignment horizontal="center" vertical="center"/>
    </xf>
    <xf numFmtId="0" fontId="158" fillId="4" borderId="30" xfId="0" applyFont="1" applyFill="1" applyBorder="1" applyAlignment="1">
      <alignment horizontal="center" vertical="center"/>
    </xf>
    <xf numFmtId="0" fontId="158" fillId="0" borderId="1" xfId="0" applyFont="1" applyBorder="1" applyAlignment="1">
      <alignment horizontal="center" vertical="center"/>
    </xf>
    <xf numFmtId="0" fontId="158" fillId="0" borderId="87" xfId="0" applyFont="1" applyBorder="1" applyAlignment="1">
      <alignment horizontal="center" vertical="center"/>
    </xf>
    <xf numFmtId="0" fontId="147" fillId="0" borderId="25" xfId="0" applyFont="1" applyBorder="1" applyAlignment="1">
      <alignment horizontal="center" vertical="center"/>
    </xf>
    <xf numFmtId="0" fontId="157" fillId="0" borderId="38" xfId="0" applyFont="1" applyBorder="1" applyAlignment="1">
      <alignment horizontal="center" vertical="center" wrapText="1"/>
    </xf>
    <xf numFmtId="0" fontId="147" fillId="0" borderId="23" xfId="0" applyFont="1" applyBorder="1" applyAlignment="1">
      <alignment horizontal="center" vertical="center"/>
    </xf>
    <xf numFmtId="0" fontId="0" fillId="0" borderId="38" xfId="0" applyBorder="1"/>
    <xf numFmtId="0" fontId="166" fillId="3" borderId="36" xfId="0" applyFont="1" applyFill="1" applyBorder="1" applyAlignment="1">
      <alignment horizontal="center" vertical="center"/>
    </xf>
    <xf numFmtId="0" fontId="158" fillId="0" borderId="73" xfId="0" applyFont="1" applyBorder="1" applyAlignment="1">
      <alignment horizontal="center" vertical="center"/>
    </xf>
    <xf numFmtId="0" fontId="168" fillId="22" borderId="32" xfId="0" applyFont="1" applyFill="1" applyBorder="1" applyAlignment="1">
      <alignment horizontal="center" vertical="center"/>
    </xf>
    <xf numFmtId="0" fontId="146" fillId="22" borderId="22" xfId="0" applyFont="1" applyFill="1" applyBorder="1" applyAlignment="1">
      <alignment horizontal="center" vertical="center"/>
    </xf>
    <xf numFmtId="0" fontId="158" fillId="0" borderId="74" xfId="0" applyFont="1" applyBorder="1" applyAlignment="1">
      <alignment horizontal="center" vertical="center"/>
    </xf>
    <xf numFmtId="0" fontId="158" fillId="11" borderId="19" xfId="0" applyFont="1" applyFill="1" applyBorder="1" applyAlignment="1">
      <alignment horizontal="center" vertical="center"/>
    </xf>
    <xf numFmtId="0" fontId="168" fillId="3" borderId="36" xfId="0" applyFont="1" applyFill="1" applyBorder="1" applyAlignment="1">
      <alignment horizontal="center" vertical="center"/>
    </xf>
    <xf numFmtId="0" fontId="167" fillId="22" borderId="22" xfId="0" applyFont="1" applyFill="1" applyBorder="1" applyAlignment="1">
      <alignment horizontal="center" vertical="center"/>
    </xf>
    <xf numFmtId="0" fontId="167" fillId="3" borderId="32" xfId="0" applyFont="1" applyFill="1" applyBorder="1" applyAlignment="1">
      <alignment horizontal="center" vertical="center"/>
    </xf>
    <xf numFmtId="0" fontId="146" fillId="3" borderId="32" xfId="0" applyFont="1" applyFill="1" applyBorder="1" applyAlignment="1">
      <alignment horizontal="center" vertical="center"/>
    </xf>
    <xf numFmtId="0" fontId="158" fillId="32" borderId="23" xfId="0" applyFont="1" applyFill="1" applyBorder="1" applyAlignment="1">
      <alignment horizontal="center" vertical="center"/>
    </xf>
    <xf numFmtId="0" fontId="166" fillId="3" borderId="32" xfId="0" applyFont="1" applyFill="1" applyBorder="1" applyAlignment="1">
      <alignment horizontal="center" vertical="center"/>
    </xf>
    <xf numFmtId="0" fontId="158" fillId="12" borderId="19" xfId="0" applyFont="1" applyFill="1" applyBorder="1" applyAlignment="1">
      <alignment horizontal="center" vertical="center"/>
    </xf>
    <xf numFmtId="0" fontId="167" fillId="3" borderId="32" xfId="0" applyFont="1" applyFill="1" applyBorder="1" applyAlignment="1">
      <alignment horizontal="center" vertical="center" wrapText="1"/>
    </xf>
    <xf numFmtId="0" fontId="158" fillId="46" borderId="2" xfId="0" applyFont="1" applyFill="1" applyBorder="1" applyAlignment="1">
      <alignment horizontal="center" vertical="center"/>
    </xf>
    <xf numFmtId="0" fontId="158" fillId="46" borderId="22" xfId="0" applyFont="1" applyFill="1" applyBorder="1" applyAlignment="1">
      <alignment horizontal="center" vertical="center"/>
    </xf>
    <xf numFmtId="0" fontId="158" fillId="46" borderId="19" xfId="0" applyFont="1" applyFill="1" applyBorder="1" applyAlignment="1">
      <alignment horizontal="center" vertical="center"/>
    </xf>
    <xf numFmtId="0" fontId="158" fillId="8" borderId="31" xfId="0" applyFont="1" applyFill="1" applyBorder="1" applyAlignment="1">
      <alignment horizontal="center" vertical="center"/>
    </xf>
    <xf numFmtId="0" fontId="158" fillId="4" borderId="23" xfId="0" applyFont="1" applyFill="1" applyBorder="1" applyAlignment="1">
      <alignment horizontal="center" vertical="center"/>
    </xf>
    <xf numFmtId="0" fontId="158" fillId="4" borderId="24" xfId="0" applyFont="1" applyFill="1" applyBorder="1" applyAlignment="1">
      <alignment horizontal="center" vertical="center"/>
    </xf>
    <xf numFmtId="0" fontId="167" fillId="3" borderId="37" xfId="0" applyFont="1" applyFill="1" applyBorder="1" applyAlignment="1">
      <alignment horizontal="center" vertical="center"/>
    </xf>
    <xf numFmtId="0" fontId="146" fillId="22" borderId="30" xfId="0" applyFont="1" applyFill="1" applyBorder="1" applyAlignment="1">
      <alignment horizontal="center" vertical="center"/>
    </xf>
    <xf numFmtId="0" fontId="146" fillId="3" borderId="30" xfId="0" applyFont="1" applyFill="1" applyBorder="1" applyAlignment="1">
      <alignment horizontal="center" vertical="center"/>
    </xf>
    <xf numFmtId="0" fontId="23" fillId="3" borderId="46" xfId="0" applyFont="1" applyFill="1" applyBorder="1" applyAlignment="1">
      <alignment horizontal="center" vertical="center"/>
    </xf>
    <xf numFmtId="0" fontId="23" fillId="3" borderId="23" xfId="0" applyFont="1" applyFill="1" applyBorder="1" applyAlignment="1">
      <alignment horizontal="center" vertical="center"/>
    </xf>
    <xf numFmtId="0" fontId="23" fillId="3" borderId="50" xfId="0" applyFont="1" applyFill="1" applyBorder="1" applyAlignment="1">
      <alignment horizontal="center" vertical="center"/>
    </xf>
    <xf numFmtId="0" fontId="168" fillId="3" borderId="30" xfId="0" applyFont="1" applyFill="1" applyBorder="1" applyAlignment="1">
      <alignment horizontal="center" vertical="center"/>
    </xf>
    <xf numFmtId="0" fontId="168" fillId="3" borderId="46" xfId="0" applyFont="1" applyFill="1" applyBorder="1" applyAlignment="1">
      <alignment horizontal="center" vertical="center"/>
    </xf>
    <xf numFmtId="0" fontId="168" fillId="3" borderId="33" xfId="0" applyFont="1" applyFill="1" applyBorder="1" applyAlignment="1">
      <alignment horizontal="center" vertical="center"/>
    </xf>
    <xf numFmtId="0" fontId="168" fillId="3" borderId="44" xfId="0" applyFont="1" applyFill="1" applyBorder="1" applyAlignment="1">
      <alignment horizontal="center" vertical="center"/>
    </xf>
    <xf numFmtId="0" fontId="168" fillId="3" borderId="49" xfId="0" applyFont="1" applyFill="1" applyBorder="1" applyAlignment="1">
      <alignment horizontal="center" vertical="center"/>
    </xf>
    <xf numFmtId="0" fontId="168" fillId="3" borderId="34" xfId="0" applyFont="1" applyFill="1" applyBorder="1" applyAlignment="1">
      <alignment horizontal="center" vertical="center"/>
    </xf>
    <xf numFmtId="0" fontId="167" fillId="3" borderId="31" xfId="0" applyFont="1" applyFill="1" applyBorder="1" applyAlignment="1">
      <alignment horizontal="center" vertical="center"/>
    </xf>
    <xf numFmtId="0" fontId="167" fillId="3" borderId="30" xfId="0" applyFont="1" applyFill="1" applyBorder="1" applyAlignment="1">
      <alignment horizontal="center" vertical="center"/>
    </xf>
    <xf numFmtId="0" fontId="167" fillId="3" borderId="64" xfId="0" applyFont="1" applyFill="1" applyBorder="1" applyAlignment="1">
      <alignment horizontal="center" vertical="center"/>
    </xf>
    <xf numFmtId="0" fontId="171" fillId="8" borderId="102" xfId="0" applyFont="1" applyFill="1" applyBorder="1" applyAlignment="1">
      <alignment horizontal="center" vertical="center"/>
    </xf>
    <xf numFmtId="0" fontId="171" fillId="8" borderId="104" xfId="0" applyFont="1" applyFill="1" applyBorder="1" applyAlignment="1">
      <alignment horizontal="center" vertical="center"/>
    </xf>
    <xf numFmtId="0" fontId="134" fillId="0" borderId="88" xfId="0" applyFont="1" applyBorder="1" applyAlignment="1">
      <alignment vertical="center"/>
    </xf>
    <xf numFmtId="0" fontId="134" fillId="0" borderId="91" xfId="0" applyFont="1" applyBorder="1" applyAlignment="1">
      <alignment vertical="center"/>
    </xf>
    <xf numFmtId="0" fontId="134" fillId="0" borderId="90" xfId="0" applyFont="1" applyBorder="1" applyAlignment="1">
      <alignment vertical="center"/>
    </xf>
    <xf numFmtId="0" fontId="134" fillId="0" borderId="104" xfId="0" applyFont="1" applyBorder="1" applyAlignment="1">
      <alignment vertical="center"/>
    </xf>
    <xf numFmtId="0" fontId="171" fillId="8" borderId="55" xfId="0" applyFont="1" applyFill="1" applyBorder="1" applyAlignment="1">
      <alignment horizontal="center" vertical="center"/>
    </xf>
    <xf numFmtId="0" fontId="171" fillId="8" borderId="56" xfId="0" applyFont="1" applyFill="1" applyBorder="1" applyAlignment="1">
      <alignment horizontal="center" vertical="center"/>
    </xf>
    <xf numFmtId="0" fontId="171" fillId="8" borderId="86" xfId="0" applyFont="1" applyFill="1" applyBorder="1" applyAlignment="1">
      <alignment horizontal="center" vertical="center"/>
    </xf>
    <xf numFmtId="0" fontId="171" fillId="3" borderId="86" xfId="0" applyFont="1" applyFill="1" applyBorder="1" applyAlignment="1">
      <alignment horizontal="center" vertical="center"/>
    </xf>
    <xf numFmtId="0" fontId="171" fillId="8" borderId="90" xfId="0" applyFont="1" applyFill="1" applyBorder="1" applyAlignment="1">
      <alignment horizontal="center" vertical="center"/>
    </xf>
    <xf numFmtId="0" fontId="158" fillId="0" borderId="33" xfId="0" applyFont="1" applyBorder="1" applyAlignment="1">
      <alignment horizontal="center" vertical="center" wrapText="1"/>
    </xf>
    <xf numFmtId="0" fontId="158" fillId="37" borderId="25" xfId="0" applyFont="1" applyFill="1" applyBorder="1" applyAlignment="1">
      <alignment horizontal="center" vertical="center"/>
    </xf>
    <xf numFmtId="0" fontId="158" fillId="0" borderId="80" xfId="0" applyFont="1" applyBorder="1" applyAlignment="1">
      <alignment horizontal="center" vertical="center"/>
    </xf>
    <xf numFmtId="0" fontId="158" fillId="0" borderId="84" xfId="0" applyFont="1" applyBorder="1" applyAlignment="1">
      <alignment horizontal="center" vertical="center"/>
    </xf>
    <xf numFmtId="0" fontId="158" fillId="15" borderId="19" xfId="0" applyFont="1" applyFill="1" applyBorder="1" applyAlignment="1">
      <alignment horizontal="center" vertical="center"/>
    </xf>
    <xf numFmtId="0" fontId="158" fillId="37" borderId="19" xfId="0" applyFont="1" applyFill="1" applyBorder="1" applyAlignment="1">
      <alignment horizontal="center" vertical="center"/>
    </xf>
    <xf numFmtId="0" fontId="158" fillId="37" borderId="21" xfId="0" applyFont="1" applyFill="1" applyBorder="1" applyAlignment="1">
      <alignment horizontal="center" vertical="center"/>
    </xf>
    <xf numFmtId="16" fontId="158" fillId="0" borderId="26" xfId="0" applyNumberFormat="1" applyFont="1" applyBorder="1" applyAlignment="1">
      <alignment horizontal="center" vertical="center"/>
    </xf>
    <xf numFmtId="0" fontId="11" fillId="0" borderId="22" xfId="0" applyFont="1" applyBorder="1" applyAlignment="1">
      <alignment horizontal="center" vertical="center" wrapText="1"/>
    </xf>
    <xf numFmtId="0" fontId="23" fillId="22" borderId="34" xfId="0" applyFont="1" applyFill="1" applyBorder="1" applyAlignment="1">
      <alignment horizontal="center" vertical="center"/>
    </xf>
    <xf numFmtId="0" fontId="23" fillId="3" borderId="72" xfId="0" applyFont="1" applyFill="1" applyBorder="1" applyAlignment="1">
      <alignment horizontal="center" vertical="center"/>
    </xf>
    <xf numFmtId="16" fontId="158" fillId="0" borderId="46" xfId="0" applyNumberFormat="1" applyFont="1" applyBorder="1" applyAlignment="1">
      <alignment horizontal="center" vertical="center"/>
    </xf>
    <xf numFmtId="0" fontId="23" fillId="3" borderId="34" xfId="0" applyFont="1" applyFill="1" applyBorder="1" applyAlignment="1">
      <alignment horizontal="center" vertical="center"/>
    </xf>
    <xf numFmtId="0" fontId="158" fillId="31" borderId="19" xfId="0" applyFont="1" applyFill="1" applyBorder="1" applyAlignment="1">
      <alignment horizontal="center" vertical="center"/>
    </xf>
    <xf numFmtId="0" fontId="171" fillId="8" borderId="88" xfId="0" applyFont="1" applyFill="1" applyBorder="1" applyAlignment="1">
      <alignment horizontal="center" vertical="center"/>
    </xf>
    <xf numFmtId="0" fontId="166" fillId="3" borderId="34" xfId="0" applyFont="1" applyFill="1" applyBorder="1" applyAlignment="1">
      <alignment horizontal="center" vertical="center"/>
    </xf>
    <xf numFmtId="0" fontId="167" fillId="22" borderId="34" xfId="0" applyFont="1" applyFill="1" applyBorder="1" applyAlignment="1">
      <alignment horizontal="center" vertical="center"/>
    </xf>
    <xf numFmtId="0" fontId="23" fillId="22" borderId="72" xfId="0" applyFont="1" applyFill="1" applyBorder="1" applyAlignment="1">
      <alignment horizontal="center" vertical="center"/>
    </xf>
    <xf numFmtId="0" fontId="167" fillId="3" borderId="34" xfId="0" applyFont="1" applyFill="1" applyBorder="1" applyAlignment="1">
      <alignment horizontal="center" vertical="center"/>
    </xf>
    <xf numFmtId="0" fontId="167" fillId="3" borderId="72" xfId="0" applyFont="1" applyFill="1" applyBorder="1" applyAlignment="1">
      <alignment horizontal="center" vertical="center"/>
    </xf>
    <xf numFmtId="0" fontId="23" fillId="3" borderId="30" xfId="0" applyFont="1" applyFill="1" applyBorder="1" applyAlignment="1">
      <alignment horizontal="center" vertical="center"/>
    </xf>
    <xf numFmtId="0" fontId="167" fillId="3" borderId="34" xfId="0" applyFont="1" applyFill="1" applyBorder="1" applyAlignment="1">
      <alignment horizontal="center" vertical="center" wrapText="1"/>
    </xf>
    <xf numFmtId="0" fontId="167" fillId="3" borderId="72" xfId="0" applyFont="1" applyFill="1" applyBorder="1" applyAlignment="1">
      <alignment horizontal="center" vertical="center" wrapText="1"/>
    </xf>
    <xf numFmtId="0" fontId="167" fillId="22" borderId="72" xfId="0" applyFont="1" applyFill="1" applyBorder="1" applyAlignment="1">
      <alignment horizontal="center" vertical="center"/>
    </xf>
    <xf numFmtId="0" fontId="23" fillId="3" borderId="38" xfId="0" applyFont="1" applyFill="1" applyBorder="1" applyAlignment="1">
      <alignment horizontal="center" vertical="center"/>
    </xf>
    <xf numFmtId="0" fontId="134" fillId="0" borderId="85" xfId="0" applyFont="1" applyBorder="1" applyAlignment="1">
      <alignment vertical="center"/>
    </xf>
    <xf numFmtId="0" fontId="23" fillId="3" borderId="59" xfId="0" applyFont="1" applyFill="1" applyBorder="1" applyAlignment="1">
      <alignment horizontal="center" vertical="center"/>
    </xf>
    <xf numFmtId="0" fontId="171" fillId="8" borderId="91" xfId="0" applyFont="1" applyFill="1" applyBorder="1" applyAlignment="1">
      <alignment horizontal="center" vertical="center"/>
    </xf>
    <xf numFmtId="0" fontId="166" fillId="3" borderId="59" xfId="0" applyFont="1" applyFill="1" applyBorder="1" applyAlignment="1">
      <alignment horizontal="center" vertical="center"/>
    </xf>
    <xf numFmtId="0" fontId="166" fillId="3" borderId="30" xfId="0" applyFont="1" applyFill="1" applyBorder="1" applyAlignment="1">
      <alignment horizontal="center" vertical="center"/>
    </xf>
    <xf numFmtId="0" fontId="180" fillId="3" borderId="30" xfId="0" applyFont="1" applyFill="1" applyBorder="1" applyAlignment="1">
      <alignment horizontal="center" vertical="center"/>
    </xf>
    <xf numFmtId="0" fontId="158" fillId="18" borderId="2" xfId="0" applyFont="1" applyFill="1" applyBorder="1" applyAlignment="1">
      <alignment horizontal="center" vertical="center"/>
    </xf>
    <xf numFmtId="0" fontId="180" fillId="3" borderId="2" xfId="0" applyFont="1" applyFill="1" applyBorder="1" applyAlignment="1">
      <alignment horizontal="center" vertical="center"/>
    </xf>
    <xf numFmtId="0" fontId="180" fillId="3" borderId="31" xfId="0" applyFont="1" applyFill="1" applyBorder="1" applyAlignment="1">
      <alignment horizontal="center" vertical="center"/>
    </xf>
    <xf numFmtId="0" fontId="158" fillId="0" borderId="22" xfId="0" quotePrefix="1" applyFont="1" applyBorder="1" applyAlignment="1">
      <alignment horizontal="center" vertical="center" wrapText="1"/>
    </xf>
    <xf numFmtId="0" fontId="23" fillId="3" borderId="33" xfId="0" applyFont="1" applyFill="1" applyBorder="1" applyAlignment="1">
      <alignment horizontal="center" vertical="center"/>
    </xf>
    <xf numFmtId="0" fontId="167" fillId="22" borderId="2" xfId="0" applyFont="1" applyFill="1" applyBorder="1" applyAlignment="1">
      <alignment horizontal="center" vertical="center"/>
    </xf>
    <xf numFmtId="0" fontId="23" fillId="22" borderId="30" xfId="0" applyFont="1" applyFill="1" applyBorder="1" applyAlignment="1">
      <alignment horizontal="center" vertical="center"/>
    </xf>
    <xf numFmtId="0" fontId="158" fillId="13" borderId="2" xfId="0" applyFont="1" applyFill="1" applyBorder="1" applyAlignment="1">
      <alignment horizontal="center" vertical="center"/>
    </xf>
    <xf numFmtId="20" fontId="168" fillId="3" borderId="25" xfId="0" applyNumberFormat="1" applyFont="1" applyFill="1" applyBorder="1" applyAlignment="1">
      <alignment horizontal="center" vertical="center"/>
    </xf>
    <xf numFmtId="0" fontId="166" fillId="22" borderId="25" xfId="0" applyFont="1" applyFill="1" applyBorder="1" applyAlignment="1">
      <alignment horizontal="center" vertical="center"/>
    </xf>
    <xf numFmtId="0" fontId="23" fillId="22" borderId="33" xfId="0" applyFont="1" applyFill="1" applyBorder="1" applyAlignment="1">
      <alignment horizontal="center" vertical="center"/>
    </xf>
    <xf numFmtId="20" fontId="166" fillId="4" borderId="25" xfId="0" applyNumberFormat="1" applyFont="1" applyFill="1" applyBorder="1" applyAlignment="1">
      <alignment horizontal="center" vertical="center"/>
    </xf>
    <xf numFmtId="0" fontId="23" fillId="4" borderId="33" xfId="0" applyFont="1" applyFill="1" applyBorder="1" applyAlignment="1">
      <alignment horizontal="center" vertical="center"/>
    </xf>
    <xf numFmtId="0" fontId="158" fillId="33" borderId="25" xfId="0" applyFont="1" applyFill="1" applyBorder="1" applyAlignment="1">
      <alignment horizontal="center" vertical="center"/>
    </xf>
    <xf numFmtId="0" fontId="158" fillId="0" borderId="86" xfId="0" applyFont="1" applyBorder="1" applyAlignment="1">
      <alignment horizontal="center" vertical="center" wrapText="1"/>
    </xf>
    <xf numFmtId="16" fontId="158" fillId="4" borderId="25" xfId="0" applyNumberFormat="1" applyFont="1" applyFill="1" applyBorder="1" applyAlignment="1">
      <alignment horizontal="center" vertical="center"/>
    </xf>
    <xf numFmtId="0" fontId="181" fillId="22" borderId="2" xfId="0" applyFont="1" applyFill="1" applyBorder="1" applyAlignment="1">
      <alignment horizontal="center" vertical="center"/>
    </xf>
    <xf numFmtId="0" fontId="181" fillId="8" borderId="2" xfId="0" applyFont="1" applyFill="1" applyBorder="1" applyAlignment="1">
      <alignment horizontal="center" vertical="center"/>
    </xf>
    <xf numFmtId="0" fontId="158" fillId="56" borderId="2" xfId="0" applyFont="1" applyFill="1" applyBorder="1" applyAlignment="1">
      <alignment horizontal="center" vertical="center"/>
    </xf>
    <xf numFmtId="16" fontId="158" fillId="3" borderId="58" xfId="0" applyNumberFormat="1" applyFont="1" applyFill="1" applyBorder="1" applyAlignment="1">
      <alignment horizontal="center" vertical="center"/>
    </xf>
    <xf numFmtId="0" fontId="150" fillId="0" borderId="47" xfId="0" applyFont="1" applyBorder="1" applyAlignment="1">
      <alignment horizontal="center" vertical="center"/>
    </xf>
    <xf numFmtId="0" fontId="117" fillId="0" borderId="34" xfId="0" applyFont="1" applyBorder="1" applyAlignment="1">
      <alignment horizontal="center" vertical="center" wrapText="1"/>
    </xf>
    <xf numFmtId="0" fontId="150" fillId="0" borderId="35" xfId="0" applyFont="1" applyBorder="1" applyAlignment="1">
      <alignment horizontal="center" vertical="center"/>
    </xf>
    <xf numFmtId="0" fontId="158" fillId="16" borderId="22" xfId="0" applyFont="1" applyFill="1" applyBorder="1" applyAlignment="1">
      <alignment horizontal="center" vertical="center"/>
    </xf>
    <xf numFmtId="0" fontId="158" fillId="18" borderId="22" xfId="0" applyFont="1" applyFill="1" applyBorder="1" applyAlignment="1">
      <alignment horizontal="center" vertical="center"/>
    </xf>
    <xf numFmtId="16" fontId="158" fillId="3" borderId="33" xfId="0" applyNumberFormat="1" applyFont="1" applyFill="1" applyBorder="1" applyAlignment="1">
      <alignment horizontal="center" vertical="center"/>
    </xf>
    <xf numFmtId="0" fontId="158" fillId="12" borderId="31" xfId="0" applyFont="1" applyFill="1" applyBorder="1" applyAlignment="1">
      <alignment horizontal="center" vertical="center"/>
    </xf>
    <xf numFmtId="0" fontId="158" fillId="12" borderId="20" xfId="0" applyFont="1" applyFill="1" applyBorder="1" applyAlignment="1">
      <alignment horizontal="center" vertical="center"/>
    </xf>
    <xf numFmtId="0" fontId="158" fillId="47" borderId="30" xfId="0" applyFont="1" applyFill="1" applyBorder="1" applyAlignment="1">
      <alignment horizontal="center" vertical="center"/>
    </xf>
    <xf numFmtId="0" fontId="181" fillId="11" borderId="32" xfId="0" applyFont="1" applyFill="1" applyBorder="1" applyAlignment="1">
      <alignment horizontal="center" vertical="center"/>
    </xf>
    <xf numFmtId="0" fontId="181" fillId="8" borderId="32" xfId="0" applyFont="1" applyFill="1" applyBorder="1" applyAlignment="1">
      <alignment horizontal="center" vertical="center"/>
    </xf>
    <xf numFmtId="0" fontId="158" fillId="57" borderId="2" xfId="0" applyFont="1" applyFill="1" applyBorder="1" applyAlignment="1">
      <alignment horizontal="center" vertical="center"/>
    </xf>
    <xf numFmtId="0" fontId="171" fillId="8" borderId="37" xfId="0" applyFont="1" applyFill="1" applyBorder="1" applyAlignment="1">
      <alignment horizontal="center" vertical="center"/>
    </xf>
    <xf numFmtId="0" fontId="158" fillId="0" borderId="61" xfId="0" applyFont="1" applyBorder="1" applyAlignment="1">
      <alignment horizontal="center" vertical="center" wrapText="1"/>
    </xf>
    <xf numFmtId="0" fontId="158" fillId="50" borderId="25" xfId="0" applyFont="1" applyFill="1" applyBorder="1" applyAlignment="1">
      <alignment horizontal="center" vertical="center"/>
    </xf>
    <xf numFmtId="0" fontId="158" fillId="57" borderId="22" xfId="0" applyFont="1" applyFill="1" applyBorder="1" applyAlignment="1">
      <alignment horizontal="center" vertical="center"/>
    </xf>
    <xf numFmtId="0" fontId="181" fillId="11" borderId="2" xfId="0" applyFont="1" applyFill="1" applyBorder="1" applyAlignment="1">
      <alignment horizontal="center" vertical="center"/>
    </xf>
    <xf numFmtId="0" fontId="171" fillId="22" borderId="2" xfId="0" applyFont="1" applyFill="1" applyBorder="1" applyAlignment="1">
      <alignment horizontal="center" vertical="center"/>
    </xf>
    <xf numFmtId="0" fontId="171" fillId="11" borderId="2" xfId="0" applyFont="1" applyFill="1" applyBorder="1" applyAlignment="1">
      <alignment horizontal="center" vertical="center"/>
    </xf>
    <xf numFmtId="0" fontId="171" fillId="11" borderId="23" xfId="0" applyFont="1" applyFill="1" applyBorder="1" applyAlignment="1">
      <alignment horizontal="center" vertical="center"/>
    </xf>
    <xf numFmtId="0" fontId="171" fillId="11" borderId="51" xfId="0" applyFont="1" applyFill="1" applyBorder="1" applyAlignment="1">
      <alignment horizontal="center" vertical="center"/>
    </xf>
    <xf numFmtId="0" fontId="171" fillId="8" borderId="30" xfId="0" applyFont="1" applyFill="1" applyBorder="1" applyAlignment="1">
      <alignment horizontal="center" vertical="center"/>
    </xf>
    <xf numFmtId="0" fontId="171" fillId="11" borderId="25" xfId="0" applyFont="1" applyFill="1" applyBorder="1" applyAlignment="1">
      <alignment horizontal="center" vertical="center"/>
    </xf>
    <xf numFmtId="0" fontId="171" fillId="8" borderId="33" xfId="0" applyFont="1" applyFill="1" applyBorder="1" applyAlignment="1">
      <alignment horizontal="center" vertical="center"/>
    </xf>
    <xf numFmtId="0" fontId="171" fillId="8" borderId="58" xfId="0" applyFont="1" applyFill="1" applyBorder="1" applyAlignment="1">
      <alignment horizontal="center" vertical="center"/>
    </xf>
    <xf numFmtId="0" fontId="171" fillId="22" borderId="20" xfId="0" applyFont="1" applyFill="1" applyBorder="1" applyAlignment="1">
      <alignment horizontal="center" vertical="center"/>
    </xf>
    <xf numFmtId="0" fontId="171" fillId="11" borderId="20" xfId="0" applyFont="1" applyFill="1" applyBorder="1" applyAlignment="1">
      <alignment horizontal="center" vertical="center"/>
    </xf>
    <xf numFmtId="0" fontId="171" fillId="11" borderId="30" xfId="0" applyFont="1" applyFill="1" applyBorder="1" applyAlignment="1">
      <alignment horizontal="center" vertical="center"/>
    </xf>
    <xf numFmtId="0" fontId="171" fillId="22" borderId="33" xfId="0" applyFont="1" applyFill="1" applyBorder="1" applyAlignment="1">
      <alignment horizontal="center" vertical="center"/>
    </xf>
    <xf numFmtId="0" fontId="171" fillId="22" borderId="30" xfId="0" applyFont="1" applyFill="1" applyBorder="1" applyAlignment="1">
      <alignment horizontal="center" vertical="center"/>
    </xf>
    <xf numFmtId="0" fontId="171" fillId="11" borderId="33" xfId="0" applyFont="1" applyFill="1" applyBorder="1" applyAlignment="1">
      <alignment horizontal="center" vertical="center"/>
    </xf>
    <xf numFmtId="0" fontId="171" fillId="11" borderId="71" xfId="0" applyFont="1" applyFill="1" applyBorder="1" applyAlignment="1">
      <alignment horizontal="center" vertical="center"/>
    </xf>
    <xf numFmtId="0" fontId="171" fillId="8" borderId="31" xfId="0" applyFont="1" applyFill="1" applyBorder="1" applyAlignment="1">
      <alignment horizontal="center" vertical="center"/>
    </xf>
    <xf numFmtId="0" fontId="171" fillId="8" borderId="64" xfId="0" applyFont="1" applyFill="1" applyBorder="1" applyAlignment="1">
      <alignment horizontal="center" vertical="center"/>
    </xf>
    <xf numFmtId="0" fontId="171" fillId="22" borderId="23" xfId="0" applyFont="1" applyFill="1" applyBorder="1" applyAlignment="1">
      <alignment horizontal="center" vertical="center"/>
    </xf>
    <xf numFmtId="0" fontId="171" fillId="22" borderId="64" xfId="0" applyFont="1" applyFill="1" applyBorder="1" applyAlignment="1">
      <alignment horizontal="center" vertical="center"/>
    </xf>
    <xf numFmtId="0" fontId="171" fillId="22" borderId="25" xfId="0" applyFont="1" applyFill="1" applyBorder="1" applyAlignment="1">
      <alignment horizontal="center" vertical="center"/>
    </xf>
    <xf numFmtId="0" fontId="171" fillId="11" borderId="19" xfId="0" applyFont="1" applyFill="1" applyBorder="1" applyAlignment="1">
      <alignment horizontal="center" vertical="center"/>
    </xf>
    <xf numFmtId="0" fontId="171" fillId="2" borderId="2" xfId="0" applyFont="1" applyFill="1" applyBorder="1" applyAlignment="1">
      <alignment horizontal="center" vertical="center"/>
    </xf>
    <xf numFmtId="0" fontId="171" fillId="11" borderId="37" xfId="0" applyFont="1" applyFill="1" applyBorder="1" applyAlignment="1">
      <alignment horizontal="center" vertical="center"/>
    </xf>
    <xf numFmtId="0" fontId="171" fillId="11" borderId="32" xfId="0" applyFont="1" applyFill="1" applyBorder="1" applyAlignment="1">
      <alignment horizontal="center" vertical="center"/>
    </xf>
    <xf numFmtId="0" fontId="171" fillId="8" borderId="32" xfId="0" applyFont="1" applyFill="1" applyBorder="1" applyAlignment="1">
      <alignment horizontal="center" vertical="center"/>
    </xf>
    <xf numFmtId="0" fontId="171" fillId="22" borderId="53" xfId="0" applyFont="1" applyFill="1" applyBorder="1" applyAlignment="1">
      <alignment horizontal="center" vertical="center"/>
    </xf>
    <xf numFmtId="0" fontId="171" fillId="6" borderId="2" xfId="0" applyFont="1" applyFill="1" applyBorder="1" applyAlignment="1">
      <alignment horizontal="center" vertical="center"/>
    </xf>
    <xf numFmtId="0" fontId="181" fillId="11" borderId="36" xfId="0" applyFont="1" applyFill="1" applyBorder="1" applyAlignment="1">
      <alignment horizontal="center" vertical="center"/>
    </xf>
    <xf numFmtId="0" fontId="158" fillId="3" borderId="78" xfId="0" applyFont="1" applyFill="1" applyBorder="1" applyAlignment="1">
      <alignment horizontal="center" vertical="center"/>
    </xf>
    <xf numFmtId="49" fontId="159" fillId="3" borderId="22" xfId="0" applyNumberFormat="1" applyFont="1" applyFill="1" applyBorder="1" applyAlignment="1">
      <alignment horizontal="center" vertical="center"/>
    </xf>
    <xf numFmtId="0" fontId="159" fillId="29" borderId="2" xfId="0" applyFont="1" applyFill="1" applyBorder="1" applyAlignment="1">
      <alignment horizontal="center" vertical="center"/>
    </xf>
    <xf numFmtId="0" fontId="159" fillId="29" borderId="30" xfId="0" applyFont="1" applyFill="1" applyBorder="1" applyAlignment="1">
      <alignment horizontal="center" vertical="center"/>
    </xf>
    <xf numFmtId="0" fontId="146" fillId="3" borderId="26" xfId="0" applyFont="1" applyFill="1" applyBorder="1" applyAlignment="1">
      <alignment horizontal="center" vertical="center"/>
    </xf>
    <xf numFmtId="0" fontId="159" fillId="3" borderId="2" xfId="0" applyFont="1" applyFill="1" applyBorder="1" applyAlignment="1">
      <alignment horizontal="center" vertical="center"/>
    </xf>
    <xf numFmtId="0" fontId="159" fillId="3" borderId="30" xfId="0" applyFont="1" applyFill="1" applyBorder="1" applyAlignment="1">
      <alignment horizontal="center" vertical="center"/>
    </xf>
    <xf numFmtId="0" fontId="158" fillId="3" borderId="66" xfId="0" applyFont="1" applyFill="1" applyBorder="1" applyAlignment="1">
      <alignment horizontal="center" vertical="center"/>
    </xf>
    <xf numFmtId="0" fontId="159" fillId="21" borderId="2" xfId="0" applyFont="1" applyFill="1" applyBorder="1" applyAlignment="1">
      <alignment horizontal="center" vertical="center"/>
    </xf>
    <xf numFmtId="0" fontId="159" fillId="21" borderId="30" xfId="0" applyFont="1" applyFill="1" applyBorder="1" applyAlignment="1">
      <alignment horizontal="center" vertical="center"/>
    </xf>
    <xf numFmtId="0" fontId="159" fillId="47" borderId="2" xfId="0" applyFont="1" applyFill="1" applyBorder="1" applyAlignment="1">
      <alignment horizontal="center" vertical="center"/>
    </xf>
    <xf numFmtId="0" fontId="159" fillId="47" borderId="30" xfId="0" applyFont="1" applyFill="1" applyBorder="1" applyAlignment="1">
      <alignment horizontal="center" vertical="center"/>
    </xf>
    <xf numFmtId="0" fontId="171" fillId="3" borderId="32" xfId="0" applyFont="1" applyFill="1" applyBorder="1" applyAlignment="1">
      <alignment horizontal="center" vertical="center"/>
    </xf>
    <xf numFmtId="0" fontId="181" fillId="22" borderId="32" xfId="0" applyFont="1" applyFill="1" applyBorder="1" applyAlignment="1">
      <alignment horizontal="center" vertical="center"/>
    </xf>
    <xf numFmtId="0" fontId="159" fillId="15" borderId="2" xfId="0" applyFont="1" applyFill="1" applyBorder="1" applyAlignment="1">
      <alignment horizontal="center" vertical="center"/>
    </xf>
    <xf numFmtId="0" fontId="159" fillId="15" borderId="30" xfId="0" applyFont="1" applyFill="1" applyBorder="1" applyAlignment="1">
      <alignment horizontal="center" vertical="center"/>
    </xf>
    <xf numFmtId="49" fontId="159" fillId="3" borderId="26" xfId="0" applyNumberFormat="1" applyFont="1" applyFill="1" applyBorder="1" applyAlignment="1">
      <alignment horizontal="center" vertical="center"/>
    </xf>
    <xf numFmtId="0" fontId="159" fillId="41" borderId="2" xfId="0" applyFont="1" applyFill="1" applyBorder="1" applyAlignment="1">
      <alignment horizontal="center" vertical="center"/>
    </xf>
    <xf numFmtId="0" fontId="159" fillId="41" borderId="30" xfId="0" applyFont="1" applyFill="1" applyBorder="1" applyAlignment="1">
      <alignment horizontal="center" vertical="center"/>
    </xf>
    <xf numFmtId="0" fontId="159" fillId="27" borderId="2" xfId="0" applyFont="1" applyFill="1" applyBorder="1" applyAlignment="1">
      <alignment horizontal="center" vertical="center"/>
    </xf>
    <xf numFmtId="0" fontId="159" fillId="27" borderId="30" xfId="0" applyFont="1" applyFill="1" applyBorder="1" applyAlignment="1">
      <alignment horizontal="center" vertical="center"/>
    </xf>
    <xf numFmtId="0" fontId="167" fillId="3" borderId="35" xfId="0" applyFont="1" applyFill="1" applyBorder="1" applyAlignment="1">
      <alignment horizontal="center" vertical="center"/>
    </xf>
    <xf numFmtId="0" fontId="159" fillId="4" borderId="2" xfId="0" applyFont="1" applyFill="1" applyBorder="1" applyAlignment="1">
      <alignment horizontal="center" vertical="center"/>
    </xf>
    <xf numFmtId="0" fontId="159" fillId="4" borderId="30" xfId="0" applyFont="1" applyFill="1" applyBorder="1" applyAlignment="1">
      <alignment horizontal="center" vertical="center"/>
    </xf>
    <xf numFmtId="0" fontId="159" fillId="8" borderId="2" xfId="0" applyFont="1" applyFill="1" applyBorder="1" applyAlignment="1">
      <alignment horizontal="center" vertical="center"/>
    </xf>
    <xf numFmtId="0" fontId="159" fillId="8" borderId="30" xfId="0" applyFont="1" applyFill="1" applyBorder="1" applyAlignment="1">
      <alignment horizontal="center" vertical="center"/>
    </xf>
    <xf numFmtId="0" fontId="181" fillId="8" borderId="37" xfId="0" applyFont="1" applyFill="1" applyBorder="1" applyAlignment="1">
      <alignment horizontal="center" vertical="center"/>
    </xf>
    <xf numFmtId="0" fontId="159" fillId="8" borderId="23" xfId="0" applyFont="1" applyFill="1" applyBorder="1" applyAlignment="1">
      <alignment horizontal="center" vertical="center"/>
    </xf>
    <xf numFmtId="0" fontId="159" fillId="8" borderId="31" xfId="0" applyFont="1" applyFill="1" applyBorder="1" applyAlignment="1">
      <alignment horizontal="center" vertical="center"/>
    </xf>
    <xf numFmtId="0" fontId="158" fillId="0" borderId="76" xfId="0" applyFont="1" applyBorder="1" applyAlignment="1">
      <alignment horizontal="center" vertical="center"/>
    </xf>
    <xf numFmtId="0" fontId="167" fillId="22" borderId="26" xfId="0" applyFont="1" applyFill="1" applyBorder="1" applyAlignment="1">
      <alignment horizontal="center" vertical="center"/>
    </xf>
    <xf numFmtId="0" fontId="158" fillId="3" borderId="61" xfId="0" applyFont="1" applyFill="1" applyBorder="1" applyAlignment="1">
      <alignment horizontal="center" vertical="center"/>
    </xf>
    <xf numFmtId="0" fontId="182" fillId="3" borderId="26" xfId="0" applyFont="1" applyFill="1" applyBorder="1" applyAlignment="1">
      <alignment horizontal="center" vertical="center"/>
    </xf>
    <xf numFmtId="0" fontId="182" fillId="3" borderId="22" xfId="0" applyFont="1" applyFill="1" applyBorder="1" applyAlignment="1">
      <alignment horizontal="center" vertical="center"/>
    </xf>
    <xf numFmtId="0" fontId="159" fillId="2" borderId="2" xfId="0" applyFont="1" applyFill="1" applyBorder="1" applyAlignment="1">
      <alignment horizontal="center" vertical="center"/>
    </xf>
    <xf numFmtId="0" fontId="167" fillId="3" borderId="46" xfId="0" applyFont="1" applyFill="1" applyBorder="1" applyAlignment="1">
      <alignment horizontal="center" vertical="center"/>
    </xf>
    <xf numFmtId="0" fontId="167" fillId="3" borderId="47" xfId="0" applyFont="1" applyFill="1" applyBorder="1" applyAlignment="1">
      <alignment horizontal="center" vertical="center"/>
    </xf>
    <xf numFmtId="0" fontId="171" fillId="3" borderId="37" xfId="0" applyFont="1" applyFill="1" applyBorder="1" applyAlignment="1">
      <alignment horizontal="center" vertical="center"/>
    </xf>
    <xf numFmtId="0" fontId="159" fillId="18" borderId="2" xfId="0" applyFont="1" applyFill="1" applyBorder="1" applyAlignment="1">
      <alignment horizontal="center" vertical="center"/>
    </xf>
    <xf numFmtId="0" fontId="159" fillId="36" borderId="2" xfId="0" applyFont="1" applyFill="1" applyBorder="1" applyAlignment="1">
      <alignment horizontal="center" vertical="center"/>
    </xf>
    <xf numFmtId="0" fontId="183" fillId="3" borderId="2" xfId="0" applyFont="1" applyFill="1" applyBorder="1" applyAlignment="1">
      <alignment horizontal="center" vertical="center"/>
    </xf>
    <xf numFmtId="0" fontId="159" fillId="28" borderId="2" xfId="0" applyFont="1" applyFill="1" applyBorder="1" applyAlignment="1">
      <alignment horizontal="center" vertical="center"/>
    </xf>
    <xf numFmtId="0" fontId="159" fillId="28" borderId="23" xfId="0" applyFont="1" applyFill="1" applyBorder="1" applyAlignment="1">
      <alignment horizontal="center" vertical="center"/>
    </xf>
    <xf numFmtId="0" fontId="158" fillId="3" borderId="72" xfId="0" applyFont="1" applyFill="1" applyBorder="1" applyAlignment="1">
      <alignment horizontal="center" vertical="center"/>
    </xf>
    <xf numFmtId="0" fontId="171" fillId="3" borderId="34" xfId="0" applyFont="1" applyFill="1" applyBorder="1" applyAlignment="1">
      <alignment horizontal="center" vertical="center"/>
    </xf>
    <xf numFmtId="0" fontId="159" fillId="28" borderId="51" xfId="0" applyFont="1" applyFill="1" applyBorder="1" applyAlignment="1">
      <alignment horizontal="center" vertical="center"/>
    </xf>
    <xf numFmtId="0" fontId="159" fillId="28" borderId="49" xfId="0" applyFont="1" applyFill="1" applyBorder="1" applyAlignment="1">
      <alignment horizontal="center" vertical="center"/>
    </xf>
    <xf numFmtId="0" fontId="158" fillId="3" borderId="81" xfId="0" applyFont="1" applyFill="1" applyBorder="1" applyAlignment="1">
      <alignment horizontal="center" vertical="center"/>
    </xf>
    <xf numFmtId="0" fontId="124" fillId="0" borderId="2" xfId="0" applyFont="1" applyBorder="1" applyAlignment="1">
      <alignment horizontal="center" vertical="center"/>
    </xf>
    <xf numFmtId="0" fontId="182" fillId="3" borderId="2" xfId="0" applyFont="1" applyFill="1" applyBorder="1" applyAlignment="1">
      <alignment horizontal="center" vertical="center"/>
    </xf>
    <xf numFmtId="3" fontId="158" fillId="3" borderId="55" xfId="0" applyNumberFormat="1" applyFont="1" applyFill="1" applyBorder="1" applyAlignment="1">
      <alignment horizontal="center" vertical="center"/>
    </xf>
    <xf numFmtId="0" fontId="167" fillId="3" borderId="74" xfId="0" applyFont="1" applyFill="1" applyBorder="1" applyAlignment="1">
      <alignment horizontal="center" vertical="center"/>
    </xf>
    <xf numFmtId="0" fontId="181" fillId="8" borderId="53" xfId="0" applyFont="1" applyFill="1" applyBorder="1" applyAlignment="1">
      <alignment horizontal="center" vertical="center"/>
    </xf>
    <xf numFmtId="0" fontId="146" fillId="3" borderId="35" xfId="0" applyFont="1" applyFill="1" applyBorder="1" applyAlignment="1">
      <alignment horizontal="center" vertical="center"/>
    </xf>
    <xf numFmtId="0" fontId="167" fillId="3" borderId="66" xfId="0" applyFont="1" applyFill="1" applyBorder="1" applyAlignment="1">
      <alignment horizontal="center" vertical="center"/>
    </xf>
    <xf numFmtId="0" fontId="146" fillId="3" borderId="36" xfId="0" applyFont="1" applyFill="1" applyBorder="1" applyAlignment="1">
      <alignment horizontal="center" vertical="center"/>
    </xf>
    <xf numFmtId="0" fontId="181" fillId="11" borderId="34" xfId="0" applyFont="1" applyFill="1" applyBorder="1" applyAlignment="1">
      <alignment horizontal="center" vertical="center"/>
    </xf>
    <xf numFmtId="0" fontId="159" fillId="2" borderId="25" xfId="0" applyFont="1" applyFill="1" applyBorder="1" applyAlignment="1">
      <alignment horizontal="center" vertical="center"/>
    </xf>
    <xf numFmtId="0" fontId="159" fillId="2" borderId="33" xfId="0" applyFont="1" applyFill="1" applyBorder="1" applyAlignment="1">
      <alignment horizontal="center" vertical="center"/>
    </xf>
    <xf numFmtId="0" fontId="158" fillId="3" borderId="57" xfId="0" applyFont="1" applyFill="1" applyBorder="1" applyAlignment="1">
      <alignment horizontal="center" vertical="center"/>
    </xf>
    <xf numFmtId="0" fontId="158" fillId="3" borderId="65" xfId="0" applyFont="1" applyFill="1" applyBorder="1" applyAlignment="1">
      <alignment horizontal="center" vertical="center"/>
    </xf>
    <xf numFmtId="0" fontId="171" fillId="3" borderId="53" xfId="0" applyFont="1" applyFill="1" applyBorder="1" applyAlignment="1">
      <alignment horizontal="center" vertical="center"/>
    </xf>
    <xf numFmtId="0" fontId="159" fillId="29" borderId="22" xfId="0" applyFont="1" applyFill="1" applyBorder="1" applyAlignment="1">
      <alignment horizontal="center" vertical="center"/>
    </xf>
    <xf numFmtId="0" fontId="159" fillId="8" borderId="22" xfId="0" applyFont="1" applyFill="1" applyBorder="1" applyAlignment="1">
      <alignment horizontal="center" vertical="center"/>
    </xf>
    <xf numFmtId="0" fontId="159" fillId="18" borderId="22" xfId="0" applyFont="1" applyFill="1" applyBorder="1" applyAlignment="1">
      <alignment horizontal="center" vertical="center"/>
    </xf>
    <xf numFmtId="0" fontId="159" fillId="3" borderId="22" xfId="0" applyFont="1" applyFill="1" applyBorder="1" applyAlignment="1">
      <alignment horizontal="center" vertical="center"/>
    </xf>
    <xf numFmtId="0" fontId="159" fillId="36" borderId="22" xfId="0" applyFont="1" applyFill="1" applyBorder="1" applyAlignment="1">
      <alignment horizontal="center" vertical="center"/>
    </xf>
    <xf numFmtId="0" fontId="159" fillId="28" borderId="22" xfId="0" applyFont="1" applyFill="1" applyBorder="1" applyAlignment="1">
      <alignment horizontal="center" vertical="center"/>
    </xf>
    <xf numFmtId="0" fontId="159" fillId="28" borderId="24" xfId="0" applyFont="1" applyFill="1" applyBorder="1" applyAlignment="1">
      <alignment horizontal="center" vertical="center"/>
    </xf>
    <xf numFmtId="0" fontId="158" fillId="3" borderId="67" xfId="0" applyFont="1" applyFill="1" applyBorder="1" applyAlignment="1">
      <alignment horizontal="center" vertical="center"/>
    </xf>
    <xf numFmtId="0" fontId="159" fillId="27" borderId="25" xfId="0" applyFont="1" applyFill="1" applyBorder="1" applyAlignment="1">
      <alignment horizontal="center" vertical="center"/>
    </xf>
    <xf numFmtId="0" fontId="159" fillId="27" borderId="33" xfId="0" applyFont="1" applyFill="1" applyBorder="1" applyAlignment="1">
      <alignment horizontal="center" vertical="center"/>
    </xf>
    <xf numFmtId="0" fontId="159" fillId="8" borderId="20" xfId="0" applyFont="1" applyFill="1" applyBorder="1" applyAlignment="1">
      <alignment horizontal="center" vertical="center"/>
    </xf>
    <xf numFmtId="0" fontId="159" fillId="8" borderId="64" xfId="0" applyFont="1" applyFill="1" applyBorder="1" applyAlignment="1">
      <alignment horizontal="center" vertical="center"/>
    </xf>
    <xf numFmtId="0" fontId="171" fillId="8" borderId="53" xfId="0" applyFont="1" applyFill="1" applyBorder="1" applyAlignment="1">
      <alignment horizontal="center" vertical="center"/>
    </xf>
    <xf numFmtId="0" fontId="167" fillId="3" borderId="36" xfId="0" applyFont="1" applyFill="1" applyBorder="1" applyAlignment="1">
      <alignment horizontal="center" vertical="center"/>
    </xf>
    <xf numFmtId="0" fontId="159" fillId="4" borderId="22" xfId="0" applyFont="1" applyFill="1" applyBorder="1" applyAlignment="1">
      <alignment horizontal="center" vertical="center"/>
    </xf>
    <xf numFmtId="0" fontId="159" fillId="8" borderId="24" xfId="0" applyFont="1" applyFill="1" applyBorder="1" applyAlignment="1">
      <alignment horizontal="center" vertical="center"/>
    </xf>
    <xf numFmtId="0" fontId="159" fillId="0" borderId="64" xfId="0" applyFont="1" applyBorder="1" applyAlignment="1">
      <alignment horizontal="center" vertical="center"/>
    </xf>
    <xf numFmtId="0" fontId="159" fillId="4" borderId="20" xfId="0" applyFont="1" applyFill="1" applyBorder="1" applyAlignment="1">
      <alignment horizontal="center" vertical="center"/>
    </xf>
    <xf numFmtId="0" fontId="159" fillId="4" borderId="64" xfId="0" applyFont="1" applyFill="1" applyBorder="1" applyAlignment="1">
      <alignment horizontal="center" vertical="center"/>
    </xf>
    <xf numFmtId="0" fontId="159" fillId="0" borderId="47" xfId="0" applyFont="1" applyBorder="1" applyAlignment="1">
      <alignment horizontal="center" vertical="center"/>
    </xf>
    <xf numFmtId="0" fontId="159" fillId="24" borderId="2" xfId="0" applyFont="1" applyFill="1" applyBorder="1" applyAlignment="1">
      <alignment horizontal="center" vertical="center"/>
    </xf>
    <xf numFmtId="0" fontId="159" fillId="19" borderId="2" xfId="0" applyFont="1" applyFill="1" applyBorder="1" applyAlignment="1">
      <alignment horizontal="center" vertical="center"/>
    </xf>
    <xf numFmtId="0" fontId="159" fillId="71" borderId="2" xfId="0" applyFont="1" applyFill="1" applyBorder="1" applyAlignment="1">
      <alignment horizontal="center" vertical="center"/>
    </xf>
    <xf numFmtId="0" fontId="159" fillId="19" borderId="30" xfId="0" applyFont="1" applyFill="1" applyBorder="1" applyAlignment="1">
      <alignment horizontal="center" vertical="center"/>
    </xf>
    <xf numFmtId="0" fontId="159" fillId="71" borderId="30" xfId="0" applyFont="1" applyFill="1" applyBorder="1" applyAlignment="1">
      <alignment horizontal="center" vertical="center"/>
    </xf>
    <xf numFmtId="0" fontId="159" fillId="31" borderId="2" xfId="0" applyFont="1" applyFill="1" applyBorder="1" applyAlignment="1">
      <alignment horizontal="center" vertical="center"/>
    </xf>
    <xf numFmtId="0" fontId="159" fillId="31" borderId="23" xfId="0" applyFont="1" applyFill="1" applyBorder="1" applyAlignment="1">
      <alignment horizontal="center" vertical="center"/>
    </xf>
    <xf numFmtId="0" fontId="159" fillId="24" borderId="20" xfId="0" applyFont="1" applyFill="1" applyBorder="1" applyAlignment="1">
      <alignment horizontal="center" vertical="center"/>
    </xf>
    <xf numFmtId="0" fontId="159" fillId="3" borderId="20" xfId="0" applyFont="1" applyFill="1" applyBorder="1" applyAlignment="1">
      <alignment horizontal="center" vertical="center"/>
    </xf>
    <xf numFmtId="0" fontId="181" fillId="11" borderId="53" xfId="0" applyFont="1" applyFill="1" applyBorder="1" applyAlignment="1">
      <alignment horizontal="center" vertical="center"/>
    </xf>
    <xf numFmtId="0" fontId="181" fillId="8" borderId="34" xfId="0" applyFont="1" applyFill="1" applyBorder="1" applyAlignment="1">
      <alignment horizontal="center" vertical="center"/>
    </xf>
    <xf numFmtId="0" fontId="181" fillId="11" borderId="19" xfId="0" applyFont="1" applyFill="1" applyBorder="1" applyAlignment="1">
      <alignment horizontal="center" vertical="center"/>
    </xf>
    <xf numFmtId="0" fontId="181" fillId="22" borderId="25" xfId="0" applyFont="1" applyFill="1" applyBorder="1" applyAlignment="1">
      <alignment horizontal="center" vertical="center"/>
    </xf>
    <xf numFmtId="0" fontId="181" fillId="11" borderId="25" xfId="0" applyFont="1" applyFill="1" applyBorder="1" applyAlignment="1">
      <alignment horizontal="center" vertical="center"/>
    </xf>
    <xf numFmtId="0" fontId="181" fillId="8" borderId="25" xfId="0" applyFont="1" applyFill="1" applyBorder="1" applyAlignment="1">
      <alignment horizontal="center" vertical="center"/>
    </xf>
    <xf numFmtId="0" fontId="181" fillId="11" borderId="23" xfId="0" applyFont="1" applyFill="1" applyBorder="1" applyAlignment="1">
      <alignment horizontal="center" vertical="center"/>
    </xf>
    <xf numFmtId="0" fontId="158" fillId="3" borderId="89" xfId="0" applyFont="1" applyFill="1" applyBorder="1" applyAlignment="1">
      <alignment horizontal="center" vertical="center"/>
    </xf>
    <xf numFmtId="0" fontId="158" fillId="3" borderId="76" xfId="0" applyFont="1" applyFill="1" applyBorder="1" applyAlignment="1">
      <alignment horizontal="center" vertical="center"/>
    </xf>
    <xf numFmtId="0" fontId="134" fillId="0" borderId="53" xfId="0" applyFont="1" applyBorder="1" applyAlignment="1">
      <alignment vertical="center"/>
    </xf>
    <xf numFmtId="0" fontId="33" fillId="8" borderId="34" xfId="0" applyFont="1" applyFill="1" applyBorder="1" applyAlignment="1">
      <alignment horizontal="center" vertical="center"/>
    </xf>
    <xf numFmtId="0" fontId="33" fillId="8" borderId="2" xfId="0" applyFont="1" applyFill="1" applyBorder="1" applyAlignment="1">
      <alignment horizontal="center" vertical="center"/>
    </xf>
    <xf numFmtId="0" fontId="185" fillId="0" borderId="2" xfId="0" applyFont="1" applyBorder="1" applyAlignment="1">
      <alignment horizontal="center" vertical="center"/>
    </xf>
    <xf numFmtId="0" fontId="185" fillId="0" borderId="25" xfId="0" applyFont="1" applyBorder="1" applyAlignment="1">
      <alignment horizontal="center" vertical="center"/>
    </xf>
    <xf numFmtId="0" fontId="181" fillId="8" borderId="20" xfId="0" applyFont="1" applyFill="1" applyBorder="1" applyAlignment="1">
      <alignment horizontal="center" vertical="center"/>
    </xf>
    <xf numFmtId="0" fontId="185" fillId="0" borderId="30" xfId="0" applyFont="1" applyBorder="1" applyAlignment="1">
      <alignment horizontal="center" vertical="center"/>
    </xf>
    <xf numFmtId="0" fontId="181" fillId="8" borderId="62" xfId="0" applyFont="1" applyFill="1" applyBorder="1" applyAlignment="1">
      <alignment horizontal="center" vertical="center"/>
    </xf>
    <xf numFmtId="0" fontId="134" fillId="0" borderId="30" xfId="0" applyFont="1" applyBorder="1" applyAlignment="1">
      <alignment vertical="center"/>
    </xf>
    <xf numFmtId="0" fontId="186" fillId="6" borderId="30" xfId="0" applyFont="1" applyFill="1" applyBorder="1" applyAlignment="1">
      <alignment horizontal="center" vertical="center"/>
    </xf>
    <xf numFmtId="0" fontId="134" fillId="0" borderId="76" xfId="0" applyFont="1" applyBorder="1" applyAlignment="1">
      <alignment vertical="center"/>
    </xf>
    <xf numFmtId="0" fontId="159" fillId="27" borderId="22" xfId="0" applyFont="1" applyFill="1" applyBorder="1" applyAlignment="1">
      <alignment horizontal="center" vertical="center"/>
    </xf>
    <xf numFmtId="0" fontId="159" fillId="2" borderId="22" xfId="0" applyFont="1" applyFill="1" applyBorder="1" applyAlignment="1">
      <alignment horizontal="center" vertical="center"/>
    </xf>
    <xf numFmtId="0" fontId="159" fillId="24" borderId="22" xfId="0" applyFont="1" applyFill="1" applyBorder="1" applyAlignment="1">
      <alignment horizontal="center" vertical="center"/>
    </xf>
    <xf numFmtId="0" fontId="159" fillId="31" borderId="22" xfId="0" applyFont="1" applyFill="1" applyBorder="1" applyAlignment="1">
      <alignment horizontal="center" vertical="center"/>
    </xf>
    <xf numFmtId="0" fontId="159" fillId="31" borderId="24" xfId="0" applyFont="1" applyFill="1" applyBorder="1" applyAlignment="1">
      <alignment horizontal="center" vertical="center"/>
    </xf>
    <xf numFmtId="0" fontId="159" fillId="24" borderId="54" xfId="0" applyFont="1" applyFill="1" applyBorder="1" applyAlignment="1">
      <alignment horizontal="center" vertical="center"/>
    </xf>
    <xf numFmtId="0" fontId="159" fillId="3" borderId="54" xfId="0" applyFont="1" applyFill="1" applyBorder="1" applyAlignment="1">
      <alignment horizontal="center" vertical="center"/>
    </xf>
    <xf numFmtId="0" fontId="181" fillId="11" borderId="75" xfId="0" applyFont="1" applyFill="1" applyBorder="1" applyAlignment="1">
      <alignment horizontal="center" vertical="center"/>
    </xf>
    <xf numFmtId="0" fontId="159" fillId="3" borderId="48" xfId="0" applyFont="1" applyFill="1" applyBorder="1" applyAlignment="1">
      <alignment horizontal="center" vertical="center"/>
    </xf>
    <xf numFmtId="0" fontId="159" fillId="3" borderId="68" xfId="0" applyFont="1" applyFill="1" applyBorder="1" applyAlignment="1">
      <alignment horizontal="center" vertical="center"/>
    </xf>
    <xf numFmtId="0" fontId="158" fillId="3" borderId="84" xfId="0" applyFont="1" applyFill="1" applyBorder="1" applyAlignment="1">
      <alignment horizontal="center" vertical="center"/>
    </xf>
    <xf numFmtId="0" fontId="134" fillId="0" borderId="75" xfId="0" applyFont="1" applyBorder="1" applyAlignment="1">
      <alignment vertical="center"/>
    </xf>
    <xf numFmtId="0" fontId="159" fillId="3" borderId="25" xfId="0" applyFont="1" applyFill="1" applyBorder="1" applyAlignment="1">
      <alignment horizontal="center" vertical="center"/>
    </xf>
    <xf numFmtId="0" fontId="159" fillId="33" borderId="2" xfId="0" applyFont="1" applyFill="1" applyBorder="1" applyAlignment="1">
      <alignment horizontal="center" vertical="center"/>
    </xf>
    <xf numFmtId="0" fontId="159" fillId="3" borderId="33" xfId="0" applyFont="1" applyFill="1" applyBorder="1" applyAlignment="1">
      <alignment horizontal="center" vertical="center"/>
    </xf>
    <xf numFmtId="0" fontId="159" fillId="47" borderId="25" xfId="0" applyFont="1" applyFill="1" applyBorder="1" applyAlignment="1">
      <alignment horizontal="center" vertical="center"/>
    </xf>
    <xf numFmtId="0" fontId="181" fillId="11" borderId="20" xfId="0" applyFont="1" applyFill="1" applyBorder="1" applyAlignment="1">
      <alignment horizontal="center" vertical="center"/>
    </xf>
    <xf numFmtId="0" fontId="159" fillId="16" borderId="25" xfId="0" applyFont="1" applyFill="1" applyBorder="1" applyAlignment="1">
      <alignment horizontal="center" vertical="center"/>
    </xf>
    <xf numFmtId="0" fontId="159" fillId="32" borderId="2" xfId="0" applyFont="1" applyFill="1" applyBorder="1" applyAlignment="1">
      <alignment horizontal="center" vertical="center"/>
    </xf>
    <xf numFmtId="0" fontId="159" fillId="12" borderId="2" xfId="0" applyFont="1" applyFill="1" applyBorder="1" applyAlignment="1">
      <alignment horizontal="center" vertical="center"/>
    </xf>
    <xf numFmtId="0" fontId="159" fillId="35" borderId="2" xfId="0" applyFont="1" applyFill="1" applyBorder="1" applyAlignment="1">
      <alignment horizontal="center" vertical="center"/>
    </xf>
    <xf numFmtId="0" fontId="159" fillId="35" borderId="25" xfId="0" applyFont="1" applyFill="1" applyBorder="1" applyAlignment="1">
      <alignment horizontal="center" vertical="center"/>
    </xf>
    <xf numFmtId="0" fontId="159" fillId="37" borderId="2" xfId="0" applyFont="1" applyFill="1" applyBorder="1" applyAlignment="1">
      <alignment horizontal="center" vertical="center"/>
    </xf>
    <xf numFmtId="0" fontId="159" fillId="38" borderId="2" xfId="0" applyFont="1" applyFill="1" applyBorder="1" applyAlignment="1">
      <alignment horizontal="center" vertical="center"/>
    </xf>
    <xf numFmtId="0" fontId="159" fillId="38" borderId="23" xfId="0" applyFont="1" applyFill="1" applyBorder="1" applyAlignment="1">
      <alignment horizontal="center" vertical="center"/>
    </xf>
    <xf numFmtId="0" fontId="159" fillId="3" borderId="22" xfId="0" applyFont="1" applyFill="1" applyBorder="1" applyAlignment="1">
      <alignment horizontal="center" vertical="center" wrapText="1"/>
    </xf>
    <xf numFmtId="0" fontId="181" fillId="22" borderId="19" xfId="0" applyFont="1" applyFill="1" applyBorder="1" applyAlignment="1">
      <alignment horizontal="center" vertical="center"/>
    </xf>
    <xf numFmtId="0" fontId="159" fillId="32" borderId="22" xfId="0" applyFont="1" applyFill="1" applyBorder="1" applyAlignment="1">
      <alignment horizontal="center" vertical="center"/>
    </xf>
    <xf numFmtId="0" fontId="159" fillId="12" borderId="22" xfId="0" applyFont="1" applyFill="1" applyBorder="1" applyAlignment="1">
      <alignment horizontal="center" vertical="center"/>
    </xf>
    <xf numFmtId="0" fontId="159" fillId="35" borderId="47" xfId="0" applyFont="1" applyFill="1" applyBorder="1" applyAlignment="1">
      <alignment horizontal="center" vertical="center"/>
    </xf>
    <xf numFmtId="0" fontId="181" fillId="0" borderId="2" xfId="0" applyFont="1" applyBorder="1" applyAlignment="1">
      <alignment horizontal="center" vertical="center" wrapText="1"/>
    </xf>
    <xf numFmtId="0" fontId="159" fillId="35" borderId="19" xfId="0" applyFont="1" applyFill="1" applyBorder="1" applyAlignment="1">
      <alignment horizontal="center" vertical="center"/>
    </xf>
    <xf numFmtId="16" fontId="159" fillId="35" borderId="21" xfId="0" applyNumberFormat="1" applyFont="1" applyFill="1" applyBorder="1" applyAlignment="1">
      <alignment horizontal="center" vertical="center"/>
    </xf>
    <xf numFmtId="0" fontId="159" fillId="0" borderId="22" xfId="0" applyFont="1" applyBorder="1" applyAlignment="1">
      <alignment horizontal="center" vertical="center"/>
    </xf>
    <xf numFmtId="0" fontId="159" fillId="37" borderId="22" xfId="0" applyFont="1" applyFill="1" applyBorder="1" applyAlignment="1">
      <alignment horizontal="center" vertical="center"/>
    </xf>
    <xf numFmtId="0" fontId="159" fillId="38" borderId="24" xfId="0" applyFont="1" applyFill="1" applyBorder="1" applyAlignment="1">
      <alignment horizontal="center" vertical="center"/>
    </xf>
    <xf numFmtId="0" fontId="150" fillId="0" borderId="64" xfId="0" applyFont="1" applyBorder="1" applyAlignment="1">
      <alignment horizontal="center" vertical="center"/>
    </xf>
    <xf numFmtId="0" fontId="181" fillId="8" borderId="23" xfId="0" applyFont="1" applyFill="1" applyBorder="1" applyAlignment="1">
      <alignment horizontal="center" vertical="center"/>
    </xf>
    <xf numFmtId="0" fontId="181" fillId="71" borderId="2" xfId="0" applyFont="1" applyFill="1" applyBorder="1" applyAlignment="1">
      <alignment horizontal="center" vertical="center"/>
    </xf>
    <xf numFmtId="0" fontId="159" fillId="25" borderId="2" xfId="0" applyFont="1" applyFill="1" applyBorder="1" applyAlignment="1">
      <alignment horizontal="center" vertical="center"/>
    </xf>
    <xf numFmtId="0" fontId="159" fillId="29" borderId="25" xfId="0" applyFont="1" applyFill="1" applyBorder="1" applyAlignment="1">
      <alignment horizontal="center" vertical="center"/>
    </xf>
    <xf numFmtId="0" fontId="159" fillId="29" borderId="32" xfId="0" applyFont="1" applyFill="1" applyBorder="1" applyAlignment="1">
      <alignment horizontal="center" vertical="center"/>
    </xf>
    <xf numFmtId="0" fontId="159" fillId="25" borderId="32" xfId="0" applyFont="1" applyFill="1" applyBorder="1" applyAlignment="1">
      <alignment horizontal="center" vertical="center"/>
    </xf>
    <xf numFmtId="0" fontId="159" fillId="12" borderId="32" xfId="0" applyFont="1" applyFill="1" applyBorder="1" applyAlignment="1">
      <alignment horizontal="center" vertical="center"/>
    </xf>
    <xf numFmtId="0" fontId="159" fillId="50" borderId="2" xfId="0" applyFont="1" applyFill="1" applyBorder="1" applyAlignment="1">
      <alignment horizontal="center" vertical="center"/>
    </xf>
    <xf numFmtId="0" fontId="60" fillId="8" borderId="34" xfId="0" applyFont="1" applyFill="1" applyBorder="1" applyAlignment="1">
      <alignment horizontal="center" vertical="center"/>
    </xf>
    <xf numFmtId="0" fontId="181" fillId="0" borderId="34" xfId="0" applyFont="1" applyBorder="1" applyAlignment="1">
      <alignment horizontal="center" vertical="center"/>
    </xf>
    <xf numFmtId="0" fontId="158" fillId="0" borderId="49" xfId="0" applyFont="1" applyBorder="1" applyAlignment="1">
      <alignment horizontal="center" vertical="center" wrapText="1"/>
    </xf>
    <xf numFmtId="0" fontId="188" fillId="0" borderId="2" xfId="0" applyFont="1" applyBorder="1" applyAlignment="1">
      <alignment horizontal="center" vertical="center" wrapText="1"/>
    </xf>
    <xf numFmtId="0" fontId="189" fillId="0" borderId="2" xfId="0" applyFont="1" applyBorder="1" applyAlignment="1">
      <alignment horizontal="center" vertical="center" wrapText="1"/>
    </xf>
    <xf numFmtId="0" fontId="190" fillId="0" borderId="2" xfId="0" applyFont="1" applyBorder="1"/>
    <xf numFmtId="0" fontId="191" fillId="0" borderId="32" xfId="0" applyFont="1" applyBorder="1" applyAlignment="1">
      <alignment horizontal="center" vertical="center"/>
    </xf>
    <xf numFmtId="0" fontId="187" fillId="0" borderId="32" xfId="0" applyFont="1" applyBorder="1" applyAlignment="1">
      <alignment horizontal="center" vertical="center"/>
    </xf>
    <xf numFmtId="0" fontId="181" fillId="22" borderId="20" xfId="0" applyFont="1" applyFill="1" applyBorder="1" applyAlignment="1">
      <alignment horizontal="center" vertical="center"/>
    </xf>
    <xf numFmtId="0" fontId="159" fillId="29" borderId="20" xfId="0" applyFont="1" applyFill="1" applyBorder="1" applyAlignment="1">
      <alignment horizontal="center" vertical="center"/>
    </xf>
    <xf numFmtId="0" fontId="159" fillId="0" borderId="30" xfId="0" applyFont="1" applyBorder="1" applyAlignment="1">
      <alignment horizontal="center" vertical="center"/>
    </xf>
    <xf numFmtId="0" fontId="159" fillId="18" borderId="30" xfId="0" applyFont="1" applyFill="1" applyBorder="1" applyAlignment="1">
      <alignment horizontal="center" vertical="center"/>
    </xf>
    <xf numFmtId="0" fontId="159" fillId="35" borderId="30" xfId="0" applyFont="1" applyFill="1" applyBorder="1" applyAlignment="1">
      <alignment horizontal="center" vertical="center"/>
    </xf>
    <xf numFmtId="0" fontId="159" fillId="12" borderId="30" xfId="0" applyFont="1" applyFill="1" applyBorder="1" applyAlignment="1">
      <alignment horizontal="center" vertical="center"/>
    </xf>
    <xf numFmtId="0" fontId="184" fillId="18" borderId="2" xfId="0" applyFont="1" applyFill="1" applyBorder="1" applyAlignment="1">
      <alignment horizontal="center" vertical="center"/>
    </xf>
    <xf numFmtId="0" fontId="159" fillId="51" borderId="2" xfId="0" applyFont="1" applyFill="1" applyBorder="1" applyAlignment="1">
      <alignment horizontal="center" vertical="center"/>
    </xf>
    <xf numFmtId="0" fontId="159" fillId="20" borderId="2" xfId="0" applyFont="1" applyFill="1" applyBorder="1" applyAlignment="1">
      <alignment horizontal="center" vertical="center"/>
    </xf>
    <xf numFmtId="0" fontId="146" fillId="11" borderId="2" xfId="0" applyFont="1" applyFill="1" applyBorder="1" applyAlignment="1">
      <alignment horizontal="center" vertical="center"/>
    </xf>
    <xf numFmtId="0" fontId="158" fillId="0" borderId="2" xfId="0" applyFont="1" applyBorder="1" applyAlignment="1">
      <alignment horizontal="center" vertical="center" wrapText="1" indent="1"/>
    </xf>
    <xf numFmtId="0" fontId="171" fillId="0" borderId="32" xfId="0" applyFont="1" applyBorder="1" applyAlignment="1">
      <alignment horizontal="center" vertical="center"/>
    </xf>
    <xf numFmtId="49" fontId="192" fillId="3" borderId="2" xfId="0" applyNumberFormat="1" applyFont="1" applyFill="1" applyBorder="1" applyAlignment="1">
      <alignment horizontal="center" vertical="center"/>
    </xf>
    <xf numFmtId="0" fontId="176" fillId="3" borderId="2" xfId="0" applyFont="1" applyFill="1" applyBorder="1" applyAlignment="1">
      <alignment horizontal="center" vertical="center"/>
    </xf>
    <xf numFmtId="0" fontId="176" fillId="27" borderId="2" xfId="0" applyFont="1" applyFill="1" applyBorder="1" applyAlignment="1">
      <alignment horizontal="center" vertical="center"/>
    </xf>
    <xf numFmtId="0" fontId="176" fillId="31" borderId="2" xfId="0" applyFont="1" applyFill="1" applyBorder="1" applyAlignment="1">
      <alignment horizontal="center" vertical="center"/>
    </xf>
    <xf numFmtId="0" fontId="176" fillId="50" borderId="2" xfId="0" applyFont="1" applyFill="1" applyBorder="1" applyAlignment="1">
      <alignment horizontal="center" vertical="center"/>
    </xf>
    <xf numFmtId="0" fontId="159" fillId="73" borderId="2" xfId="0" applyFont="1" applyFill="1" applyBorder="1" applyAlignment="1">
      <alignment horizontal="center" vertical="center"/>
    </xf>
    <xf numFmtId="0" fontId="159" fillId="26" borderId="64" xfId="0" applyFont="1" applyFill="1" applyBorder="1" applyAlignment="1">
      <alignment horizontal="center" vertical="center"/>
    </xf>
    <xf numFmtId="0" fontId="176" fillId="56" borderId="2" xfId="0" applyFont="1" applyFill="1" applyBorder="1" applyAlignment="1">
      <alignment horizontal="center" vertical="center"/>
    </xf>
    <xf numFmtId="0" fontId="176" fillId="12" borderId="2" xfId="0" applyFont="1" applyFill="1" applyBorder="1" applyAlignment="1">
      <alignment horizontal="center" vertical="center"/>
    </xf>
    <xf numFmtId="0" fontId="159" fillId="12" borderId="64" xfId="0" applyFont="1" applyFill="1" applyBorder="1" applyAlignment="1">
      <alignment horizontal="center" vertical="center"/>
    </xf>
    <xf numFmtId="0" fontId="159" fillId="31" borderId="64" xfId="0" applyFont="1" applyFill="1" applyBorder="1" applyAlignment="1">
      <alignment horizontal="center" vertical="center"/>
    </xf>
    <xf numFmtId="0" fontId="159" fillId="56" borderId="2" xfId="0" applyFont="1" applyFill="1" applyBorder="1" applyAlignment="1">
      <alignment horizontal="center" vertical="center"/>
    </xf>
    <xf numFmtId="0" fontId="159" fillId="34" borderId="2" xfId="0" applyFont="1" applyFill="1" applyBorder="1" applyAlignment="1">
      <alignment horizontal="center" vertical="center"/>
    </xf>
    <xf numFmtId="0" fontId="159" fillId="26" borderId="2" xfId="0" applyFont="1" applyFill="1" applyBorder="1" applyAlignment="1">
      <alignment horizontal="center" vertical="center"/>
    </xf>
    <xf numFmtId="0" fontId="193" fillId="0" borderId="2" xfId="0" applyFont="1" applyBorder="1" applyAlignment="1">
      <alignment horizontal="center" vertical="center"/>
    </xf>
    <xf numFmtId="16" fontId="193" fillId="3" borderId="30" xfId="0" applyNumberFormat="1" applyFont="1" applyFill="1" applyBorder="1" applyAlignment="1">
      <alignment horizontal="center" vertical="center"/>
    </xf>
    <xf numFmtId="0" fontId="195" fillId="11" borderId="25" xfId="0" applyFont="1" applyFill="1" applyBorder="1" applyAlignment="1">
      <alignment horizontal="center" vertical="center"/>
    </xf>
    <xf numFmtId="0" fontId="163" fillId="34" borderId="2" xfId="0" applyFont="1" applyFill="1" applyBorder="1" applyAlignment="1">
      <alignment horizontal="center" vertical="center"/>
    </xf>
    <xf numFmtId="0" fontId="163" fillId="3" borderId="2" xfId="0" applyFont="1" applyFill="1" applyBorder="1" applyAlignment="1">
      <alignment horizontal="center" vertical="center"/>
    </xf>
    <xf numFmtId="0" fontId="163" fillId="14" borderId="32" xfId="0" applyFont="1" applyFill="1" applyBorder="1" applyAlignment="1">
      <alignment horizontal="center" vertical="center"/>
    </xf>
    <xf numFmtId="0" fontId="163" fillId="14" borderId="2" xfId="0" applyFont="1" applyFill="1" applyBorder="1" applyAlignment="1">
      <alignment horizontal="center" vertical="center"/>
    </xf>
    <xf numFmtId="0" fontId="195" fillId="8" borderId="2" xfId="0" applyFont="1" applyFill="1" applyBorder="1" applyAlignment="1">
      <alignment horizontal="center" vertical="center"/>
    </xf>
    <xf numFmtId="16" fontId="193" fillId="3" borderId="2" xfId="0" applyNumberFormat="1" applyFont="1" applyFill="1" applyBorder="1" applyAlignment="1">
      <alignment horizontal="center" vertical="center"/>
    </xf>
    <xf numFmtId="0" fontId="163" fillId="3" borderId="25" xfId="0" applyFont="1" applyFill="1" applyBorder="1" applyAlignment="1">
      <alignment horizontal="center" vertical="center"/>
    </xf>
    <xf numFmtId="0" fontId="163" fillId="3" borderId="30" xfId="0" applyFont="1" applyFill="1" applyBorder="1" applyAlignment="1">
      <alignment horizontal="center" vertical="center"/>
    </xf>
    <xf numFmtId="0" fontId="163" fillId="32" borderId="2" xfId="0" applyFont="1" applyFill="1" applyBorder="1" applyAlignment="1">
      <alignment horizontal="center" vertical="center"/>
    </xf>
    <xf numFmtId="0" fontId="163" fillId="35" borderId="2" xfId="0" applyFont="1" applyFill="1" applyBorder="1" applyAlignment="1">
      <alignment horizontal="center" vertical="center"/>
    </xf>
    <xf numFmtId="0" fontId="195" fillId="22" borderId="25" xfId="0" applyFont="1" applyFill="1" applyBorder="1" applyAlignment="1">
      <alignment horizontal="center" vertical="center"/>
    </xf>
    <xf numFmtId="0" fontId="195" fillId="11" borderId="2" xfId="0" applyFont="1" applyFill="1" applyBorder="1" applyAlignment="1">
      <alignment horizontal="center" vertical="center"/>
    </xf>
    <xf numFmtId="0" fontId="195" fillId="11" borderId="51" xfId="0" applyFont="1" applyFill="1" applyBorder="1" applyAlignment="1">
      <alignment horizontal="center" vertical="center"/>
    </xf>
    <xf numFmtId="0" fontId="163" fillId="21" borderId="2" xfId="0" applyFont="1" applyFill="1" applyBorder="1" applyAlignment="1">
      <alignment horizontal="center" vertical="center"/>
    </xf>
    <xf numFmtId="0" fontId="163" fillId="50" borderId="2" xfId="0" applyFont="1" applyFill="1" applyBorder="1" applyAlignment="1">
      <alignment horizontal="center" vertical="center"/>
    </xf>
    <xf numFmtId="0" fontId="163" fillId="28" borderId="2" xfId="0" applyFont="1" applyFill="1" applyBorder="1" applyAlignment="1">
      <alignment horizontal="center" vertical="center"/>
    </xf>
    <xf numFmtId="49" fontId="150" fillId="0" borderId="2" xfId="0" quotePrefix="1" applyNumberFormat="1" applyFont="1" applyBorder="1" applyAlignment="1">
      <alignment horizontal="center" vertical="center"/>
    </xf>
    <xf numFmtId="0" fontId="193" fillId="0" borderId="32" xfId="0" applyFont="1" applyBorder="1" applyAlignment="1">
      <alignment horizontal="center" vertical="center"/>
    </xf>
    <xf numFmtId="0" fontId="193" fillId="3" borderId="2" xfId="0" applyFont="1" applyFill="1" applyBorder="1" applyAlignment="1">
      <alignment horizontal="center" vertical="center"/>
    </xf>
    <xf numFmtId="0" fontId="195" fillId="22" borderId="2" xfId="0" applyFont="1" applyFill="1" applyBorder="1" applyAlignment="1">
      <alignment horizontal="center" vertical="center"/>
    </xf>
    <xf numFmtId="0" fontId="163" fillId="71" borderId="2" xfId="0" applyFont="1" applyFill="1" applyBorder="1" applyAlignment="1">
      <alignment horizontal="center" vertical="center"/>
    </xf>
    <xf numFmtId="0" fontId="164" fillId="8" borderId="2" xfId="0" applyFont="1" applyFill="1" applyBorder="1" applyAlignment="1">
      <alignment horizontal="center" vertical="center"/>
    </xf>
    <xf numFmtId="0" fontId="164" fillId="3" borderId="2" xfId="0" applyFont="1" applyFill="1" applyBorder="1" applyAlignment="1">
      <alignment horizontal="center" vertical="center"/>
    </xf>
    <xf numFmtId="0" fontId="102" fillId="0" borderId="2" xfId="0" applyFont="1" applyBorder="1"/>
    <xf numFmtId="0" fontId="193" fillId="0" borderId="22" xfId="0" applyFont="1" applyBorder="1" applyAlignment="1">
      <alignment horizontal="center" vertical="center" wrapText="1"/>
    </xf>
    <xf numFmtId="0" fontId="193" fillId="0" borderId="54" xfId="0" applyFont="1" applyBorder="1" applyAlignment="1">
      <alignment horizontal="center" vertical="center" wrapText="1"/>
    </xf>
    <xf numFmtId="0" fontId="193" fillId="0" borderId="2" xfId="0" applyFont="1" applyBorder="1" applyAlignment="1">
      <alignment horizontal="center" vertical="center" wrapText="1"/>
    </xf>
    <xf numFmtId="0" fontId="155" fillId="5" borderId="52" xfId="0" applyFont="1" applyFill="1" applyBorder="1" applyAlignment="1">
      <alignment horizontal="center" vertical="center" wrapText="1"/>
    </xf>
    <xf numFmtId="0" fontId="155" fillId="20" borderId="2" xfId="0" applyFont="1" applyFill="1" applyBorder="1" applyAlignment="1">
      <alignment horizontal="center" vertical="center"/>
    </xf>
    <xf numFmtId="0" fontId="155" fillId="3" borderId="2" xfId="0" applyFont="1" applyFill="1" applyBorder="1" applyAlignment="1">
      <alignment horizontal="center" vertical="center"/>
    </xf>
    <xf numFmtId="0" fontId="155" fillId="3" borderId="25" xfId="0" applyFont="1" applyFill="1" applyBorder="1" applyAlignment="1">
      <alignment horizontal="center" vertical="center"/>
    </xf>
    <xf numFmtId="0" fontId="155" fillId="40" borderId="19" xfId="0" applyFont="1" applyFill="1" applyBorder="1" applyAlignment="1">
      <alignment horizontal="center" vertical="center"/>
    </xf>
    <xf numFmtId="0" fontId="155" fillId="40" borderId="21" xfId="0" applyFont="1" applyFill="1" applyBorder="1" applyAlignment="1">
      <alignment horizontal="center" vertical="center"/>
    </xf>
    <xf numFmtId="0" fontId="155" fillId="5" borderId="18" xfId="0" applyFont="1" applyFill="1" applyBorder="1" applyAlignment="1">
      <alignment horizontal="center" vertical="center" wrapText="1"/>
    </xf>
    <xf numFmtId="0" fontId="155" fillId="40" borderId="2" xfId="0" applyFont="1" applyFill="1" applyBorder="1" applyAlignment="1">
      <alignment horizontal="center" vertical="center"/>
    </xf>
    <xf numFmtId="0" fontId="155" fillId="40" borderId="22" xfId="0" applyFont="1" applyFill="1" applyBorder="1" applyAlignment="1">
      <alignment horizontal="center" vertical="center"/>
    </xf>
    <xf numFmtId="0" fontId="155" fillId="5" borderId="26" xfId="0" applyFont="1" applyFill="1" applyBorder="1" applyAlignment="1">
      <alignment horizontal="center" vertical="center" wrapText="1"/>
    </xf>
    <xf numFmtId="0" fontId="155" fillId="4" borderId="2" xfId="0" applyFont="1" applyFill="1" applyBorder="1" applyAlignment="1">
      <alignment horizontal="center" vertical="center"/>
    </xf>
    <xf numFmtId="0" fontId="155" fillId="4" borderId="22" xfId="0" applyFont="1" applyFill="1" applyBorder="1" applyAlignment="1">
      <alignment horizontal="center" vertical="center"/>
    </xf>
    <xf numFmtId="0" fontId="155" fillId="3" borderId="20" xfId="0" applyFont="1" applyFill="1" applyBorder="1" applyAlignment="1">
      <alignment horizontal="center" vertical="center"/>
    </xf>
    <xf numFmtId="0" fontId="155" fillId="41" borderId="2" xfId="0" applyFont="1" applyFill="1" applyBorder="1" applyAlignment="1">
      <alignment horizontal="center" vertical="center"/>
    </xf>
    <xf numFmtId="0" fontId="155" fillId="35" borderId="2" xfId="0" applyFont="1" applyFill="1" applyBorder="1" applyAlignment="1">
      <alignment horizontal="center" vertical="center"/>
    </xf>
    <xf numFmtId="0" fontId="155" fillId="3" borderId="19" xfId="0" applyFont="1" applyFill="1" applyBorder="1" applyAlignment="1">
      <alignment horizontal="center" vertical="center"/>
    </xf>
    <xf numFmtId="0" fontId="155" fillId="3" borderId="21" xfId="0" applyFont="1" applyFill="1" applyBorder="1" applyAlignment="1">
      <alignment horizontal="center" vertical="center"/>
    </xf>
    <xf numFmtId="0" fontId="155" fillId="3" borderId="54" xfId="0" applyFont="1" applyFill="1" applyBorder="1" applyAlignment="1">
      <alignment horizontal="center" vertical="center"/>
    </xf>
    <xf numFmtId="0" fontId="155" fillId="5" borderId="60" xfId="0" applyFont="1" applyFill="1" applyBorder="1" applyAlignment="1">
      <alignment horizontal="center" vertical="center" wrapText="1"/>
    </xf>
    <xf numFmtId="0" fontId="155" fillId="3" borderId="22" xfId="0" applyFont="1" applyFill="1" applyBorder="1" applyAlignment="1">
      <alignment horizontal="center" vertical="center"/>
    </xf>
    <xf numFmtId="0" fontId="155" fillId="3" borderId="33" xfId="0" applyFont="1" applyFill="1" applyBorder="1" applyAlignment="1">
      <alignment horizontal="center" vertical="center"/>
    </xf>
    <xf numFmtId="0" fontId="155" fillId="3" borderId="47" xfId="0" applyFont="1" applyFill="1" applyBorder="1" applyAlignment="1">
      <alignment horizontal="center" vertical="center"/>
    </xf>
    <xf numFmtId="49" fontId="117" fillId="0" borderId="2" xfId="0" applyNumberFormat="1" applyFont="1" applyBorder="1" applyAlignment="1">
      <alignment horizontal="center" vertical="center"/>
    </xf>
    <xf numFmtId="49" fontId="117" fillId="0" borderId="25" xfId="0" applyNumberFormat="1" applyFont="1" applyBorder="1" applyAlignment="1">
      <alignment horizontal="center" vertical="center"/>
    </xf>
    <xf numFmtId="49" fontId="117" fillId="0" borderId="30" xfId="0" applyNumberFormat="1" applyFont="1" applyBorder="1" applyAlignment="1">
      <alignment horizontal="center" vertical="center"/>
    </xf>
    <xf numFmtId="0" fontId="8" fillId="0" borderId="36" xfId="0" applyFont="1" applyBorder="1" applyAlignment="1">
      <alignment horizontal="center" vertical="center" wrapText="1"/>
    </xf>
    <xf numFmtId="49" fontId="117" fillId="0" borderId="45" xfId="0" applyNumberFormat="1" applyFont="1" applyBorder="1" applyAlignment="1">
      <alignment horizontal="center" vertical="center"/>
    </xf>
    <xf numFmtId="49" fontId="117" fillId="0" borderId="23" xfId="0" applyNumberFormat="1" applyFont="1" applyBorder="1" applyAlignment="1">
      <alignment horizontal="center" vertical="center"/>
    </xf>
    <xf numFmtId="49" fontId="117" fillId="0" borderId="31" xfId="0" applyNumberFormat="1" applyFont="1" applyBorder="1" applyAlignment="1">
      <alignment horizontal="center" vertical="center"/>
    </xf>
    <xf numFmtId="1" fontId="150" fillId="0" borderId="20" xfId="0" applyNumberFormat="1" applyFont="1" applyBorder="1" applyAlignment="1">
      <alignment horizontal="center" vertical="center"/>
    </xf>
    <xf numFmtId="1" fontId="150" fillId="0" borderId="51" xfId="0" applyNumberFormat="1" applyFont="1" applyBorder="1" applyAlignment="1">
      <alignment horizontal="center" vertical="center"/>
    </xf>
    <xf numFmtId="1" fontId="150" fillId="0" borderId="19" xfId="0" applyNumberFormat="1" applyFont="1" applyBorder="1" applyAlignment="1">
      <alignment horizontal="center" vertical="center"/>
    </xf>
    <xf numFmtId="1" fontId="150" fillId="0" borderId="48" xfId="0" applyNumberFormat="1" applyFont="1" applyBorder="1" applyAlignment="1">
      <alignment horizontal="center" vertical="center"/>
    </xf>
    <xf numFmtId="49" fontId="117" fillId="0" borderId="28" xfId="0" applyNumberFormat="1" applyFont="1" applyBorder="1" applyAlignment="1">
      <alignment horizontal="center" vertical="center"/>
    </xf>
    <xf numFmtId="0" fontId="8" fillId="20" borderId="19" xfId="0" applyFont="1" applyFill="1" applyBorder="1" applyAlignment="1">
      <alignment horizontal="center" vertical="center" wrapText="1"/>
    </xf>
    <xf numFmtId="0" fontId="8" fillId="20" borderId="25" xfId="0" applyFont="1" applyFill="1" applyBorder="1" applyAlignment="1">
      <alignment horizontal="center" vertical="center" wrapText="1"/>
    </xf>
    <xf numFmtId="0" fontId="8" fillId="20" borderId="0" xfId="0" applyFont="1" applyFill="1" applyAlignment="1">
      <alignment horizontal="center" vertical="center" wrapText="1"/>
    </xf>
    <xf numFmtId="0" fontId="67" fillId="41" borderId="20" xfId="0" applyFont="1" applyFill="1" applyBorder="1" applyAlignment="1">
      <alignment horizontal="center" vertical="center"/>
    </xf>
    <xf numFmtId="0" fontId="116" fillId="0" borderId="0" xfId="0" applyFont="1" applyAlignment="1">
      <alignment horizontal="center" vertical="center" wrapText="1"/>
    </xf>
    <xf numFmtId="0" fontId="67" fillId="50" borderId="48" xfId="0" applyFont="1" applyFill="1" applyBorder="1" applyAlignment="1">
      <alignment horizontal="center" vertical="center"/>
    </xf>
    <xf numFmtId="0" fontId="109" fillId="3" borderId="48" xfId="0" applyFont="1" applyFill="1" applyBorder="1" applyAlignment="1">
      <alignment horizontal="center" vertical="center" wrapText="1"/>
    </xf>
    <xf numFmtId="0" fontId="67" fillId="5" borderId="75" xfId="0" applyFont="1" applyFill="1" applyBorder="1" applyAlignment="1">
      <alignment horizontal="center" vertical="center" wrapText="1"/>
    </xf>
    <xf numFmtId="0" fontId="67" fillId="4" borderId="51" xfId="0" applyFont="1" applyFill="1" applyBorder="1" applyAlignment="1">
      <alignment horizontal="center" vertical="center"/>
    </xf>
    <xf numFmtId="0" fontId="109" fillId="5" borderId="51" xfId="0" applyFont="1" applyFill="1" applyBorder="1" applyAlignment="1">
      <alignment horizontal="center" vertical="center" wrapText="1"/>
    </xf>
    <xf numFmtId="0" fontId="67" fillId="5" borderId="52" xfId="0" applyFont="1" applyFill="1" applyBorder="1" applyAlignment="1">
      <alignment horizontal="center" vertical="center" wrapText="1"/>
    </xf>
    <xf numFmtId="0" fontId="67" fillId="5" borderId="62" xfId="0" applyFont="1" applyFill="1" applyBorder="1" applyAlignment="1">
      <alignment horizontal="center" vertical="center" wrapText="1"/>
    </xf>
    <xf numFmtId="0" fontId="67" fillId="27" borderId="20" xfId="0" applyFont="1" applyFill="1" applyBorder="1" applyAlignment="1">
      <alignment horizontal="center" vertical="center"/>
    </xf>
    <xf numFmtId="0" fontId="140" fillId="22" borderId="2" xfId="0" applyFont="1" applyFill="1" applyBorder="1" applyAlignment="1">
      <alignment horizontal="center" vertical="center" wrapText="1"/>
    </xf>
    <xf numFmtId="0" fontId="140" fillId="3" borderId="2" xfId="0" applyFont="1" applyFill="1" applyBorder="1" applyAlignment="1">
      <alignment horizontal="center" vertical="center" wrapText="1"/>
    </xf>
    <xf numFmtId="0" fontId="106" fillId="3" borderId="51" xfId="0" applyFont="1" applyFill="1" applyBorder="1" applyAlignment="1">
      <alignment horizontal="center" vertical="center" wrapText="1"/>
    </xf>
    <xf numFmtId="0" fontId="106" fillId="3" borderId="49" xfId="0" applyFont="1" applyFill="1" applyBorder="1" applyAlignment="1">
      <alignment horizontal="center" vertical="center" wrapText="1"/>
    </xf>
    <xf numFmtId="0" fontId="67" fillId="24" borderId="20" xfId="0" applyFont="1" applyFill="1" applyBorder="1" applyAlignment="1">
      <alignment horizontal="center" vertical="center"/>
    </xf>
    <xf numFmtId="0" fontId="67" fillId="24" borderId="64" xfId="0" applyFont="1" applyFill="1" applyBorder="1" applyAlignment="1">
      <alignment horizontal="center" vertical="center"/>
    </xf>
    <xf numFmtId="0" fontId="139" fillId="3" borderId="2" xfId="0" applyFont="1" applyFill="1" applyBorder="1" applyAlignment="1">
      <alignment horizontal="center" vertical="center" wrapText="1"/>
    </xf>
    <xf numFmtId="0" fontId="139" fillId="3" borderId="48" xfId="0" applyFont="1" applyFill="1" applyBorder="1" applyAlignment="1">
      <alignment horizontal="center" vertical="center" wrapText="1"/>
    </xf>
    <xf numFmtId="0" fontId="139" fillId="3" borderId="71" xfId="0" applyFont="1" applyFill="1" applyBorder="1" applyAlignment="1">
      <alignment horizontal="center" vertical="center" wrapText="1"/>
    </xf>
    <xf numFmtId="0" fontId="67" fillId="15" borderId="32" xfId="0" applyFont="1" applyFill="1" applyBorder="1" applyAlignment="1">
      <alignment horizontal="center" vertical="center"/>
    </xf>
    <xf numFmtId="0" fontId="140" fillId="5" borderId="61" xfId="0" applyFont="1" applyFill="1" applyBorder="1" applyAlignment="1">
      <alignment horizontal="center" vertical="center" wrapText="1"/>
    </xf>
    <xf numFmtId="0" fontId="67" fillId="47" borderId="2" xfId="0" applyFont="1" applyFill="1" applyBorder="1" applyAlignment="1">
      <alignment horizontal="center" vertical="center"/>
    </xf>
    <xf numFmtId="0" fontId="140" fillId="22" borderId="32" xfId="0" applyFont="1" applyFill="1" applyBorder="1" applyAlignment="1">
      <alignment horizontal="center" vertical="center" wrapText="1"/>
    </xf>
    <xf numFmtId="0" fontId="67" fillId="15" borderId="30" xfId="0" applyFont="1" applyFill="1" applyBorder="1" applyAlignment="1">
      <alignment horizontal="center" vertical="center"/>
    </xf>
    <xf numFmtId="0" fontId="67" fillId="35" borderId="19" xfId="0" applyFont="1" applyFill="1" applyBorder="1" applyAlignment="1">
      <alignment horizontal="center" vertical="center"/>
    </xf>
    <xf numFmtId="0" fontId="67" fillId="47" borderId="20" xfId="0" applyFont="1" applyFill="1" applyBorder="1" applyAlignment="1">
      <alignment horizontal="center" vertical="center"/>
    </xf>
    <xf numFmtId="0" fontId="67" fillId="47" borderId="54" xfId="0" applyFont="1" applyFill="1" applyBorder="1" applyAlignment="1">
      <alignment horizontal="center" vertical="center"/>
    </xf>
    <xf numFmtId="0" fontId="67" fillId="3" borderId="61" xfId="0" applyFont="1" applyFill="1" applyBorder="1" applyAlignment="1">
      <alignment horizontal="center" vertical="center"/>
    </xf>
    <xf numFmtId="0" fontId="139" fillId="5" borderId="90" xfId="0" applyFont="1" applyFill="1" applyBorder="1" applyAlignment="1">
      <alignment horizontal="center" vertical="center" wrapText="1"/>
    </xf>
    <xf numFmtId="0" fontId="106" fillId="5" borderId="1" xfId="0" applyFont="1" applyFill="1" applyBorder="1" applyAlignment="1">
      <alignment horizontal="center" vertical="center" wrapText="1"/>
    </xf>
    <xf numFmtId="0" fontId="193" fillId="0" borderId="20" xfId="0" applyFont="1" applyBorder="1" applyAlignment="1">
      <alignment horizontal="center" vertical="center"/>
    </xf>
    <xf numFmtId="0" fontId="195" fillId="8" borderId="25" xfId="0" applyFont="1" applyFill="1" applyBorder="1" applyAlignment="1">
      <alignment horizontal="center" vertical="center"/>
    </xf>
    <xf numFmtId="0" fontId="163" fillId="4" borderId="2" xfId="0" applyFont="1" applyFill="1" applyBorder="1" applyAlignment="1">
      <alignment horizontal="center" vertical="center"/>
    </xf>
    <xf numFmtId="0" fontId="163" fillId="56" borderId="2" xfId="0" applyFont="1" applyFill="1" applyBorder="1" applyAlignment="1">
      <alignment horizontal="center" vertical="center"/>
    </xf>
    <xf numFmtId="0" fontId="163" fillId="20" borderId="2" xfId="0" applyFont="1" applyFill="1" applyBorder="1" applyAlignment="1">
      <alignment horizontal="center" vertical="center"/>
    </xf>
    <xf numFmtId="0" fontId="163" fillId="12" borderId="25" xfId="0" applyFont="1" applyFill="1" applyBorder="1" applyAlignment="1">
      <alignment horizontal="center" vertical="center"/>
    </xf>
    <xf numFmtId="0" fontId="163" fillId="12" borderId="2" xfId="0" applyFont="1" applyFill="1" applyBorder="1" applyAlignment="1">
      <alignment horizontal="center" vertical="center"/>
    </xf>
    <xf numFmtId="16" fontId="193" fillId="0" borderId="2" xfId="0" applyNumberFormat="1" applyFont="1" applyBorder="1" applyAlignment="1">
      <alignment horizontal="center" vertical="center"/>
    </xf>
    <xf numFmtId="0" fontId="159" fillId="65" borderId="2" xfId="0" applyFont="1" applyFill="1" applyBorder="1" applyAlignment="1">
      <alignment horizontal="center" vertical="center"/>
    </xf>
    <xf numFmtId="0" fontId="159" fillId="46" borderId="2" xfId="0" applyFont="1" applyFill="1" applyBorder="1" applyAlignment="1">
      <alignment horizontal="center" vertical="center"/>
    </xf>
    <xf numFmtId="0" fontId="197" fillId="28" borderId="2" xfId="0" applyFont="1" applyFill="1" applyBorder="1" applyAlignment="1">
      <alignment horizontal="center" vertical="center"/>
    </xf>
    <xf numFmtId="49" fontId="197" fillId="28" borderId="2" xfId="0" applyNumberFormat="1" applyFont="1" applyFill="1" applyBorder="1" applyAlignment="1">
      <alignment horizontal="center" vertical="center"/>
    </xf>
    <xf numFmtId="49" fontId="198" fillId="3" borderId="2" xfId="0" applyNumberFormat="1" applyFont="1" applyFill="1" applyBorder="1" applyAlignment="1">
      <alignment horizontal="center" vertical="center"/>
    </xf>
    <xf numFmtId="0" fontId="197" fillId="6" borderId="2" xfId="0" applyFont="1" applyFill="1" applyBorder="1" applyAlignment="1">
      <alignment horizontal="center" vertical="center"/>
    </xf>
    <xf numFmtId="0" fontId="159" fillId="6" borderId="2" xfId="0" applyFont="1" applyFill="1" applyBorder="1" applyAlignment="1">
      <alignment horizontal="center" vertical="center"/>
    </xf>
    <xf numFmtId="0" fontId="197" fillId="22" borderId="2" xfId="0" applyFont="1" applyFill="1" applyBorder="1" applyAlignment="1">
      <alignment horizontal="center" vertical="center"/>
    </xf>
    <xf numFmtId="0" fontId="159" fillId="57" borderId="2" xfId="0" applyFont="1" applyFill="1" applyBorder="1" applyAlignment="1">
      <alignment horizontal="center" vertical="center"/>
    </xf>
    <xf numFmtId="0" fontId="199" fillId="0" borderId="2" xfId="0" applyFont="1" applyBorder="1" applyAlignment="1">
      <alignment horizontal="center" vertical="center"/>
    </xf>
    <xf numFmtId="0" fontId="157" fillId="35" borderId="2" xfId="0" applyFont="1" applyFill="1" applyBorder="1" applyAlignment="1">
      <alignment horizontal="center" vertical="center"/>
    </xf>
    <xf numFmtId="0" fontId="157" fillId="3" borderId="2" xfId="0" applyFont="1" applyFill="1" applyBorder="1" applyAlignment="1">
      <alignment horizontal="center" vertical="center"/>
    </xf>
    <xf numFmtId="0" fontId="197" fillId="8" borderId="2" xfId="0" applyFont="1" applyFill="1" applyBorder="1" applyAlignment="1">
      <alignment horizontal="center" vertical="center"/>
    </xf>
    <xf numFmtId="0" fontId="197" fillId="3" borderId="2" xfId="0" applyFont="1" applyFill="1" applyBorder="1" applyAlignment="1">
      <alignment horizontal="center" vertical="center"/>
    </xf>
    <xf numFmtId="0" fontId="197" fillId="49" borderId="2" xfId="0" applyFont="1" applyFill="1" applyBorder="1" applyAlignment="1">
      <alignment horizontal="center" vertical="center"/>
    </xf>
    <xf numFmtId="0" fontId="197" fillId="35" borderId="2" xfId="0" applyFont="1" applyFill="1" applyBorder="1" applyAlignment="1">
      <alignment horizontal="center" vertical="center"/>
    </xf>
    <xf numFmtId="0" fontId="200" fillId="0" borderId="2" xfId="0" applyFont="1" applyBorder="1" applyAlignment="1">
      <alignment horizontal="center" vertical="center"/>
    </xf>
    <xf numFmtId="16" fontId="200" fillId="74" borderId="2" xfId="0" applyNumberFormat="1" applyFont="1" applyFill="1" applyBorder="1" applyAlignment="1">
      <alignment horizontal="center" vertical="center"/>
    </xf>
    <xf numFmtId="16" fontId="200" fillId="74" borderId="30" xfId="0" applyNumberFormat="1" applyFont="1" applyFill="1" applyBorder="1" applyAlignment="1">
      <alignment horizontal="center" vertical="center"/>
    </xf>
    <xf numFmtId="0" fontId="202" fillId="74" borderId="2" xfId="0" applyFont="1" applyFill="1" applyBorder="1" applyAlignment="1">
      <alignment horizontal="center" vertical="center"/>
    </xf>
    <xf numFmtId="0" fontId="202" fillId="0" borderId="2" xfId="0" applyFont="1" applyBorder="1" applyAlignment="1">
      <alignment horizontal="center" vertical="center"/>
    </xf>
    <xf numFmtId="0" fontId="202" fillId="76" borderId="2" xfId="0" applyFont="1" applyFill="1" applyBorder="1" applyAlignment="1">
      <alignment horizontal="center" vertical="center"/>
    </xf>
    <xf numFmtId="0" fontId="202" fillId="77" borderId="2" xfId="0" applyFont="1" applyFill="1" applyBorder="1" applyAlignment="1">
      <alignment horizontal="center" vertical="center"/>
    </xf>
    <xf numFmtId="0" fontId="202" fillId="78" borderId="2" xfId="0" applyFont="1" applyFill="1" applyBorder="1" applyAlignment="1">
      <alignment horizontal="center" vertical="center"/>
    </xf>
    <xf numFmtId="0" fontId="202" fillId="75" borderId="2" xfId="0" applyFont="1" applyFill="1" applyBorder="1" applyAlignment="1">
      <alignment horizontal="center" vertical="center"/>
    </xf>
    <xf numFmtId="0" fontId="202" fillId="80" borderId="2" xfId="0" applyFont="1" applyFill="1" applyBorder="1" applyAlignment="1">
      <alignment horizontal="center" vertical="center"/>
    </xf>
    <xf numFmtId="0" fontId="202" fillId="81" borderId="2" xfId="0" applyFont="1" applyFill="1" applyBorder="1" applyAlignment="1">
      <alignment horizontal="center" vertical="center"/>
    </xf>
    <xf numFmtId="0" fontId="202" fillId="82" borderId="2" xfId="0" applyFont="1" applyFill="1" applyBorder="1" applyAlignment="1">
      <alignment horizontal="center" vertical="center"/>
    </xf>
    <xf numFmtId="0" fontId="202" fillId="83" borderId="2" xfId="0" applyFont="1" applyFill="1" applyBorder="1" applyAlignment="1">
      <alignment horizontal="center" vertical="center"/>
    </xf>
    <xf numFmtId="0" fontId="204" fillId="84" borderId="2" xfId="0" applyFont="1" applyFill="1" applyBorder="1" applyAlignment="1">
      <alignment horizontal="center" vertical="center"/>
    </xf>
    <xf numFmtId="0" fontId="205" fillId="74" borderId="2" xfId="0" applyFont="1" applyFill="1" applyBorder="1" applyAlignment="1">
      <alignment horizontal="center" vertical="center"/>
    </xf>
    <xf numFmtId="0" fontId="206" fillId="79" borderId="2" xfId="0" applyFont="1" applyFill="1" applyBorder="1" applyAlignment="1">
      <alignment horizontal="center" vertical="center"/>
    </xf>
    <xf numFmtId="0" fontId="200" fillId="0" borderId="51" xfId="0" applyFont="1" applyBorder="1" applyAlignment="1">
      <alignment horizontal="center" vertical="center"/>
    </xf>
    <xf numFmtId="0" fontId="207" fillId="0" borderId="2" xfId="0" applyFont="1" applyBorder="1"/>
    <xf numFmtId="0" fontId="200" fillId="0" borderId="2" xfId="0" applyFont="1" applyBorder="1" applyAlignment="1">
      <alignment horizontal="center" vertical="center" wrapText="1"/>
    </xf>
    <xf numFmtId="0" fontId="159" fillId="17" borderId="2" xfId="0" applyFont="1" applyFill="1" applyBorder="1" applyAlignment="1">
      <alignment horizontal="center" vertical="center"/>
    </xf>
    <xf numFmtId="0" fontId="159" fillId="40" borderId="2" xfId="0" applyFont="1" applyFill="1" applyBorder="1" applyAlignment="1">
      <alignment horizontal="center" vertical="center"/>
    </xf>
    <xf numFmtId="0" fontId="159" fillId="85" borderId="2" xfId="0" applyFont="1" applyFill="1" applyBorder="1" applyAlignment="1">
      <alignment horizontal="center" vertical="center"/>
    </xf>
    <xf numFmtId="0" fontId="193" fillId="0" borderId="51" xfId="0" applyFont="1" applyBorder="1" applyAlignment="1">
      <alignment horizontal="center" vertical="center"/>
    </xf>
    <xf numFmtId="0" fontId="159" fillId="43" borderId="2" xfId="0" applyFont="1" applyFill="1" applyBorder="1" applyAlignment="1">
      <alignment horizontal="center" vertical="center"/>
    </xf>
    <xf numFmtId="0" fontId="159" fillId="65" borderId="30" xfId="0" applyFont="1" applyFill="1" applyBorder="1" applyAlignment="1">
      <alignment horizontal="center" vertical="center"/>
    </xf>
    <xf numFmtId="0" fontId="153" fillId="2" borderId="49" xfId="0" applyFont="1" applyFill="1" applyBorder="1" applyAlignment="1">
      <alignment vertical="center" wrapText="1"/>
    </xf>
    <xf numFmtId="14" fontId="117" fillId="0" borderId="26" xfId="0" applyNumberFormat="1" applyFont="1" applyBorder="1" applyAlignment="1">
      <alignment horizontal="center" vertical="center"/>
    </xf>
    <xf numFmtId="0" fontId="193" fillId="0" borderId="26" xfId="0" applyFont="1" applyBorder="1" applyAlignment="1">
      <alignment horizontal="center" vertical="center"/>
    </xf>
    <xf numFmtId="16" fontId="158" fillId="0" borderId="44" xfId="0" applyNumberFormat="1" applyFont="1" applyBorder="1" applyAlignment="1">
      <alignment horizontal="center" vertical="center"/>
    </xf>
    <xf numFmtId="16" fontId="117" fillId="0" borderId="2" xfId="0" applyNumberFormat="1" applyFont="1" applyBorder="1" applyAlignment="1">
      <alignment horizontal="center" vertical="center"/>
    </xf>
    <xf numFmtId="16" fontId="159" fillId="3" borderId="51" xfId="0" applyNumberFormat="1" applyFont="1" applyFill="1" applyBorder="1" applyAlignment="1">
      <alignment horizontal="center" vertical="center"/>
    </xf>
    <xf numFmtId="16" fontId="158" fillId="0" borderId="20" xfId="0" applyNumberFormat="1" applyFont="1" applyBorder="1" applyAlignment="1">
      <alignment horizontal="center" vertical="center"/>
    </xf>
    <xf numFmtId="0" fontId="170" fillId="3" borderId="20" xfId="0" applyFont="1" applyFill="1" applyBorder="1" applyAlignment="1">
      <alignment horizontal="center" vertical="center" wrapText="1"/>
    </xf>
    <xf numFmtId="49" fontId="160" fillId="0" borderId="25" xfId="0" applyNumberFormat="1" applyFont="1" applyBorder="1" applyAlignment="1">
      <alignment horizontal="center" vertical="center"/>
    </xf>
    <xf numFmtId="0" fontId="0" fillId="11" borderId="2" xfId="0" applyFill="1" applyBorder="1"/>
    <xf numFmtId="0" fontId="181" fillId="22" borderId="0" xfId="0" applyFont="1" applyFill="1" applyAlignment="1">
      <alignment horizontal="center" vertical="center"/>
    </xf>
    <xf numFmtId="0" fontId="181" fillId="49" borderId="2" xfId="0" applyFont="1" applyFill="1" applyBorder="1" applyAlignment="1">
      <alignment horizontal="center" vertical="center"/>
    </xf>
    <xf numFmtId="0" fontId="181" fillId="8" borderId="19" xfId="0" applyFont="1" applyFill="1" applyBorder="1" applyAlignment="1">
      <alignment horizontal="center" vertical="center"/>
    </xf>
    <xf numFmtId="0" fontId="181" fillId="11" borderId="37" xfId="0" applyFont="1" applyFill="1" applyBorder="1" applyAlignment="1">
      <alignment horizontal="center" vertical="center"/>
    </xf>
    <xf numFmtId="0" fontId="171" fillId="22" borderId="32" xfId="0" applyFont="1" applyFill="1" applyBorder="1" applyAlignment="1">
      <alignment horizontal="center" vertical="center"/>
    </xf>
    <xf numFmtId="0" fontId="171" fillId="11" borderId="62" xfId="0" applyFont="1" applyFill="1" applyBorder="1" applyAlignment="1">
      <alignment horizontal="center" vertical="center"/>
    </xf>
    <xf numFmtId="0" fontId="171" fillId="11" borderId="64" xfId="0" applyFont="1" applyFill="1" applyBorder="1" applyAlignment="1">
      <alignment horizontal="center" vertical="center"/>
    </xf>
    <xf numFmtId="0" fontId="171" fillId="11" borderId="58" xfId="0" applyFont="1" applyFill="1" applyBorder="1" applyAlignment="1">
      <alignment horizontal="center" vertical="center"/>
    </xf>
    <xf numFmtId="0" fontId="171" fillId="11" borderId="45" xfId="0" applyFont="1" applyFill="1" applyBorder="1" applyAlignment="1">
      <alignment horizontal="center" vertical="center"/>
    </xf>
    <xf numFmtId="0" fontId="195" fillId="71" borderId="51" xfId="0" applyFont="1" applyFill="1" applyBorder="1" applyAlignment="1">
      <alignment horizontal="center" vertical="center"/>
    </xf>
    <xf numFmtId="0" fontId="171" fillId="11" borderId="35" xfId="0" applyFont="1" applyFill="1" applyBorder="1" applyAlignment="1">
      <alignment horizontal="center" vertical="center"/>
    </xf>
    <xf numFmtId="0" fontId="181" fillId="11" borderId="0" xfId="0" applyFont="1" applyFill="1" applyAlignment="1">
      <alignment horizontal="center" vertical="center"/>
    </xf>
    <xf numFmtId="0" fontId="171" fillId="11" borderId="31" xfId="0" applyFont="1" applyFill="1" applyBorder="1" applyAlignment="1">
      <alignment horizontal="center" vertical="center"/>
    </xf>
    <xf numFmtId="0" fontId="158" fillId="8" borderId="45" xfId="0" applyFont="1" applyFill="1" applyBorder="1" applyAlignment="1">
      <alignment horizontal="center" vertical="center"/>
    </xf>
    <xf numFmtId="0" fontId="158" fillId="47" borderId="25" xfId="0" applyFont="1" applyFill="1" applyBorder="1" applyAlignment="1">
      <alignment horizontal="center" vertical="center"/>
    </xf>
    <xf numFmtId="0" fontId="163" fillId="34" borderId="25" xfId="0" applyFont="1" applyFill="1" applyBorder="1" applyAlignment="1">
      <alignment horizontal="center" vertical="center"/>
    </xf>
    <xf numFmtId="0" fontId="163" fillId="3" borderId="32" xfId="0" applyFont="1" applyFill="1" applyBorder="1" applyAlignment="1">
      <alignment horizontal="center" vertical="center"/>
    </xf>
    <xf numFmtId="0" fontId="176" fillId="12" borderId="64" xfId="0" applyFont="1" applyFill="1" applyBorder="1" applyAlignment="1">
      <alignment horizontal="center" vertical="center"/>
    </xf>
    <xf numFmtId="0" fontId="159" fillId="20" borderId="64" xfId="0" applyFont="1" applyFill="1" applyBorder="1" applyAlignment="1">
      <alignment horizontal="center" vertical="center"/>
    </xf>
    <xf numFmtId="0" fontId="159" fillId="24" borderId="64" xfId="0" applyFont="1" applyFill="1" applyBorder="1" applyAlignment="1">
      <alignment horizontal="center" vertical="center"/>
    </xf>
    <xf numFmtId="0" fontId="159" fillId="38" borderId="19" xfId="0" applyFont="1" applyFill="1" applyBorder="1" applyAlignment="1">
      <alignment horizontal="center" vertical="center"/>
    </xf>
    <xf numFmtId="0" fontId="159" fillId="3" borderId="19" xfId="0" applyFont="1" applyFill="1" applyBorder="1" applyAlignment="1">
      <alignment horizontal="center" vertical="center"/>
    </xf>
    <xf numFmtId="0" fontId="159" fillId="24" borderId="23" xfId="0" applyFont="1" applyFill="1" applyBorder="1" applyAlignment="1">
      <alignment horizontal="center" vertical="center"/>
    </xf>
    <xf numFmtId="0" fontId="159" fillId="0" borderId="19" xfId="0" applyFont="1" applyBorder="1" applyAlignment="1">
      <alignment horizontal="center" vertical="center"/>
    </xf>
    <xf numFmtId="0" fontId="159" fillId="8" borderId="51" xfId="0" applyFont="1" applyFill="1" applyBorder="1" applyAlignment="1">
      <alignment horizontal="center" vertical="center"/>
    </xf>
    <xf numFmtId="0" fontId="158" fillId="29" borderId="51" xfId="0" applyFont="1" applyFill="1" applyBorder="1" applyAlignment="1">
      <alignment horizontal="center" vertical="center"/>
    </xf>
    <xf numFmtId="0" fontId="158" fillId="33" borderId="19" xfId="0" applyFont="1" applyFill="1" applyBorder="1" applyAlignment="1">
      <alignment horizontal="center" vertical="center"/>
    </xf>
    <xf numFmtId="0" fontId="158" fillId="18" borderId="23" xfId="0" applyFont="1" applyFill="1" applyBorder="1" applyAlignment="1">
      <alignment horizontal="center" vertical="center"/>
    </xf>
    <xf numFmtId="0" fontId="158" fillId="23" borderId="2" xfId="0" applyFont="1" applyFill="1" applyBorder="1" applyAlignment="1">
      <alignment horizontal="center" vertical="center"/>
    </xf>
    <xf numFmtId="0" fontId="158" fillId="29" borderId="49" xfId="0" applyFont="1" applyFill="1" applyBorder="1" applyAlignment="1">
      <alignment horizontal="center" vertical="center"/>
    </xf>
    <xf numFmtId="0" fontId="158" fillId="43" borderId="45" xfId="0" applyFont="1" applyFill="1" applyBorder="1" applyAlignment="1">
      <alignment horizontal="center" vertical="center"/>
    </xf>
    <xf numFmtId="0" fontId="158" fillId="33" borderId="23" xfId="0" applyFont="1" applyFill="1" applyBorder="1" applyAlignment="1">
      <alignment horizontal="center" vertical="center"/>
    </xf>
    <xf numFmtId="0" fontId="158" fillId="29" borderId="32" xfId="0" applyFont="1" applyFill="1" applyBorder="1" applyAlignment="1">
      <alignment horizontal="center" vertical="center"/>
    </xf>
    <xf numFmtId="0" fontId="158" fillId="43" borderId="23" xfId="0" applyFont="1" applyFill="1" applyBorder="1" applyAlignment="1">
      <alignment horizontal="center" vertical="center"/>
    </xf>
    <xf numFmtId="0" fontId="158" fillId="2" borderId="25" xfId="0" applyFont="1" applyFill="1" applyBorder="1" applyAlignment="1">
      <alignment horizontal="center" vertical="center"/>
    </xf>
    <xf numFmtId="0" fontId="158" fillId="22" borderId="32" xfId="0" applyFont="1" applyFill="1" applyBorder="1" applyAlignment="1">
      <alignment horizontal="center" vertical="center"/>
    </xf>
    <xf numFmtId="0" fontId="158" fillId="8" borderId="51" xfId="0" applyFont="1" applyFill="1" applyBorder="1" applyAlignment="1">
      <alignment horizontal="center" vertical="center"/>
    </xf>
    <xf numFmtId="0" fontId="158" fillId="30" borderId="2" xfId="0" applyFont="1" applyFill="1" applyBorder="1" applyAlignment="1">
      <alignment horizontal="center" vertical="center"/>
    </xf>
    <xf numFmtId="0" fontId="158" fillId="32" borderId="25" xfId="0" applyFont="1" applyFill="1" applyBorder="1" applyAlignment="1">
      <alignment horizontal="center" vertical="center"/>
    </xf>
    <xf numFmtId="0" fontId="158" fillId="37" borderId="20" xfId="0" applyFont="1" applyFill="1" applyBorder="1" applyAlignment="1">
      <alignment horizontal="center" vertical="center"/>
    </xf>
    <xf numFmtId="0" fontId="158" fillId="40" borderId="25" xfId="0" applyFont="1" applyFill="1" applyBorder="1" applyAlignment="1">
      <alignment horizontal="center" vertical="center"/>
    </xf>
    <xf numFmtId="0" fontId="158" fillId="50" borderId="23" xfId="0" applyFont="1" applyFill="1" applyBorder="1" applyAlignment="1">
      <alignment horizontal="center" vertical="center"/>
    </xf>
    <xf numFmtId="0" fontId="158" fillId="36" borderId="2" xfId="0" applyFont="1" applyFill="1" applyBorder="1" applyAlignment="1">
      <alignment horizontal="center" vertical="center"/>
    </xf>
    <xf numFmtId="0" fontId="155" fillId="4" borderId="20" xfId="0" applyFont="1" applyFill="1" applyBorder="1" applyAlignment="1">
      <alignment horizontal="center" vertical="center"/>
    </xf>
    <xf numFmtId="0" fontId="155" fillId="40" borderId="48" xfId="0" applyFont="1" applyFill="1" applyBorder="1" applyAlignment="1">
      <alignment horizontal="center" vertical="center"/>
    </xf>
    <xf numFmtId="0" fontId="159" fillId="48" borderId="25" xfId="0" applyFont="1" applyFill="1" applyBorder="1" applyAlignment="1">
      <alignment horizontal="center" vertical="center" wrapText="1"/>
    </xf>
    <xf numFmtId="0" fontId="67" fillId="3" borderId="34" xfId="0" applyFont="1" applyFill="1" applyBorder="1" applyAlignment="1">
      <alignment horizontal="center" vertical="center"/>
    </xf>
    <xf numFmtId="0" fontId="67" fillId="51" borderId="25" xfId="0" applyFont="1" applyFill="1" applyBorder="1" applyAlignment="1">
      <alignment horizontal="center" vertical="center"/>
    </xf>
    <xf numFmtId="0" fontId="159" fillId="3" borderId="45" xfId="0" applyFont="1" applyFill="1" applyBorder="1" applyAlignment="1">
      <alignment horizontal="center" vertical="center"/>
    </xf>
    <xf numFmtId="0" fontId="202" fillId="0" borderId="30" xfId="0" applyFont="1" applyBorder="1" applyAlignment="1">
      <alignment horizontal="center" vertical="center"/>
    </xf>
    <xf numFmtId="0" fontId="202" fillId="75" borderId="20" xfId="0" applyFont="1" applyFill="1" applyBorder="1" applyAlignment="1">
      <alignment horizontal="center" vertical="center"/>
    </xf>
    <xf numFmtId="0" fontId="67" fillId="32" borderId="20" xfId="0" applyFont="1" applyFill="1" applyBorder="1" applyAlignment="1">
      <alignment horizontal="center" vertical="center"/>
    </xf>
    <xf numFmtId="0" fontId="67" fillId="31" borderId="51" xfId="0" applyFont="1" applyFill="1" applyBorder="1" applyAlignment="1">
      <alignment horizontal="center" vertical="center"/>
    </xf>
    <xf numFmtId="0" fontId="67" fillId="24" borderId="23" xfId="0" applyFont="1" applyFill="1" applyBorder="1" applyAlignment="1">
      <alignment horizontal="center" vertical="center"/>
    </xf>
    <xf numFmtId="0" fontId="67" fillId="29" borderId="2" xfId="0" applyFont="1" applyFill="1" applyBorder="1" applyAlignment="1">
      <alignment horizontal="center" vertical="center"/>
    </xf>
    <xf numFmtId="0" fontId="202" fillId="74" borderId="25" xfId="0" applyFont="1" applyFill="1" applyBorder="1" applyAlignment="1">
      <alignment horizontal="center" vertical="center"/>
    </xf>
    <xf numFmtId="0" fontId="158" fillId="11" borderId="25" xfId="0" applyFont="1" applyFill="1" applyBorder="1" applyAlignment="1">
      <alignment horizontal="center" vertical="center"/>
    </xf>
    <xf numFmtId="0" fontId="158" fillId="28" borderId="48" xfId="0" applyFont="1" applyFill="1" applyBorder="1" applyAlignment="1">
      <alignment horizontal="center" vertical="center"/>
    </xf>
    <xf numFmtId="0" fontId="158" fillId="4" borderId="45" xfId="0" applyFont="1" applyFill="1" applyBorder="1" applyAlignment="1">
      <alignment horizontal="center" vertical="center"/>
    </xf>
    <xf numFmtId="0" fontId="158" fillId="32" borderId="19" xfId="0" applyFont="1" applyFill="1" applyBorder="1" applyAlignment="1">
      <alignment horizontal="center" vertical="center"/>
    </xf>
    <xf numFmtId="0" fontId="158" fillId="8" borderId="23" xfId="0" applyFont="1" applyFill="1" applyBorder="1" applyAlignment="1">
      <alignment horizontal="center" vertical="center"/>
    </xf>
    <xf numFmtId="0" fontId="158" fillId="16" borderId="23" xfId="0" applyFont="1" applyFill="1" applyBorder="1" applyAlignment="1">
      <alignment horizontal="center" vertical="center"/>
    </xf>
    <xf numFmtId="0" fontId="158" fillId="26" borderId="25" xfId="0" applyFont="1" applyFill="1" applyBorder="1" applyAlignment="1">
      <alignment horizontal="center" vertical="center"/>
    </xf>
    <xf numFmtId="0" fontId="158" fillId="19" borderId="20" xfId="0" applyFont="1" applyFill="1" applyBorder="1" applyAlignment="1">
      <alignment horizontal="center" vertical="center"/>
    </xf>
    <xf numFmtId="0" fontId="155" fillId="40" borderId="20" xfId="0" applyFont="1" applyFill="1" applyBorder="1" applyAlignment="1">
      <alignment horizontal="center" vertical="center"/>
    </xf>
    <xf numFmtId="0" fontId="155" fillId="3" borderId="37" xfId="0" applyFont="1" applyFill="1" applyBorder="1" applyAlignment="1">
      <alignment horizontal="center" vertical="center"/>
    </xf>
    <xf numFmtId="0" fontId="155" fillId="20" borderId="25" xfId="0" applyFont="1" applyFill="1" applyBorder="1" applyAlignment="1">
      <alignment horizontal="center" vertical="center"/>
    </xf>
    <xf numFmtId="0" fontId="161" fillId="0" borderId="23" xfId="0" applyFont="1" applyBorder="1" applyAlignment="1">
      <alignment horizontal="center" vertical="center" wrapText="1"/>
    </xf>
    <xf numFmtId="0" fontId="67" fillId="3" borderId="52" xfId="0" applyFont="1" applyFill="1" applyBorder="1" applyAlignment="1">
      <alignment horizontal="center" vertical="center"/>
    </xf>
    <xf numFmtId="0" fontId="67" fillId="40" borderId="25" xfId="0" applyFont="1" applyFill="1" applyBorder="1" applyAlignment="1">
      <alignment horizontal="center" vertical="center"/>
    </xf>
    <xf numFmtId="0" fontId="67" fillId="8" borderId="19" xfId="0" applyFont="1" applyFill="1" applyBorder="1" applyAlignment="1">
      <alignment horizontal="center" vertical="center"/>
    </xf>
    <xf numFmtId="0" fontId="67" fillId="5" borderId="72" xfId="0" applyFont="1" applyFill="1" applyBorder="1" applyAlignment="1">
      <alignment horizontal="center" vertical="center"/>
    </xf>
    <xf numFmtId="0" fontId="163" fillId="14" borderId="20" xfId="0" applyFont="1" applyFill="1" applyBorder="1" applyAlignment="1">
      <alignment horizontal="center" vertical="center"/>
    </xf>
    <xf numFmtId="0" fontId="159" fillId="28" borderId="64" xfId="0" applyFont="1" applyFill="1" applyBorder="1" applyAlignment="1">
      <alignment horizontal="center" vertical="center"/>
    </xf>
    <xf numFmtId="0" fontId="176" fillId="3" borderId="64" xfId="0" applyFont="1" applyFill="1" applyBorder="1" applyAlignment="1">
      <alignment horizontal="center" vertical="center"/>
    </xf>
    <xf numFmtId="0" fontId="176" fillId="3" borderId="20" xfId="0" applyFont="1" applyFill="1" applyBorder="1" applyAlignment="1">
      <alignment horizontal="center" vertical="center"/>
    </xf>
    <xf numFmtId="0" fontId="159" fillId="31" borderId="19" xfId="0" applyFont="1" applyFill="1" applyBorder="1" applyAlignment="1">
      <alignment horizontal="center" vertical="center"/>
    </xf>
    <xf numFmtId="0" fontId="159" fillId="27" borderId="19" xfId="0" applyFont="1" applyFill="1" applyBorder="1" applyAlignment="1">
      <alignment horizontal="center" vertical="center"/>
    </xf>
    <xf numFmtId="0" fontId="159" fillId="4" borderId="25" xfId="0" applyFont="1" applyFill="1" applyBorder="1" applyAlignment="1">
      <alignment horizontal="center" vertical="center"/>
    </xf>
    <xf numFmtId="0" fontId="159" fillId="2" borderId="19" xfId="0" applyFont="1" applyFill="1" applyBorder="1" applyAlignment="1">
      <alignment horizontal="center" vertical="center"/>
    </xf>
    <xf numFmtId="0" fontId="158" fillId="13" borderId="25" xfId="0" applyFont="1" applyFill="1" applyBorder="1" applyAlignment="1">
      <alignment horizontal="center" vertical="center"/>
    </xf>
    <xf numFmtId="0" fontId="158" fillId="28" borderId="19" xfId="0" applyFont="1" applyFill="1" applyBorder="1" applyAlignment="1">
      <alignment horizontal="center" vertical="center"/>
    </xf>
    <xf numFmtId="0" fontId="158" fillId="14" borderId="23" xfId="0" applyFont="1" applyFill="1" applyBorder="1" applyAlignment="1">
      <alignment horizontal="center" vertical="center"/>
    </xf>
    <xf numFmtId="0" fontId="158" fillId="24" borderId="23" xfId="0" applyFont="1" applyFill="1" applyBorder="1" applyAlignment="1">
      <alignment horizontal="center" vertical="center"/>
    </xf>
    <xf numFmtId="0" fontId="158" fillId="43" borderId="2" xfId="0" applyFont="1" applyFill="1" applyBorder="1" applyAlignment="1">
      <alignment horizontal="center" vertical="center" wrapText="1"/>
    </xf>
    <xf numFmtId="0" fontId="158" fillId="42" borderId="19" xfId="0" applyFont="1" applyFill="1" applyBorder="1" applyAlignment="1">
      <alignment horizontal="center" vertical="center"/>
    </xf>
    <xf numFmtId="0" fontId="158" fillId="50" borderId="19" xfId="0" applyFont="1" applyFill="1" applyBorder="1" applyAlignment="1">
      <alignment horizontal="center" vertical="center"/>
    </xf>
    <xf numFmtId="0" fontId="155" fillId="35" borderId="25" xfId="0" applyFont="1" applyFill="1" applyBorder="1" applyAlignment="1">
      <alignment horizontal="center" vertical="center"/>
    </xf>
    <xf numFmtId="0" fontId="159" fillId="0" borderId="23" xfId="0" applyFont="1" applyBorder="1" applyAlignment="1">
      <alignment horizontal="center" vertical="center" wrapText="1"/>
    </xf>
    <xf numFmtId="16" fontId="159" fillId="48" borderId="25" xfId="0" applyNumberFormat="1" applyFont="1" applyFill="1" applyBorder="1" applyAlignment="1">
      <alignment horizontal="center" vertical="center" wrapText="1"/>
    </xf>
    <xf numFmtId="0" fontId="67" fillId="39" borderId="19" xfId="0" applyFont="1" applyFill="1" applyBorder="1" applyAlignment="1">
      <alignment horizontal="center" vertical="center"/>
    </xf>
    <xf numFmtId="0" fontId="67" fillId="12" borderId="62" xfId="0" applyFont="1" applyFill="1" applyBorder="1" applyAlignment="1">
      <alignment horizontal="center" vertical="center"/>
    </xf>
    <xf numFmtId="0" fontId="67" fillId="41" borderId="2" xfId="0" applyFont="1" applyFill="1" applyBorder="1" applyAlignment="1">
      <alignment horizontal="center" vertical="center"/>
    </xf>
    <xf numFmtId="0" fontId="67" fillId="35" borderId="20" xfId="0" applyFont="1" applyFill="1" applyBorder="1" applyAlignment="1">
      <alignment horizontal="center" vertical="center"/>
    </xf>
    <xf numFmtId="0" fontId="163" fillId="34" borderId="30" xfId="0" applyFont="1" applyFill="1" applyBorder="1" applyAlignment="1">
      <alignment horizontal="center" vertical="center"/>
    </xf>
    <xf numFmtId="0" fontId="159" fillId="15" borderId="32" xfId="0" applyFont="1" applyFill="1" applyBorder="1" applyAlignment="1">
      <alignment horizontal="center" vertical="center"/>
    </xf>
    <xf numFmtId="0" fontId="159" fillId="38" borderId="21" xfId="0" applyFont="1" applyFill="1" applyBorder="1" applyAlignment="1">
      <alignment horizontal="center" vertical="center"/>
    </xf>
    <xf numFmtId="16" fontId="159" fillId="35" borderId="22" xfId="0" applyNumberFormat="1" applyFont="1" applyFill="1" applyBorder="1" applyAlignment="1">
      <alignment horizontal="center" vertical="center"/>
    </xf>
    <xf numFmtId="0" fontId="159" fillId="29" borderId="33" xfId="0" applyFont="1" applyFill="1" applyBorder="1" applyAlignment="1">
      <alignment horizontal="center" vertical="center"/>
    </xf>
    <xf numFmtId="0" fontId="159" fillId="3" borderId="21" xfId="0" applyFont="1" applyFill="1" applyBorder="1" applyAlignment="1">
      <alignment horizontal="center" vertical="center"/>
    </xf>
    <xf numFmtId="0" fontId="159" fillId="29" borderId="54" xfId="0" applyFont="1" applyFill="1" applyBorder="1" applyAlignment="1">
      <alignment horizontal="center" vertical="center"/>
    </xf>
    <xf numFmtId="0" fontId="159" fillId="24" borderId="24" xfId="0" applyFont="1" applyFill="1" applyBorder="1" applyAlignment="1">
      <alignment horizontal="center" vertical="center"/>
    </xf>
    <xf numFmtId="0" fontId="158" fillId="12" borderId="35" xfId="0" applyFont="1" applyFill="1" applyBorder="1" applyAlignment="1">
      <alignment horizontal="center" vertical="center"/>
    </xf>
    <xf numFmtId="0" fontId="158" fillId="18" borderId="24" xfId="0" applyFont="1" applyFill="1" applyBorder="1" applyAlignment="1">
      <alignment horizontal="center" vertical="center"/>
    </xf>
    <xf numFmtId="0" fontId="158" fillId="29" borderId="24" xfId="0" applyFont="1" applyFill="1" applyBorder="1" applyAlignment="1">
      <alignment horizontal="center" vertical="center"/>
    </xf>
    <xf numFmtId="0" fontId="158" fillId="29" borderId="47" xfId="0" applyFont="1" applyFill="1" applyBorder="1" applyAlignment="1">
      <alignment horizontal="center" vertical="center"/>
    </xf>
    <xf numFmtId="0" fontId="158" fillId="43" borderId="58" xfId="0" applyFont="1" applyFill="1" applyBorder="1" applyAlignment="1">
      <alignment horizontal="center" vertical="center"/>
    </xf>
    <xf numFmtId="0" fontId="158" fillId="24" borderId="52" xfId="0" applyFont="1" applyFill="1" applyBorder="1" applyAlignment="1">
      <alignment horizontal="center" vertical="center"/>
    </xf>
    <xf numFmtId="0" fontId="158" fillId="31" borderId="21" xfId="0" applyFont="1" applyFill="1" applyBorder="1" applyAlignment="1">
      <alignment horizontal="center" vertical="center"/>
    </xf>
    <xf numFmtId="0" fontId="158" fillId="43" borderId="24" xfId="0" applyFont="1" applyFill="1" applyBorder="1" applyAlignment="1">
      <alignment horizontal="center" vertical="center"/>
    </xf>
    <xf numFmtId="0" fontId="158" fillId="0" borderId="70" xfId="0" applyFont="1" applyBorder="1" applyAlignment="1">
      <alignment horizontal="center" vertical="center"/>
    </xf>
    <xf numFmtId="0" fontId="158" fillId="30" borderId="22" xfId="0" applyFont="1" applyFill="1" applyBorder="1" applyAlignment="1">
      <alignment horizontal="center" vertical="center"/>
    </xf>
    <xf numFmtId="0" fontId="158" fillId="51" borderId="47" xfId="0" applyFont="1" applyFill="1" applyBorder="1" applyAlignment="1">
      <alignment horizontal="center" vertical="center"/>
    </xf>
    <xf numFmtId="0" fontId="158" fillId="37" borderId="30" xfId="0" applyFont="1" applyFill="1" applyBorder="1" applyAlignment="1">
      <alignment horizontal="center" vertical="center"/>
    </xf>
    <xf numFmtId="0" fontId="158" fillId="31" borderId="54" xfId="0" applyFont="1" applyFill="1" applyBorder="1" applyAlignment="1">
      <alignment horizontal="center" vertical="center"/>
    </xf>
    <xf numFmtId="0" fontId="158" fillId="37" borderId="54" xfId="0" applyFont="1" applyFill="1" applyBorder="1" applyAlignment="1">
      <alignment horizontal="center" vertical="center"/>
    </xf>
    <xf numFmtId="0" fontId="158" fillId="40" borderId="47" xfId="0" applyFont="1" applyFill="1" applyBorder="1" applyAlignment="1">
      <alignment horizontal="center" vertical="center"/>
    </xf>
    <xf numFmtId="0" fontId="158" fillId="50" borderId="31" xfId="0" applyFont="1" applyFill="1" applyBorder="1" applyAlignment="1">
      <alignment horizontal="center" vertical="center"/>
    </xf>
    <xf numFmtId="0" fontId="158" fillId="49" borderId="30" xfId="0" applyFont="1" applyFill="1" applyBorder="1" applyAlignment="1">
      <alignment horizontal="center" vertical="center"/>
    </xf>
    <xf numFmtId="0" fontId="158" fillId="31" borderId="35" xfId="0" applyFont="1" applyFill="1" applyBorder="1" applyAlignment="1">
      <alignment horizontal="center" vertical="center"/>
    </xf>
    <xf numFmtId="0" fontId="158" fillId="36" borderId="30" xfId="0" applyFont="1" applyFill="1" applyBorder="1" applyAlignment="1">
      <alignment horizontal="center" vertical="center"/>
    </xf>
    <xf numFmtId="0" fontId="158" fillId="43" borderId="33" xfId="0" applyFont="1" applyFill="1" applyBorder="1" applyAlignment="1">
      <alignment horizontal="center" vertical="center"/>
    </xf>
    <xf numFmtId="0" fontId="158" fillId="46" borderId="30" xfId="0" applyFont="1" applyFill="1" applyBorder="1" applyAlignment="1">
      <alignment horizontal="center" vertical="center"/>
    </xf>
    <xf numFmtId="0" fontId="155" fillId="40" borderId="68" xfId="0" applyFont="1" applyFill="1" applyBorder="1" applyAlignment="1">
      <alignment horizontal="center" vertical="center"/>
    </xf>
    <xf numFmtId="0" fontId="67" fillId="8" borderId="30" xfId="0" applyFont="1" applyFill="1" applyBorder="1" applyAlignment="1">
      <alignment horizontal="center" vertical="center"/>
    </xf>
    <xf numFmtId="0" fontId="67" fillId="51" borderId="22" xfId="0" applyFont="1" applyFill="1" applyBorder="1" applyAlignment="1">
      <alignment horizontal="center" vertical="center"/>
    </xf>
    <xf numFmtId="0" fontId="202" fillId="0" borderId="32" xfId="0" applyFont="1" applyBorder="1" applyAlignment="1">
      <alignment horizontal="center" vertical="center"/>
    </xf>
    <xf numFmtId="0" fontId="197" fillId="22" borderId="22" xfId="0" applyFont="1" applyFill="1" applyBorder="1" applyAlignment="1">
      <alignment horizontal="center" vertical="center"/>
    </xf>
    <xf numFmtId="0" fontId="158" fillId="4" borderId="58" xfId="0" applyFont="1" applyFill="1" applyBorder="1" applyAlignment="1">
      <alignment horizontal="center" vertical="center"/>
    </xf>
    <xf numFmtId="0" fontId="158" fillId="12" borderId="49" xfId="0" applyFont="1" applyFill="1" applyBorder="1" applyAlignment="1">
      <alignment horizontal="center" vertical="center"/>
    </xf>
    <xf numFmtId="0" fontId="158" fillId="29" borderId="31" xfId="0" applyFont="1" applyFill="1" applyBorder="1" applyAlignment="1">
      <alignment horizontal="center" vertical="center"/>
    </xf>
    <xf numFmtId="0" fontId="158" fillId="65" borderId="30" xfId="0" applyFont="1" applyFill="1" applyBorder="1" applyAlignment="1">
      <alignment horizontal="center" vertical="center"/>
    </xf>
    <xf numFmtId="0" fontId="158" fillId="32" borderId="35" xfId="0" applyFont="1" applyFill="1" applyBorder="1" applyAlignment="1">
      <alignment horizontal="center" vertical="center"/>
    </xf>
    <xf numFmtId="0" fontId="158" fillId="33" borderId="47" xfId="0" applyFont="1" applyFill="1" applyBorder="1" applyAlignment="1">
      <alignment horizontal="center" vertical="center"/>
    </xf>
    <xf numFmtId="0" fontId="158" fillId="26" borderId="47" xfId="0" applyFont="1" applyFill="1" applyBorder="1" applyAlignment="1">
      <alignment horizontal="center" vertical="center"/>
    </xf>
    <xf numFmtId="0" fontId="155" fillId="40" borderId="54" xfId="0" applyFont="1" applyFill="1" applyBorder="1" applyAlignment="1">
      <alignment horizontal="center" vertical="center"/>
    </xf>
    <xf numFmtId="0" fontId="155" fillId="3" borderId="24" xfId="0" applyFont="1" applyFill="1" applyBorder="1" applyAlignment="1">
      <alignment horizontal="center" vertical="center"/>
    </xf>
    <xf numFmtId="0" fontId="159" fillId="31" borderId="21" xfId="0" applyFont="1" applyFill="1" applyBorder="1" applyAlignment="1">
      <alignment horizontal="center" vertical="center"/>
    </xf>
    <xf numFmtId="0" fontId="159" fillId="71" borderId="22" xfId="0" applyFont="1" applyFill="1" applyBorder="1" applyAlignment="1">
      <alignment horizontal="center" vertical="center"/>
    </xf>
    <xf numFmtId="0" fontId="159" fillId="27" borderId="21" xfId="0" applyFont="1" applyFill="1" applyBorder="1" applyAlignment="1">
      <alignment horizontal="center" vertical="center"/>
    </xf>
    <xf numFmtId="0" fontId="159" fillId="4" borderId="47" xfId="0" applyFont="1" applyFill="1" applyBorder="1" applyAlignment="1">
      <alignment horizontal="center" vertical="center"/>
    </xf>
    <xf numFmtId="0" fontId="159" fillId="2" borderId="21" xfId="0" applyFont="1" applyFill="1" applyBorder="1" applyAlignment="1">
      <alignment horizontal="center" vertical="center"/>
    </xf>
    <xf numFmtId="0" fontId="158" fillId="50" borderId="22" xfId="0" applyFont="1" applyFill="1" applyBorder="1" applyAlignment="1">
      <alignment horizontal="center" vertical="center"/>
    </xf>
    <xf numFmtId="0" fontId="158" fillId="14" borderId="21" xfId="0" applyFont="1" applyFill="1" applyBorder="1" applyAlignment="1">
      <alignment horizontal="center" vertical="center"/>
    </xf>
    <xf numFmtId="0" fontId="158" fillId="8" borderId="54" xfId="0" applyFont="1" applyFill="1" applyBorder="1" applyAlignment="1">
      <alignment horizontal="center" vertical="center"/>
    </xf>
    <xf numFmtId="0" fontId="158" fillId="4" borderId="31" xfId="0" applyFont="1" applyFill="1" applyBorder="1" applyAlignment="1">
      <alignment horizontal="center" vertical="center"/>
    </xf>
    <xf numFmtId="0" fontId="158" fillId="24" borderId="31" xfId="0" applyFont="1" applyFill="1" applyBorder="1" applyAlignment="1">
      <alignment horizontal="center" vertical="center"/>
    </xf>
    <xf numFmtId="0" fontId="158" fillId="51" borderId="64" xfId="0" applyFont="1" applyFill="1" applyBorder="1" applyAlignment="1">
      <alignment horizontal="center" vertical="center"/>
    </xf>
    <xf numFmtId="0" fontId="158" fillId="42" borderId="21" xfId="0" applyFont="1" applyFill="1" applyBorder="1" applyAlignment="1">
      <alignment horizontal="center" vertical="center"/>
    </xf>
    <xf numFmtId="0" fontId="158" fillId="50" borderId="24" xfId="0" applyFont="1" applyFill="1" applyBorder="1" applyAlignment="1">
      <alignment horizontal="center" vertical="center"/>
    </xf>
    <xf numFmtId="0" fontId="158" fillId="14" borderId="30" xfId="0" applyFont="1" applyFill="1" applyBorder="1" applyAlignment="1">
      <alignment horizontal="center" vertical="center"/>
    </xf>
    <xf numFmtId="0" fontId="158" fillId="31" borderId="31" xfId="0" applyFont="1" applyFill="1" applyBorder="1" applyAlignment="1">
      <alignment horizontal="center" vertical="center"/>
    </xf>
    <xf numFmtId="16" fontId="159" fillId="3" borderId="23" xfId="0" applyNumberFormat="1" applyFont="1" applyFill="1" applyBorder="1" applyAlignment="1">
      <alignment horizontal="center" vertical="center" wrapText="1"/>
    </xf>
    <xf numFmtId="16" fontId="159" fillId="3" borderId="20" xfId="0" applyNumberFormat="1" applyFont="1" applyFill="1" applyBorder="1" applyAlignment="1">
      <alignment horizontal="center" vertical="center" wrapText="1"/>
    </xf>
    <xf numFmtId="0" fontId="67" fillId="39" borderId="21" xfId="0" applyFont="1" applyFill="1" applyBorder="1" applyAlignment="1">
      <alignment horizontal="center" vertical="center"/>
    </xf>
    <xf numFmtId="0" fontId="67" fillId="41" borderId="22" xfId="0" applyFont="1" applyFill="1" applyBorder="1" applyAlignment="1">
      <alignment horizontal="center" vertical="center"/>
    </xf>
    <xf numFmtId="0" fontId="182" fillId="22" borderId="2" xfId="0" applyFont="1" applyFill="1" applyBorder="1" applyAlignment="1">
      <alignment horizontal="center" vertical="center"/>
    </xf>
    <xf numFmtId="0" fontId="167" fillId="3" borderId="50" xfId="0" applyFont="1" applyFill="1" applyBorder="1" applyAlignment="1">
      <alignment horizontal="center" vertical="center"/>
    </xf>
    <xf numFmtId="0" fontId="166" fillId="22" borderId="30" xfId="0" applyFont="1" applyFill="1" applyBorder="1" applyAlignment="1">
      <alignment horizontal="center" vertical="center"/>
    </xf>
    <xf numFmtId="0" fontId="23" fillId="3" borderId="20" xfId="0" applyFont="1" applyFill="1" applyBorder="1" applyAlignment="1">
      <alignment horizontal="center" vertical="center"/>
    </xf>
    <xf numFmtId="0" fontId="179" fillId="22" borderId="2" xfId="0" applyFont="1" applyFill="1" applyBorder="1" applyAlignment="1">
      <alignment horizontal="center" vertical="center"/>
    </xf>
    <xf numFmtId="0" fontId="146" fillId="3" borderId="20" xfId="0" applyFont="1" applyFill="1" applyBorder="1" applyAlignment="1">
      <alignment horizontal="center" vertical="center"/>
    </xf>
    <xf numFmtId="0" fontId="168" fillId="0" borderId="23" xfId="0" applyFont="1" applyBorder="1" applyAlignment="1">
      <alignment horizontal="center" vertical="center" wrapText="1"/>
    </xf>
    <xf numFmtId="0" fontId="167" fillId="4" borderId="2" xfId="0" applyFont="1" applyFill="1" applyBorder="1" applyAlignment="1">
      <alignment horizontal="center" vertical="center" wrapText="1"/>
    </xf>
    <xf numFmtId="0" fontId="23" fillId="22" borderId="67" xfId="0" applyFont="1" applyFill="1" applyBorder="1" applyAlignment="1">
      <alignment horizontal="center" vertical="center"/>
    </xf>
    <xf numFmtId="0" fontId="167" fillId="0" borderId="26" xfId="0" applyFont="1" applyBorder="1" applyAlignment="1">
      <alignment horizontal="center" vertical="center" wrapText="1"/>
    </xf>
    <xf numFmtId="0" fontId="168" fillId="0" borderId="46" xfId="0" applyFont="1" applyBorder="1" applyAlignment="1">
      <alignment horizontal="center" vertical="center"/>
    </xf>
    <xf numFmtId="0" fontId="23" fillId="0" borderId="34" xfId="0" applyFont="1" applyBorder="1" applyAlignment="1">
      <alignment horizontal="center" vertical="center" wrapText="1"/>
    </xf>
    <xf numFmtId="0" fontId="150" fillId="0" borderId="51" xfId="0" applyFont="1" applyBorder="1" applyAlignment="1">
      <alignment horizontal="center" vertical="center"/>
    </xf>
    <xf numFmtId="0" fontId="140" fillId="5" borderId="34" xfId="0" applyFont="1" applyFill="1" applyBorder="1" applyAlignment="1">
      <alignment horizontal="center" vertical="center" wrapText="1"/>
    </xf>
    <xf numFmtId="0" fontId="104" fillId="5" borderId="74" xfId="0" applyFont="1" applyFill="1" applyBorder="1" applyAlignment="1">
      <alignment horizontal="center" vertical="center" wrapText="1"/>
    </xf>
    <xf numFmtId="20" fontId="25" fillId="4" borderId="2" xfId="0" applyNumberFormat="1" applyFont="1" applyFill="1" applyBorder="1" applyAlignment="1">
      <alignment horizontal="center" vertical="center"/>
    </xf>
    <xf numFmtId="0" fontId="166" fillId="0" borderId="2" xfId="0" applyFont="1" applyBorder="1" applyAlignment="1">
      <alignment horizontal="center" vertical="center"/>
    </xf>
    <xf numFmtId="0" fontId="166" fillId="3" borderId="64" xfId="0" applyFont="1" applyFill="1" applyBorder="1" applyAlignment="1">
      <alignment horizontal="center" vertical="center"/>
    </xf>
    <xf numFmtId="0" fontId="23" fillId="3" borderId="75" xfId="0" applyFont="1" applyFill="1" applyBorder="1" applyAlignment="1">
      <alignment horizontal="center" vertical="center"/>
    </xf>
    <xf numFmtId="0" fontId="150" fillId="0" borderId="59" xfId="0" applyFont="1" applyBorder="1" applyAlignment="1">
      <alignment horizontal="center" vertical="center"/>
    </xf>
    <xf numFmtId="0" fontId="168" fillId="22" borderId="37" xfId="0" applyFont="1" applyFill="1" applyBorder="1" applyAlignment="1">
      <alignment horizontal="center" vertical="center"/>
    </xf>
    <xf numFmtId="0" fontId="146" fillId="2" borderId="25" xfId="0" applyFont="1" applyFill="1" applyBorder="1" applyAlignment="1">
      <alignment horizontal="center" vertical="center"/>
    </xf>
    <xf numFmtId="0" fontId="167" fillId="0" borderId="27" xfId="0" applyFont="1" applyBorder="1" applyAlignment="1">
      <alignment horizontal="center" vertical="center"/>
    </xf>
    <xf numFmtId="0" fontId="168" fillId="0" borderId="55" xfId="0" applyFont="1" applyBorder="1" applyAlignment="1">
      <alignment horizontal="center" vertical="center"/>
    </xf>
    <xf numFmtId="0" fontId="167" fillId="0" borderId="74" xfId="0" applyFont="1" applyBorder="1" applyAlignment="1">
      <alignment horizontal="center" vertical="center" wrapText="1"/>
    </xf>
    <xf numFmtId="0" fontId="104" fillId="22" borderId="20" xfId="0" applyFont="1" applyFill="1" applyBorder="1" applyAlignment="1">
      <alignment horizontal="center" vertical="center" wrapText="1"/>
    </xf>
    <xf numFmtId="0" fontId="167" fillId="3" borderId="102" xfId="0" applyFont="1" applyFill="1" applyBorder="1" applyAlignment="1">
      <alignment horizontal="center" vertical="center"/>
    </xf>
    <xf numFmtId="0" fontId="166" fillId="0" borderId="25" xfId="0" applyFont="1" applyBorder="1" applyAlignment="1">
      <alignment horizontal="center" vertical="center"/>
    </xf>
    <xf numFmtId="0" fontId="167" fillId="22" borderId="64" xfId="0" applyFont="1" applyFill="1" applyBorder="1" applyAlignment="1">
      <alignment horizontal="center" vertical="center"/>
    </xf>
    <xf numFmtId="0" fontId="167" fillId="3" borderId="59" xfId="0" applyFont="1" applyFill="1" applyBorder="1" applyAlignment="1">
      <alignment horizontal="center" vertical="center"/>
    </xf>
    <xf numFmtId="0" fontId="166" fillId="3" borderId="60" xfId="0" applyFont="1" applyFill="1" applyBorder="1" applyAlignment="1">
      <alignment horizontal="center" vertical="center"/>
    </xf>
    <xf numFmtId="0" fontId="23" fillId="22" borderId="19" xfId="0" applyFont="1" applyFill="1" applyBorder="1" applyAlignment="1">
      <alignment horizontal="center" vertical="center"/>
    </xf>
    <xf numFmtId="0" fontId="158" fillId="22" borderId="26" xfId="0" applyFont="1" applyFill="1" applyBorder="1" applyAlignment="1">
      <alignment horizontal="center" vertical="center"/>
    </xf>
    <xf numFmtId="0" fontId="166" fillId="0" borderId="26" xfId="0" applyFont="1" applyBorder="1" applyAlignment="1">
      <alignment horizontal="center" vertical="center" wrapText="1"/>
    </xf>
    <xf numFmtId="0" fontId="166" fillId="0" borderId="55" xfId="0" applyFont="1" applyBorder="1" applyAlignment="1">
      <alignment horizontal="center" vertical="center"/>
    </xf>
    <xf numFmtId="0" fontId="23" fillId="0" borderId="75" xfId="0" applyFont="1" applyBorder="1" applyAlignment="1">
      <alignment horizontal="center" vertical="center" wrapText="1"/>
    </xf>
    <xf numFmtId="0" fontId="23" fillId="22" borderId="32" xfId="0" applyFont="1" applyFill="1" applyBorder="1" applyAlignment="1">
      <alignment horizontal="center" vertical="center" wrapText="1"/>
    </xf>
    <xf numFmtId="0" fontId="167" fillId="0" borderId="23" xfId="0" applyFont="1" applyBorder="1" applyAlignment="1">
      <alignment horizontal="center" vertical="center" wrapText="1"/>
    </xf>
    <xf numFmtId="0" fontId="166" fillId="0" borderId="30" xfId="0" applyFont="1" applyBorder="1" applyAlignment="1">
      <alignment horizontal="center" vertical="center"/>
    </xf>
    <xf numFmtId="0" fontId="23" fillId="3" borderId="64" xfId="0" applyFont="1" applyFill="1" applyBorder="1" applyAlignment="1">
      <alignment horizontal="center" vertical="center"/>
    </xf>
    <xf numFmtId="0" fontId="166" fillId="3" borderId="22" xfId="0" applyFont="1" applyFill="1" applyBorder="1" applyAlignment="1">
      <alignment horizontal="center" vertical="center"/>
    </xf>
    <xf numFmtId="0" fontId="166" fillId="0" borderId="71" xfId="0" applyFont="1" applyBorder="1" applyAlignment="1">
      <alignment horizontal="center" vertical="center" wrapText="1"/>
    </xf>
    <xf numFmtId="0" fontId="23" fillId="0" borderId="33" xfId="0" applyFont="1" applyBorder="1" applyAlignment="1">
      <alignment horizontal="center" vertical="center" wrapText="1"/>
    </xf>
    <xf numFmtId="0" fontId="25" fillId="4" borderId="2" xfId="0" applyFont="1" applyFill="1" applyBorder="1" applyAlignment="1">
      <alignment horizontal="center" vertical="center"/>
    </xf>
    <xf numFmtId="0" fontId="168" fillId="3" borderId="64" xfId="0" applyFont="1" applyFill="1" applyBorder="1" applyAlignment="1">
      <alignment horizontal="center" vertical="center"/>
    </xf>
    <xf numFmtId="0" fontId="166" fillId="3" borderId="72" xfId="0" applyFont="1" applyFill="1" applyBorder="1" applyAlignment="1">
      <alignment horizontal="center" vertical="center"/>
    </xf>
    <xf numFmtId="0" fontId="23" fillId="3" borderId="24" xfId="0" applyFont="1" applyFill="1" applyBorder="1" applyAlignment="1">
      <alignment horizontal="center" vertical="center"/>
    </xf>
    <xf numFmtId="0" fontId="146" fillId="22" borderId="24" xfId="0" applyFont="1" applyFill="1" applyBorder="1" applyAlignment="1">
      <alignment horizontal="center" vertical="center"/>
    </xf>
    <xf numFmtId="0" fontId="167" fillId="0" borderId="31" xfId="0" applyFont="1" applyBorder="1" applyAlignment="1">
      <alignment horizontal="center" vertical="center" wrapText="1"/>
    </xf>
    <xf numFmtId="0" fontId="146" fillId="3" borderId="66" xfId="0" applyFont="1" applyFill="1" applyBorder="1" applyAlignment="1">
      <alignment horizontal="center" vertical="center"/>
    </xf>
    <xf numFmtId="0" fontId="23" fillId="22" borderId="64" xfId="0" applyFont="1" applyFill="1" applyBorder="1" applyAlignment="1">
      <alignment horizontal="center" vertical="center"/>
    </xf>
    <xf numFmtId="0" fontId="167" fillId="0" borderId="22" xfId="0" applyFont="1" applyBorder="1" applyAlignment="1">
      <alignment horizontal="center" vertical="center"/>
    </xf>
    <xf numFmtId="0" fontId="23" fillId="3" borderId="54" xfId="0" applyFont="1" applyFill="1" applyBorder="1" applyAlignment="1">
      <alignment horizontal="center" vertical="center"/>
    </xf>
    <xf numFmtId="0" fontId="25" fillId="0" borderId="23" xfId="0" applyFont="1" applyBorder="1" applyAlignment="1">
      <alignment horizontal="center" vertical="center"/>
    </xf>
    <xf numFmtId="0" fontId="166" fillId="0" borderId="32" xfId="0" applyFont="1" applyBorder="1" applyAlignment="1">
      <alignment horizontal="center" vertical="center"/>
    </xf>
    <xf numFmtId="0" fontId="167" fillId="22" borderId="0" xfId="0" applyFont="1" applyFill="1" applyAlignment="1">
      <alignment horizontal="center" vertical="center"/>
    </xf>
    <xf numFmtId="0" fontId="167" fillId="0" borderId="33" xfId="0" applyFont="1" applyBorder="1" applyAlignment="1">
      <alignment horizontal="center" vertical="center" wrapText="1"/>
    </xf>
    <xf numFmtId="0" fontId="140" fillId="0" borderId="23" xfId="0" applyFont="1" applyBorder="1" applyAlignment="1">
      <alignment horizontal="center" vertical="center" wrapText="1"/>
    </xf>
    <xf numFmtId="0" fontId="117" fillId="0" borderId="33" xfId="0" applyFont="1" applyBorder="1" applyAlignment="1">
      <alignment horizontal="center" vertical="center"/>
    </xf>
    <xf numFmtId="0" fontId="117" fillId="0" borderId="26" xfId="0" applyFont="1" applyBorder="1" applyAlignment="1">
      <alignment horizontal="center" vertical="center"/>
    </xf>
    <xf numFmtId="0" fontId="159" fillId="0" borderId="34" xfId="0" applyFont="1" applyBorder="1" applyAlignment="1">
      <alignment horizontal="center" vertical="center"/>
    </xf>
    <xf numFmtId="0" fontId="161" fillId="5" borderId="26" xfId="0" applyFont="1" applyFill="1" applyBorder="1" applyAlignment="1">
      <alignment horizontal="center" vertical="center" wrapText="1"/>
    </xf>
    <xf numFmtId="0" fontId="158" fillId="3" borderId="79" xfId="0" applyFont="1" applyFill="1" applyBorder="1" applyAlignment="1">
      <alignment horizontal="center" vertical="center"/>
    </xf>
    <xf numFmtId="0" fontId="158" fillId="0" borderId="0" xfId="0" applyFont="1" applyAlignment="1">
      <alignment horizontal="center" vertical="center"/>
    </xf>
    <xf numFmtId="0" fontId="187" fillId="0" borderId="2" xfId="0" applyFont="1" applyBorder="1" applyAlignment="1">
      <alignment horizontal="center" vertical="center"/>
    </xf>
    <xf numFmtId="0" fontId="134" fillId="0" borderId="45" xfId="0" applyFont="1" applyBorder="1" applyAlignment="1">
      <alignment vertical="center"/>
    </xf>
    <xf numFmtId="0" fontId="33" fillId="8" borderId="19" xfId="0" applyFont="1" applyFill="1" applyBorder="1" applyAlignment="1">
      <alignment horizontal="center" vertical="center"/>
    </xf>
    <xf numFmtId="0" fontId="171" fillId="0" borderId="34" xfId="0" applyFont="1" applyBorder="1" applyAlignment="1">
      <alignment horizontal="center" vertical="center"/>
    </xf>
    <xf numFmtId="0" fontId="134" fillId="0" borderId="102" xfId="0" applyFont="1" applyBorder="1" applyAlignment="1">
      <alignment vertical="center"/>
    </xf>
    <xf numFmtId="0" fontId="134" fillId="0" borderId="86" xfId="0" applyFont="1" applyBorder="1" applyAlignment="1">
      <alignment vertical="center"/>
    </xf>
    <xf numFmtId="0" fontId="171" fillId="8" borderId="57" xfId="0" applyFont="1" applyFill="1" applyBorder="1" applyAlignment="1">
      <alignment horizontal="center" vertical="center"/>
    </xf>
    <xf numFmtId="0" fontId="134" fillId="0" borderId="55" xfId="0" applyFont="1" applyBorder="1" applyAlignment="1">
      <alignment horizontal="center" vertical="center"/>
    </xf>
    <xf numFmtId="0" fontId="17" fillId="0" borderId="78" xfId="0" applyFont="1" applyBorder="1" applyAlignment="1">
      <alignment horizontal="center" vertical="center"/>
    </xf>
    <xf numFmtId="0" fontId="171" fillId="8" borderId="74" xfId="0" applyFont="1" applyFill="1" applyBorder="1" applyAlignment="1">
      <alignment horizontal="center" vertical="center"/>
    </xf>
    <xf numFmtId="0" fontId="134" fillId="0" borderId="63" xfId="0" applyFont="1" applyBorder="1" applyAlignment="1">
      <alignment vertical="center"/>
    </xf>
    <xf numFmtId="0" fontId="171" fillId="8" borderId="26" xfId="0" applyFont="1" applyFill="1" applyBorder="1" applyAlignment="1">
      <alignment horizontal="center" vertical="center"/>
    </xf>
    <xf numFmtId="0" fontId="171" fillId="0" borderId="20" xfId="0" applyFont="1" applyBorder="1" applyAlignment="1">
      <alignment horizontal="center" vertical="center"/>
    </xf>
    <xf numFmtId="0" fontId="150" fillId="0" borderId="51" xfId="0" applyFont="1" applyBorder="1" applyAlignment="1">
      <alignment horizontal="center" vertical="center" wrapText="1"/>
    </xf>
    <xf numFmtId="0" fontId="165" fillId="0" borderId="45" xfId="0" applyFont="1" applyBorder="1" applyAlignment="1">
      <alignment horizontal="center" vertical="center"/>
    </xf>
    <xf numFmtId="0" fontId="162" fillId="6" borderId="20" xfId="0" applyFont="1" applyFill="1" applyBorder="1" applyAlignment="1">
      <alignment horizontal="center" vertical="center" wrapText="1"/>
    </xf>
    <xf numFmtId="0" fontId="134" fillId="0" borderId="1" xfId="0" applyFont="1" applyBorder="1" applyAlignment="1">
      <alignment vertical="center"/>
    </xf>
    <xf numFmtId="0" fontId="171" fillId="3" borderId="88" xfId="0" applyFont="1" applyFill="1" applyBorder="1" applyAlignment="1">
      <alignment horizontal="center" vertical="center"/>
    </xf>
    <xf numFmtId="0" fontId="171" fillId="8" borderId="61" xfId="0" applyFont="1" applyFill="1" applyBorder="1" applyAlignment="1">
      <alignment horizontal="center" vertical="center"/>
    </xf>
    <xf numFmtId="0" fontId="134" fillId="0" borderId="4" xfId="0" applyFont="1" applyBorder="1" applyAlignment="1">
      <alignment vertical="center"/>
    </xf>
    <xf numFmtId="0" fontId="171" fillId="3" borderId="23" xfId="0" applyFont="1" applyFill="1" applyBorder="1" applyAlignment="1">
      <alignment horizontal="center" vertical="center"/>
    </xf>
    <xf numFmtId="0" fontId="171" fillId="8" borderId="62" xfId="0" applyFont="1" applyFill="1" applyBorder="1" applyAlignment="1">
      <alignment horizontal="center" vertical="center"/>
    </xf>
    <xf numFmtId="0" fontId="181" fillId="0" borderId="32" xfId="0" applyFont="1" applyBorder="1" applyAlignment="1">
      <alignment horizontal="center" vertical="center"/>
    </xf>
    <xf numFmtId="0" fontId="171" fillId="3" borderId="36" xfId="0" applyFont="1" applyFill="1" applyBorder="1" applyAlignment="1">
      <alignment horizontal="center" vertical="center"/>
    </xf>
    <xf numFmtId="0" fontId="134" fillId="0" borderId="56" xfId="0" applyFont="1" applyBorder="1" applyAlignment="1">
      <alignment vertical="center"/>
    </xf>
    <xf numFmtId="0" fontId="134" fillId="0" borderId="78" xfId="0" applyFont="1" applyBorder="1" applyAlignment="1">
      <alignment horizontal="center" vertical="center"/>
    </xf>
    <xf numFmtId="0" fontId="134" fillId="0" borderId="18" xfId="0" applyFont="1" applyBorder="1" applyAlignment="1">
      <alignment vertical="center"/>
    </xf>
    <xf numFmtId="0" fontId="171" fillId="8" borderId="60" xfId="0" applyFont="1" applyFill="1" applyBorder="1" applyAlignment="1">
      <alignment horizontal="center" vertical="center"/>
    </xf>
    <xf numFmtId="0" fontId="178" fillId="3" borderId="2" xfId="0" applyFont="1" applyFill="1" applyBorder="1" applyAlignment="1">
      <alignment horizontal="center" vertical="center"/>
    </xf>
    <xf numFmtId="0" fontId="171" fillId="8" borderId="0" xfId="0" applyFont="1" applyFill="1" applyAlignment="1">
      <alignment horizontal="center" vertical="center"/>
    </xf>
    <xf numFmtId="0" fontId="171" fillId="0" borderId="45" xfId="0" applyFont="1" applyBorder="1" applyAlignment="1">
      <alignment horizontal="center" vertical="center"/>
    </xf>
    <xf numFmtId="0" fontId="162" fillId="0" borderId="2" xfId="0" applyFont="1" applyBorder="1" applyAlignment="1">
      <alignment horizontal="center" vertical="center" wrapText="1"/>
    </xf>
    <xf numFmtId="0" fontId="68" fillId="5" borderId="0" xfId="0" applyFont="1" applyFill="1" applyAlignment="1">
      <alignment horizontal="center" vertical="center" wrapText="1"/>
    </xf>
    <xf numFmtId="0" fontId="193" fillId="0" borderId="0" xfId="0" applyFont="1" applyAlignment="1">
      <alignment horizontal="center" vertical="center"/>
    </xf>
    <xf numFmtId="0" fontId="57" fillId="0" borderId="19" xfId="0" applyFont="1" applyBorder="1" applyAlignment="1">
      <alignment horizontal="center" vertical="center"/>
    </xf>
    <xf numFmtId="0" fontId="161" fillId="5" borderId="51" xfId="0" applyFont="1" applyFill="1" applyBorder="1" applyAlignment="1">
      <alignment horizontal="center" vertical="center" wrapText="1"/>
    </xf>
    <xf numFmtId="0" fontId="193" fillId="0" borderId="25" xfId="0" applyFont="1" applyBorder="1" applyAlignment="1">
      <alignment horizontal="center" vertical="center"/>
    </xf>
    <xf numFmtId="0" fontId="207" fillId="0" borderId="51" xfId="0" applyFont="1" applyBorder="1"/>
    <xf numFmtId="0" fontId="167" fillId="0" borderId="23" xfId="0" applyFont="1" applyBorder="1" applyAlignment="1">
      <alignment horizontal="center" vertical="center"/>
    </xf>
    <xf numFmtId="0" fontId="8" fillId="3" borderId="19" xfId="0" applyFont="1" applyFill="1" applyBorder="1" applyAlignment="1">
      <alignment horizontal="center" vertical="center" wrapText="1"/>
    </xf>
    <xf numFmtId="0" fontId="158" fillId="0" borderId="0" xfId="0" applyFont="1" applyAlignment="1">
      <alignment horizontal="center" vertical="center" wrapText="1"/>
    </xf>
    <xf numFmtId="0" fontId="8" fillId="20" borderId="20" xfId="0" applyFont="1" applyFill="1" applyBorder="1" applyAlignment="1">
      <alignment horizontal="center" vertical="center" wrapText="1"/>
    </xf>
    <xf numFmtId="0" fontId="158" fillId="0" borderId="4" xfId="0" applyFont="1" applyBorder="1" applyAlignment="1">
      <alignment horizontal="center" vertical="center"/>
    </xf>
    <xf numFmtId="0" fontId="158" fillId="0" borderId="38" xfId="0" applyFont="1" applyBorder="1" applyAlignment="1">
      <alignment horizontal="center" vertical="center"/>
    </xf>
    <xf numFmtId="0" fontId="8" fillId="0" borderId="51" xfId="0" applyFont="1" applyBorder="1" applyAlignment="1">
      <alignment horizontal="center" vertical="center" wrapText="1"/>
    </xf>
    <xf numFmtId="0" fontId="158" fillId="3" borderId="0" xfId="0" applyFont="1" applyFill="1" applyAlignment="1">
      <alignment horizontal="center" vertical="center"/>
    </xf>
    <xf numFmtId="0" fontId="150" fillId="0" borderId="4" xfId="0" applyFont="1" applyBorder="1" applyAlignment="1">
      <alignment horizontal="center" vertical="center"/>
    </xf>
    <xf numFmtId="0" fontId="8" fillId="20" borderId="51" xfId="0" applyFont="1" applyFill="1" applyBorder="1" applyAlignment="1">
      <alignment horizontal="center" vertical="center" wrapText="1"/>
    </xf>
    <xf numFmtId="0" fontId="8" fillId="0" borderId="53" xfId="0" applyFont="1" applyBorder="1" applyAlignment="1">
      <alignment horizontal="center" vertical="center" wrapText="1"/>
    </xf>
    <xf numFmtId="0" fontId="8" fillId="0" borderId="62" xfId="0" applyFont="1" applyBorder="1" applyAlignment="1">
      <alignment horizontal="center" vertical="center" wrapText="1"/>
    </xf>
    <xf numFmtId="0" fontId="8" fillId="0" borderId="37" xfId="0" applyFont="1" applyBorder="1" applyAlignment="1">
      <alignment horizontal="center" vertical="center" wrapText="1"/>
    </xf>
    <xf numFmtId="0" fontId="8" fillId="0" borderId="21" xfId="0" applyFont="1" applyBorder="1" applyAlignment="1">
      <alignment horizontal="center" vertical="center" wrapText="1"/>
    </xf>
    <xf numFmtId="0" fontId="150" fillId="0" borderId="86" xfId="0" applyFont="1" applyBorder="1" applyAlignment="1">
      <alignment horizontal="center" vertical="center"/>
    </xf>
    <xf numFmtId="0" fontId="8" fillId="20" borderId="53" xfId="0" applyFont="1" applyFill="1" applyBorder="1" applyAlignment="1">
      <alignment horizontal="center" vertical="center" wrapText="1"/>
    </xf>
    <xf numFmtId="0" fontId="8" fillId="20" borderId="32" xfId="0" applyFont="1" applyFill="1" applyBorder="1" applyAlignment="1">
      <alignment horizontal="center" vertical="center" wrapText="1"/>
    </xf>
    <xf numFmtId="0" fontId="150" fillId="0" borderId="74" xfId="0" applyFont="1" applyBorder="1" applyAlignment="1">
      <alignment horizontal="center" vertical="center"/>
    </xf>
    <xf numFmtId="0" fontId="193" fillId="0" borderId="22" xfId="0" applyFont="1" applyBorder="1" applyAlignment="1">
      <alignment horizontal="center" vertical="center"/>
    </xf>
    <xf numFmtId="0" fontId="193" fillId="0" borderId="64" xfId="0" applyFont="1" applyBorder="1" applyAlignment="1">
      <alignment horizontal="center" vertical="center" wrapText="1"/>
    </xf>
    <xf numFmtId="0" fontId="102" fillId="0" borderId="54" xfId="0" applyFont="1" applyBorder="1"/>
    <xf numFmtId="49" fontId="194" fillId="3" borderId="22" xfId="0" applyNumberFormat="1" applyFont="1" applyFill="1" applyBorder="1" applyAlignment="1">
      <alignment horizontal="center" vertical="center"/>
    </xf>
    <xf numFmtId="0" fontId="189" fillId="0" borderId="22" xfId="0" applyFont="1" applyBorder="1" applyAlignment="1">
      <alignment horizontal="center" vertical="center"/>
    </xf>
    <xf numFmtId="0" fontId="175" fillId="0" borderId="64" xfId="0" applyFont="1" applyBorder="1" applyAlignment="1">
      <alignment wrapText="1"/>
    </xf>
    <xf numFmtId="16" fontId="35" fillId="3" borderId="25" xfId="0" applyNumberFormat="1" applyFont="1" applyFill="1" applyBorder="1" applyAlignment="1">
      <alignment horizontal="center" vertical="center" wrapText="1"/>
    </xf>
    <xf numFmtId="0" fontId="35" fillId="0" borderId="20" xfId="0" applyFont="1" applyBorder="1" applyAlignment="1">
      <alignment wrapText="1"/>
    </xf>
    <xf numFmtId="0" fontId="34" fillId="0" borderId="25" xfId="0" applyFont="1" applyBorder="1" applyAlignment="1">
      <alignment vertical="center" wrapText="1"/>
    </xf>
    <xf numFmtId="0" fontId="155" fillId="5" borderId="88" xfId="0" applyFont="1" applyFill="1" applyBorder="1" applyAlignment="1">
      <alignment horizontal="center" vertical="center" wrapText="1"/>
    </xf>
    <xf numFmtId="0" fontId="193" fillId="0" borderId="30" xfId="0" applyFont="1" applyBorder="1" applyAlignment="1">
      <alignment horizontal="center" vertical="center" wrapText="1"/>
    </xf>
    <xf numFmtId="0" fontId="150" fillId="0" borderId="62" xfId="0" applyFont="1" applyBorder="1" applyAlignment="1">
      <alignment horizontal="center" vertical="center"/>
    </xf>
    <xf numFmtId="0" fontId="34" fillId="0" borderId="26" xfId="0" applyFont="1" applyBorder="1" applyAlignment="1">
      <alignment vertical="center"/>
    </xf>
    <xf numFmtId="0" fontId="158" fillId="3" borderId="23" xfId="0" applyFont="1" applyFill="1" applyBorder="1" applyAlignment="1">
      <alignment horizontal="center" vertical="center" wrapText="1"/>
    </xf>
    <xf numFmtId="0" fontId="148" fillId="0" borderId="19" xfId="0" applyFont="1" applyBorder="1" applyAlignment="1">
      <alignment horizontal="center" vertical="center" wrapText="1"/>
    </xf>
    <xf numFmtId="0" fontId="158" fillId="0" borderId="2" xfId="0" applyFont="1" applyBorder="1" applyAlignment="1">
      <alignment wrapText="1"/>
    </xf>
    <xf numFmtId="0" fontId="155" fillId="5" borderId="102" xfId="0" applyFont="1" applyFill="1" applyBorder="1" applyAlignment="1">
      <alignment horizontal="center" vertical="center" wrapText="1"/>
    </xf>
    <xf numFmtId="0" fontId="150" fillId="0" borderId="54" xfId="0" applyFont="1" applyBorder="1" applyAlignment="1">
      <alignment horizontal="center" vertical="center"/>
    </xf>
    <xf numFmtId="0" fontId="158" fillId="0" borderId="74" xfId="0" applyFont="1" applyBorder="1" applyAlignment="1">
      <alignment horizontal="center" vertical="center" wrapText="1"/>
    </xf>
    <xf numFmtId="16" fontId="159" fillId="0" borderId="23" xfId="0" applyNumberFormat="1" applyFont="1" applyBorder="1" applyAlignment="1">
      <alignment horizontal="center" vertical="center"/>
    </xf>
    <xf numFmtId="0" fontId="158" fillId="22" borderId="23" xfId="0" applyFont="1" applyFill="1" applyBorder="1" applyAlignment="1">
      <alignment horizontal="center" vertical="center"/>
    </xf>
    <xf numFmtId="0" fontId="171" fillId="22" borderId="19" xfId="0" applyFont="1" applyFill="1" applyBorder="1" applyAlignment="1">
      <alignment horizontal="center" vertical="center"/>
    </xf>
    <xf numFmtId="0" fontId="181" fillId="71" borderId="62" xfId="0" applyFont="1" applyFill="1" applyBorder="1" applyAlignment="1">
      <alignment horizontal="center" vertical="center"/>
    </xf>
    <xf numFmtId="0" fontId="181" fillId="4" borderId="23" xfId="0" applyFont="1" applyFill="1" applyBorder="1" applyAlignment="1">
      <alignment horizontal="center" vertical="center"/>
    </xf>
    <xf numFmtId="0" fontId="146" fillId="11" borderId="20" xfId="0" applyFont="1" applyFill="1" applyBorder="1" applyAlignment="1">
      <alignment horizontal="center" vertical="center"/>
    </xf>
    <xf numFmtId="0" fontId="196" fillId="11" borderId="25" xfId="0" applyFont="1" applyFill="1" applyBorder="1" applyAlignment="1">
      <alignment horizontal="center" vertical="center"/>
    </xf>
    <xf numFmtId="0" fontId="159" fillId="65" borderId="25" xfId="0" applyFont="1" applyFill="1" applyBorder="1" applyAlignment="1">
      <alignment horizontal="center" vertical="center"/>
    </xf>
    <xf numFmtId="0" fontId="116" fillId="22" borderId="25" xfId="0" applyFont="1" applyFill="1" applyBorder="1" applyAlignment="1">
      <alignment horizontal="center" vertical="center"/>
    </xf>
    <xf numFmtId="0" fontId="67" fillId="0" borderId="34" xfId="0" applyFont="1" applyBorder="1" applyAlignment="1">
      <alignment horizontal="center" vertical="center"/>
    </xf>
    <xf numFmtId="0" fontId="67" fillId="20" borderId="74" xfId="0" applyFont="1" applyFill="1" applyBorder="1" applyAlignment="1">
      <alignment horizontal="center" vertical="center"/>
    </xf>
    <xf numFmtId="0" fontId="67" fillId="3" borderId="62" xfId="0" applyFont="1" applyFill="1" applyBorder="1" applyAlignment="1">
      <alignment horizontal="center" vertical="center"/>
    </xf>
    <xf numFmtId="0" fontId="67" fillId="24" borderId="31" xfId="0" applyFont="1" applyFill="1" applyBorder="1" applyAlignment="1">
      <alignment horizontal="center" vertical="center"/>
    </xf>
    <xf numFmtId="0" fontId="67" fillId="51" borderId="20" xfId="0" applyFont="1" applyFill="1" applyBorder="1" applyAlignment="1">
      <alignment horizontal="center" vertical="center"/>
    </xf>
    <xf numFmtId="0" fontId="67" fillId="8" borderId="20" xfId="0" applyFont="1" applyFill="1" applyBorder="1" applyAlignment="1">
      <alignment horizontal="center" vertical="center"/>
    </xf>
    <xf numFmtId="0" fontId="67" fillId="37" borderId="25" xfId="0" applyFont="1" applyFill="1" applyBorder="1" applyAlignment="1">
      <alignment horizontal="center" vertical="center"/>
    </xf>
    <xf numFmtId="0" fontId="67" fillId="8" borderId="51" xfId="0" applyFont="1" applyFill="1" applyBorder="1" applyAlignment="1">
      <alignment horizontal="center" vertical="center"/>
    </xf>
    <xf numFmtId="0" fontId="67" fillId="42" borderId="23" xfId="0" applyFont="1" applyFill="1" applyBorder="1" applyAlignment="1">
      <alignment horizontal="center" vertical="center"/>
    </xf>
    <xf numFmtId="0" fontId="161" fillId="2" borderId="51" xfId="0" applyFont="1" applyFill="1" applyBorder="1" applyAlignment="1">
      <alignment horizontal="center" vertical="center" wrapText="1"/>
    </xf>
    <xf numFmtId="0" fontId="161" fillId="35" borderId="23" xfId="0" applyFont="1" applyFill="1" applyBorder="1" applyAlignment="1">
      <alignment horizontal="center" vertical="center" wrapText="1"/>
    </xf>
    <xf numFmtId="0" fontId="159" fillId="26" borderId="25" xfId="0" applyFont="1" applyFill="1" applyBorder="1" applyAlignment="1">
      <alignment horizontal="center" vertical="center" wrapText="1"/>
    </xf>
    <xf numFmtId="0" fontId="155" fillId="0" borderId="51" xfId="0" applyFont="1" applyBorder="1" applyAlignment="1">
      <alignment horizontal="center" vertical="center"/>
    </xf>
    <xf numFmtId="0" fontId="158" fillId="71" borderId="19" xfId="0" applyFont="1" applyFill="1" applyBorder="1" applyAlignment="1">
      <alignment horizontal="center" vertical="center"/>
    </xf>
    <xf numFmtId="0" fontId="158" fillId="32" borderId="51" xfId="0" applyFont="1" applyFill="1" applyBorder="1" applyAlignment="1">
      <alignment horizontal="center" vertical="center"/>
    </xf>
    <xf numFmtId="0" fontId="158" fillId="72" borderId="48" xfId="0" applyFont="1" applyFill="1" applyBorder="1" applyAlignment="1">
      <alignment horizontal="center" vertical="center"/>
    </xf>
    <xf numFmtId="0" fontId="158" fillId="42" borderId="33" xfId="0" applyFont="1" applyFill="1" applyBorder="1" applyAlignment="1">
      <alignment horizontal="center" vertical="center"/>
    </xf>
    <xf numFmtId="0" fontId="158" fillId="26" borderId="62" xfId="0" applyFont="1" applyFill="1" applyBorder="1" applyAlignment="1">
      <alignment horizontal="center" vertical="center"/>
    </xf>
    <xf numFmtId="0" fontId="158" fillId="26" borderId="75" xfId="0" applyFont="1" applyFill="1" applyBorder="1" applyAlignment="1">
      <alignment horizontal="center" vertical="center"/>
    </xf>
    <xf numFmtId="0" fontId="158" fillId="47" borderId="49" xfId="0" applyFont="1" applyFill="1" applyBorder="1" applyAlignment="1">
      <alignment horizontal="center" vertical="center"/>
    </xf>
    <xf numFmtId="0" fontId="158" fillId="31" borderId="45" xfId="0" applyFont="1" applyFill="1" applyBorder="1" applyAlignment="1">
      <alignment horizontal="center" vertical="center"/>
    </xf>
    <xf numFmtId="0" fontId="158" fillId="2" borderId="51" xfId="0" applyFont="1" applyFill="1" applyBorder="1" applyAlignment="1">
      <alignment horizontal="center" vertical="center"/>
    </xf>
    <xf numFmtId="0" fontId="44" fillId="3" borderId="20" xfId="0" applyFont="1" applyFill="1" applyBorder="1" applyAlignment="1">
      <alignment horizontal="center" vertical="center"/>
    </xf>
    <xf numFmtId="0" fontId="158" fillId="40" borderId="20" xfId="0" applyFont="1" applyFill="1" applyBorder="1" applyAlignment="1">
      <alignment horizontal="center" vertical="center"/>
    </xf>
    <xf numFmtId="0" fontId="158" fillId="25" borderId="32" xfId="0" applyFont="1" applyFill="1" applyBorder="1" applyAlignment="1">
      <alignment horizontal="center" vertical="center"/>
    </xf>
    <xf numFmtId="0" fontId="158" fillId="29" borderId="2" xfId="0" applyFont="1" applyFill="1" applyBorder="1" applyAlignment="1">
      <alignment horizontal="center" vertical="center" wrapText="1"/>
    </xf>
    <xf numFmtId="0" fontId="158" fillId="14" borderId="48" xfId="0" applyFont="1" applyFill="1" applyBorder="1" applyAlignment="1">
      <alignment horizontal="center" vertical="center"/>
    </xf>
    <xf numFmtId="0" fontId="158" fillId="41" borderId="20" xfId="0" applyFont="1" applyFill="1" applyBorder="1" applyAlignment="1">
      <alignment horizontal="center" vertical="center"/>
    </xf>
    <xf numFmtId="0" fontId="158" fillId="25" borderId="23" xfId="0" applyFont="1" applyFill="1" applyBorder="1" applyAlignment="1">
      <alignment horizontal="center" vertical="center"/>
    </xf>
    <xf numFmtId="0" fontId="158" fillId="32" borderId="20" xfId="0" applyFont="1" applyFill="1" applyBorder="1" applyAlignment="1">
      <alignment horizontal="center" vertical="center"/>
    </xf>
    <xf numFmtId="0" fontId="158" fillId="47" borderId="20" xfId="0" applyFont="1" applyFill="1" applyBorder="1" applyAlignment="1">
      <alignment horizontal="center" vertical="center"/>
    </xf>
    <xf numFmtId="0" fontId="158" fillId="25" borderId="25" xfId="0" applyFont="1" applyFill="1" applyBorder="1" applyAlignment="1">
      <alignment horizontal="center" vertical="center"/>
    </xf>
    <xf numFmtId="0" fontId="159" fillId="71" borderId="23" xfId="0" applyFont="1" applyFill="1" applyBorder="1" applyAlignment="1">
      <alignment horizontal="center" vertical="center"/>
    </xf>
    <xf numFmtId="0" fontId="159" fillId="24" borderId="33" xfId="0" applyFont="1" applyFill="1" applyBorder="1" applyAlignment="1">
      <alignment horizontal="center" vertical="center"/>
    </xf>
    <xf numFmtId="0" fontId="159" fillId="47" borderId="23" xfId="0" applyFont="1" applyFill="1" applyBorder="1" applyAlignment="1">
      <alignment horizontal="center" vertical="center"/>
    </xf>
    <xf numFmtId="0" fontId="159" fillId="37" borderId="23" xfId="0" applyFont="1" applyFill="1" applyBorder="1" applyAlignment="1">
      <alignment horizontal="center" vertical="center"/>
    </xf>
    <xf numFmtId="0" fontId="159" fillId="28" borderId="25" xfId="0" applyFont="1" applyFill="1" applyBorder="1" applyAlignment="1">
      <alignment horizontal="center" vertical="center"/>
    </xf>
    <xf numFmtId="0" fontId="163" fillId="34" borderId="33" xfId="0" applyFont="1" applyFill="1" applyBorder="1" applyAlignment="1">
      <alignment horizontal="center" vertical="center"/>
    </xf>
    <xf numFmtId="0" fontId="163" fillId="35" borderId="20" xfId="0" applyFont="1" applyFill="1" applyBorder="1" applyAlignment="1">
      <alignment horizontal="center" vertical="center"/>
    </xf>
    <xf numFmtId="0" fontId="67" fillId="11" borderId="32" xfId="0" applyFont="1" applyFill="1" applyBorder="1" applyAlignment="1">
      <alignment horizontal="center" vertical="center"/>
    </xf>
    <xf numFmtId="0" fontId="67" fillId="5" borderId="33" xfId="0" applyFont="1" applyFill="1" applyBorder="1" applyAlignment="1">
      <alignment horizontal="center" vertical="center"/>
    </xf>
    <xf numFmtId="0" fontId="67" fillId="20" borderId="23" xfId="0" applyFont="1" applyFill="1" applyBorder="1" applyAlignment="1">
      <alignment horizontal="center" vertical="center"/>
    </xf>
    <xf numFmtId="0" fontId="67" fillId="24" borderId="22" xfId="0" applyFont="1" applyFill="1" applyBorder="1" applyAlignment="1">
      <alignment horizontal="center" vertical="center"/>
    </xf>
    <xf numFmtId="0" fontId="67" fillId="31" borderId="24" xfId="0" applyFont="1" applyFill="1" applyBorder="1" applyAlignment="1">
      <alignment horizontal="center" vertical="center"/>
    </xf>
    <xf numFmtId="0" fontId="67" fillId="8" borderId="64" xfId="0" applyFont="1" applyFill="1" applyBorder="1" applyAlignment="1">
      <alignment horizontal="center" vertical="center"/>
    </xf>
    <xf numFmtId="16" fontId="159" fillId="26" borderId="25" xfId="0" applyNumberFormat="1" applyFont="1" applyFill="1" applyBorder="1" applyAlignment="1">
      <alignment horizontal="center" vertical="center" wrapText="1"/>
    </xf>
    <xf numFmtId="16" fontId="159" fillId="0" borderId="23" xfId="0" applyNumberFormat="1" applyFont="1" applyBorder="1" applyAlignment="1">
      <alignment horizontal="center" vertical="center" wrapText="1"/>
    </xf>
    <xf numFmtId="0" fontId="155" fillId="0" borderId="35" xfId="0" applyFont="1" applyBorder="1" applyAlignment="1">
      <alignment horizontal="center" vertical="center"/>
    </xf>
    <xf numFmtId="0" fontId="158" fillId="31" borderId="33" xfId="0" applyFont="1" applyFill="1" applyBorder="1" applyAlignment="1">
      <alignment horizontal="center" vertical="center"/>
    </xf>
    <xf numFmtId="0" fontId="158" fillId="46" borderId="35" xfId="0" applyFont="1" applyFill="1" applyBorder="1" applyAlignment="1">
      <alignment horizontal="center" vertical="center"/>
    </xf>
    <xf numFmtId="0" fontId="158" fillId="71" borderId="35" xfId="0" applyFont="1" applyFill="1" applyBorder="1" applyAlignment="1">
      <alignment horizontal="center" vertical="center"/>
    </xf>
    <xf numFmtId="0" fontId="158" fillId="19" borderId="54" xfId="0" applyFont="1" applyFill="1" applyBorder="1" applyAlignment="1">
      <alignment horizontal="center" vertical="center"/>
    </xf>
    <xf numFmtId="0" fontId="158" fillId="32" borderId="52" xfId="0" applyFont="1" applyFill="1" applyBorder="1" applyAlignment="1">
      <alignment horizontal="center" vertical="center"/>
    </xf>
    <xf numFmtId="0" fontId="158" fillId="0" borderId="52" xfId="0" applyFont="1" applyBorder="1" applyAlignment="1">
      <alignment horizontal="center" vertical="center"/>
    </xf>
    <xf numFmtId="0" fontId="158" fillId="32" borderId="47" xfId="0" applyFont="1" applyFill="1" applyBorder="1" applyAlignment="1">
      <alignment horizontal="center" vertical="center"/>
    </xf>
    <xf numFmtId="0" fontId="158" fillId="35" borderId="21" xfId="0" applyFont="1" applyFill="1" applyBorder="1" applyAlignment="1">
      <alignment horizontal="center" vertical="center"/>
    </xf>
    <xf numFmtId="0" fontId="158" fillId="11" borderId="47" xfId="0" applyFont="1" applyFill="1" applyBorder="1" applyAlignment="1">
      <alignment horizontal="center" vertical="center"/>
    </xf>
    <xf numFmtId="0" fontId="158" fillId="50" borderId="21" xfId="0" applyFont="1" applyFill="1" applyBorder="1" applyAlignment="1">
      <alignment horizontal="center" vertical="center"/>
    </xf>
    <xf numFmtId="0" fontId="158" fillId="8" borderId="24" xfId="0" applyFont="1" applyFill="1" applyBorder="1" applyAlignment="1">
      <alignment horizontal="center" vertical="center"/>
    </xf>
    <xf numFmtId="0" fontId="158" fillId="22" borderId="25" xfId="0" applyFont="1" applyFill="1" applyBorder="1" applyAlignment="1">
      <alignment horizontal="center" vertical="center"/>
    </xf>
    <xf numFmtId="0" fontId="158" fillId="16" borderId="51" xfId="0" applyFont="1" applyFill="1" applyBorder="1" applyAlignment="1">
      <alignment horizontal="center" vertical="center"/>
    </xf>
    <xf numFmtId="0" fontId="158" fillId="26" borderId="85" xfId="0" applyFont="1" applyFill="1" applyBorder="1" applyAlignment="1">
      <alignment horizontal="center" vertical="center"/>
    </xf>
    <xf numFmtId="0" fontId="158" fillId="47" borderId="54" xfId="0" applyFont="1" applyFill="1" applyBorder="1" applyAlignment="1">
      <alignment horizontal="center" vertical="center"/>
    </xf>
    <xf numFmtId="0" fontId="158" fillId="31" borderId="70" xfId="0" applyFont="1" applyFill="1" applyBorder="1" applyAlignment="1">
      <alignment horizontal="center" vertical="center"/>
    </xf>
    <xf numFmtId="0" fontId="158" fillId="40" borderId="54" xfId="0" applyFont="1" applyFill="1" applyBorder="1" applyAlignment="1">
      <alignment horizontal="center" vertical="center"/>
    </xf>
    <xf numFmtId="0" fontId="158" fillId="28" borderId="21" xfId="0" applyFont="1" applyFill="1" applyBorder="1" applyAlignment="1">
      <alignment horizontal="center" vertical="center"/>
    </xf>
    <xf numFmtId="0" fontId="158" fillId="32" borderId="31" xfId="0" applyFont="1" applyFill="1" applyBorder="1" applyAlignment="1">
      <alignment horizontal="center" vertical="center"/>
    </xf>
    <xf numFmtId="0" fontId="158" fillId="32" borderId="21" xfId="0" applyFont="1" applyFill="1" applyBorder="1" applyAlignment="1">
      <alignment horizontal="center" vertical="center"/>
    </xf>
    <xf numFmtId="0" fontId="158" fillId="14" borderId="24" xfId="0" applyFont="1" applyFill="1" applyBorder="1" applyAlignment="1">
      <alignment horizontal="center" vertical="center"/>
    </xf>
    <xf numFmtId="0" fontId="159" fillId="0" borderId="21" xfId="0" applyFont="1" applyBorder="1" applyAlignment="1">
      <alignment horizontal="center" vertical="center"/>
    </xf>
    <xf numFmtId="0" fontId="159" fillId="3" borderId="20" xfId="0" applyFont="1" applyFill="1" applyBorder="1" applyAlignment="1">
      <alignment horizontal="center" vertical="center" wrapText="1"/>
    </xf>
    <xf numFmtId="0" fontId="159" fillId="8" borderId="33" xfId="0" applyFont="1" applyFill="1" applyBorder="1" applyAlignment="1">
      <alignment horizontal="center" vertical="center"/>
    </xf>
    <xf numFmtId="0" fontId="159" fillId="47" borderId="31" xfId="0" applyFont="1" applyFill="1" applyBorder="1" applyAlignment="1">
      <alignment horizontal="center" vertical="center"/>
    </xf>
    <xf numFmtId="0" fontId="159" fillId="37" borderId="24" xfId="0" applyFont="1" applyFill="1" applyBorder="1" applyAlignment="1">
      <alignment horizontal="center" vertical="center"/>
    </xf>
    <xf numFmtId="0" fontId="139" fillId="22" borderId="25" xfId="0" applyFont="1" applyFill="1" applyBorder="1" applyAlignment="1">
      <alignment horizontal="center" vertical="center" wrapText="1"/>
    </xf>
    <xf numFmtId="0" fontId="105" fillId="5" borderId="48" xfId="0" applyFont="1" applyFill="1" applyBorder="1" applyAlignment="1">
      <alignment horizontal="center" vertical="center" wrapText="1"/>
    </xf>
    <xf numFmtId="0" fontId="167" fillId="0" borderId="62" xfId="0" applyFont="1" applyBorder="1" applyAlignment="1">
      <alignment horizontal="center" vertical="center"/>
    </xf>
    <xf numFmtId="0" fontId="166" fillId="0" borderId="37" xfId="0" applyFont="1" applyBorder="1" applyAlignment="1">
      <alignment horizontal="center" vertical="center" wrapText="1"/>
    </xf>
    <xf numFmtId="0" fontId="167" fillId="0" borderId="78" xfId="0" applyFont="1" applyBorder="1" applyAlignment="1">
      <alignment horizontal="center" vertical="center"/>
    </xf>
    <xf numFmtId="0" fontId="23" fillId="22" borderId="79" xfId="0" applyFont="1" applyFill="1" applyBorder="1" applyAlignment="1">
      <alignment horizontal="center" vertical="center"/>
    </xf>
    <xf numFmtId="0" fontId="23" fillId="0" borderId="18" xfId="0" applyFont="1" applyBorder="1" applyAlignment="1">
      <alignment horizontal="center" vertical="center"/>
    </xf>
    <xf numFmtId="0" fontId="168" fillId="22" borderId="23" xfId="0" applyFont="1" applyFill="1" applyBorder="1" applyAlignment="1">
      <alignment horizontal="center" vertical="center"/>
    </xf>
    <xf numFmtId="0" fontId="176" fillId="22" borderId="19" xfId="0" applyFont="1" applyFill="1" applyBorder="1" applyAlignment="1">
      <alignment horizontal="center" vertical="center"/>
    </xf>
    <xf numFmtId="0" fontId="146" fillId="4" borderId="20" xfId="0" applyFont="1" applyFill="1" applyBorder="1" applyAlignment="1">
      <alignment horizontal="center" vertical="center"/>
    </xf>
    <xf numFmtId="0" fontId="168" fillId="3" borderId="50" xfId="0" applyFont="1" applyFill="1" applyBorder="1" applyAlignment="1">
      <alignment horizontal="center" vertical="center"/>
    </xf>
    <xf numFmtId="20" fontId="167" fillId="4" borderId="46" xfId="0" applyNumberFormat="1" applyFont="1" applyFill="1" applyBorder="1" applyAlignment="1">
      <alignment horizontal="center" vertical="center"/>
    </xf>
    <xf numFmtId="0" fontId="23" fillId="3" borderId="27" xfId="0" applyFont="1" applyFill="1" applyBorder="1" applyAlignment="1">
      <alignment horizontal="center" vertical="center"/>
    </xf>
    <xf numFmtId="0" fontId="166" fillId="22" borderId="19" xfId="0" applyFont="1" applyFill="1" applyBorder="1" applyAlignment="1">
      <alignment horizontal="center" vertical="center"/>
    </xf>
    <xf numFmtId="0" fontId="138" fillId="0" borderId="26" xfId="0" applyFont="1" applyBorder="1" applyAlignment="1">
      <alignment horizontal="center" vertical="center"/>
    </xf>
    <xf numFmtId="0" fontId="23" fillId="3" borderId="37" xfId="0" applyFont="1" applyFill="1" applyBorder="1" applyAlignment="1">
      <alignment horizontal="center" vertical="center"/>
    </xf>
    <xf numFmtId="0" fontId="167" fillId="3" borderId="44" xfId="0" applyFont="1" applyFill="1" applyBorder="1" applyAlignment="1">
      <alignment horizontal="center" vertical="center"/>
    </xf>
    <xf numFmtId="0" fontId="180" fillId="3" borderId="23" xfId="0" applyFont="1" applyFill="1" applyBorder="1" applyAlignment="1">
      <alignment horizontal="center" vertical="center"/>
    </xf>
    <xf numFmtId="0" fontId="166" fillId="3" borderId="48" xfId="0" applyFont="1" applyFill="1" applyBorder="1" applyAlignment="1">
      <alignment horizontal="center" vertical="center"/>
    </xf>
    <xf numFmtId="0" fontId="23" fillId="3" borderId="23" xfId="0" applyFont="1" applyFill="1" applyBorder="1" applyAlignment="1">
      <alignment horizontal="center" vertical="center" wrapText="1"/>
    </xf>
    <xf numFmtId="0" fontId="166" fillId="3" borderId="45" xfId="0" applyFont="1" applyFill="1" applyBorder="1" applyAlignment="1">
      <alignment horizontal="center" vertical="center"/>
    </xf>
    <xf numFmtId="0" fontId="0" fillId="22" borderId="34" xfId="0" applyFill="1" applyBorder="1"/>
    <xf numFmtId="0" fontId="182" fillId="3" borderId="0" xfId="0" applyFont="1" applyFill="1" applyAlignment="1">
      <alignment horizontal="center" vertical="center"/>
    </xf>
    <xf numFmtId="0" fontId="121" fillId="0" borderId="32" xfId="0" applyFont="1" applyBorder="1" applyAlignment="1">
      <alignment horizontal="center" vertical="center"/>
    </xf>
    <xf numFmtId="0" fontId="183" fillId="3" borderId="53" xfId="0" applyFont="1" applyFill="1" applyBorder="1" applyAlignment="1">
      <alignment horizontal="center" vertical="center"/>
    </xf>
    <xf numFmtId="0" fontId="106" fillId="22" borderId="25" xfId="0" applyFont="1" applyFill="1" applyBorder="1" applyAlignment="1">
      <alignment horizontal="center" vertical="center" wrapText="1"/>
    </xf>
    <xf numFmtId="0" fontId="104" fillId="0" borderId="64" xfId="0" applyFont="1" applyBorder="1" applyAlignment="1">
      <alignment horizontal="center" vertical="center" wrapText="1"/>
    </xf>
    <xf numFmtId="0" fontId="167" fillId="0" borderId="64" xfId="0" applyFont="1" applyBorder="1" applyAlignment="1">
      <alignment horizontal="center" vertical="center"/>
    </xf>
    <xf numFmtId="0" fontId="167" fillId="0" borderId="0" xfId="0" applyFont="1" applyAlignment="1">
      <alignment horizontal="center" vertical="center"/>
    </xf>
    <xf numFmtId="0" fontId="167" fillId="0" borderId="49" xfId="0" applyFont="1" applyBorder="1" applyAlignment="1">
      <alignment horizontal="center" vertical="center"/>
    </xf>
    <xf numFmtId="0" fontId="168" fillId="0" borderId="34" xfId="0" applyFont="1" applyBorder="1" applyAlignment="1">
      <alignment horizontal="center" vertical="center"/>
    </xf>
    <xf numFmtId="0" fontId="23" fillId="22" borderId="25" xfId="0" applyFont="1" applyFill="1" applyBorder="1" applyAlignment="1">
      <alignment horizontal="center" vertical="center"/>
    </xf>
    <xf numFmtId="0" fontId="168" fillId="3" borderId="47" xfId="0" applyFont="1" applyFill="1" applyBorder="1" applyAlignment="1">
      <alignment horizontal="center" vertical="center"/>
    </xf>
    <xf numFmtId="0" fontId="168" fillId="3" borderId="52" xfId="0" applyFont="1" applyFill="1" applyBorder="1" applyAlignment="1">
      <alignment horizontal="center" vertical="center"/>
    </xf>
    <xf numFmtId="0" fontId="167" fillId="4" borderId="46" xfId="0" applyFont="1" applyFill="1" applyBorder="1" applyAlignment="1">
      <alignment horizontal="center" vertical="center"/>
    </xf>
    <xf numFmtId="0" fontId="166" fillId="3" borderId="24" xfId="0" applyFont="1" applyFill="1" applyBorder="1" applyAlignment="1">
      <alignment horizontal="center" vertical="center"/>
    </xf>
    <xf numFmtId="0" fontId="168" fillId="3" borderId="58" xfId="0" applyFont="1" applyFill="1" applyBorder="1" applyAlignment="1">
      <alignment horizontal="center" vertical="center"/>
    </xf>
    <xf numFmtId="0" fontId="146" fillId="22" borderId="32" xfId="0" applyFont="1" applyFill="1" applyBorder="1" applyAlignment="1">
      <alignment horizontal="center" vertical="center"/>
    </xf>
    <xf numFmtId="0" fontId="167" fillId="3" borderId="4" xfId="0" applyFont="1" applyFill="1" applyBorder="1" applyAlignment="1">
      <alignment horizontal="center" vertical="center"/>
    </xf>
    <xf numFmtId="0" fontId="168" fillId="3" borderId="72" xfId="0" applyFont="1" applyFill="1" applyBorder="1" applyAlignment="1">
      <alignment horizontal="center" vertical="center"/>
    </xf>
    <xf numFmtId="0" fontId="166" fillId="3" borderId="71" xfId="0" applyFont="1" applyFill="1" applyBorder="1" applyAlignment="1">
      <alignment horizontal="center" vertical="center"/>
    </xf>
    <xf numFmtId="0" fontId="23" fillId="0" borderId="30" xfId="0" applyFont="1" applyBorder="1" applyAlignment="1">
      <alignment horizontal="center" vertical="center"/>
    </xf>
    <xf numFmtId="0" fontId="121" fillId="3" borderId="30" xfId="0" applyFont="1" applyFill="1" applyBorder="1" applyAlignment="1">
      <alignment horizontal="center" vertical="center"/>
    </xf>
    <xf numFmtId="0" fontId="183" fillId="3" borderId="65" xfId="0" applyFont="1" applyFill="1" applyBorder="1" applyAlignment="1">
      <alignment horizontal="center" vertical="center"/>
    </xf>
    <xf numFmtId="0" fontId="22" fillId="3" borderId="67" xfId="0" applyFont="1" applyFill="1" applyBorder="1" applyAlignment="1">
      <alignment horizontal="center" vertical="center"/>
    </xf>
    <xf numFmtId="0" fontId="167" fillId="3" borderId="49" xfId="0" applyFont="1" applyFill="1" applyBorder="1" applyAlignment="1">
      <alignment horizontal="center" vertical="center"/>
    </xf>
    <xf numFmtId="0" fontId="25" fillId="0" borderId="21" xfId="0" applyFont="1" applyBorder="1" applyAlignment="1">
      <alignment horizontal="center" vertical="center"/>
    </xf>
    <xf numFmtId="0" fontId="161" fillId="5" borderId="0" xfId="0" applyFont="1" applyFill="1" applyAlignment="1">
      <alignment horizontal="center" vertical="center" wrapText="1"/>
    </xf>
    <xf numFmtId="0" fontId="186" fillId="0" borderId="20" xfId="0" applyFont="1" applyBorder="1" applyAlignment="1">
      <alignment horizontal="center" vertical="center"/>
    </xf>
    <xf numFmtId="0" fontId="157" fillId="3" borderId="23" xfId="0" applyFont="1" applyFill="1" applyBorder="1" applyAlignment="1">
      <alignment horizontal="center" vertical="center"/>
    </xf>
    <xf numFmtId="0" fontId="164" fillId="6" borderId="20" xfId="0" applyFont="1" applyFill="1" applyBorder="1" applyAlignment="1">
      <alignment horizontal="center" vertical="center" wrapText="1"/>
    </xf>
    <xf numFmtId="0" fontId="164" fillId="6" borderId="64" xfId="0" applyFont="1" applyFill="1" applyBorder="1" applyAlignment="1">
      <alignment horizontal="center" vertical="center" wrapText="1"/>
    </xf>
    <xf numFmtId="0" fontId="164" fillId="6" borderId="25" xfId="0" applyFont="1" applyFill="1" applyBorder="1" applyAlignment="1">
      <alignment horizontal="center" vertical="center" wrapText="1"/>
    </xf>
    <xf numFmtId="0" fontId="134" fillId="0" borderId="48" xfId="0" applyFont="1" applyBorder="1" applyAlignment="1">
      <alignment vertical="center"/>
    </xf>
    <xf numFmtId="0" fontId="178" fillId="8" borderId="19" xfId="0" applyFont="1" applyFill="1" applyBorder="1" applyAlignment="1">
      <alignment horizontal="center" vertical="center"/>
    </xf>
    <xf numFmtId="0" fontId="171" fillId="0" borderId="85" xfId="0" applyFont="1" applyBorder="1" applyAlignment="1">
      <alignment horizontal="center" vertical="center"/>
    </xf>
    <xf numFmtId="0" fontId="171" fillId="8" borderId="20" xfId="0" applyFont="1" applyFill="1" applyBorder="1" applyAlignment="1">
      <alignment horizontal="center" vertical="center" wrapText="1"/>
    </xf>
    <xf numFmtId="0" fontId="33" fillId="8" borderId="23" xfId="0" applyFont="1" applyFill="1" applyBorder="1" applyAlignment="1">
      <alignment horizontal="center" vertical="center"/>
    </xf>
    <xf numFmtId="0" fontId="185" fillId="0" borderId="20" xfId="0" applyFont="1" applyBorder="1" applyAlignment="1">
      <alignment horizontal="center" vertical="center"/>
    </xf>
    <xf numFmtId="0" fontId="186" fillId="6" borderId="33" xfId="0" applyFont="1" applyFill="1" applyBorder="1" applyAlignment="1">
      <alignment horizontal="center" vertical="center"/>
    </xf>
    <xf numFmtId="0" fontId="187" fillId="0" borderId="20" xfId="0" applyFont="1" applyBorder="1" applyAlignment="1">
      <alignment vertical="center"/>
    </xf>
    <xf numFmtId="0" fontId="181" fillId="8" borderId="34" xfId="0" applyFont="1" applyFill="1" applyBorder="1" applyAlignment="1">
      <alignment horizontal="center" vertical="center" wrapText="1"/>
    </xf>
    <xf numFmtId="0" fontId="187" fillId="0" borderId="20" xfId="0" applyFont="1" applyBorder="1" applyAlignment="1">
      <alignment horizontal="center" vertical="center"/>
    </xf>
    <xf numFmtId="0" fontId="34" fillId="0" borderId="25" xfId="0" applyFont="1" applyBorder="1" applyAlignment="1">
      <alignment horizontal="center" vertical="center"/>
    </xf>
    <xf numFmtId="0" fontId="117" fillId="0" borderId="19" xfId="0" applyFont="1" applyBorder="1" applyAlignment="1">
      <alignment horizontal="center" vertical="center"/>
    </xf>
    <xf numFmtId="0" fontId="8" fillId="0" borderId="64" xfId="0" applyFont="1" applyBorder="1" applyAlignment="1">
      <alignment horizontal="center" vertical="center" wrapText="1"/>
    </xf>
    <xf numFmtId="0" fontId="147" fillId="0" borderId="23" xfId="0" applyFont="1" applyBorder="1"/>
    <xf numFmtId="0" fontId="117" fillId="0" borderId="25" xfId="0" applyFont="1" applyBorder="1" applyAlignment="1">
      <alignment horizontal="center" vertical="center"/>
    </xf>
    <xf numFmtId="0" fontId="193" fillId="0" borderId="49" xfId="0" applyFont="1" applyBorder="1" applyAlignment="1">
      <alignment horizontal="center" vertical="center" wrapText="1"/>
    </xf>
    <xf numFmtId="0" fontId="157" fillId="0" borderId="23" xfId="0" applyFont="1" applyBorder="1" applyAlignment="1">
      <alignment wrapText="1"/>
    </xf>
    <xf numFmtId="0" fontId="126" fillId="0" borderId="19" xfId="0" applyFont="1" applyBorder="1" applyAlignment="1">
      <alignment horizontal="left" vertical="center"/>
    </xf>
    <xf numFmtId="0" fontId="158" fillId="0" borderId="19" xfId="0" applyFont="1" applyBorder="1" applyAlignment="1">
      <alignment wrapText="1"/>
    </xf>
    <xf numFmtId="0" fontId="35" fillId="0" borderId="23" xfId="0" applyFont="1" applyBorder="1" applyAlignment="1">
      <alignment horizontal="center" vertical="center" wrapText="1"/>
    </xf>
    <xf numFmtId="0" fontId="175" fillId="0" borderId="0" xfId="0" applyFont="1" applyAlignment="1">
      <alignment wrapText="1"/>
    </xf>
    <xf numFmtId="0" fontId="148" fillId="0" borderId="20" xfId="0" applyFont="1" applyBorder="1" applyAlignment="1">
      <alignment horizontal="center" vertical="center" wrapText="1"/>
    </xf>
    <xf numFmtId="0" fontId="35" fillId="0" borderId="45" xfId="0" applyFont="1" applyBorder="1" applyAlignment="1">
      <alignment horizontal="center" vertical="center" wrapText="1"/>
    </xf>
    <xf numFmtId="0" fontId="176" fillId="3" borderId="47" xfId="0" applyFont="1" applyFill="1" applyBorder="1" applyAlignment="1">
      <alignment horizontal="center" vertical="center"/>
    </xf>
    <xf numFmtId="0" fontId="176" fillId="0" borderId="62" xfId="0" applyFont="1" applyBorder="1" applyAlignment="1">
      <alignment horizontal="center" vertical="center" wrapText="1"/>
    </xf>
    <xf numFmtId="0" fontId="148" fillId="0" borderId="24" xfId="0" applyFont="1" applyBorder="1" applyAlignment="1">
      <alignment horizontal="center" vertical="center" wrapText="1"/>
    </xf>
    <xf numFmtId="0" fontId="11" fillId="0" borderId="21" xfId="0" applyFont="1" applyBorder="1" applyAlignment="1">
      <alignment horizontal="center" vertical="center" wrapText="1"/>
    </xf>
    <xf numFmtId="0" fontId="24" fillId="0" borderId="54" xfId="0" applyFont="1" applyBorder="1" applyAlignment="1">
      <alignment wrapText="1"/>
    </xf>
    <xf numFmtId="0" fontId="150" fillId="4" borderId="23" xfId="0" applyFont="1" applyFill="1" applyBorder="1" applyAlignment="1">
      <alignment horizontal="center" vertical="center" wrapText="1"/>
    </xf>
    <xf numFmtId="0" fontId="150" fillId="0" borderId="37" xfId="0" applyFont="1" applyBorder="1" applyAlignment="1">
      <alignment horizontal="center" vertical="center" wrapText="1"/>
    </xf>
    <xf numFmtId="16" fontId="193" fillId="3" borderId="33" xfId="0" applyNumberFormat="1" applyFont="1" applyFill="1" applyBorder="1" applyAlignment="1">
      <alignment horizontal="center" vertical="center"/>
    </xf>
    <xf numFmtId="0" fontId="195" fillId="11" borderId="34" xfId="0" applyFont="1" applyFill="1" applyBorder="1" applyAlignment="1">
      <alignment horizontal="center" vertical="center"/>
    </xf>
    <xf numFmtId="0" fontId="195" fillId="22" borderId="34" xfId="0" applyFont="1" applyFill="1" applyBorder="1" applyAlignment="1">
      <alignment horizontal="center" vertical="center"/>
    </xf>
    <xf numFmtId="0" fontId="163" fillId="15" borderId="2" xfId="0" applyFont="1" applyFill="1" applyBorder="1" applyAlignment="1">
      <alignment horizontal="center" vertical="center"/>
    </xf>
    <xf numFmtId="0" fontId="163" fillId="31" borderId="2" xfId="0" applyFont="1" applyFill="1" applyBorder="1" applyAlignment="1">
      <alignment horizontal="center" vertical="center"/>
    </xf>
    <xf numFmtId="0" fontId="163" fillId="47" borderId="2" xfId="0" applyFont="1" applyFill="1" applyBorder="1" applyAlignment="1">
      <alignment horizontal="center" vertical="center"/>
    </xf>
    <xf numFmtId="0" fontId="163" fillId="26" borderId="2" xfId="0" applyFont="1" applyFill="1" applyBorder="1" applyAlignment="1">
      <alignment horizontal="center" vertical="center"/>
    </xf>
    <xf numFmtId="0" fontId="163" fillId="2" borderId="2" xfId="0" applyFont="1" applyFill="1" applyBorder="1" applyAlignment="1">
      <alignment horizontal="center" vertical="center"/>
    </xf>
    <xf numFmtId="0" fontId="163" fillId="37" borderId="2" xfId="0" applyFont="1" applyFill="1" applyBorder="1" applyAlignment="1">
      <alignment horizontal="center" vertical="center"/>
    </xf>
    <xf numFmtId="0" fontId="163" fillId="86" borderId="2" xfId="0" applyFont="1" applyFill="1" applyBorder="1" applyAlignment="1">
      <alignment horizontal="center" vertical="center"/>
    </xf>
    <xf numFmtId="0" fontId="163" fillId="42" borderId="2" xfId="0" applyFont="1" applyFill="1" applyBorder="1" applyAlignment="1">
      <alignment horizontal="center" vertical="center"/>
    </xf>
    <xf numFmtId="0" fontId="193" fillId="3" borderId="2" xfId="0" applyFont="1" applyFill="1" applyBorder="1" applyAlignment="1">
      <alignment horizontal="center" vertical="center" wrapText="1"/>
    </xf>
    <xf numFmtId="0" fontId="159" fillId="14" borderId="2" xfId="0" applyFont="1" applyFill="1" applyBorder="1" applyAlignment="1">
      <alignment horizontal="center" vertical="center"/>
    </xf>
    <xf numFmtId="0" fontId="11" fillId="8" borderId="2" xfId="0" applyFont="1" applyFill="1" applyBorder="1" applyAlignment="1">
      <alignment horizontal="center" vertical="center"/>
    </xf>
    <xf numFmtId="0" fontId="159" fillId="73" borderId="30" xfId="0" applyFont="1" applyFill="1" applyBorder="1" applyAlignment="1">
      <alignment horizontal="center" vertical="center"/>
    </xf>
    <xf numFmtId="0" fontId="159" fillId="3" borderId="32" xfId="0" applyFont="1" applyFill="1" applyBorder="1" applyAlignment="1">
      <alignment horizontal="center" vertical="center"/>
    </xf>
    <xf numFmtId="0" fontId="209" fillId="0" borderId="0" xfId="0" applyFont="1" applyAlignment="1">
      <alignment horizontal="center" vertical="center"/>
    </xf>
    <xf numFmtId="0" fontId="195" fillId="3" borderId="2" xfId="0" applyFont="1" applyFill="1" applyBorder="1" applyAlignment="1">
      <alignment horizontal="center" vertical="center"/>
    </xf>
    <xf numFmtId="0" fontId="201" fillId="87" borderId="2" xfId="0" applyFont="1" applyFill="1" applyBorder="1" applyAlignment="1">
      <alignment horizontal="center" vertical="center"/>
    </xf>
    <xf numFmtId="0" fontId="201" fillId="87" borderId="25" xfId="0" applyFont="1" applyFill="1" applyBorder="1" applyAlignment="1">
      <alignment horizontal="center" vertical="center"/>
    </xf>
    <xf numFmtId="0" fontId="201" fillId="87" borderId="20" xfId="0" applyFont="1" applyFill="1" applyBorder="1" applyAlignment="1">
      <alignment horizontal="center" vertical="center"/>
    </xf>
    <xf numFmtId="0" fontId="203" fillId="87" borderId="2" xfId="0" applyFont="1" applyFill="1" applyBorder="1" applyAlignment="1">
      <alignment horizontal="center" vertical="center"/>
    </xf>
    <xf numFmtId="0" fontId="195" fillId="3" borderId="32" xfId="0" applyFont="1" applyFill="1" applyBorder="1" applyAlignment="1">
      <alignment horizontal="center" vertical="center"/>
    </xf>
    <xf numFmtId="0" fontId="159" fillId="48" borderId="25" xfId="0" applyFont="1" applyFill="1" applyBorder="1" applyAlignment="1">
      <alignment horizontal="center" vertical="center"/>
    </xf>
    <xf numFmtId="0" fontId="159" fillId="3" borderId="53" xfId="0" applyFont="1" applyFill="1" applyBorder="1" applyAlignment="1">
      <alignment horizontal="center" vertical="center"/>
    </xf>
    <xf numFmtId="0" fontId="159" fillId="3" borderId="51" xfId="0" applyFont="1" applyFill="1" applyBorder="1" applyAlignment="1">
      <alignment horizontal="center" vertical="center"/>
    </xf>
    <xf numFmtId="0" fontId="193" fillId="3" borderId="25" xfId="0" applyFont="1" applyFill="1" applyBorder="1" applyAlignment="1">
      <alignment horizontal="center" vertical="center"/>
    </xf>
    <xf numFmtId="0" fontId="159" fillId="16" borderId="2" xfId="0" applyFont="1" applyFill="1" applyBorder="1" applyAlignment="1">
      <alignment horizontal="center" vertical="center"/>
    </xf>
    <xf numFmtId="0" fontId="159" fillId="12" borderId="25" xfId="0" applyFont="1" applyFill="1" applyBorder="1" applyAlignment="1">
      <alignment horizontal="center" vertical="center"/>
    </xf>
    <xf numFmtId="0" fontId="197" fillId="0" borderId="25" xfId="0" applyFont="1" applyBorder="1" applyAlignment="1">
      <alignment horizontal="center" vertical="center"/>
    </xf>
    <xf numFmtId="0" fontId="197" fillId="3" borderId="25" xfId="0" applyFont="1" applyFill="1" applyBorder="1" applyAlignment="1">
      <alignment horizontal="center" vertical="center"/>
    </xf>
    <xf numFmtId="0" fontId="193" fillId="4" borderId="2" xfId="0" applyFont="1" applyFill="1" applyBorder="1" applyAlignment="1">
      <alignment horizontal="center" vertical="center" wrapText="1"/>
    </xf>
    <xf numFmtId="0" fontId="159" fillId="42" borderId="2" xfId="0" applyFont="1" applyFill="1" applyBorder="1" applyAlignment="1">
      <alignment horizontal="center" vertical="center"/>
    </xf>
    <xf numFmtId="0" fontId="159" fillId="30" borderId="2" xfId="0" applyFont="1" applyFill="1" applyBorder="1" applyAlignment="1">
      <alignment horizontal="center" vertical="center"/>
    </xf>
    <xf numFmtId="0" fontId="159" fillId="0" borderId="25" xfId="0" applyFont="1" applyBorder="1" applyAlignment="1">
      <alignment horizontal="center"/>
    </xf>
    <xf numFmtId="0" fontId="159" fillId="25" borderId="2" xfId="0" applyFont="1" applyFill="1" applyBorder="1" applyAlignment="1">
      <alignment horizontal="center" vertical="center" wrapText="1"/>
    </xf>
    <xf numFmtId="16" fontId="193" fillId="3" borderId="25" xfId="0" applyNumberFormat="1" applyFont="1" applyFill="1" applyBorder="1" applyAlignment="1">
      <alignment horizontal="center" vertical="center"/>
    </xf>
    <xf numFmtId="0" fontId="193" fillId="57" borderId="2" xfId="0" applyFont="1" applyFill="1" applyBorder="1" applyAlignment="1">
      <alignment horizontal="center" vertical="center"/>
    </xf>
    <xf numFmtId="0" fontId="193" fillId="14" borderId="2" xfId="0" applyFont="1" applyFill="1" applyBorder="1" applyAlignment="1">
      <alignment horizontal="center" vertical="center"/>
    </xf>
    <xf numFmtId="0" fontId="193" fillId="24" borderId="2" xfId="0" applyFont="1" applyFill="1" applyBorder="1" applyAlignment="1">
      <alignment horizontal="center" vertical="center"/>
    </xf>
    <xf numFmtId="0" fontId="193" fillId="21" borderId="2" xfId="0" applyFont="1" applyFill="1" applyBorder="1" applyAlignment="1">
      <alignment horizontal="center" vertical="center"/>
    </xf>
    <xf numFmtId="0" fontId="193" fillId="26" borderId="2" xfId="0" applyFont="1" applyFill="1" applyBorder="1" applyAlignment="1">
      <alignment horizontal="center" vertical="center"/>
    </xf>
    <xf numFmtId="0" fontId="193" fillId="31" borderId="2" xfId="0" applyFont="1" applyFill="1" applyBorder="1" applyAlignment="1">
      <alignment horizontal="center" vertical="center"/>
    </xf>
    <xf numFmtId="0" fontId="159" fillId="18" borderId="25" xfId="0" applyFont="1" applyFill="1" applyBorder="1" applyAlignment="1">
      <alignment horizontal="center" vertical="center"/>
    </xf>
    <xf numFmtId="0" fontId="193" fillId="0" borderId="34" xfId="0" applyFont="1" applyBorder="1" applyAlignment="1">
      <alignment horizontal="center" vertical="center"/>
    </xf>
    <xf numFmtId="0" fontId="193" fillId="0" borderId="25" xfId="0" applyFont="1" applyBorder="1" applyAlignment="1">
      <alignment horizontal="center" vertical="center" wrapText="1"/>
    </xf>
    <xf numFmtId="0" fontId="193" fillId="20" borderId="25" xfId="0" applyFont="1" applyFill="1" applyBorder="1" applyAlignment="1">
      <alignment horizontal="center" vertical="center"/>
    </xf>
    <xf numFmtId="0" fontId="159" fillId="20" borderId="25" xfId="0" applyFont="1" applyFill="1" applyBorder="1" applyAlignment="1">
      <alignment horizontal="center" vertical="center"/>
    </xf>
    <xf numFmtId="0" fontId="193" fillId="35" borderId="25" xfId="0" applyFont="1" applyFill="1" applyBorder="1" applyAlignment="1">
      <alignment horizontal="center" vertical="center"/>
    </xf>
    <xf numFmtId="0" fontId="193" fillId="15" borderId="25" xfId="0" applyFont="1" applyFill="1" applyBorder="1" applyAlignment="1">
      <alignment horizontal="center" vertical="center"/>
    </xf>
    <xf numFmtId="0" fontId="159" fillId="15" borderId="25" xfId="0" applyFont="1" applyFill="1" applyBorder="1" applyAlignment="1">
      <alignment horizontal="center" vertical="center"/>
    </xf>
    <xf numFmtId="0" fontId="193" fillId="14" borderId="25" xfId="0" applyFont="1" applyFill="1" applyBorder="1" applyAlignment="1">
      <alignment horizontal="center" vertical="center"/>
    </xf>
    <xf numFmtId="0" fontId="159" fillId="14" borderId="25" xfId="0" applyFont="1" applyFill="1" applyBorder="1" applyAlignment="1">
      <alignment horizontal="center" vertical="center"/>
    </xf>
    <xf numFmtId="0" fontId="159" fillId="37" borderId="25" xfId="0" applyFont="1" applyFill="1" applyBorder="1" applyAlignment="1">
      <alignment horizontal="center" vertical="center"/>
    </xf>
    <xf numFmtId="0" fontId="193" fillId="37" borderId="25" xfId="0" applyFont="1" applyFill="1" applyBorder="1" applyAlignment="1">
      <alignment horizontal="center" vertical="center"/>
    </xf>
    <xf numFmtId="0" fontId="193" fillId="25" borderId="25" xfId="0" applyFont="1" applyFill="1" applyBorder="1" applyAlignment="1">
      <alignment horizontal="center" vertical="center"/>
    </xf>
    <xf numFmtId="0" fontId="159" fillId="25" borderId="25" xfId="0" applyFont="1" applyFill="1" applyBorder="1" applyAlignment="1">
      <alignment horizontal="center" vertical="center"/>
    </xf>
    <xf numFmtId="0" fontId="193" fillId="3" borderId="95" xfId="0" applyFont="1" applyFill="1" applyBorder="1" applyAlignment="1">
      <alignment horizontal="center" vertical="center"/>
    </xf>
    <xf numFmtId="0" fontId="159" fillId="3" borderId="95" xfId="0" applyFont="1" applyFill="1" applyBorder="1" applyAlignment="1">
      <alignment horizontal="center" vertical="center"/>
    </xf>
    <xf numFmtId="0" fontId="159" fillId="3" borderId="106" xfId="0" applyFont="1" applyFill="1" applyBorder="1" applyAlignment="1">
      <alignment horizontal="center" vertical="center"/>
    </xf>
    <xf numFmtId="0" fontId="193" fillId="3" borderId="0" xfId="0" applyFont="1" applyFill="1" applyAlignment="1">
      <alignment horizontal="center" vertical="center"/>
    </xf>
    <xf numFmtId="0" fontId="159" fillId="3" borderId="0" xfId="0" applyFont="1" applyFill="1" applyAlignment="1">
      <alignment horizontal="center" vertical="center"/>
    </xf>
    <xf numFmtId="0" fontId="193" fillId="4" borderId="25" xfId="0" applyFont="1" applyFill="1" applyBorder="1" applyAlignment="1">
      <alignment horizontal="center" vertical="center"/>
    </xf>
    <xf numFmtId="0" fontId="159" fillId="24" borderId="25" xfId="0" applyFont="1" applyFill="1" applyBorder="1" applyAlignment="1">
      <alignment horizontal="center" vertical="center"/>
    </xf>
    <xf numFmtId="0" fontId="193" fillId="24" borderId="25" xfId="0" applyFont="1" applyFill="1" applyBorder="1" applyAlignment="1">
      <alignment horizontal="center" vertical="center"/>
    </xf>
    <xf numFmtId="0" fontId="161" fillId="0" borderId="25" xfId="0" applyFont="1" applyBorder="1" applyAlignment="1">
      <alignment horizontal="center" vertical="center" wrapText="1"/>
    </xf>
    <xf numFmtId="0" fontId="212" fillId="0" borderId="25" xfId="0" applyFont="1" applyBorder="1" applyAlignment="1">
      <alignment horizontal="center" vertical="center" wrapText="1"/>
    </xf>
    <xf numFmtId="0" fontId="161" fillId="0" borderId="106" xfId="0" applyFont="1" applyBorder="1" applyAlignment="1">
      <alignment horizontal="center" vertical="center" wrapText="1"/>
    </xf>
    <xf numFmtId="0" fontId="161" fillId="3" borderId="106" xfId="0" applyFont="1" applyFill="1" applyBorder="1" applyAlignment="1">
      <alignment horizontal="center" vertical="center" wrapText="1"/>
    </xf>
    <xf numFmtId="0" fontId="161" fillId="3" borderId="0" xfId="0" applyFont="1" applyFill="1" applyAlignment="1">
      <alignment horizontal="center" vertical="center" wrapText="1"/>
    </xf>
    <xf numFmtId="0" fontId="67" fillId="0" borderId="53" xfId="0" applyFont="1" applyBorder="1" applyAlignment="1">
      <alignment horizontal="center" vertical="center" wrapText="1"/>
    </xf>
    <xf numFmtId="16" fontId="67" fillId="5" borderId="2" xfId="0" applyNumberFormat="1" applyFont="1" applyFill="1" applyBorder="1" applyAlignment="1">
      <alignment horizontal="center" vertical="center" wrapText="1"/>
    </xf>
    <xf numFmtId="0" fontId="193" fillId="33" borderId="25" xfId="0" applyFont="1" applyFill="1" applyBorder="1" applyAlignment="1">
      <alignment horizontal="center" vertical="center"/>
    </xf>
    <xf numFmtId="0" fontId="159" fillId="33" borderId="25" xfId="0" applyFont="1" applyFill="1" applyBorder="1" applyAlignment="1">
      <alignment horizontal="center" vertical="center"/>
    </xf>
    <xf numFmtId="0" fontId="193" fillId="11" borderId="25" xfId="0" applyFont="1" applyFill="1" applyBorder="1" applyAlignment="1">
      <alignment horizontal="center" vertical="center"/>
    </xf>
    <xf numFmtId="0" fontId="159" fillId="11" borderId="25" xfId="0" applyFont="1" applyFill="1" applyBorder="1" applyAlignment="1">
      <alignment horizontal="center" vertical="center"/>
    </xf>
    <xf numFmtId="0" fontId="193" fillId="46" borderId="25" xfId="0" applyFont="1" applyFill="1" applyBorder="1" applyAlignment="1">
      <alignment horizontal="center" vertical="center"/>
    </xf>
    <xf numFmtId="0" fontId="159" fillId="46" borderId="25" xfId="0" applyFont="1" applyFill="1" applyBorder="1" applyAlignment="1">
      <alignment horizontal="center" vertical="center"/>
    </xf>
    <xf numFmtId="0" fontId="193" fillId="50" borderId="25" xfId="0" applyFont="1" applyFill="1" applyBorder="1" applyAlignment="1">
      <alignment horizontal="center" vertical="center"/>
    </xf>
    <xf numFmtId="0" fontId="159" fillId="50" borderId="25" xfId="0" applyFont="1" applyFill="1" applyBorder="1" applyAlignment="1">
      <alignment horizontal="center" vertical="center"/>
    </xf>
    <xf numFmtId="0" fontId="193" fillId="12" borderId="25" xfId="0" applyFont="1" applyFill="1" applyBorder="1" applyAlignment="1">
      <alignment horizontal="center" vertical="center"/>
    </xf>
    <xf numFmtId="0" fontId="159" fillId="12" borderId="33" xfId="0" applyFont="1" applyFill="1" applyBorder="1" applyAlignment="1">
      <alignment horizontal="center" vertical="center"/>
    </xf>
    <xf numFmtId="0" fontId="159" fillId="3" borderId="34" xfId="0" applyFont="1" applyFill="1" applyBorder="1" applyAlignment="1">
      <alignment horizontal="center" vertical="center"/>
    </xf>
    <xf numFmtId="0" fontId="198" fillId="0" borderId="2" xfId="0" applyFont="1" applyBorder="1" applyAlignment="1">
      <alignment horizontal="center" vertical="center"/>
    </xf>
    <xf numFmtId="0" fontId="2" fillId="4" borderId="2" xfId="0" applyFont="1" applyFill="1" applyBorder="1" applyAlignment="1">
      <alignment horizontal="center" vertical="center" wrapText="1"/>
    </xf>
    <xf numFmtId="0" fontId="159" fillId="8" borderId="25" xfId="0" applyFont="1" applyFill="1" applyBorder="1" applyAlignment="1">
      <alignment horizontal="center" vertical="center"/>
    </xf>
    <xf numFmtId="0" fontId="159" fillId="31" borderId="25" xfId="0" applyFont="1" applyFill="1" applyBorder="1" applyAlignment="1">
      <alignment horizontal="center" vertical="center"/>
    </xf>
    <xf numFmtId="16" fontId="12" fillId="74" borderId="2" xfId="0" applyNumberFormat="1" applyFont="1" applyFill="1" applyBorder="1" applyAlignment="1">
      <alignment horizontal="center" vertical="center" wrapText="1"/>
    </xf>
    <xf numFmtId="0" fontId="12" fillId="74" borderId="2" xfId="0" applyFont="1" applyFill="1" applyBorder="1" applyAlignment="1">
      <alignment horizontal="center" vertical="center" wrapText="1"/>
    </xf>
    <xf numFmtId="0" fontId="202" fillId="88" borderId="95" xfId="0" applyFont="1" applyFill="1" applyBorder="1" applyAlignment="1">
      <alignment horizontal="center" vertical="center"/>
    </xf>
    <xf numFmtId="0" fontId="202" fillId="88" borderId="106" xfId="0" applyFont="1" applyFill="1" applyBorder="1" applyAlignment="1">
      <alignment horizontal="center" vertical="center"/>
    </xf>
    <xf numFmtId="0" fontId="202" fillId="89" borderId="2" xfId="0" applyFont="1" applyFill="1" applyBorder="1" applyAlignment="1">
      <alignment horizontal="center" vertical="center"/>
    </xf>
    <xf numFmtId="0" fontId="202" fillId="89" borderId="25" xfId="0" applyFont="1" applyFill="1" applyBorder="1" applyAlignment="1">
      <alignment horizontal="center" vertical="center"/>
    </xf>
    <xf numFmtId="0" fontId="202" fillId="90" borderId="2" xfId="0" applyFont="1" applyFill="1" applyBorder="1" applyAlignment="1">
      <alignment horizontal="center" vertical="center"/>
    </xf>
    <xf numFmtId="0" fontId="202" fillId="75" borderId="2" xfId="0" applyFont="1" applyFill="1" applyBorder="1" applyAlignment="1">
      <alignment horizontal="center"/>
    </xf>
    <xf numFmtId="0" fontId="202" fillId="90" borderId="2" xfId="0" applyFont="1" applyFill="1" applyBorder="1" applyAlignment="1">
      <alignment horizontal="center"/>
    </xf>
    <xf numFmtId="0" fontId="202" fillId="74" borderId="2" xfId="0" applyFont="1" applyFill="1" applyBorder="1" applyAlignment="1">
      <alignment horizontal="center"/>
    </xf>
    <xf numFmtId="0" fontId="202" fillId="84" borderId="2" xfId="0" applyFont="1" applyFill="1" applyBorder="1" applyAlignment="1">
      <alignment horizontal="center"/>
    </xf>
    <xf numFmtId="0" fontId="202" fillId="88" borderId="2" xfId="0" applyFont="1" applyFill="1" applyBorder="1" applyAlignment="1">
      <alignment horizontal="center"/>
    </xf>
    <xf numFmtId="0" fontId="213" fillId="0" borderId="2" xfId="0" applyFont="1" applyBorder="1" applyAlignment="1">
      <alignment horizontal="center" vertical="center"/>
    </xf>
    <xf numFmtId="0" fontId="213" fillId="0" borderId="2" xfId="0" applyFont="1" applyBorder="1" applyAlignment="1">
      <alignment horizontal="center"/>
    </xf>
    <xf numFmtId="0" fontId="12" fillId="74" borderId="25" xfId="0" applyFont="1" applyFill="1" applyBorder="1" applyAlignment="1">
      <alignment horizontal="center" vertical="center" wrapText="1"/>
    </xf>
    <xf numFmtId="0" fontId="4" fillId="74" borderId="2" xfId="0" applyFont="1" applyFill="1" applyBorder="1" applyAlignment="1">
      <alignment horizontal="center" vertical="center" wrapText="1"/>
    </xf>
    <xf numFmtId="0" fontId="214" fillId="0" borderId="2" xfId="0" applyFont="1" applyBorder="1" applyAlignment="1">
      <alignment horizontal="center" vertical="center"/>
    </xf>
    <xf numFmtId="0" fontId="213" fillId="0" borderId="2" xfId="0" applyFont="1" applyBorder="1" applyAlignment="1">
      <alignment horizontal="center" vertical="center" wrapText="1"/>
    </xf>
    <xf numFmtId="0" fontId="215" fillId="0" borderId="0" xfId="0" applyFont="1"/>
    <xf numFmtId="0" fontId="214" fillId="0" borderId="2" xfId="0" applyFont="1" applyBorder="1" applyAlignment="1">
      <alignment horizontal="center" vertical="center" wrapText="1"/>
    </xf>
    <xf numFmtId="0" fontId="215" fillId="0" borderId="2" xfId="0" applyFont="1" applyBorder="1" applyAlignment="1">
      <alignment wrapText="1"/>
    </xf>
    <xf numFmtId="0" fontId="215" fillId="0" borderId="2" xfId="0" applyFont="1" applyBorder="1" applyAlignment="1">
      <alignment horizontal="center"/>
    </xf>
    <xf numFmtId="16" fontId="193" fillId="4" borderId="2" xfId="0" applyNumberFormat="1" applyFont="1" applyFill="1" applyBorder="1" applyAlignment="1">
      <alignment horizontal="center" vertical="center"/>
    </xf>
    <xf numFmtId="49" fontId="150" fillId="4" borderId="2" xfId="0" applyNumberFormat="1" applyFont="1" applyFill="1" applyBorder="1" applyAlignment="1">
      <alignment horizontal="center" vertical="center"/>
    </xf>
    <xf numFmtId="0" fontId="195" fillId="4" borderId="2" xfId="0" applyFont="1" applyFill="1" applyBorder="1" applyAlignment="1">
      <alignment horizontal="center" vertical="center"/>
    </xf>
    <xf numFmtId="0" fontId="159" fillId="4" borderId="32" xfId="0" applyFont="1" applyFill="1" applyBorder="1" applyAlignment="1">
      <alignment horizontal="center" vertical="center"/>
    </xf>
    <xf numFmtId="0" fontId="193" fillId="4" borderId="2" xfId="0" applyFont="1" applyFill="1" applyBorder="1" applyAlignment="1">
      <alignment horizontal="center" vertical="center"/>
    </xf>
    <xf numFmtId="0" fontId="8" fillId="4" borderId="2" xfId="0" applyFont="1" applyFill="1" applyBorder="1" applyAlignment="1">
      <alignment horizontal="center" vertical="center" wrapText="1"/>
    </xf>
    <xf numFmtId="0" fontId="150" fillId="4" borderId="2" xfId="0" applyFont="1" applyFill="1" applyBorder="1" applyAlignment="1">
      <alignment horizontal="center" vertical="center"/>
    </xf>
    <xf numFmtId="0" fontId="117" fillId="4" borderId="2" xfId="0" applyFont="1" applyFill="1" applyBorder="1" applyAlignment="1">
      <alignment horizontal="center" vertical="center" wrapText="1"/>
    </xf>
    <xf numFmtId="0" fontId="150" fillId="4" borderId="0" xfId="0" applyFont="1" applyFill="1" applyAlignment="1">
      <alignment horizontal="center" vertical="center" wrapText="1"/>
    </xf>
    <xf numFmtId="0" fontId="150" fillId="4" borderId="0" xfId="0" applyFont="1" applyFill="1" applyAlignment="1">
      <alignment horizontal="center" vertical="center"/>
    </xf>
    <xf numFmtId="0" fontId="193" fillId="12" borderId="2" xfId="0" applyFont="1" applyFill="1" applyBorder="1" applyAlignment="1">
      <alignment horizontal="center" vertical="center"/>
    </xf>
    <xf numFmtId="0" fontId="195" fillId="8" borderId="34" xfId="0" applyFont="1" applyFill="1" applyBorder="1" applyAlignment="1">
      <alignment horizontal="center" vertical="center"/>
    </xf>
    <xf numFmtId="0" fontId="170" fillId="3" borderId="2" xfId="0" applyFont="1" applyFill="1" applyBorder="1" applyAlignment="1">
      <alignment horizontal="center" vertical="center"/>
    </xf>
    <xf numFmtId="16" fontId="159" fillId="37" borderId="2" xfId="0" applyNumberFormat="1" applyFont="1" applyFill="1" applyBorder="1" applyAlignment="1">
      <alignment horizontal="center" vertical="center"/>
    </xf>
    <xf numFmtId="0" fontId="159" fillId="3" borderId="2" xfId="0" applyFont="1" applyFill="1" applyBorder="1" applyAlignment="1">
      <alignment horizontal="center"/>
    </xf>
    <xf numFmtId="0" fontId="159" fillId="3" borderId="30" xfId="0" applyFont="1" applyFill="1" applyBorder="1" applyAlignment="1">
      <alignment horizontal="center"/>
    </xf>
    <xf numFmtId="0" fontId="159" fillId="37" borderId="2" xfId="0" applyFont="1" applyFill="1" applyBorder="1" applyAlignment="1">
      <alignment horizontal="center"/>
    </xf>
    <xf numFmtId="0" fontId="159" fillId="91" borderId="2" xfId="0" applyFont="1" applyFill="1" applyBorder="1" applyAlignment="1">
      <alignment horizontal="center"/>
    </xf>
    <xf numFmtId="0" fontId="159" fillId="15" borderId="2" xfId="0" applyFont="1" applyFill="1" applyBorder="1" applyAlignment="1">
      <alignment horizontal="center"/>
    </xf>
    <xf numFmtId="0" fontId="193" fillId="22" borderId="2" xfId="0" applyFont="1" applyFill="1" applyBorder="1" applyAlignment="1">
      <alignment horizontal="center" vertical="center"/>
    </xf>
    <xf numFmtId="0" fontId="106" fillId="3" borderId="25" xfId="0" applyFont="1" applyFill="1" applyBorder="1" applyAlignment="1">
      <alignment horizontal="center" vertical="center" wrapText="1"/>
    </xf>
    <xf numFmtId="0" fontId="35" fillId="0" borderId="2" xfId="0" applyFont="1" applyBorder="1" applyAlignment="1">
      <alignment horizontal="center" vertical="center"/>
    </xf>
    <xf numFmtId="0" fontId="193" fillId="22" borderId="2" xfId="0" applyFont="1" applyFill="1" applyBorder="1" applyAlignment="1">
      <alignment horizontal="center" vertical="center" wrapText="1"/>
    </xf>
    <xf numFmtId="0" fontId="217" fillId="92" borderId="107" xfId="0" applyFont="1" applyFill="1" applyBorder="1" applyAlignment="1">
      <alignment horizontal="center" vertical="center" wrapText="1"/>
    </xf>
    <xf numFmtId="0" fontId="216" fillId="0" borderId="107" xfId="0" applyFont="1" applyBorder="1" applyAlignment="1">
      <alignment vertical="center" wrapText="1"/>
    </xf>
    <xf numFmtId="0" fontId="217" fillId="0" borderId="107" xfId="0" applyFont="1" applyBorder="1" applyAlignment="1">
      <alignment vertical="center" wrapText="1"/>
    </xf>
    <xf numFmtId="9" fontId="217" fillId="0" borderId="107" xfId="0" applyNumberFormat="1" applyFont="1" applyBorder="1" applyAlignment="1">
      <alignment vertical="center" wrapText="1"/>
    </xf>
    <xf numFmtId="9" fontId="216" fillId="0" borderId="107" xfId="0" applyNumberFormat="1" applyFont="1" applyBorder="1" applyAlignment="1">
      <alignment vertical="center" wrapText="1"/>
    </xf>
    <xf numFmtId="0" fontId="197" fillId="2" borderId="2" xfId="0" applyFont="1" applyFill="1" applyBorder="1" applyAlignment="1">
      <alignment horizontal="center" vertical="center"/>
    </xf>
    <xf numFmtId="0" fontId="159" fillId="30" borderId="25" xfId="0" applyFont="1" applyFill="1" applyBorder="1" applyAlignment="1">
      <alignment horizontal="center" vertical="center"/>
    </xf>
    <xf numFmtId="0" fontId="159" fillId="51" borderId="25" xfId="0" applyFont="1" applyFill="1" applyBorder="1" applyAlignment="1">
      <alignment horizontal="center" vertical="center"/>
    </xf>
    <xf numFmtId="0" fontId="198" fillId="4" borderId="2" xfId="0" applyFont="1" applyFill="1" applyBorder="1" applyAlignment="1">
      <alignment horizontal="center" vertical="center"/>
    </xf>
    <xf numFmtId="0" fontId="159" fillId="31" borderId="33" xfId="0" applyFont="1" applyFill="1" applyBorder="1" applyAlignment="1">
      <alignment horizontal="center" vertical="center"/>
    </xf>
    <xf numFmtId="0" fontId="148" fillId="0" borderId="2" xfId="0" applyFont="1" applyBorder="1" applyAlignment="1">
      <alignment horizontal="center"/>
    </xf>
    <xf numFmtId="0" fontId="218" fillId="0" borderId="2" xfId="0" applyFont="1" applyBorder="1" applyAlignment="1">
      <alignment horizontal="center" vertical="center" wrapText="1"/>
    </xf>
    <xf numFmtId="0" fontId="198" fillId="4" borderId="25" xfId="0" applyFont="1" applyFill="1" applyBorder="1" applyAlignment="1">
      <alignment horizontal="center" vertical="center"/>
    </xf>
    <xf numFmtId="0" fontId="159" fillId="18" borderId="33" xfId="0" applyFont="1" applyFill="1" applyBorder="1" applyAlignment="1">
      <alignment horizontal="center" vertical="center"/>
    </xf>
    <xf numFmtId="16" fontId="219" fillId="5" borderId="2" xfId="0" applyNumberFormat="1" applyFont="1" applyFill="1" applyBorder="1" applyAlignment="1">
      <alignment horizontal="center" vertical="center" wrapText="1"/>
    </xf>
    <xf numFmtId="0" fontId="219" fillId="0" borderId="25" xfId="0" applyFont="1" applyBorder="1" applyAlignment="1">
      <alignment horizontal="center" vertical="center" wrapText="1"/>
    </xf>
    <xf numFmtId="0" fontId="220" fillId="0" borderId="25" xfId="0" applyFont="1" applyBorder="1" applyAlignment="1">
      <alignment horizontal="center" vertical="center"/>
    </xf>
    <xf numFmtId="0" fontId="219" fillId="0" borderId="2" xfId="0" applyFont="1" applyBorder="1" applyAlignment="1">
      <alignment horizontal="center" vertical="center" wrapText="1"/>
    </xf>
    <xf numFmtId="0" fontId="221" fillId="5" borderId="2" xfId="0" applyFont="1" applyFill="1" applyBorder="1" applyAlignment="1">
      <alignment horizontal="center" vertical="center" wrapText="1"/>
    </xf>
    <xf numFmtId="0" fontId="219" fillId="5" borderId="25" xfId="0" applyFont="1" applyFill="1" applyBorder="1" applyAlignment="1">
      <alignment horizontal="center" vertical="center" wrapText="1"/>
    </xf>
    <xf numFmtId="0" fontId="222" fillId="3" borderId="25" xfId="0" applyFont="1" applyFill="1" applyBorder="1" applyAlignment="1">
      <alignment horizontal="center" vertical="center"/>
    </xf>
    <xf numFmtId="0" fontId="219" fillId="5" borderId="2" xfId="0" applyFont="1" applyFill="1" applyBorder="1" applyAlignment="1">
      <alignment horizontal="center" vertical="center" wrapText="1"/>
    </xf>
    <xf numFmtId="0" fontId="225" fillId="3" borderId="2" xfId="0" applyFont="1" applyFill="1" applyBorder="1" applyAlignment="1">
      <alignment horizontal="center" vertical="center" wrapText="1"/>
    </xf>
    <xf numFmtId="0" fontId="159" fillId="0" borderId="2" xfId="0" applyFont="1" applyBorder="1"/>
    <xf numFmtId="0" fontId="225" fillId="0" borderId="2" xfId="0" applyFont="1" applyBorder="1" applyAlignment="1">
      <alignment horizontal="center" vertical="center" wrapText="1"/>
    </xf>
    <xf numFmtId="0" fontId="159" fillId="91" borderId="2" xfId="0" applyFont="1" applyFill="1" applyBorder="1" applyAlignment="1">
      <alignment horizontal="center" vertical="center"/>
    </xf>
    <xf numFmtId="0" fontId="159" fillId="58" borderId="2" xfId="0" applyFont="1" applyFill="1" applyBorder="1" applyAlignment="1">
      <alignment horizontal="center" vertical="center"/>
    </xf>
    <xf numFmtId="0" fontId="164" fillId="0" borderId="20" xfId="0" applyFont="1" applyBorder="1" applyAlignment="1">
      <alignment horizontal="center" vertical="center"/>
    </xf>
    <xf numFmtId="0" fontId="159" fillId="4" borderId="108" xfId="0" applyFont="1" applyFill="1" applyBorder="1" applyAlignment="1">
      <alignment horizontal="center" vertical="center"/>
    </xf>
    <xf numFmtId="0" fontId="36" fillId="0" borderId="2" xfId="0" applyFont="1" applyBorder="1" applyAlignment="1">
      <alignment wrapText="1"/>
    </xf>
    <xf numFmtId="0" fontId="67" fillId="0" borderId="30" xfId="0" applyFont="1" applyBorder="1" applyAlignment="1">
      <alignment horizontal="center" vertical="center" wrapText="1"/>
    </xf>
    <xf numFmtId="0" fontId="155" fillId="0" borderId="2" xfId="0" applyFont="1" applyBorder="1" applyAlignment="1">
      <alignment horizontal="center" vertical="center" wrapText="1"/>
    </xf>
    <xf numFmtId="0" fontId="155" fillId="0" borderId="32" xfId="0" applyFont="1" applyBorder="1" applyAlignment="1">
      <alignment horizontal="center" vertical="center" wrapText="1"/>
    </xf>
    <xf numFmtId="0" fontId="155" fillId="0" borderId="20" xfId="0" applyFont="1" applyBorder="1" applyAlignment="1">
      <alignment horizontal="center" vertical="center" wrapText="1"/>
    </xf>
    <xf numFmtId="16" fontId="67" fillId="3" borderId="2" xfId="0" applyNumberFormat="1" applyFont="1" applyFill="1" applyBorder="1" applyAlignment="1">
      <alignment horizontal="center" vertical="center" wrapText="1"/>
    </xf>
    <xf numFmtId="0" fontId="117" fillId="0" borderId="2" xfId="0" applyFont="1" applyBorder="1" applyAlignment="1">
      <alignment horizontal="left" vertical="top" wrapText="1"/>
    </xf>
    <xf numFmtId="0" fontId="159" fillId="3" borderId="61" xfId="0" applyFont="1" applyFill="1" applyBorder="1" applyAlignment="1">
      <alignment horizontal="center" vertical="center"/>
    </xf>
    <xf numFmtId="0" fontId="159" fillId="0" borderId="61" xfId="0" applyFont="1" applyBorder="1" applyAlignment="1">
      <alignment horizontal="center" vertical="center"/>
    </xf>
    <xf numFmtId="0" fontId="159" fillId="73" borderId="61" xfId="0" applyFont="1" applyFill="1" applyBorder="1" applyAlignment="1">
      <alignment horizontal="center" vertical="center"/>
    </xf>
    <xf numFmtId="0" fontId="159" fillId="4" borderId="61" xfId="0" applyFont="1" applyFill="1" applyBorder="1" applyAlignment="1">
      <alignment horizontal="center" vertical="center"/>
    </xf>
    <xf numFmtId="0" fontId="159" fillId="25" borderId="53" xfId="0" applyFont="1" applyFill="1" applyBorder="1" applyAlignment="1">
      <alignment horizontal="center" vertical="center"/>
    </xf>
    <xf numFmtId="0" fontId="159" fillId="12" borderId="72" xfId="0" applyFont="1" applyFill="1" applyBorder="1" applyAlignment="1">
      <alignment horizontal="center" vertical="center"/>
    </xf>
    <xf numFmtId="0" fontId="202" fillId="88" borderId="0" xfId="0" applyFont="1" applyFill="1" applyAlignment="1">
      <alignment horizontal="center" vertical="center"/>
    </xf>
    <xf numFmtId="0" fontId="202" fillId="75" borderId="25" xfId="0" applyFont="1" applyFill="1" applyBorder="1" applyAlignment="1">
      <alignment horizontal="center"/>
    </xf>
    <xf numFmtId="0" fontId="170" fillId="3" borderId="25" xfId="0" applyFont="1" applyFill="1" applyBorder="1" applyAlignment="1">
      <alignment horizontal="center" vertical="center"/>
    </xf>
    <xf numFmtId="0" fontId="159" fillId="3" borderId="25" xfId="0" applyFont="1" applyFill="1" applyBorder="1" applyAlignment="1">
      <alignment horizontal="center"/>
    </xf>
    <xf numFmtId="0" fontId="159" fillId="0" borderId="33" xfId="0" applyFont="1" applyBorder="1" applyAlignment="1">
      <alignment horizontal="center" vertical="center"/>
    </xf>
    <xf numFmtId="0" fontId="159" fillId="31" borderId="34" xfId="0" applyFont="1" applyFill="1" applyBorder="1" applyAlignment="1">
      <alignment horizontal="center" vertical="center"/>
    </xf>
    <xf numFmtId="0" fontId="159" fillId="18" borderId="72" xfId="0" applyFont="1" applyFill="1" applyBorder="1" applyAlignment="1">
      <alignment horizontal="center" vertical="center"/>
    </xf>
    <xf numFmtId="0" fontId="159" fillId="21" borderId="53" xfId="0" applyFont="1" applyFill="1" applyBorder="1" applyAlignment="1">
      <alignment horizontal="center" vertical="center"/>
    </xf>
    <xf numFmtId="0" fontId="159" fillId="31" borderId="32" xfId="0" applyFont="1" applyFill="1" applyBorder="1" applyAlignment="1">
      <alignment horizontal="center" vertical="center"/>
    </xf>
    <xf numFmtId="0" fontId="159" fillId="28" borderId="32" xfId="0" applyFont="1" applyFill="1" applyBorder="1" applyAlignment="1">
      <alignment horizontal="center" vertical="center"/>
    </xf>
    <xf numFmtId="0" fontId="159" fillId="50" borderId="53" xfId="0" applyFont="1" applyFill="1" applyBorder="1" applyAlignment="1">
      <alignment horizontal="center" vertical="center"/>
    </xf>
    <xf numFmtId="0" fontId="159" fillId="91" borderId="53" xfId="0" applyFont="1" applyFill="1" applyBorder="1" applyAlignment="1">
      <alignment horizontal="center" vertical="center"/>
    </xf>
    <xf numFmtId="0" fontId="159" fillId="24" borderId="53" xfId="0" applyFont="1" applyFill="1" applyBorder="1" applyAlignment="1">
      <alignment horizontal="center" vertical="center"/>
    </xf>
    <xf numFmtId="0" fontId="159" fillId="58" borderId="32" xfId="0" applyFont="1" applyFill="1" applyBorder="1" applyAlignment="1">
      <alignment horizontal="center" vertical="center"/>
    </xf>
    <xf numFmtId="0" fontId="159" fillId="19" borderId="32" xfId="0" applyFont="1" applyFill="1" applyBorder="1" applyAlignment="1">
      <alignment horizontal="center" vertical="center"/>
    </xf>
    <xf numFmtId="0" fontId="159" fillId="0" borderId="32" xfId="0" applyFont="1" applyBorder="1" applyAlignment="1">
      <alignment horizontal="center" vertical="center"/>
    </xf>
    <xf numFmtId="0" fontId="159" fillId="12" borderId="76" xfId="0" applyFont="1" applyFill="1" applyBorder="1" applyAlignment="1">
      <alignment horizontal="center" vertical="center"/>
    </xf>
    <xf numFmtId="0" fontId="159" fillId="50" borderId="20" xfId="0" applyFont="1" applyFill="1" applyBorder="1" applyAlignment="1">
      <alignment horizontal="center" vertical="center"/>
    </xf>
    <xf numFmtId="0" fontId="226" fillId="5" borderId="2" xfId="0" applyFont="1" applyFill="1" applyBorder="1" applyAlignment="1">
      <alignment horizontal="center" vertical="center" wrapText="1"/>
    </xf>
    <xf numFmtId="16" fontId="227" fillId="3" borderId="2" xfId="0" applyNumberFormat="1" applyFont="1" applyFill="1" applyBorder="1" applyAlignment="1">
      <alignment horizontal="center" vertical="center" wrapText="1"/>
    </xf>
    <xf numFmtId="0" fontId="227" fillId="3" borderId="2" xfId="0" applyFont="1" applyFill="1" applyBorder="1" applyAlignment="1">
      <alignment horizontal="center" vertical="center"/>
    </xf>
    <xf numFmtId="0" fontId="227" fillId="4" borderId="2" xfId="0" applyFont="1" applyFill="1" applyBorder="1" applyAlignment="1">
      <alignment horizontal="center" vertical="center"/>
    </xf>
    <xf numFmtId="0" fontId="198" fillId="40" borderId="2" xfId="0" applyFont="1" applyFill="1" applyBorder="1" applyAlignment="1">
      <alignment horizontal="center" vertical="center"/>
    </xf>
    <xf numFmtId="0" fontId="227" fillId="2" borderId="2" xfId="0" applyFont="1" applyFill="1" applyBorder="1" applyAlignment="1">
      <alignment horizontal="center" vertical="center"/>
    </xf>
    <xf numFmtId="0" fontId="227" fillId="8" borderId="2" xfId="0" applyFont="1" applyFill="1" applyBorder="1" applyAlignment="1">
      <alignment horizontal="center" vertical="center"/>
    </xf>
    <xf numFmtId="0" fontId="227" fillId="0" borderId="2" xfId="0" applyFont="1" applyBorder="1" applyAlignment="1">
      <alignment horizontal="center" vertical="center"/>
    </xf>
    <xf numFmtId="0" fontId="227" fillId="28" borderId="2" xfId="0" applyFont="1" applyFill="1" applyBorder="1" applyAlignment="1">
      <alignment horizontal="center" vertical="center"/>
    </xf>
    <xf numFmtId="0" fontId="227" fillId="65" borderId="2" xfId="0" applyFont="1" applyFill="1" applyBorder="1" applyAlignment="1">
      <alignment horizontal="center" vertical="center"/>
    </xf>
    <xf numFmtId="0" fontId="227" fillId="3" borderId="20" xfId="0" applyFont="1" applyFill="1" applyBorder="1" applyAlignment="1">
      <alignment horizontal="center" vertical="center"/>
    </xf>
    <xf numFmtId="0" fontId="227" fillId="3" borderId="2" xfId="0" applyFont="1" applyFill="1" applyBorder="1" applyAlignment="1">
      <alignment horizontal="center" vertical="center" wrapText="1"/>
    </xf>
    <xf numFmtId="0" fontId="227" fillId="3" borderId="20" xfId="0" applyFont="1" applyFill="1" applyBorder="1" applyAlignment="1">
      <alignment vertical="center"/>
    </xf>
    <xf numFmtId="0" fontId="227" fillId="3" borderId="20" xfId="0" applyFont="1" applyFill="1" applyBorder="1" applyAlignment="1">
      <alignment horizontal="center" vertical="center" wrapText="1"/>
    </xf>
    <xf numFmtId="0" fontId="227" fillId="3" borderId="25" xfId="0" applyFont="1" applyFill="1" applyBorder="1" applyAlignment="1">
      <alignment horizontal="center" vertical="center"/>
    </xf>
    <xf numFmtId="0" fontId="227" fillId="3" borderId="30" xfId="0" applyFont="1" applyFill="1" applyBorder="1" applyAlignment="1">
      <alignment horizontal="center" vertical="center" wrapText="1"/>
    </xf>
    <xf numFmtId="0" fontId="227" fillId="3" borderId="32" xfId="0" applyFont="1" applyFill="1" applyBorder="1" applyAlignment="1">
      <alignment horizontal="center" vertical="center" wrapText="1"/>
    </xf>
    <xf numFmtId="0" fontId="227" fillId="4" borderId="2" xfId="0" applyFont="1" applyFill="1" applyBorder="1" applyAlignment="1">
      <alignment horizontal="center" vertical="center" wrapText="1"/>
    </xf>
    <xf numFmtId="0" fontId="159" fillId="12" borderId="30" xfId="0" applyFont="1" applyFill="1" applyBorder="1" applyAlignment="1">
      <alignment horizontal="center" vertical="center"/>
    </xf>
    <xf numFmtId="0" fontId="116" fillId="8" borderId="37" xfId="0" applyFont="1" applyFill="1" applyBorder="1" applyAlignment="1">
      <alignment horizontal="center" vertical="center" wrapText="1"/>
    </xf>
    <xf numFmtId="0" fontId="116" fillId="8" borderId="31" xfId="0" applyFont="1" applyFill="1" applyBorder="1" applyAlignment="1">
      <alignment horizontal="center" vertical="center" wrapText="1"/>
    </xf>
    <xf numFmtId="0" fontId="116" fillId="8" borderId="23" xfId="0" applyFont="1" applyFill="1" applyBorder="1" applyAlignment="1">
      <alignment horizontal="center" vertical="center" wrapText="1"/>
    </xf>
    <xf numFmtId="0" fontId="116" fillId="8" borderId="19" xfId="0" applyFont="1" applyFill="1" applyBorder="1" applyAlignment="1">
      <alignment horizontal="center" wrapText="1"/>
    </xf>
    <xf numFmtId="0" fontId="116" fillId="8" borderId="2" xfId="0" applyFont="1" applyFill="1" applyBorder="1" applyAlignment="1">
      <alignment horizontal="center" wrapText="1"/>
    </xf>
    <xf numFmtId="0" fontId="116" fillId="8" borderId="19" xfId="0" applyFont="1" applyFill="1" applyBorder="1" applyAlignment="1">
      <alignment horizontal="center" vertical="center" wrapText="1"/>
    </xf>
    <xf numFmtId="0" fontId="12" fillId="0" borderId="25" xfId="0" applyFont="1" applyBorder="1" applyAlignment="1">
      <alignment horizontal="center" vertical="center" wrapText="1"/>
    </xf>
    <xf numFmtId="0" fontId="12" fillId="0" borderId="20" xfId="0" applyFont="1" applyBorder="1" applyAlignment="1">
      <alignment horizontal="center" vertical="center" wrapText="1"/>
    </xf>
    <xf numFmtId="0" fontId="9" fillId="2" borderId="3" xfId="0" applyFont="1" applyFill="1" applyBorder="1" applyAlignment="1">
      <alignment horizontal="center" vertical="center" wrapText="1"/>
    </xf>
    <xf numFmtId="0" fontId="9" fillId="2" borderId="0" xfId="0" applyFont="1" applyFill="1" applyAlignment="1">
      <alignment horizontal="center" vertical="center" wrapText="1"/>
    </xf>
    <xf numFmtId="0" fontId="31"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9" fillId="0" borderId="0" xfId="0" applyFont="1" applyAlignment="1">
      <alignment horizontal="center" vertical="center" wrapText="1"/>
    </xf>
    <xf numFmtId="44" fontId="11" fillId="31" borderId="2" xfId="2" applyFont="1" applyFill="1" applyBorder="1" applyAlignment="1">
      <alignment horizontal="center" vertical="center"/>
    </xf>
    <xf numFmtId="44" fontId="11" fillId="31" borderId="22" xfId="2" applyFont="1" applyFill="1" applyBorder="1" applyAlignment="1">
      <alignment horizontal="center" vertical="center"/>
    </xf>
    <xf numFmtId="0" fontId="6" fillId="6" borderId="5"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1" fillId="61" borderId="22" xfId="0" applyFont="1" applyFill="1" applyBorder="1" applyAlignment="1">
      <alignment vertical="center" wrapText="1"/>
    </xf>
    <xf numFmtId="0" fontId="1" fillId="61" borderId="32" xfId="0" applyFont="1" applyFill="1" applyBorder="1" applyAlignment="1">
      <alignment vertical="center" wrapText="1"/>
    </xf>
    <xf numFmtId="0" fontId="1" fillId="61" borderId="24" xfId="0" applyFont="1" applyFill="1" applyBorder="1" applyAlignment="1">
      <alignment vertical="center" wrapText="1"/>
    </xf>
    <xf numFmtId="0" fontId="1" fillId="61" borderId="2" xfId="0" applyFont="1" applyFill="1" applyBorder="1" applyAlignment="1">
      <alignment vertical="center" wrapText="1"/>
    </xf>
    <xf numFmtId="0" fontId="1" fillId="61" borderId="25" xfId="0" applyFont="1" applyFill="1" applyBorder="1" applyAlignment="1">
      <alignment vertical="center" wrapText="1"/>
    </xf>
    <xf numFmtId="0" fontId="1" fillId="22" borderId="24" xfId="0" applyFont="1" applyFill="1" applyBorder="1" applyAlignment="1">
      <alignment vertical="center" wrapText="1"/>
    </xf>
    <xf numFmtId="0" fontId="1" fillId="22" borderId="32" xfId="0" applyFont="1" applyFill="1" applyBorder="1" applyAlignment="1">
      <alignment vertical="center" wrapText="1"/>
    </xf>
    <xf numFmtId="0" fontId="116" fillId="8" borderId="61" xfId="0" applyFont="1" applyFill="1" applyBorder="1" applyAlignment="1">
      <alignment vertical="center" wrapText="1"/>
    </xf>
    <xf numFmtId="0" fontId="116" fillId="8" borderId="32" xfId="0" applyFont="1" applyFill="1" applyBorder="1" applyAlignment="1">
      <alignment vertical="center" wrapText="1"/>
    </xf>
    <xf numFmtId="0" fontId="116" fillId="8" borderId="30" xfId="0" applyFont="1" applyFill="1" applyBorder="1" applyAlignment="1">
      <alignment vertical="center" wrapText="1"/>
    </xf>
    <xf numFmtId="0" fontId="116" fillId="8" borderId="35" xfId="0" applyFont="1" applyFill="1" applyBorder="1" applyAlignment="1">
      <alignment vertical="center" wrapText="1"/>
    </xf>
    <xf numFmtId="0" fontId="116" fillId="8" borderId="36" xfId="0" applyFont="1" applyFill="1" applyBorder="1" applyAlignment="1">
      <alignment vertical="center" wrapText="1"/>
    </xf>
    <xf numFmtId="0" fontId="116" fillId="8" borderId="78" xfId="0" applyFont="1" applyFill="1" applyBorder="1" applyAlignment="1">
      <alignment vertical="center" wrapText="1"/>
    </xf>
    <xf numFmtId="0" fontId="116" fillId="8" borderId="20" xfId="0" applyFont="1" applyFill="1" applyBorder="1" applyAlignment="1">
      <alignment vertical="center" wrapText="1"/>
    </xf>
    <xf numFmtId="0" fontId="116" fillId="8" borderId="49" xfId="0" applyFont="1" applyFill="1" applyBorder="1" applyAlignment="1">
      <alignment vertical="center" wrapText="1"/>
    </xf>
    <xf numFmtId="0" fontId="116" fillId="8" borderId="19" xfId="0" applyFont="1" applyFill="1" applyBorder="1" applyAlignment="1">
      <alignment vertical="center" wrapText="1"/>
    </xf>
    <xf numFmtId="0" fontId="116" fillId="8" borderId="23" xfId="0" applyFont="1" applyFill="1" applyBorder="1" applyAlignment="1">
      <alignment vertical="center" wrapText="1"/>
    </xf>
    <xf numFmtId="0" fontId="116" fillId="8" borderId="82" xfId="0" applyFont="1" applyFill="1" applyBorder="1" applyAlignment="1">
      <alignment vertical="center" wrapText="1"/>
    </xf>
    <xf numFmtId="0" fontId="116" fillId="8" borderId="76" xfId="0" applyFont="1" applyFill="1" applyBorder="1" applyAlignment="1">
      <alignment vertical="center" wrapText="1"/>
    </xf>
    <xf numFmtId="0" fontId="116" fillId="8" borderId="53" xfId="0" applyFont="1" applyFill="1" applyBorder="1" applyAlignment="1">
      <alignment vertical="center" wrapText="1"/>
    </xf>
    <xf numFmtId="0" fontId="116" fillId="8" borderId="64" xfId="0" applyFont="1" applyFill="1" applyBorder="1" applyAlignment="1">
      <alignment vertical="center" wrapText="1"/>
    </xf>
    <xf numFmtId="0" fontId="1" fillId="61" borderId="30" xfId="0" applyFont="1" applyFill="1" applyBorder="1" applyAlignment="1">
      <alignment vertical="center" wrapText="1"/>
    </xf>
    <xf numFmtId="0" fontId="1" fillId="61" borderId="23" xfId="0" applyFont="1" applyFill="1" applyBorder="1" applyAlignment="1">
      <alignment vertical="center" wrapText="1"/>
    </xf>
    <xf numFmtId="0" fontId="1" fillId="61" borderId="33" xfId="0" applyFont="1" applyFill="1" applyBorder="1" applyAlignment="1">
      <alignment vertical="center" wrapText="1"/>
    </xf>
    <xf numFmtId="0" fontId="1" fillId="61" borderId="34" xfId="0" applyFont="1" applyFill="1" applyBorder="1" applyAlignment="1">
      <alignment vertical="center" wrapText="1"/>
    </xf>
    <xf numFmtId="0" fontId="116" fillId="8" borderId="74" xfId="0" applyFont="1" applyFill="1" applyBorder="1" applyAlignment="1">
      <alignment vertical="center" wrapText="1"/>
    </xf>
    <xf numFmtId="0" fontId="116" fillId="8" borderId="37" xfId="0" applyFont="1" applyFill="1" applyBorder="1" applyAlignment="1">
      <alignment vertical="center" wrapText="1"/>
    </xf>
    <xf numFmtId="0" fontId="116" fillId="8" borderId="25" xfId="0" applyFont="1" applyFill="1" applyBorder="1" applyAlignment="1">
      <alignment vertical="center" wrapText="1"/>
    </xf>
    <xf numFmtId="0" fontId="116" fillId="8" borderId="57" xfId="0" applyFont="1" applyFill="1" applyBorder="1" applyAlignment="1">
      <alignment vertical="center" wrapText="1"/>
    </xf>
    <xf numFmtId="0" fontId="116" fillId="8" borderId="71" xfId="0" applyFont="1" applyFill="1" applyBorder="1" applyAlignment="1">
      <alignment vertical="center" wrapText="1"/>
    </xf>
    <xf numFmtId="0" fontId="116" fillId="8" borderId="38" xfId="0" applyFont="1" applyFill="1" applyBorder="1" applyAlignment="1">
      <alignment vertical="center" wrapText="1"/>
    </xf>
    <xf numFmtId="0" fontId="116" fillId="8" borderId="75" xfId="0" applyFont="1" applyFill="1" applyBorder="1" applyAlignment="1">
      <alignment vertical="center" wrapText="1"/>
    </xf>
    <xf numFmtId="0" fontId="116" fillId="8" borderId="66" xfId="0" applyFont="1" applyFill="1" applyBorder="1" applyAlignment="1">
      <alignment vertical="center" wrapText="1"/>
    </xf>
    <xf numFmtId="0" fontId="50" fillId="3" borderId="2" xfId="0" applyFont="1" applyFill="1" applyBorder="1" applyAlignment="1">
      <alignment vertical="center"/>
    </xf>
    <xf numFmtId="0" fontId="50" fillId="3" borderId="2" xfId="0" applyFont="1" applyFill="1" applyBorder="1" applyAlignment="1">
      <alignment horizontal="center" vertical="center"/>
    </xf>
    <xf numFmtId="0" fontId="50" fillId="3" borderId="25" xfId="0" applyFont="1" applyFill="1" applyBorder="1" applyAlignment="1">
      <alignment horizontal="center" vertical="center"/>
    </xf>
    <xf numFmtId="0" fontId="50" fillId="3" borderId="23" xfId="0" applyFont="1" applyFill="1" applyBorder="1" applyAlignment="1">
      <alignment horizontal="center" vertical="center"/>
    </xf>
    <xf numFmtId="0" fontId="50" fillId="3" borderId="19" xfId="0" applyFont="1" applyFill="1" applyBorder="1" applyAlignment="1">
      <alignment horizontal="center" vertical="center"/>
    </xf>
    <xf numFmtId="0" fontId="27" fillId="3" borderId="2" xfId="0" applyFont="1" applyFill="1" applyBorder="1" applyAlignment="1">
      <alignment horizontal="center" vertical="center" wrapText="1"/>
    </xf>
    <xf numFmtId="0" fontId="27" fillId="3" borderId="25" xfId="0" applyFont="1" applyFill="1" applyBorder="1" applyAlignment="1">
      <alignment horizontal="center" vertical="center" wrapText="1"/>
    </xf>
    <xf numFmtId="0" fontId="131" fillId="3" borderId="2" xfId="0" applyFont="1" applyFill="1" applyBorder="1"/>
    <xf numFmtId="0" fontId="131" fillId="3" borderId="25" xfId="0" applyFont="1" applyFill="1" applyBorder="1"/>
    <xf numFmtId="0" fontId="131" fillId="3" borderId="19" xfId="0" applyFont="1" applyFill="1" applyBorder="1"/>
    <xf numFmtId="0" fontId="131" fillId="3" borderId="0" xfId="0" applyFont="1" applyFill="1"/>
    <xf numFmtId="0" fontId="27" fillId="3" borderId="45" xfId="0" applyFont="1" applyFill="1" applyBorder="1" applyAlignment="1">
      <alignment horizontal="center" vertical="center" wrapText="1"/>
    </xf>
    <xf numFmtId="0" fontId="8" fillId="3" borderId="32" xfId="0" applyFont="1" applyFill="1" applyBorder="1" applyAlignment="1">
      <alignment horizontal="center" vertical="center" wrapText="1"/>
    </xf>
    <xf numFmtId="0" fontId="8" fillId="3" borderId="34" xfId="0" applyFont="1" applyFill="1" applyBorder="1" applyAlignment="1">
      <alignment vertical="center" wrapText="1"/>
    </xf>
    <xf numFmtId="0" fontId="8" fillId="3" borderId="20" xfId="0" applyFont="1" applyFill="1" applyBorder="1" applyAlignment="1">
      <alignment vertical="center" wrapText="1"/>
    </xf>
    <xf numFmtId="0" fontId="8" fillId="3" borderId="31" xfId="0" applyFont="1" applyFill="1" applyBorder="1" applyAlignment="1">
      <alignment vertical="center" wrapText="1"/>
    </xf>
    <xf numFmtId="0" fontId="8" fillId="3" borderId="2" xfId="0" applyFont="1" applyFill="1" applyBorder="1" applyAlignment="1">
      <alignment vertical="center" wrapText="1"/>
    </xf>
    <xf numFmtId="0" fontId="50" fillId="3" borderId="79" xfId="0" applyFont="1" applyFill="1" applyBorder="1" applyAlignment="1">
      <alignment horizontal="center" vertical="center"/>
    </xf>
    <xf numFmtId="0" fontId="50" fillId="3" borderId="78" xfId="0" applyFont="1" applyFill="1" applyBorder="1" applyAlignment="1">
      <alignment horizontal="center" vertical="center"/>
    </xf>
    <xf numFmtId="0" fontId="50" fillId="3" borderId="55" xfId="0" applyFont="1" applyFill="1" applyBorder="1" applyAlignment="1">
      <alignment horizontal="center" vertical="center"/>
    </xf>
    <xf numFmtId="0" fontId="27" fillId="3" borderId="30" xfId="0" applyFont="1" applyFill="1" applyBorder="1" applyAlignment="1">
      <alignment horizontal="center" vertical="center" wrapText="1"/>
    </xf>
    <xf numFmtId="0" fontId="27" fillId="3" borderId="19" xfId="0" applyFont="1" applyFill="1" applyBorder="1" applyAlignment="1">
      <alignment horizontal="center" vertical="center" wrapText="1"/>
    </xf>
    <xf numFmtId="0" fontId="27" fillId="3" borderId="57" xfId="0" applyFont="1" applyFill="1" applyBorder="1" applyAlignment="1">
      <alignment horizontal="center" vertical="center" wrapText="1"/>
    </xf>
    <xf numFmtId="0" fontId="27" fillId="3" borderId="55" xfId="0" applyFont="1" applyFill="1" applyBorder="1" applyAlignment="1">
      <alignment horizontal="center" vertical="center" wrapText="1"/>
    </xf>
    <xf numFmtId="0" fontId="8" fillId="3" borderId="30" xfId="0" applyFont="1" applyFill="1" applyBorder="1" applyAlignment="1">
      <alignment horizontal="center" vertical="center" wrapText="1"/>
    </xf>
    <xf numFmtId="0" fontId="8" fillId="3" borderId="37" xfId="0" applyFont="1" applyFill="1" applyBorder="1" applyAlignment="1">
      <alignment horizontal="center" vertical="center" wrapText="1"/>
    </xf>
    <xf numFmtId="0" fontId="8" fillId="3" borderId="30" xfId="0" applyFont="1" applyFill="1" applyBorder="1" applyAlignment="1">
      <alignment vertical="center" wrapText="1"/>
    </xf>
    <xf numFmtId="0" fontId="50" fillId="3" borderId="37" xfId="0" applyFont="1" applyFill="1" applyBorder="1" applyAlignment="1">
      <alignment horizontal="center" vertical="center"/>
    </xf>
    <xf numFmtId="0" fontId="50" fillId="3" borderId="36" xfId="0" applyFont="1" applyFill="1" applyBorder="1" applyAlignment="1">
      <alignment horizontal="center" vertical="center"/>
    </xf>
    <xf numFmtId="0" fontId="50" fillId="3" borderId="32" xfId="0" applyFont="1" applyFill="1" applyBorder="1" applyAlignment="1">
      <alignment horizontal="center" vertical="center"/>
    </xf>
    <xf numFmtId="0" fontId="27" fillId="3" borderId="32" xfId="0" applyFont="1" applyFill="1" applyBorder="1" applyAlignment="1">
      <alignment horizontal="center" vertical="center" wrapText="1"/>
    </xf>
    <xf numFmtId="0" fontId="8" fillId="3" borderId="32" xfId="0" applyFont="1" applyFill="1" applyBorder="1" applyAlignment="1">
      <alignment vertical="center" wrapText="1"/>
    </xf>
    <xf numFmtId="0" fontId="8" fillId="3" borderId="72" xfId="0" applyFont="1" applyFill="1" applyBorder="1" applyAlignment="1">
      <alignment vertical="center" wrapText="1"/>
    </xf>
    <xf numFmtId="0" fontId="8" fillId="3" borderId="53" xfId="0" applyFont="1" applyFill="1" applyBorder="1" applyAlignment="1">
      <alignment vertical="center" wrapText="1"/>
    </xf>
    <xf numFmtId="0" fontId="27" fillId="3" borderId="2" xfId="0" applyFont="1" applyFill="1" applyBorder="1" applyAlignment="1">
      <alignment vertical="center" wrapText="1"/>
    </xf>
    <xf numFmtId="0" fontId="8" fillId="3" borderId="57"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8" fillId="3" borderId="22" xfId="0" applyFont="1" applyFill="1" applyBorder="1" applyAlignment="1">
      <alignment vertical="center" wrapText="1"/>
    </xf>
    <xf numFmtId="0" fontId="116" fillId="3" borderId="61" xfId="0" applyFont="1" applyFill="1" applyBorder="1" applyAlignment="1">
      <alignment vertical="center" wrapText="1"/>
    </xf>
    <xf numFmtId="0" fontId="8" fillId="3" borderId="61" xfId="0" applyFont="1" applyFill="1" applyBorder="1" applyAlignment="1">
      <alignment vertical="center" wrapText="1"/>
    </xf>
    <xf numFmtId="0" fontId="8" fillId="3" borderId="22" xfId="0" applyFont="1" applyFill="1" applyBorder="1" applyAlignment="1">
      <alignment horizontal="center" vertical="center" wrapText="1"/>
    </xf>
    <xf numFmtId="0" fontId="8" fillId="3" borderId="54" xfId="0" applyFont="1" applyFill="1" applyBorder="1" applyAlignment="1">
      <alignment horizontal="center" vertical="center" wrapText="1"/>
    </xf>
    <xf numFmtId="0" fontId="8" fillId="3" borderId="64" xfId="0" applyFont="1" applyFill="1" applyBorder="1" applyAlignment="1">
      <alignment vertical="center" wrapText="1"/>
    </xf>
    <xf numFmtId="0" fontId="131" fillId="3" borderId="0" xfId="0" applyFont="1" applyFill="1" applyAlignment="1">
      <alignment horizontal="center" vertical="center"/>
    </xf>
    <xf numFmtId="0" fontId="8" fillId="3" borderId="23" xfId="0" applyFont="1" applyFill="1" applyBorder="1" applyAlignment="1">
      <alignment vertical="center" wrapText="1"/>
    </xf>
    <xf numFmtId="0" fontId="8" fillId="3" borderId="56" xfId="0" applyFont="1" applyFill="1" applyBorder="1" applyAlignment="1">
      <alignment horizontal="center" vertical="center" wrapText="1"/>
    </xf>
    <xf numFmtId="0" fontId="8" fillId="3" borderId="55" xfId="0" applyFont="1" applyFill="1" applyBorder="1" applyAlignment="1">
      <alignment horizontal="center" vertical="center" wrapText="1"/>
    </xf>
    <xf numFmtId="0" fontId="8" fillId="3" borderId="35" xfId="0" applyFont="1" applyFill="1" applyBorder="1" applyAlignment="1">
      <alignment horizontal="center" vertical="center" wrapText="1"/>
    </xf>
    <xf numFmtId="0" fontId="8" fillId="3" borderId="64" xfId="0" applyFont="1" applyFill="1" applyBorder="1" applyAlignment="1">
      <alignment horizontal="center" vertical="center" wrapText="1"/>
    </xf>
    <xf numFmtId="0" fontId="1" fillId="3" borderId="23" xfId="0" applyFont="1" applyFill="1" applyBorder="1" applyAlignment="1">
      <alignment horizontal="center" vertical="center" wrapText="1"/>
    </xf>
    <xf numFmtId="0" fontId="8" fillId="3" borderId="51" xfId="0" applyFont="1" applyFill="1" applyBorder="1" applyAlignment="1">
      <alignment horizontal="center" vertical="center" wrapText="1"/>
    </xf>
    <xf numFmtId="0" fontId="8" fillId="3" borderId="61" xfId="0" applyFont="1" applyFill="1" applyBorder="1" applyAlignment="1">
      <alignment horizontal="center" vertical="center" wrapText="1"/>
    </xf>
    <xf numFmtId="0" fontId="8" fillId="3" borderId="49" xfId="0" applyFont="1" applyFill="1" applyBorder="1" applyAlignment="1">
      <alignment vertical="center" wrapText="1"/>
    </xf>
    <xf numFmtId="0" fontId="8" fillId="3" borderId="49" xfId="0" applyFont="1" applyFill="1" applyBorder="1" applyAlignment="1">
      <alignment horizontal="center" vertical="center" wrapText="1"/>
    </xf>
    <xf numFmtId="0" fontId="116" fillId="3" borderId="0" xfId="0" applyFont="1" applyFill="1" applyAlignment="1">
      <alignment horizontal="center" vertical="center" wrapText="1"/>
    </xf>
    <xf numFmtId="0" fontId="116" fillId="3" borderId="62" xfId="0" applyFont="1" applyFill="1" applyBorder="1" applyAlignment="1">
      <alignment horizontal="center" vertical="center" wrapText="1"/>
    </xf>
    <xf numFmtId="0" fontId="116" fillId="3" borderId="53" xfId="0" applyFont="1" applyFill="1" applyBorder="1" applyAlignment="1">
      <alignment horizontal="center" vertical="center" wrapText="1"/>
    </xf>
    <xf numFmtId="0" fontId="116" fillId="3" borderId="61" xfId="0" applyFont="1" applyFill="1" applyBorder="1" applyAlignment="1">
      <alignment horizontal="center" vertical="center" wrapText="1"/>
    </xf>
    <xf numFmtId="0" fontId="116" fillId="3" borderId="32" xfId="0" applyFont="1" applyFill="1" applyBorder="1" applyAlignment="1">
      <alignment horizontal="center" vertical="center" wrapText="1"/>
    </xf>
    <xf numFmtId="0" fontId="50" fillId="0" borderId="89" xfId="0" applyFont="1" applyBorder="1" applyAlignment="1">
      <alignment horizontal="center" vertical="center"/>
    </xf>
    <xf numFmtId="0" fontId="27" fillId="5" borderId="2" xfId="0" applyFont="1" applyFill="1" applyBorder="1" applyAlignment="1">
      <alignment horizontal="center" vertical="center" wrapText="1"/>
    </xf>
    <xf numFmtId="0" fontId="27" fillId="5" borderId="78" xfId="0" applyFont="1" applyFill="1" applyBorder="1" applyAlignment="1">
      <alignment horizontal="center" vertical="center" wrapText="1"/>
    </xf>
    <xf numFmtId="0" fontId="27" fillId="5" borderId="55" xfId="0" applyFont="1" applyFill="1" applyBorder="1" applyAlignment="1">
      <alignment horizontal="center" vertical="center" wrapText="1"/>
    </xf>
    <xf numFmtId="0" fontId="27" fillId="5" borderId="79" xfId="0" applyFont="1" applyFill="1" applyBorder="1" applyAlignment="1">
      <alignment horizontal="center" vertical="center" wrapText="1"/>
    </xf>
    <xf numFmtId="0" fontId="8" fillId="5" borderId="55" xfId="0" applyFont="1" applyFill="1" applyBorder="1" applyAlignment="1">
      <alignment horizontal="center" vertical="center" wrapText="1"/>
    </xf>
    <xf numFmtId="0" fontId="27" fillId="3" borderId="25" xfId="0" applyFont="1" applyFill="1" applyBorder="1" applyAlignment="1">
      <alignment vertical="center" wrapText="1"/>
    </xf>
    <xf numFmtId="0" fontId="27" fillId="3" borderId="19" xfId="0" applyFont="1" applyFill="1" applyBorder="1" applyAlignment="1">
      <alignment vertical="center" wrapText="1"/>
    </xf>
    <xf numFmtId="0" fontId="228" fillId="3" borderId="0" xfId="0" applyFont="1" applyFill="1" applyAlignment="1">
      <alignment horizontal="center" vertical="center" wrapText="1"/>
    </xf>
    <xf numFmtId="0" fontId="8" fillId="3" borderId="0" xfId="0" applyFont="1" applyFill="1" applyAlignment="1">
      <alignment horizontal="center" vertical="center" wrapText="1"/>
    </xf>
    <xf numFmtId="0" fontId="18" fillId="3" borderId="2" xfId="0" applyFont="1" applyFill="1" applyBorder="1" applyAlignment="1">
      <alignment horizontal="center" vertical="center" wrapText="1"/>
    </xf>
    <xf numFmtId="0" fontId="50" fillId="3" borderId="57" xfId="0" applyFont="1" applyFill="1" applyBorder="1" applyAlignment="1">
      <alignment horizontal="center" vertical="center"/>
    </xf>
    <xf numFmtId="0" fontId="27" fillId="3" borderId="31" xfId="0" applyFont="1" applyFill="1" applyBorder="1" applyAlignment="1">
      <alignment horizontal="center" vertical="center" wrapText="1"/>
    </xf>
    <xf numFmtId="0" fontId="229" fillId="3" borderId="78" xfId="0" applyFont="1" applyFill="1" applyBorder="1" applyAlignment="1">
      <alignment horizontal="center" vertical="center" wrapText="1"/>
    </xf>
    <xf numFmtId="0" fontId="229" fillId="3" borderId="55" xfId="0" applyFont="1" applyFill="1" applyBorder="1" applyAlignment="1">
      <alignment horizontal="center" vertical="center" wrapText="1"/>
    </xf>
    <xf numFmtId="0" fontId="229" fillId="3" borderId="79" xfId="0" applyFont="1" applyFill="1" applyBorder="1" applyAlignment="1">
      <alignment horizontal="center" vertical="center" wrapText="1"/>
    </xf>
    <xf numFmtId="0" fontId="27" fillId="3" borderId="56" xfId="0" applyFont="1" applyFill="1" applyBorder="1" applyAlignment="1">
      <alignment horizontal="center" vertical="center" wrapText="1"/>
    </xf>
    <xf numFmtId="0" fontId="27" fillId="3" borderId="78" xfId="0" applyFont="1" applyFill="1" applyBorder="1" applyAlignment="1">
      <alignment horizontal="center" vertical="center" wrapText="1"/>
    </xf>
    <xf numFmtId="0" fontId="8" fillId="3" borderId="29" xfId="0" applyFont="1" applyFill="1" applyBorder="1" applyAlignment="1">
      <alignment horizontal="center" vertical="center" wrapText="1"/>
    </xf>
    <xf numFmtId="0" fontId="8" fillId="3" borderId="19" xfId="0" applyFont="1" applyFill="1" applyBorder="1" applyAlignment="1">
      <alignment vertical="center" wrapText="1"/>
    </xf>
    <xf numFmtId="0" fontId="8" fillId="3" borderId="33" xfId="0" applyFont="1" applyFill="1" applyBorder="1" applyAlignment="1">
      <alignment vertical="center" wrapText="1"/>
    </xf>
    <xf numFmtId="0" fontId="8" fillId="3" borderId="25" xfId="0" applyFont="1" applyFill="1" applyBorder="1" applyAlignment="1">
      <alignment vertical="center" wrapText="1"/>
    </xf>
    <xf numFmtId="0" fontId="50" fillId="3" borderId="36" xfId="0" applyFont="1" applyFill="1" applyBorder="1" applyAlignment="1">
      <alignment vertical="center"/>
    </xf>
    <xf numFmtId="0" fontId="50" fillId="3" borderId="19" xfId="0" applyFont="1" applyFill="1" applyBorder="1" applyAlignment="1">
      <alignment vertical="center"/>
    </xf>
    <xf numFmtId="0" fontId="27" fillId="3" borderId="23" xfId="0" applyFont="1" applyFill="1" applyBorder="1" applyAlignment="1">
      <alignment horizontal="center" vertical="center" wrapText="1"/>
    </xf>
    <xf numFmtId="0" fontId="27" fillId="3" borderId="34" xfId="0" applyFont="1" applyFill="1" applyBorder="1" applyAlignment="1">
      <alignment horizontal="center" vertical="center" wrapText="1"/>
    </xf>
    <xf numFmtId="0" fontId="229" fillId="3" borderId="1" xfId="0" applyFont="1" applyFill="1" applyBorder="1" applyAlignment="1">
      <alignment horizontal="center" vertical="center" wrapText="1"/>
    </xf>
    <xf numFmtId="0" fontId="229" fillId="3" borderId="83" xfId="0" applyFont="1" applyFill="1" applyBorder="1" applyAlignment="1">
      <alignment horizontal="center" vertical="center" wrapText="1"/>
    </xf>
    <xf numFmtId="0" fontId="229" fillId="3" borderId="86" xfId="0" applyFont="1" applyFill="1" applyBorder="1" applyAlignment="1">
      <alignment horizontal="center" vertical="center" wrapText="1"/>
    </xf>
    <xf numFmtId="0" fontId="27" fillId="3" borderId="36" xfId="0" applyFont="1" applyFill="1" applyBorder="1" applyAlignment="1">
      <alignment horizontal="center" vertical="center" wrapText="1"/>
    </xf>
    <xf numFmtId="0" fontId="27" fillId="3" borderId="37" xfId="0" applyFont="1" applyFill="1" applyBorder="1" applyAlignment="1">
      <alignment horizontal="center" vertical="center" wrapText="1"/>
    </xf>
    <xf numFmtId="0" fontId="131" fillId="3" borderId="20" xfId="0" applyFont="1" applyFill="1" applyBorder="1"/>
    <xf numFmtId="0" fontId="8" fillId="3" borderId="74" xfId="0" applyFont="1" applyFill="1" applyBorder="1" applyAlignment="1">
      <alignment vertical="center" wrapText="1"/>
    </xf>
    <xf numFmtId="0" fontId="8" fillId="3" borderId="36" xfId="0" applyFont="1" applyFill="1" applyBorder="1" applyAlignment="1">
      <alignment vertical="center" wrapText="1"/>
    </xf>
    <xf numFmtId="0" fontId="8" fillId="3" borderId="37" xfId="0" applyFont="1" applyFill="1" applyBorder="1" applyAlignment="1">
      <alignment vertical="center" wrapText="1"/>
    </xf>
    <xf numFmtId="0" fontId="8" fillId="3" borderId="0" xfId="0" applyFont="1" applyFill="1" applyAlignment="1">
      <alignment vertical="center" wrapText="1"/>
    </xf>
    <xf numFmtId="0" fontId="8" fillId="3" borderId="62" xfId="0" applyFont="1" applyFill="1" applyBorder="1" applyAlignment="1">
      <alignment vertical="center" wrapText="1"/>
    </xf>
    <xf numFmtId="0" fontId="8" fillId="3" borderId="76" xfId="0" applyFont="1" applyFill="1" applyBorder="1" applyAlignment="1">
      <alignment vertical="center" wrapText="1"/>
    </xf>
    <xf numFmtId="0" fontId="8" fillId="3" borderId="78" xfId="0" applyFont="1" applyFill="1" applyBorder="1" applyAlignment="1">
      <alignment horizontal="center" vertical="center" wrapText="1"/>
    </xf>
    <xf numFmtId="0" fontId="8" fillId="3" borderId="79" xfId="0" applyFont="1" applyFill="1" applyBorder="1" applyAlignment="1">
      <alignment horizontal="center" vertical="center" wrapText="1"/>
    </xf>
    <xf numFmtId="0" fontId="8" fillId="3" borderId="82" xfId="0" applyFont="1" applyFill="1" applyBorder="1" applyAlignment="1">
      <alignment horizontal="center" vertical="center" wrapText="1"/>
    </xf>
    <xf numFmtId="0" fontId="8" fillId="3" borderId="33" xfId="0" applyFont="1" applyFill="1" applyBorder="1" applyAlignment="1">
      <alignment horizontal="center" vertical="center" wrapText="1"/>
    </xf>
    <xf numFmtId="0" fontId="8" fillId="3" borderId="67" xfId="0" applyFont="1" applyFill="1" applyBorder="1" applyAlignment="1">
      <alignment horizontal="center" vertical="center" wrapText="1"/>
    </xf>
  </cellXfs>
  <cellStyles count="5">
    <cellStyle name="Lien hypertexte" xfId="1" builtinId="8"/>
    <cellStyle name="Monétaire" xfId="2" builtinId="4"/>
    <cellStyle name="Monétaire 2" xfId="3" xr:uid="{4CEB945C-534A-4247-B236-8690E7D9A2F4}"/>
    <cellStyle name="Normal" xfId="0" builtinId="0"/>
    <cellStyle name="Normal 2" xfId="4" xr:uid="{F5DD7D9D-AC98-4C3C-803B-CE43ADD86898}"/>
  </cellStyles>
  <dxfs count="200">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i val="0"/>
        <strike val="0"/>
        <condense val="0"/>
        <extend val="0"/>
        <outline val="0"/>
        <shadow val="0"/>
        <u val="none"/>
        <vertAlign val="baseline"/>
        <sz val="20"/>
        <color theme="1"/>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22"/>
        <color theme="1"/>
        <name val="Calibri"/>
        <family val="2"/>
        <scheme val="minor"/>
      </font>
      <alignment horizontal="center" vertical="center" textRotation="0" wrapText="1" indent="0" justifyLastLine="0" shrinkToFit="0" readingOrder="0"/>
      <border diagonalUp="0" diagonalDown="0">
        <left style="thin">
          <color indexed="64"/>
        </left>
        <right style="medium">
          <color indexed="64"/>
        </right>
        <top style="thin">
          <color indexed="64"/>
        </top>
        <bottom style="medium">
          <color indexed="64"/>
        </bottom>
        <vertical/>
        <horizontal/>
      </border>
    </dxf>
    <dxf>
      <font>
        <b/>
        <i val="0"/>
        <strike val="0"/>
        <condense val="0"/>
        <extend val="0"/>
        <outline val="0"/>
        <shadow val="0"/>
        <u val="none"/>
        <vertAlign val="baseline"/>
        <sz val="2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medium">
          <color indexed="64"/>
        </bottom>
        <vertical/>
        <horizontal/>
      </border>
    </dxf>
    <dxf>
      <font>
        <b/>
        <i val="0"/>
        <strike val="0"/>
        <condense val="0"/>
        <extend val="0"/>
        <outline val="0"/>
        <shadow val="0"/>
        <u val="none"/>
        <vertAlign val="baseline"/>
        <sz val="2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medium">
          <color indexed="64"/>
        </bottom>
        <vertical/>
        <horizontal/>
      </border>
    </dxf>
    <dxf>
      <font>
        <b/>
        <i val="0"/>
        <strike val="0"/>
        <condense val="0"/>
        <extend val="0"/>
        <outline val="0"/>
        <shadow val="0"/>
        <u val="none"/>
        <vertAlign val="baseline"/>
        <sz val="2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medium">
          <color indexed="64"/>
        </bottom>
        <vertical/>
        <horizontal/>
      </border>
    </dxf>
    <dxf>
      <font>
        <b/>
        <i val="0"/>
        <strike val="0"/>
        <condense val="0"/>
        <extend val="0"/>
        <outline val="0"/>
        <shadow val="0"/>
        <u val="none"/>
        <vertAlign val="baseline"/>
        <sz val="2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medium">
          <color indexed="64"/>
        </bottom>
        <vertical/>
        <horizontal/>
      </border>
    </dxf>
    <dxf>
      <font>
        <b/>
        <i val="0"/>
        <strike val="0"/>
        <condense val="0"/>
        <extend val="0"/>
        <outline val="0"/>
        <shadow val="0"/>
        <u val="none"/>
        <vertAlign val="baseline"/>
        <sz val="2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medium">
          <color indexed="64"/>
        </bottom>
        <vertical/>
        <horizontal/>
      </border>
    </dxf>
    <dxf>
      <font>
        <b/>
        <i val="0"/>
        <strike val="0"/>
        <condense val="0"/>
        <extend val="0"/>
        <outline val="0"/>
        <shadow val="0"/>
        <u val="none"/>
        <vertAlign val="baseline"/>
        <sz val="2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medium">
          <color indexed="64"/>
        </bottom>
        <vertical/>
        <horizontal/>
      </border>
    </dxf>
    <dxf>
      <font>
        <b/>
        <i val="0"/>
        <strike val="0"/>
        <condense val="0"/>
        <extend val="0"/>
        <outline val="0"/>
        <shadow val="0"/>
        <u val="none"/>
        <vertAlign val="baseline"/>
        <sz val="2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medium">
          <color indexed="64"/>
        </bottom>
        <vertical/>
        <horizontal/>
      </border>
    </dxf>
    <dxf>
      <font>
        <b/>
        <i val="0"/>
        <strike val="0"/>
        <condense val="0"/>
        <extend val="0"/>
        <outline val="0"/>
        <shadow val="0"/>
        <u val="none"/>
        <vertAlign val="baseline"/>
        <sz val="2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medium">
          <color indexed="64"/>
        </bottom>
        <vertical/>
        <horizontal/>
      </border>
    </dxf>
    <dxf>
      <font>
        <b/>
        <i val="0"/>
        <strike val="0"/>
        <condense val="0"/>
        <extend val="0"/>
        <outline val="0"/>
        <shadow val="0"/>
        <u val="none"/>
        <vertAlign val="baseline"/>
        <sz val="2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medium">
          <color indexed="64"/>
        </bottom>
        <vertical/>
        <horizontal/>
      </border>
    </dxf>
    <dxf>
      <font>
        <b/>
        <i val="0"/>
        <strike val="0"/>
        <condense val="0"/>
        <extend val="0"/>
        <outline val="0"/>
        <shadow val="0"/>
        <u val="none"/>
        <vertAlign val="baseline"/>
        <sz val="2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medium">
          <color indexed="64"/>
        </bottom>
        <vertical/>
        <horizontal/>
      </border>
    </dxf>
    <dxf>
      <font>
        <b/>
        <i val="0"/>
        <strike val="0"/>
        <condense val="0"/>
        <extend val="0"/>
        <outline val="0"/>
        <shadow val="0"/>
        <u val="none"/>
        <vertAlign val="baseline"/>
        <sz val="2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22"/>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medium">
          <color indexed="64"/>
        </bottom>
        <vertical/>
        <horizontal/>
      </border>
    </dxf>
    <dxf>
      <font>
        <b/>
        <i val="0"/>
        <strike val="0"/>
        <condense val="0"/>
        <extend val="0"/>
        <outline val="0"/>
        <shadow val="0"/>
        <u val="none"/>
        <vertAlign val="baseline"/>
        <sz val="2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medium">
          <color indexed="64"/>
        </bottom>
        <vertical/>
        <horizontal/>
      </border>
    </dxf>
    <dxf>
      <font>
        <b/>
        <i val="0"/>
        <strike val="0"/>
        <condense val="0"/>
        <extend val="0"/>
        <outline val="0"/>
        <shadow val="0"/>
        <u val="none"/>
        <vertAlign val="baseline"/>
        <sz val="22"/>
        <color theme="1"/>
        <name val="Calibri"/>
        <family val="2"/>
        <scheme val="minor"/>
      </font>
      <numFmt numFmtId="21" formatCode="dd\-mmm"/>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medium">
          <color indexed="64"/>
        </bottom>
        <vertical/>
        <horizontal/>
      </border>
    </dxf>
    <dxf>
      <font>
        <b/>
        <i val="0"/>
        <strike val="0"/>
        <condense val="0"/>
        <extend val="0"/>
        <outline val="0"/>
        <shadow val="0"/>
        <u val="none"/>
        <vertAlign val="baseline"/>
        <sz val="22"/>
        <color theme="1"/>
        <name val="Calibri"/>
        <family val="2"/>
        <scheme val="minor"/>
      </font>
      <alignment horizontal="center" vertical="center" textRotation="0" wrapText="0" indent="0" justifyLastLine="0" shrinkToFit="0" readingOrder="0"/>
      <border diagonalUp="0" diagonalDown="0">
        <left style="medium">
          <color indexed="64"/>
        </left>
        <right style="thin">
          <color indexed="64"/>
        </right>
        <top style="thin">
          <color indexed="64"/>
        </top>
        <bottom style="medium">
          <color indexed="64"/>
        </bottom>
        <vertical/>
        <horizontal/>
      </border>
    </dxf>
    <dxf>
      <border outline="0">
        <top style="thin">
          <color indexed="64"/>
        </top>
        <bottom style="thin">
          <color indexed="64"/>
        </bottom>
      </border>
    </dxf>
    <dxf>
      <font>
        <b/>
        <i val="0"/>
        <strike val="0"/>
        <condense val="0"/>
        <extend val="0"/>
        <outline val="0"/>
        <shadow val="0"/>
        <u val="none"/>
        <vertAlign val="baseline"/>
        <sz val="22"/>
        <color theme="1"/>
        <name val="Calibri"/>
        <family val="2"/>
        <scheme val="minor"/>
      </font>
      <alignment horizontal="center" vertical="center" textRotation="0" wrapText="0" indent="0" justifyLastLine="0" shrinkToFit="0" readingOrder="0"/>
    </dxf>
    <dxf>
      <border outline="0">
        <bottom style="thin">
          <color indexed="64"/>
        </bottom>
      </bord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2.xml"/><Relationship Id="rId21" Type="http://schemas.openxmlformats.org/officeDocument/2006/relationships/customXml" Target="../customXml/item3.xml"/><Relationship Id="rId7" Type="http://schemas.openxmlformats.org/officeDocument/2006/relationships/worksheet" Target="worksheets/sheet6.xml"/><Relationship Id="rId12" Type="http://schemas.openxmlformats.org/officeDocument/2006/relationships/pivotCacheDefinition" Target="pivotCache/pivotCacheDefinition1.xml"/><Relationship Id="rId17" Type="http://schemas.microsoft.com/office/2017/10/relationships/person" Target="persons/person.xml"/><Relationship Id="rId2" Type="http://schemas.openxmlformats.org/officeDocument/2006/relationships/worksheet" Target="worksheets/sheet1.xml"/><Relationship Id="rId16" Type="http://schemas.openxmlformats.org/officeDocument/2006/relationships/sheetMetadata" Target="metadata.xml"/><Relationship Id="rId20" Type="http://schemas.openxmlformats.org/officeDocument/2006/relationships/customXml" Target="../customXml/item2.xml"/><Relationship Id="rId1" Type="http://schemas.openxmlformats.org/officeDocument/2006/relationships/chartsheet" Target="chartsheets/sheet1.xml"/><Relationship Id="rId6" Type="http://schemas.openxmlformats.org/officeDocument/2006/relationships/worksheet" Target="worksheets/sheet5.xml"/><Relationship Id="rId11" Type="http://schemas.openxmlformats.org/officeDocument/2006/relationships/worksheet" Target="worksheets/sheet10.xml"/><Relationship Id="rId5" Type="http://schemas.openxmlformats.org/officeDocument/2006/relationships/worksheet" Target="worksheets/sheet4.xml"/><Relationship Id="rId15" Type="http://schemas.openxmlformats.org/officeDocument/2006/relationships/sharedStrings" Target="sharedStrings.xml"/><Relationship Id="rId10" Type="http://schemas.openxmlformats.org/officeDocument/2006/relationships/worksheet" Target="worksheets/sheet9.xml"/><Relationship Id="rId19" Type="http://schemas.openxmlformats.org/officeDocument/2006/relationships/customXml" Target="../customXml/item1.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styles" Target="styles.xml"/><Relationship Id="rId22" Type="http://schemas.openxmlformats.org/officeDocument/2006/relationships/customXml" Target="../customXml/item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11"/>
          <c:order val="0"/>
          <c:tx>
            <c:strRef>
              <c:f>'2025'!$P$1:$P$2</c:f>
              <c:strCache>
                <c:ptCount val="2"/>
                <c:pt idx="0">
                  <c:v>Client</c:v>
                </c:pt>
              </c:strCache>
            </c:strRef>
          </c:tx>
          <c:invertIfNegative val="0"/>
          <c:cat>
            <c:multiLvlStrRef>
              <c:f>'2025'!$A$3:$O$1774</c:f>
              <c:multiLvlStrCache>
                <c:ptCount val="2"/>
                <c:lvl>
                  <c:pt idx="0">
                    <c:v>Retard ?</c:v>
                  </c:pt>
                </c:lvl>
                <c:lvl>
                  <c:pt idx="0">
                    <c:v>SUITE NC</c:v>
                  </c:pt>
                  <c:pt idx="1">
                    <c:v>x</c:v>
                  </c:pt>
                </c:lvl>
                <c:lvl>
                  <c:pt idx="0">
                    <c:v>NC</c:v>
                  </c:pt>
                </c:lvl>
                <c:lvl>
                  <c:pt idx="0">
                    <c:v>CONF</c:v>
                  </c:pt>
                </c:lvl>
                <c:lvl>
                  <c:pt idx="0">
                    <c:v>ST</c:v>
                  </c:pt>
                  <c:pt idx="1">
                    <c:v>S2TF</c:v>
                  </c:pt>
                </c:lvl>
                <c:lvl>
                  <c:pt idx="0">
                    <c:v>COMPOSITION</c:v>
                  </c:pt>
                  <c:pt idx="1">
                    <c:v>G1206 n°1544+10 EX100</c:v>
                  </c:pt>
                </c:lvl>
                <c:lvl>
                  <c:pt idx="0">
                    <c:v>OTP</c:v>
                  </c:pt>
                  <c:pt idx="1">
                    <c:v>705</c:v>
                  </c:pt>
                </c:lvl>
                <c:lvl>
                  <c:pt idx="0">
                    <c:v>diffusé</c:v>
                  </c:pt>
                  <c:pt idx="1">
                    <c:v>Pas de liste de diffusion - relance faites a Romain SANE</c:v>
                  </c:pt>
                </c:lvl>
                <c:lvl>
                  <c:pt idx="0">
                    <c:v>téléchargé</c:v>
                  </c:pt>
                  <c:pt idx="1">
                    <c:v>ok</c:v>
                  </c:pt>
                </c:lvl>
                <c:lvl>
                  <c:pt idx="0">
                    <c:v>DESTINATION</c:v>
                  </c:pt>
                  <c:pt idx="1">
                    <c:v>SAINCAIZE</c:v>
                  </c:pt>
                </c:lvl>
                <c:lvl>
                  <c:pt idx="0">
                    <c:v>ORIGINE</c:v>
                  </c:pt>
                  <c:pt idx="1">
                    <c:v>JOIGNY</c:v>
                  </c:pt>
                </c:lvl>
                <c:lvl>
                  <c:pt idx="0">
                    <c:v>Numéro de spot</c:v>
                  </c:pt>
                  <c:pt idx="1">
                    <c:v>304</c:v>
                  </c:pt>
                </c:lvl>
                <c:lvl>
                  <c:pt idx="0">
                    <c:v>SEMAINE</c:v>
                  </c:pt>
                  <c:pt idx="1">
                    <c:v>13</c:v>
                  </c:pt>
                </c:lvl>
                <c:lvl>
                  <c:pt idx="0">
                    <c:v>DATE</c:v>
                  </c:pt>
                  <c:pt idx="1">
                    <c:v>28-mars</c:v>
                  </c:pt>
                </c:lvl>
                <c:lvl>
                  <c:pt idx="0">
                    <c:v>JOUR</c:v>
                  </c:pt>
                  <c:pt idx="1">
                    <c:v>VENDREDI</c:v>
                  </c:pt>
                </c:lvl>
              </c:multiLvlStrCache>
            </c:multiLvlStrRef>
          </c:cat>
          <c:val>
            <c:numRef>
              <c:f>'2025'!$P$3:$P$1774</c:f>
              <c:numCache>
                <c:formatCode>General</c:formatCode>
                <c:ptCount val="2"/>
                <c:pt idx="0">
                  <c:v>0</c:v>
                </c:pt>
              </c:numCache>
            </c:numRef>
          </c:val>
          <c:extLst>
            <c:ext xmlns:c16="http://schemas.microsoft.com/office/drawing/2014/chart" uri="{C3380CC4-5D6E-409C-BE32-E72D297353CC}">
              <c16:uniqueId val="{00000021-43E7-4145-B94A-EDD4659A6B4D}"/>
            </c:ext>
          </c:extLst>
        </c:ser>
        <c:ser>
          <c:idx val="12"/>
          <c:order val="1"/>
          <c:tx>
            <c:strRef>
              <c:f>'2025'!$Q$1:$Q$2</c:f>
              <c:strCache>
                <c:ptCount val="2"/>
                <c:pt idx="0">
                  <c:v>Client</c:v>
                </c:pt>
              </c:strCache>
            </c:strRef>
          </c:tx>
          <c:invertIfNegative val="0"/>
          <c:cat>
            <c:multiLvlStrRef>
              <c:f>'2025'!$A$3:$O$1774</c:f>
              <c:multiLvlStrCache>
                <c:ptCount val="2"/>
                <c:lvl>
                  <c:pt idx="0">
                    <c:v>Retard ?</c:v>
                  </c:pt>
                </c:lvl>
                <c:lvl>
                  <c:pt idx="0">
                    <c:v>SUITE NC</c:v>
                  </c:pt>
                  <c:pt idx="1">
                    <c:v>x</c:v>
                  </c:pt>
                </c:lvl>
                <c:lvl>
                  <c:pt idx="0">
                    <c:v>NC</c:v>
                  </c:pt>
                </c:lvl>
                <c:lvl>
                  <c:pt idx="0">
                    <c:v>CONF</c:v>
                  </c:pt>
                </c:lvl>
                <c:lvl>
                  <c:pt idx="0">
                    <c:v>ST</c:v>
                  </c:pt>
                  <c:pt idx="1">
                    <c:v>S2TF</c:v>
                  </c:pt>
                </c:lvl>
                <c:lvl>
                  <c:pt idx="0">
                    <c:v>COMPOSITION</c:v>
                  </c:pt>
                  <c:pt idx="1">
                    <c:v>G1206 n°1544+10 EX100</c:v>
                  </c:pt>
                </c:lvl>
                <c:lvl>
                  <c:pt idx="0">
                    <c:v>OTP</c:v>
                  </c:pt>
                  <c:pt idx="1">
                    <c:v>705</c:v>
                  </c:pt>
                </c:lvl>
                <c:lvl>
                  <c:pt idx="0">
                    <c:v>diffusé</c:v>
                  </c:pt>
                  <c:pt idx="1">
                    <c:v>Pas de liste de diffusion - relance faites a Romain SANE</c:v>
                  </c:pt>
                </c:lvl>
                <c:lvl>
                  <c:pt idx="0">
                    <c:v>téléchargé</c:v>
                  </c:pt>
                  <c:pt idx="1">
                    <c:v>ok</c:v>
                  </c:pt>
                </c:lvl>
                <c:lvl>
                  <c:pt idx="0">
                    <c:v>DESTINATION</c:v>
                  </c:pt>
                  <c:pt idx="1">
                    <c:v>SAINCAIZE</c:v>
                  </c:pt>
                </c:lvl>
                <c:lvl>
                  <c:pt idx="0">
                    <c:v>ORIGINE</c:v>
                  </c:pt>
                  <c:pt idx="1">
                    <c:v>JOIGNY</c:v>
                  </c:pt>
                </c:lvl>
                <c:lvl>
                  <c:pt idx="0">
                    <c:v>Numéro de spot</c:v>
                  </c:pt>
                  <c:pt idx="1">
                    <c:v>304</c:v>
                  </c:pt>
                </c:lvl>
                <c:lvl>
                  <c:pt idx="0">
                    <c:v>SEMAINE</c:v>
                  </c:pt>
                  <c:pt idx="1">
                    <c:v>13</c:v>
                  </c:pt>
                </c:lvl>
                <c:lvl>
                  <c:pt idx="0">
                    <c:v>DATE</c:v>
                  </c:pt>
                  <c:pt idx="1">
                    <c:v>28-mars</c:v>
                  </c:pt>
                </c:lvl>
                <c:lvl>
                  <c:pt idx="0">
                    <c:v>JOUR</c:v>
                  </c:pt>
                  <c:pt idx="1">
                    <c:v>VENDREDI</c:v>
                  </c:pt>
                </c:lvl>
              </c:multiLvlStrCache>
            </c:multiLvlStrRef>
          </c:cat>
          <c:val>
            <c:numRef>
              <c:f>'2025'!$Q$3:$Q$1774</c:f>
              <c:numCache>
                <c:formatCode>General</c:formatCode>
                <c:ptCount val="2"/>
                <c:pt idx="0">
                  <c:v>0</c:v>
                </c:pt>
              </c:numCache>
            </c:numRef>
          </c:val>
          <c:extLst>
            <c:ext xmlns:c16="http://schemas.microsoft.com/office/drawing/2014/chart" uri="{C3380CC4-5D6E-409C-BE32-E72D297353CC}">
              <c16:uniqueId val="{00000022-43E7-4145-B94A-EDD4659A6B4D}"/>
            </c:ext>
          </c:extLst>
        </c:ser>
        <c:ser>
          <c:idx val="13"/>
          <c:order val="2"/>
          <c:tx>
            <c:strRef>
              <c:f>'2025'!$R$1:$R$2</c:f>
              <c:strCache>
                <c:ptCount val="2"/>
                <c:pt idx="0">
                  <c:v>Client</c:v>
                </c:pt>
              </c:strCache>
            </c:strRef>
          </c:tx>
          <c:invertIfNegative val="0"/>
          <c:cat>
            <c:multiLvlStrRef>
              <c:f>'2025'!$A$3:$O$1774</c:f>
              <c:multiLvlStrCache>
                <c:ptCount val="2"/>
                <c:lvl>
                  <c:pt idx="0">
                    <c:v>Retard ?</c:v>
                  </c:pt>
                </c:lvl>
                <c:lvl>
                  <c:pt idx="0">
                    <c:v>SUITE NC</c:v>
                  </c:pt>
                  <c:pt idx="1">
                    <c:v>x</c:v>
                  </c:pt>
                </c:lvl>
                <c:lvl>
                  <c:pt idx="0">
                    <c:v>NC</c:v>
                  </c:pt>
                </c:lvl>
                <c:lvl>
                  <c:pt idx="0">
                    <c:v>CONF</c:v>
                  </c:pt>
                </c:lvl>
                <c:lvl>
                  <c:pt idx="0">
                    <c:v>ST</c:v>
                  </c:pt>
                  <c:pt idx="1">
                    <c:v>S2TF</c:v>
                  </c:pt>
                </c:lvl>
                <c:lvl>
                  <c:pt idx="0">
                    <c:v>COMPOSITION</c:v>
                  </c:pt>
                  <c:pt idx="1">
                    <c:v>G1206 n°1544+10 EX100</c:v>
                  </c:pt>
                </c:lvl>
                <c:lvl>
                  <c:pt idx="0">
                    <c:v>OTP</c:v>
                  </c:pt>
                  <c:pt idx="1">
                    <c:v>705</c:v>
                  </c:pt>
                </c:lvl>
                <c:lvl>
                  <c:pt idx="0">
                    <c:v>diffusé</c:v>
                  </c:pt>
                  <c:pt idx="1">
                    <c:v>Pas de liste de diffusion - relance faites a Romain SANE</c:v>
                  </c:pt>
                </c:lvl>
                <c:lvl>
                  <c:pt idx="0">
                    <c:v>téléchargé</c:v>
                  </c:pt>
                  <c:pt idx="1">
                    <c:v>ok</c:v>
                  </c:pt>
                </c:lvl>
                <c:lvl>
                  <c:pt idx="0">
                    <c:v>DESTINATION</c:v>
                  </c:pt>
                  <c:pt idx="1">
                    <c:v>SAINCAIZE</c:v>
                  </c:pt>
                </c:lvl>
                <c:lvl>
                  <c:pt idx="0">
                    <c:v>ORIGINE</c:v>
                  </c:pt>
                  <c:pt idx="1">
                    <c:v>JOIGNY</c:v>
                  </c:pt>
                </c:lvl>
                <c:lvl>
                  <c:pt idx="0">
                    <c:v>Numéro de spot</c:v>
                  </c:pt>
                  <c:pt idx="1">
                    <c:v>304</c:v>
                  </c:pt>
                </c:lvl>
                <c:lvl>
                  <c:pt idx="0">
                    <c:v>SEMAINE</c:v>
                  </c:pt>
                  <c:pt idx="1">
                    <c:v>13</c:v>
                  </c:pt>
                </c:lvl>
                <c:lvl>
                  <c:pt idx="0">
                    <c:v>DATE</c:v>
                  </c:pt>
                  <c:pt idx="1">
                    <c:v>28-mars</c:v>
                  </c:pt>
                </c:lvl>
                <c:lvl>
                  <c:pt idx="0">
                    <c:v>JOUR</c:v>
                  </c:pt>
                  <c:pt idx="1">
                    <c:v>VENDREDI</c:v>
                  </c:pt>
                </c:lvl>
              </c:multiLvlStrCache>
            </c:multiLvlStrRef>
          </c:cat>
          <c:val>
            <c:numRef>
              <c:f>'2025'!$R$3:$R$1774</c:f>
              <c:numCache>
                <c:formatCode>General</c:formatCode>
                <c:ptCount val="2"/>
                <c:pt idx="0">
                  <c:v>0</c:v>
                </c:pt>
              </c:numCache>
            </c:numRef>
          </c:val>
          <c:extLst>
            <c:ext xmlns:c16="http://schemas.microsoft.com/office/drawing/2014/chart" uri="{C3380CC4-5D6E-409C-BE32-E72D297353CC}">
              <c16:uniqueId val="{00000023-43E7-4145-B94A-EDD4659A6B4D}"/>
            </c:ext>
          </c:extLst>
        </c:ser>
        <c:ser>
          <c:idx val="14"/>
          <c:order val="3"/>
          <c:tx>
            <c:strRef>
              <c:f>'2025'!$S$1:$S$2</c:f>
              <c:strCache>
                <c:ptCount val="2"/>
                <c:pt idx="0">
                  <c:v>Client</c:v>
                </c:pt>
              </c:strCache>
            </c:strRef>
          </c:tx>
          <c:invertIfNegative val="0"/>
          <c:cat>
            <c:multiLvlStrRef>
              <c:f>'2025'!$A$3:$O$1774</c:f>
              <c:multiLvlStrCache>
                <c:ptCount val="2"/>
                <c:lvl>
                  <c:pt idx="0">
                    <c:v>Retard ?</c:v>
                  </c:pt>
                </c:lvl>
                <c:lvl>
                  <c:pt idx="0">
                    <c:v>SUITE NC</c:v>
                  </c:pt>
                  <c:pt idx="1">
                    <c:v>x</c:v>
                  </c:pt>
                </c:lvl>
                <c:lvl>
                  <c:pt idx="0">
                    <c:v>NC</c:v>
                  </c:pt>
                </c:lvl>
                <c:lvl>
                  <c:pt idx="0">
                    <c:v>CONF</c:v>
                  </c:pt>
                </c:lvl>
                <c:lvl>
                  <c:pt idx="0">
                    <c:v>ST</c:v>
                  </c:pt>
                  <c:pt idx="1">
                    <c:v>S2TF</c:v>
                  </c:pt>
                </c:lvl>
                <c:lvl>
                  <c:pt idx="0">
                    <c:v>COMPOSITION</c:v>
                  </c:pt>
                  <c:pt idx="1">
                    <c:v>G1206 n°1544+10 EX100</c:v>
                  </c:pt>
                </c:lvl>
                <c:lvl>
                  <c:pt idx="0">
                    <c:v>OTP</c:v>
                  </c:pt>
                  <c:pt idx="1">
                    <c:v>705</c:v>
                  </c:pt>
                </c:lvl>
                <c:lvl>
                  <c:pt idx="0">
                    <c:v>diffusé</c:v>
                  </c:pt>
                  <c:pt idx="1">
                    <c:v>Pas de liste de diffusion - relance faites a Romain SANE</c:v>
                  </c:pt>
                </c:lvl>
                <c:lvl>
                  <c:pt idx="0">
                    <c:v>téléchargé</c:v>
                  </c:pt>
                  <c:pt idx="1">
                    <c:v>ok</c:v>
                  </c:pt>
                </c:lvl>
                <c:lvl>
                  <c:pt idx="0">
                    <c:v>DESTINATION</c:v>
                  </c:pt>
                  <c:pt idx="1">
                    <c:v>SAINCAIZE</c:v>
                  </c:pt>
                </c:lvl>
                <c:lvl>
                  <c:pt idx="0">
                    <c:v>ORIGINE</c:v>
                  </c:pt>
                  <c:pt idx="1">
                    <c:v>JOIGNY</c:v>
                  </c:pt>
                </c:lvl>
                <c:lvl>
                  <c:pt idx="0">
                    <c:v>Numéro de spot</c:v>
                  </c:pt>
                  <c:pt idx="1">
                    <c:v>304</c:v>
                  </c:pt>
                </c:lvl>
                <c:lvl>
                  <c:pt idx="0">
                    <c:v>SEMAINE</c:v>
                  </c:pt>
                  <c:pt idx="1">
                    <c:v>13</c:v>
                  </c:pt>
                </c:lvl>
                <c:lvl>
                  <c:pt idx="0">
                    <c:v>DATE</c:v>
                  </c:pt>
                  <c:pt idx="1">
                    <c:v>28-mars</c:v>
                  </c:pt>
                </c:lvl>
                <c:lvl>
                  <c:pt idx="0">
                    <c:v>JOUR</c:v>
                  </c:pt>
                  <c:pt idx="1">
                    <c:v>VENDREDI</c:v>
                  </c:pt>
                </c:lvl>
              </c:multiLvlStrCache>
            </c:multiLvlStrRef>
          </c:cat>
          <c:val>
            <c:numRef>
              <c:f>'2025'!$S$3:$S$1774</c:f>
              <c:numCache>
                <c:formatCode>General</c:formatCode>
                <c:ptCount val="2"/>
                <c:pt idx="0">
                  <c:v>0</c:v>
                </c:pt>
              </c:numCache>
            </c:numRef>
          </c:val>
          <c:extLst>
            <c:ext xmlns:c16="http://schemas.microsoft.com/office/drawing/2014/chart" uri="{C3380CC4-5D6E-409C-BE32-E72D297353CC}">
              <c16:uniqueId val="{00000024-43E7-4145-B94A-EDD4659A6B4D}"/>
            </c:ext>
          </c:extLst>
        </c:ser>
        <c:ser>
          <c:idx val="15"/>
          <c:order val="4"/>
          <c:tx>
            <c:strRef>
              <c:f>'2025'!$T$1:$T$2</c:f>
              <c:strCache>
                <c:ptCount val="2"/>
                <c:pt idx="0">
                  <c:v>Client</c:v>
                </c:pt>
              </c:strCache>
            </c:strRef>
          </c:tx>
          <c:invertIfNegative val="0"/>
          <c:cat>
            <c:multiLvlStrRef>
              <c:f>'2025'!$A$3:$O$1774</c:f>
              <c:multiLvlStrCache>
                <c:ptCount val="2"/>
                <c:lvl>
                  <c:pt idx="0">
                    <c:v>Retard ?</c:v>
                  </c:pt>
                </c:lvl>
                <c:lvl>
                  <c:pt idx="0">
                    <c:v>SUITE NC</c:v>
                  </c:pt>
                  <c:pt idx="1">
                    <c:v>x</c:v>
                  </c:pt>
                </c:lvl>
                <c:lvl>
                  <c:pt idx="0">
                    <c:v>NC</c:v>
                  </c:pt>
                </c:lvl>
                <c:lvl>
                  <c:pt idx="0">
                    <c:v>CONF</c:v>
                  </c:pt>
                </c:lvl>
                <c:lvl>
                  <c:pt idx="0">
                    <c:v>ST</c:v>
                  </c:pt>
                  <c:pt idx="1">
                    <c:v>S2TF</c:v>
                  </c:pt>
                </c:lvl>
                <c:lvl>
                  <c:pt idx="0">
                    <c:v>COMPOSITION</c:v>
                  </c:pt>
                  <c:pt idx="1">
                    <c:v>G1206 n°1544+10 EX100</c:v>
                  </c:pt>
                </c:lvl>
                <c:lvl>
                  <c:pt idx="0">
                    <c:v>OTP</c:v>
                  </c:pt>
                  <c:pt idx="1">
                    <c:v>705</c:v>
                  </c:pt>
                </c:lvl>
                <c:lvl>
                  <c:pt idx="0">
                    <c:v>diffusé</c:v>
                  </c:pt>
                  <c:pt idx="1">
                    <c:v>Pas de liste de diffusion - relance faites a Romain SANE</c:v>
                  </c:pt>
                </c:lvl>
                <c:lvl>
                  <c:pt idx="0">
                    <c:v>téléchargé</c:v>
                  </c:pt>
                  <c:pt idx="1">
                    <c:v>ok</c:v>
                  </c:pt>
                </c:lvl>
                <c:lvl>
                  <c:pt idx="0">
                    <c:v>DESTINATION</c:v>
                  </c:pt>
                  <c:pt idx="1">
                    <c:v>SAINCAIZE</c:v>
                  </c:pt>
                </c:lvl>
                <c:lvl>
                  <c:pt idx="0">
                    <c:v>ORIGINE</c:v>
                  </c:pt>
                  <c:pt idx="1">
                    <c:v>JOIGNY</c:v>
                  </c:pt>
                </c:lvl>
                <c:lvl>
                  <c:pt idx="0">
                    <c:v>Numéro de spot</c:v>
                  </c:pt>
                  <c:pt idx="1">
                    <c:v>304</c:v>
                  </c:pt>
                </c:lvl>
                <c:lvl>
                  <c:pt idx="0">
                    <c:v>SEMAINE</c:v>
                  </c:pt>
                  <c:pt idx="1">
                    <c:v>13</c:v>
                  </c:pt>
                </c:lvl>
                <c:lvl>
                  <c:pt idx="0">
                    <c:v>DATE</c:v>
                  </c:pt>
                  <c:pt idx="1">
                    <c:v>28-mars</c:v>
                  </c:pt>
                </c:lvl>
                <c:lvl>
                  <c:pt idx="0">
                    <c:v>JOUR</c:v>
                  </c:pt>
                  <c:pt idx="1">
                    <c:v>VENDREDI</c:v>
                  </c:pt>
                </c:lvl>
              </c:multiLvlStrCache>
            </c:multiLvlStrRef>
          </c:cat>
          <c:val>
            <c:numRef>
              <c:f>'2025'!$T$3:$T$1774</c:f>
              <c:numCache>
                <c:formatCode>General</c:formatCode>
                <c:ptCount val="2"/>
                <c:pt idx="0">
                  <c:v>0</c:v>
                </c:pt>
              </c:numCache>
            </c:numRef>
          </c:val>
          <c:extLst>
            <c:ext xmlns:c16="http://schemas.microsoft.com/office/drawing/2014/chart" uri="{C3380CC4-5D6E-409C-BE32-E72D297353CC}">
              <c16:uniqueId val="{00000025-43E7-4145-B94A-EDD4659A6B4D}"/>
            </c:ext>
          </c:extLst>
        </c:ser>
        <c:ser>
          <c:idx val="16"/>
          <c:order val="5"/>
          <c:tx>
            <c:strRef>
              <c:f>'2025'!$U$1:$U$2</c:f>
              <c:strCache>
                <c:ptCount val="2"/>
                <c:pt idx="0">
                  <c:v>Client</c:v>
                </c:pt>
              </c:strCache>
            </c:strRef>
          </c:tx>
          <c:invertIfNegative val="0"/>
          <c:cat>
            <c:multiLvlStrRef>
              <c:f>'2025'!$A$3:$O$1774</c:f>
              <c:multiLvlStrCache>
                <c:ptCount val="2"/>
                <c:lvl>
                  <c:pt idx="0">
                    <c:v>Retard ?</c:v>
                  </c:pt>
                </c:lvl>
                <c:lvl>
                  <c:pt idx="0">
                    <c:v>SUITE NC</c:v>
                  </c:pt>
                  <c:pt idx="1">
                    <c:v>x</c:v>
                  </c:pt>
                </c:lvl>
                <c:lvl>
                  <c:pt idx="0">
                    <c:v>NC</c:v>
                  </c:pt>
                </c:lvl>
                <c:lvl>
                  <c:pt idx="0">
                    <c:v>CONF</c:v>
                  </c:pt>
                </c:lvl>
                <c:lvl>
                  <c:pt idx="0">
                    <c:v>ST</c:v>
                  </c:pt>
                  <c:pt idx="1">
                    <c:v>S2TF</c:v>
                  </c:pt>
                </c:lvl>
                <c:lvl>
                  <c:pt idx="0">
                    <c:v>COMPOSITION</c:v>
                  </c:pt>
                  <c:pt idx="1">
                    <c:v>G1206 n°1544+10 EX100</c:v>
                  </c:pt>
                </c:lvl>
                <c:lvl>
                  <c:pt idx="0">
                    <c:v>OTP</c:v>
                  </c:pt>
                  <c:pt idx="1">
                    <c:v>705</c:v>
                  </c:pt>
                </c:lvl>
                <c:lvl>
                  <c:pt idx="0">
                    <c:v>diffusé</c:v>
                  </c:pt>
                  <c:pt idx="1">
                    <c:v>Pas de liste de diffusion - relance faites a Romain SANE</c:v>
                  </c:pt>
                </c:lvl>
                <c:lvl>
                  <c:pt idx="0">
                    <c:v>téléchargé</c:v>
                  </c:pt>
                  <c:pt idx="1">
                    <c:v>ok</c:v>
                  </c:pt>
                </c:lvl>
                <c:lvl>
                  <c:pt idx="0">
                    <c:v>DESTINATION</c:v>
                  </c:pt>
                  <c:pt idx="1">
                    <c:v>SAINCAIZE</c:v>
                  </c:pt>
                </c:lvl>
                <c:lvl>
                  <c:pt idx="0">
                    <c:v>ORIGINE</c:v>
                  </c:pt>
                  <c:pt idx="1">
                    <c:v>JOIGNY</c:v>
                  </c:pt>
                </c:lvl>
                <c:lvl>
                  <c:pt idx="0">
                    <c:v>Numéro de spot</c:v>
                  </c:pt>
                  <c:pt idx="1">
                    <c:v>304</c:v>
                  </c:pt>
                </c:lvl>
                <c:lvl>
                  <c:pt idx="0">
                    <c:v>SEMAINE</c:v>
                  </c:pt>
                  <c:pt idx="1">
                    <c:v>13</c:v>
                  </c:pt>
                </c:lvl>
                <c:lvl>
                  <c:pt idx="0">
                    <c:v>DATE</c:v>
                  </c:pt>
                  <c:pt idx="1">
                    <c:v>28-mars</c:v>
                  </c:pt>
                </c:lvl>
                <c:lvl>
                  <c:pt idx="0">
                    <c:v>JOUR</c:v>
                  </c:pt>
                  <c:pt idx="1">
                    <c:v>VENDREDI</c:v>
                  </c:pt>
                </c:lvl>
              </c:multiLvlStrCache>
            </c:multiLvlStrRef>
          </c:cat>
          <c:val>
            <c:numRef>
              <c:f>'2025'!$U$3:$U$1774</c:f>
              <c:numCache>
                <c:formatCode>General</c:formatCode>
                <c:ptCount val="2"/>
                <c:pt idx="0">
                  <c:v>0</c:v>
                </c:pt>
              </c:numCache>
            </c:numRef>
          </c:val>
          <c:extLst>
            <c:ext xmlns:c16="http://schemas.microsoft.com/office/drawing/2014/chart" uri="{C3380CC4-5D6E-409C-BE32-E72D297353CC}">
              <c16:uniqueId val="{00000026-43E7-4145-B94A-EDD4659A6B4D}"/>
            </c:ext>
          </c:extLst>
        </c:ser>
        <c:ser>
          <c:idx val="17"/>
          <c:order val="6"/>
          <c:tx>
            <c:strRef>
              <c:f>'2025'!$V$1:$V$2</c:f>
              <c:strCache>
                <c:ptCount val="2"/>
                <c:pt idx="0">
                  <c:v>Client</c:v>
                </c:pt>
              </c:strCache>
            </c:strRef>
          </c:tx>
          <c:invertIfNegative val="0"/>
          <c:cat>
            <c:multiLvlStrRef>
              <c:f>'2025'!$A$3:$O$1774</c:f>
              <c:multiLvlStrCache>
                <c:ptCount val="2"/>
                <c:lvl>
                  <c:pt idx="0">
                    <c:v>Retard ?</c:v>
                  </c:pt>
                </c:lvl>
                <c:lvl>
                  <c:pt idx="0">
                    <c:v>SUITE NC</c:v>
                  </c:pt>
                  <c:pt idx="1">
                    <c:v>x</c:v>
                  </c:pt>
                </c:lvl>
                <c:lvl>
                  <c:pt idx="0">
                    <c:v>NC</c:v>
                  </c:pt>
                </c:lvl>
                <c:lvl>
                  <c:pt idx="0">
                    <c:v>CONF</c:v>
                  </c:pt>
                </c:lvl>
                <c:lvl>
                  <c:pt idx="0">
                    <c:v>ST</c:v>
                  </c:pt>
                  <c:pt idx="1">
                    <c:v>S2TF</c:v>
                  </c:pt>
                </c:lvl>
                <c:lvl>
                  <c:pt idx="0">
                    <c:v>COMPOSITION</c:v>
                  </c:pt>
                  <c:pt idx="1">
                    <c:v>G1206 n°1544+10 EX100</c:v>
                  </c:pt>
                </c:lvl>
                <c:lvl>
                  <c:pt idx="0">
                    <c:v>OTP</c:v>
                  </c:pt>
                  <c:pt idx="1">
                    <c:v>705</c:v>
                  </c:pt>
                </c:lvl>
                <c:lvl>
                  <c:pt idx="0">
                    <c:v>diffusé</c:v>
                  </c:pt>
                  <c:pt idx="1">
                    <c:v>Pas de liste de diffusion - relance faites a Romain SANE</c:v>
                  </c:pt>
                </c:lvl>
                <c:lvl>
                  <c:pt idx="0">
                    <c:v>téléchargé</c:v>
                  </c:pt>
                  <c:pt idx="1">
                    <c:v>ok</c:v>
                  </c:pt>
                </c:lvl>
                <c:lvl>
                  <c:pt idx="0">
                    <c:v>DESTINATION</c:v>
                  </c:pt>
                  <c:pt idx="1">
                    <c:v>SAINCAIZE</c:v>
                  </c:pt>
                </c:lvl>
                <c:lvl>
                  <c:pt idx="0">
                    <c:v>ORIGINE</c:v>
                  </c:pt>
                  <c:pt idx="1">
                    <c:v>JOIGNY</c:v>
                  </c:pt>
                </c:lvl>
                <c:lvl>
                  <c:pt idx="0">
                    <c:v>Numéro de spot</c:v>
                  </c:pt>
                  <c:pt idx="1">
                    <c:v>304</c:v>
                  </c:pt>
                </c:lvl>
                <c:lvl>
                  <c:pt idx="0">
                    <c:v>SEMAINE</c:v>
                  </c:pt>
                  <c:pt idx="1">
                    <c:v>13</c:v>
                  </c:pt>
                </c:lvl>
                <c:lvl>
                  <c:pt idx="0">
                    <c:v>DATE</c:v>
                  </c:pt>
                  <c:pt idx="1">
                    <c:v>28-mars</c:v>
                  </c:pt>
                </c:lvl>
                <c:lvl>
                  <c:pt idx="0">
                    <c:v>JOUR</c:v>
                  </c:pt>
                  <c:pt idx="1">
                    <c:v>VENDREDI</c:v>
                  </c:pt>
                </c:lvl>
              </c:multiLvlStrCache>
            </c:multiLvlStrRef>
          </c:cat>
          <c:val>
            <c:numRef>
              <c:f>'2025'!$V$3:$V$1774</c:f>
              <c:numCache>
                <c:formatCode>General</c:formatCode>
                <c:ptCount val="2"/>
                <c:pt idx="0">
                  <c:v>0</c:v>
                </c:pt>
              </c:numCache>
            </c:numRef>
          </c:val>
          <c:extLst>
            <c:ext xmlns:c16="http://schemas.microsoft.com/office/drawing/2014/chart" uri="{C3380CC4-5D6E-409C-BE32-E72D297353CC}">
              <c16:uniqueId val="{00000027-43E7-4145-B94A-EDD4659A6B4D}"/>
            </c:ext>
          </c:extLst>
        </c:ser>
        <c:ser>
          <c:idx val="18"/>
          <c:order val="7"/>
          <c:tx>
            <c:strRef>
              <c:f>'2025'!$W$1:$W$2</c:f>
              <c:strCache>
                <c:ptCount val="2"/>
                <c:pt idx="0">
                  <c:v>Client</c:v>
                </c:pt>
              </c:strCache>
            </c:strRef>
          </c:tx>
          <c:invertIfNegative val="0"/>
          <c:cat>
            <c:multiLvlStrRef>
              <c:f>'2025'!$A$3:$O$1774</c:f>
              <c:multiLvlStrCache>
                <c:ptCount val="2"/>
                <c:lvl>
                  <c:pt idx="0">
                    <c:v>Retard ?</c:v>
                  </c:pt>
                </c:lvl>
                <c:lvl>
                  <c:pt idx="0">
                    <c:v>SUITE NC</c:v>
                  </c:pt>
                  <c:pt idx="1">
                    <c:v>x</c:v>
                  </c:pt>
                </c:lvl>
                <c:lvl>
                  <c:pt idx="0">
                    <c:v>NC</c:v>
                  </c:pt>
                </c:lvl>
                <c:lvl>
                  <c:pt idx="0">
                    <c:v>CONF</c:v>
                  </c:pt>
                </c:lvl>
                <c:lvl>
                  <c:pt idx="0">
                    <c:v>ST</c:v>
                  </c:pt>
                  <c:pt idx="1">
                    <c:v>S2TF</c:v>
                  </c:pt>
                </c:lvl>
                <c:lvl>
                  <c:pt idx="0">
                    <c:v>COMPOSITION</c:v>
                  </c:pt>
                  <c:pt idx="1">
                    <c:v>G1206 n°1544+10 EX100</c:v>
                  </c:pt>
                </c:lvl>
                <c:lvl>
                  <c:pt idx="0">
                    <c:v>OTP</c:v>
                  </c:pt>
                  <c:pt idx="1">
                    <c:v>705</c:v>
                  </c:pt>
                </c:lvl>
                <c:lvl>
                  <c:pt idx="0">
                    <c:v>diffusé</c:v>
                  </c:pt>
                  <c:pt idx="1">
                    <c:v>Pas de liste de diffusion - relance faites a Romain SANE</c:v>
                  </c:pt>
                </c:lvl>
                <c:lvl>
                  <c:pt idx="0">
                    <c:v>téléchargé</c:v>
                  </c:pt>
                  <c:pt idx="1">
                    <c:v>ok</c:v>
                  </c:pt>
                </c:lvl>
                <c:lvl>
                  <c:pt idx="0">
                    <c:v>DESTINATION</c:v>
                  </c:pt>
                  <c:pt idx="1">
                    <c:v>SAINCAIZE</c:v>
                  </c:pt>
                </c:lvl>
                <c:lvl>
                  <c:pt idx="0">
                    <c:v>ORIGINE</c:v>
                  </c:pt>
                  <c:pt idx="1">
                    <c:v>JOIGNY</c:v>
                  </c:pt>
                </c:lvl>
                <c:lvl>
                  <c:pt idx="0">
                    <c:v>Numéro de spot</c:v>
                  </c:pt>
                  <c:pt idx="1">
                    <c:v>304</c:v>
                  </c:pt>
                </c:lvl>
                <c:lvl>
                  <c:pt idx="0">
                    <c:v>SEMAINE</c:v>
                  </c:pt>
                  <c:pt idx="1">
                    <c:v>13</c:v>
                  </c:pt>
                </c:lvl>
                <c:lvl>
                  <c:pt idx="0">
                    <c:v>DATE</c:v>
                  </c:pt>
                  <c:pt idx="1">
                    <c:v>28-mars</c:v>
                  </c:pt>
                </c:lvl>
                <c:lvl>
                  <c:pt idx="0">
                    <c:v>JOUR</c:v>
                  </c:pt>
                  <c:pt idx="1">
                    <c:v>VENDREDI</c:v>
                  </c:pt>
                </c:lvl>
              </c:multiLvlStrCache>
            </c:multiLvlStrRef>
          </c:cat>
          <c:val>
            <c:numRef>
              <c:f>'2025'!$W$3:$W$1774</c:f>
              <c:numCache>
                <c:formatCode>General</c:formatCode>
                <c:ptCount val="2"/>
                <c:pt idx="0">
                  <c:v>0</c:v>
                </c:pt>
                <c:pt idx="1">
                  <c:v>0</c:v>
                </c:pt>
              </c:numCache>
            </c:numRef>
          </c:val>
          <c:extLst>
            <c:ext xmlns:c16="http://schemas.microsoft.com/office/drawing/2014/chart" uri="{C3380CC4-5D6E-409C-BE32-E72D297353CC}">
              <c16:uniqueId val="{00000028-43E7-4145-B94A-EDD4659A6B4D}"/>
            </c:ext>
          </c:extLst>
        </c:ser>
        <c:ser>
          <c:idx val="19"/>
          <c:order val="8"/>
          <c:tx>
            <c:strRef>
              <c:f>'2025'!$X$1:$X$2</c:f>
              <c:strCache>
                <c:ptCount val="2"/>
                <c:pt idx="0">
                  <c:v>Client</c:v>
                </c:pt>
              </c:strCache>
            </c:strRef>
          </c:tx>
          <c:invertIfNegative val="0"/>
          <c:cat>
            <c:multiLvlStrRef>
              <c:f>'2025'!$A$3:$O$1774</c:f>
              <c:multiLvlStrCache>
                <c:ptCount val="2"/>
                <c:lvl>
                  <c:pt idx="0">
                    <c:v>Retard ?</c:v>
                  </c:pt>
                </c:lvl>
                <c:lvl>
                  <c:pt idx="0">
                    <c:v>SUITE NC</c:v>
                  </c:pt>
                  <c:pt idx="1">
                    <c:v>x</c:v>
                  </c:pt>
                </c:lvl>
                <c:lvl>
                  <c:pt idx="0">
                    <c:v>NC</c:v>
                  </c:pt>
                </c:lvl>
                <c:lvl>
                  <c:pt idx="0">
                    <c:v>CONF</c:v>
                  </c:pt>
                </c:lvl>
                <c:lvl>
                  <c:pt idx="0">
                    <c:v>ST</c:v>
                  </c:pt>
                  <c:pt idx="1">
                    <c:v>S2TF</c:v>
                  </c:pt>
                </c:lvl>
                <c:lvl>
                  <c:pt idx="0">
                    <c:v>COMPOSITION</c:v>
                  </c:pt>
                  <c:pt idx="1">
                    <c:v>G1206 n°1544+10 EX100</c:v>
                  </c:pt>
                </c:lvl>
                <c:lvl>
                  <c:pt idx="0">
                    <c:v>OTP</c:v>
                  </c:pt>
                  <c:pt idx="1">
                    <c:v>705</c:v>
                  </c:pt>
                </c:lvl>
                <c:lvl>
                  <c:pt idx="0">
                    <c:v>diffusé</c:v>
                  </c:pt>
                  <c:pt idx="1">
                    <c:v>Pas de liste de diffusion - relance faites a Romain SANE</c:v>
                  </c:pt>
                </c:lvl>
                <c:lvl>
                  <c:pt idx="0">
                    <c:v>téléchargé</c:v>
                  </c:pt>
                  <c:pt idx="1">
                    <c:v>ok</c:v>
                  </c:pt>
                </c:lvl>
                <c:lvl>
                  <c:pt idx="0">
                    <c:v>DESTINATION</c:v>
                  </c:pt>
                  <c:pt idx="1">
                    <c:v>SAINCAIZE</c:v>
                  </c:pt>
                </c:lvl>
                <c:lvl>
                  <c:pt idx="0">
                    <c:v>ORIGINE</c:v>
                  </c:pt>
                  <c:pt idx="1">
                    <c:v>JOIGNY</c:v>
                  </c:pt>
                </c:lvl>
                <c:lvl>
                  <c:pt idx="0">
                    <c:v>Numéro de spot</c:v>
                  </c:pt>
                  <c:pt idx="1">
                    <c:v>304</c:v>
                  </c:pt>
                </c:lvl>
                <c:lvl>
                  <c:pt idx="0">
                    <c:v>SEMAINE</c:v>
                  </c:pt>
                  <c:pt idx="1">
                    <c:v>13</c:v>
                  </c:pt>
                </c:lvl>
                <c:lvl>
                  <c:pt idx="0">
                    <c:v>DATE</c:v>
                  </c:pt>
                  <c:pt idx="1">
                    <c:v>28-mars</c:v>
                  </c:pt>
                </c:lvl>
                <c:lvl>
                  <c:pt idx="0">
                    <c:v>JOUR</c:v>
                  </c:pt>
                  <c:pt idx="1">
                    <c:v>VENDREDI</c:v>
                  </c:pt>
                </c:lvl>
              </c:multiLvlStrCache>
            </c:multiLvlStrRef>
          </c:cat>
          <c:val>
            <c:numRef>
              <c:f>'2025'!$X$3:$X$1774</c:f>
              <c:numCache>
                <c:formatCode>General</c:formatCode>
                <c:ptCount val="2"/>
                <c:pt idx="0">
                  <c:v>0</c:v>
                </c:pt>
              </c:numCache>
            </c:numRef>
          </c:val>
          <c:extLst>
            <c:ext xmlns:c16="http://schemas.microsoft.com/office/drawing/2014/chart" uri="{C3380CC4-5D6E-409C-BE32-E72D297353CC}">
              <c16:uniqueId val="{00000029-43E7-4145-B94A-EDD4659A6B4D}"/>
            </c:ext>
          </c:extLst>
        </c:ser>
        <c:ser>
          <c:idx val="20"/>
          <c:order val="9"/>
          <c:tx>
            <c:strRef>
              <c:f>'2025'!$Y$1:$Y$2</c:f>
              <c:strCache>
                <c:ptCount val="2"/>
                <c:pt idx="0">
                  <c:v>Client</c:v>
                </c:pt>
              </c:strCache>
            </c:strRef>
          </c:tx>
          <c:invertIfNegative val="0"/>
          <c:cat>
            <c:multiLvlStrRef>
              <c:f>'2025'!$A$3:$O$1774</c:f>
              <c:multiLvlStrCache>
                <c:ptCount val="2"/>
                <c:lvl>
                  <c:pt idx="0">
                    <c:v>Retard ?</c:v>
                  </c:pt>
                </c:lvl>
                <c:lvl>
                  <c:pt idx="0">
                    <c:v>SUITE NC</c:v>
                  </c:pt>
                  <c:pt idx="1">
                    <c:v>x</c:v>
                  </c:pt>
                </c:lvl>
                <c:lvl>
                  <c:pt idx="0">
                    <c:v>NC</c:v>
                  </c:pt>
                </c:lvl>
                <c:lvl>
                  <c:pt idx="0">
                    <c:v>CONF</c:v>
                  </c:pt>
                </c:lvl>
                <c:lvl>
                  <c:pt idx="0">
                    <c:v>ST</c:v>
                  </c:pt>
                  <c:pt idx="1">
                    <c:v>S2TF</c:v>
                  </c:pt>
                </c:lvl>
                <c:lvl>
                  <c:pt idx="0">
                    <c:v>COMPOSITION</c:v>
                  </c:pt>
                  <c:pt idx="1">
                    <c:v>G1206 n°1544+10 EX100</c:v>
                  </c:pt>
                </c:lvl>
                <c:lvl>
                  <c:pt idx="0">
                    <c:v>OTP</c:v>
                  </c:pt>
                  <c:pt idx="1">
                    <c:v>705</c:v>
                  </c:pt>
                </c:lvl>
                <c:lvl>
                  <c:pt idx="0">
                    <c:v>diffusé</c:v>
                  </c:pt>
                  <c:pt idx="1">
                    <c:v>Pas de liste de diffusion - relance faites a Romain SANE</c:v>
                  </c:pt>
                </c:lvl>
                <c:lvl>
                  <c:pt idx="0">
                    <c:v>téléchargé</c:v>
                  </c:pt>
                  <c:pt idx="1">
                    <c:v>ok</c:v>
                  </c:pt>
                </c:lvl>
                <c:lvl>
                  <c:pt idx="0">
                    <c:v>DESTINATION</c:v>
                  </c:pt>
                  <c:pt idx="1">
                    <c:v>SAINCAIZE</c:v>
                  </c:pt>
                </c:lvl>
                <c:lvl>
                  <c:pt idx="0">
                    <c:v>ORIGINE</c:v>
                  </c:pt>
                  <c:pt idx="1">
                    <c:v>JOIGNY</c:v>
                  </c:pt>
                </c:lvl>
                <c:lvl>
                  <c:pt idx="0">
                    <c:v>Numéro de spot</c:v>
                  </c:pt>
                  <c:pt idx="1">
                    <c:v>304</c:v>
                  </c:pt>
                </c:lvl>
                <c:lvl>
                  <c:pt idx="0">
                    <c:v>SEMAINE</c:v>
                  </c:pt>
                  <c:pt idx="1">
                    <c:v>13</c:v>
                  </c:pt>
                </c:lvl>
                <c:lvl>
                  <c:pt idx="0">
                    <c:v>DATE</c:v>
                  </c:pt>
                  <c:pt idx="1">
                    <c:v>28-mars</c:v>
                  </c:pt>
                </c:lvl>
                <c:lvl>
                  <c:pt idx="0">
                    <c:v>JOUR</c:v>
                  </c:pt>
                  <c:pt idx="1">
                    <c:v>VENDREDI</c:v>
                  </c:pt>
                </c:lvl>
              </c:multiLvlStrCache>
            </c:multiLvlStrRef>
          </c:cat>
          <c:val>
            <c:numRef>
              <c:f>'2025'!$Y$3:$Y$1774</c:f>
              <c:numCache>
                <c:formatCode>General</c:formatCode>
                <c:ptCount val="2"/>
                <c:pt idx="0">
                  <c:v>0</c:v>
                </c:pt>
              </c:numCache>
            </c:numRef>
          </c:val>
          <c:extLst>
            <c:ext xmlns:c16="http://schemas.microsoft.com/office/drawing/2014/chart" uri="{C3380CC4-5D6E-409C-BE32-E72D297353CC}">
              <c16:uniqueId val="{0000002A-43E7-4145-B94A-EDD4659A6B4D}"/>
            </c:ext>
          </c:extLst>
        </c:ser>
        <c:ser>
          <c:idx val="21"/>
          <c:order val="10"/>
          <c:tx>
            <c:strRef>
              <c:f>'2025'!$Z$1:$Z$2</c:f>
              <c:strCache>
                <c:ptCount val="2"/>
                <c:pt idx="0">
                  <c:v>Client</c:v>
                </c:pt>
              </c:strCache>
            </c:strRef>
          </c:tx>
          <c:invertIfNegative val="0"/>
          <c:cat>
            <c:multiLvlStrRef>
              <c:f>'2025'!$A$3:$O$1774</c:f>
              <c:multiLvlStrCache>
                <c:ptCount val="2"/>
                <c:lvl>
                  <c:pt idx="0">
                    <c:v>Retard ?</c:v>
                  </c:pt>
                </c:lvl>
                <c:lvl>
                  <c:pt idx="0">
                    <c:v>SUITE NC</c:v>
                  </c:pt>
                  <c:pt idx="1">
                    <c:v>x</c:v>
                  </c:pt>
                </c:lvl>
                <c:lvl>
                  <c:pt idx="0">
                    <c:v>NC</c:v>
                  </c:pt>
                </c:lvl>
                <c:lvl>
                  <c:pt idx="0">
                    <c:v>CONF</c:v>
                  </c:pt>
                </c:lvl>
                <c:lvl>
                  <c:pt idx="0">
                    <c:v>ST</c:v>
                  </c:pt>
                  <c:pt idx="1">
                    <c:v>S2TF</c:v>
                  </c:pt>
                </c:lvl>
                <c:lvl>
                  <c:pt idx="0">
                    <c:v>COMPOSITION</c:v>
                  </c:pt>
                  <c:pt idx="1">
                    <c:v>G1206 n°1544+10 EX100</c:v>
                  </c:pt>
                </c:lvl>
                <c:lvl>
                  <c:pt idx="0">
                    <c:v>OTP</c:v>
                  </c:pt>
                  <c:pt idx="1">
                    <c:v>705</c:v>
                  </c:pt>
                </c:lvl>
                <c:lvl>
                  <c:pt idx="0">
                    <c:v>diffusé</c:v>
                  </c:pt>
                  <c:pt idx="1">
                    <c:v>Pas de liste de diffusion - relance faites a Romain SANE</c:v>
                  </c:pt>
                </c:lvl>
                <c:lvl>
                  <c:pt idx="0">
                    <c:v>téléchargé</c:v>
                  </c:pt>
                  <c:pt idx="1">
                    <c:v>ok</c:v>
                  </c:pt>
                </c:lvl>
                <c:lvl>
                  <c:pt idx="0">
                    <c:v>DESTINATION</c:v>
                  </c:pt>
                  <c:pt idx="1">
                    <c:v>SAINCAIZE</c:v>
                  </c:pt>
                </c:lvl>
                <c:lvl>
                  <c:pt idx="0">
                    <c:v>ORIGINE</c:v>
                  </c:pt>
                  <c:pt idx="1">
                    <c:v>JOIGNY</c:v>
                  </c:pt>
                </c:lvl>
                <c:lvl>
                  <c:pt idx="0">
                    <c:v>Numéro de spot</c:v>
                  </c:pt>
                  <c:pt idx="1">
                    <c:v>304</c:v>
                  </c:pt>
                </c:lvl>
                <c:lvl>
                  <c:pt idx="0">
                    <c:v>SEMAINE</c:v>
                  </c:pt>
                  <c:pt idx="1">
                    <c:v>13</c:v>
                  </c:pt>
                </c:lvl>
                <c:lvl>
                  <c:pt idx="0">
                    <c:v>DATE</c:v>
                  </c:pt>
                  <c:pt idx="1">
                    <c:v>28-mars</c:v>
                  </c:pt>
                </c:lvl>
                <c:lvl>
                  <c:pt idx="0">
                    <c:v>JOUR</c:v>
                  </c:pt>
                  <c:pt idx="1">
                    <c:v>VENDREDI</c:v>
                  </c:pt>
                </c:lvl>
              </c:multiLvlStrCache>
            </c:multiLvlStrRef>
          </c:cat>
          <c:val>
            <c:numRef>
              <c:f>'2025'!$Z$3:$Z$1774</c:f>
              <c:numCache>
                <c:formatCode>General</c:formatCode>
                <c:ptCount val="2"/>
                <c:pt idx="0">
                  <c:v>0</c:v>
                </c:pt>
              </c:numCache>
            </c:numRef>
          </c:val>
          <c:extLst>
            <c:ext xmlns:c16="http://schemas.microsoft.com/office/drawing/2014/chart" uri="{C3380CC4-5D6E-409C-BE32-E72D297353CC}">
              <c16:uniqueId val="{0000002B-43E7-4145-B94A-EDD4659A6B4D}"/>
            </c:ext>
          </c:extLst>
        </c:ser>
        <c:ser>
          <c:idx val="0"/>
          <c:order val="11"/>
          <c:tx>
            <c:strRef>
              <c:f>'2025'!$P$1:$P$2</c:f>
              <c:strCache>
                <c:ptCount val="2"/>
                <c:pt idx="0">
                  <c:v>Client</c:v>
                </c:pt>
              </c:strCache>
            </c:strRef>
          </c:tx>
          <c:spPr>
            <a:solidFill>
              <a:schemeClr val="accent1"/>
            </a:solidFill>
            <a:ln>
              <a:noFill/>
            </a:ln>
            <a:effectLst/>
          </c:spPr>
          <c:invertIfNegative val="0"/>
          <c:cat>
            <c:multiLvlStrRef>
              <c:f>'2025'!$A$3:$O$1774</c:f>
              <c:multiLvlStrCache>
                <c:ptCount val="2"/>
                <c:lvl>
                  <c:pt idx="0">
                    <c:v>Retard ?</c:v>
                  </c:pt>
                </c:lvl>
                <c:lvl>
                  <c:pt idx="0">
                    <c:v>SUITE NC</c:v>
                  </c:pt>
                  <c:pt idx="1">
                    <c:v>x</c:v>
                  </c:pt>
                </c:lvl>
                <c:lvl>
                  <c:pt idx="0">
                    <c:v>NC</c:v>
                  </c:pt>
                </c:lvl>
                <c:lvl>
                  <c:pt idx="0">
                    <c:v>CONF</c:v>
                  </c:pt>
                </c:lvl>
                <c:lvl>
                  <c:pt idx="0">
                    <c:v>ST</c:v>
                  </c:pt>
                  <c:pt idx="1">
                    <c:v>S2TF</c:v>
                  </c:pt>
                </c:lvl>
                <c:lvl>
                  <c:pt idx="0">
                    <c:v>COMPOSITION</c:v>
                  </c:pt>
                  <c:pt idx="1">
                    <c:v>G1206 n°1544+10 EX100</c:v>
                  </c:pt>
                </c:lvl>
                <c:lvl>
                  <c:pt idx="0">
                    <c:v>OTP</c:v>
                  </c:pt>
                  <c:pt idx="1">
                    <c:v>705</c:v>
                  </c:pt>
                </c:lvl>
                <c:lvl>
                  <c:pt idx="0">
                    <c:v>diffusé</c:v>
                  </c:pt>
                  <c:pt idx="1">
                    <c:v>Pas de liste de diffusion - relance faites a Romain SANE</c:v>
                  </c:pt>
                </c:lvl>
                <c:lvl>
                  <c:pt idx="0">
                    <c:v>téléchargé</c:v>
                  </c:pt>
                  <c:pt idx="1">
                    <c:v>ok</c:v>
                  </c:pt>
                </c:lvl>
                <c:lvl>
                  <c:pt idx="0">
                    <c:v>DESTINATION</c:v>
                  </c:pt>
                  <c:pt idx="1">
                    <c:v>SAINCAIZE</c:v>
                  </c:pt>
                </c:lvl>
                <c:lvl>
                  <c:pt idx="0">
                    <c:v>ORIGINE</c:v>
                  </c:pt>
                  <c:pt idx="1">
                    <c:v>JOIGNY</c:v>
                  </c:pt>
                </c:lvl>
                <c:lvl>
                  <c:pt idx="0">
                    <c:v>Numéro de spot</c:v>
                  </c:pt>
                  <c:pt idx="1">
                    <c:v>304</c:v>
                  </c:pt>
                </c:lvl>
                <c:lvl>
                  <c:pt idx="0">
                    <c:v>SEMAINE</c:v>
                  </c:pt>
                  <c:pt idx="1">
                    <c:v>13</c:v>
                  </c:pt>
                </c:lvl>
                <c:lvl>
                  <c:pt idx="0">
                    <c:v>DATE</c:v>
                  </c:pt>
                  <c:pt idx="1">
                    <c:v>28-mars</c:v>
                  </c:pt>
                </c:lvl>
                <c:lvl>
                  <c:pt idx="0">
                    <c:v>JOUR</c:v>
                  </c:pt>
                  <c:pt idx="1">
                    <c:v>VENDREDI</c:v>
                  </c:pt>
                </c:lvl>
              </c:multiLvlStrCache>
            </c:multiLvlStrRef>
          </c:cat>
          <c:val>
            <c:numRef>
              <c:f>'2025'!$P$3:$P$1774</c:f>
              <c:numCache>
                <c:formatCode>General</c:formatCode>
                <c:ptCount val="2"/>
                <c:pt idx="0">
                  <c:v>0</c:v>
                </c:pt>
              </c:numCache>
            </c:numRef>
          </c:val>
          <c:extLst>
            <c:ext xmlns:c16="http://schemas.microsoft.com/office/drawing/2014/chart" uri="{C3380CC4-5D6E-409C-BE32-E72D297353CC}">
              <c16:uniqueId val="{0000000C-43E7-4145-B94A-EDD4659A6B4D}"/>
            </c:ext>
          </c:extLst>
        </c:ser>
        <c:ser>
          <c:idx val="1"/>
          <c:order val="12"/>
          <c:tx>
            <c:strRef>
              <c:f>'2025'!$Q$1:$Q$2</c:f>
              <c:strCache>
                <c:ptCount val="2"/>
                <c:pt idx="0">
                  <c:v>Client</c:v>
                </c:pt>
              </c:strCache>
            </c:strRef>
          </c:tx>
          <c:spPr>
            <a:solidFill>
              <a:schemeClr val="accent2"/>
            </a:solidFill>
            <a:ln>
              <a:noFill/>
            </a:ln>
            <a:effectLst/>
          </c:spPr>
          <c:invertIfNegative val="0"/>
          <c:cat>
            <c:multiLvlStrRef>
              <c:f>'2025'!$A$3:$O$1774</c:f>
              <c:multiLvlStrCache>
                <c:ptCount val="2"/>
                <c:lvl>
                  <c:pt idx="0">
                    <c:v>Retard ?</c:v>
                  </c:pt>
                </c:lvl>
                <c:lvl>
                  <c:pt idx="0">
                    <c:v>SUITE NC</c:v>
                  </c:pt>
                  <c:pt idx="1">
                    <c:v>x</c:v>
                  </c:pt>
                </c:lvl>
                <c:lvl>
                  <c:pt idx="0">
                    <c:v>NC</c:v>
                  </c:pt>
                </c:lvl>
                <c:lvl>
                  <c:pt idx="0">
                    <c:v>CONF</c:v>
                  </c:pt>
                </c:lvl>
                <c:lvl>
                  <c:pt idx="0">
                    <c:v>ST</c:v>
                  </c:pt>
                  <c:pt idx="1">
                    <c:v>S2TF</c:v>
                  </c:pt>
                </c:lvl>
                <c:lvl>
                  <c:pt idx="0">
                    <c:v>COMPOSITION</c:v>
                  </c:pt>
                  <c:pt idx="1">
                    <c:v>G1206 n°1544+10 EX100</c:v>
                  </c:pt>
                </c:lvl>
                <c:lvl>
                  <c:pt idx="0">
                    <c:v>OTP</c:v>
                  </c:pt>
                  <c:pt idx="1">
                    <c:v>705</c:v>
                  </c:pt>
                </c:lvl>
                <c:lvl>
                  <c:pt idx="0">
                    <c:v>diffusé</c:v>
                  </c:pt>
                  <c:pt idx="1">
                    <c:v>Pas de liste de diffusion - relance faites a Romain SANE</c:v>
                  </c:pt>
                </c:lvl>
                <c:lvl>
                  <c:pt idx="0">
                    <c:v>téléchargé</c:v>
                  </c:pt>
                  <c:pt idx="1">
                    <c:v>ok</c:v>
                  </c:pt>
                </c:lvl>
                <c:lvl>
                  <c:pt idx="0">
                    <c:v>DESTINATION</c:v>
                  </c:pt>
                  <c:pt idx="1">
                    <c:v>SAINCAIZE</c:v>
                  </c:pt>
                </c:lvl>
                <c:lvl>
                  <c:pt idx="0">
                    <c:v>ORIGINE</c:v>
                  </c:pt>
                  <c:pt idx="1">
                    <c:v>JOIGNY</c:v>
                  </c:pt>
                </c:lvl>
                <c:lvl>
                  <c:pt idx="0">
                    <c:v>Numéro de spot</c:v>
                  </c:pt>
                  <c:pt idx="1">
                    <c:v>304</c:v>
                  </c:pt>
                </c:lvl>
                <c:lvl>
                  <c:pt idx="0">
                    <c:v>SEMAINE</c:v>
                  </c:pt>
                  <c:pt idx="1">
                    <c:v>13</c:v>
                  </c:pt>
                </c:lvl>
                <c:lvl>
                  <c:pt idx="0">
                    <c:v>DATE</c:v>
                  </c:pt>
                  <c:pt idx="1">
                    <c:v>28-mars</c:v>
                  </c:pt>
                </c:lvl>
                <c:lvl>
                  <c:pt idx="0">
                    <c:v>JOUR</c:v>
                  </c:pt>
                  <c:pt idx="1">
                    <c:v>VENDREDI</c:v>
                  </c:pt>
                </c:lvl>
              </c:multiLvlStrCache>
            </c:multiLvlStrRef>
          </c:cat>
          <c:val>
            <c:numRef>
              <c:f>'2025'!$Q$3:$Q$1774</c:f>
              <c:numCache>
                <c:formatCode>General</c:formatCode>
                <c:ptCount val="2"/>
                <c:pt idx="0">
                  <c:v>0</c:v>
                </c:pt>
              </c:numCache>
            </c:numRef>
          </c:val>
          <c:extLst>
            <c:ext xmlns:c16="http://schemas.microsoft.com/office/drawing/2014/chart" uri="{C3380CC4-5D6E-409C-BE32-E72D297353CC}">
              <c16:uniqueId val="{0000000E-43E7-4145-B94A-EDD4659A6B4D}"/>
            </c:ext>
          </c:extLst>
        </c:ser>
        <c:ser>
          <c:idx val="2"/>
          <c:order val="13"/>
          <c:tx>
            <c:strRef>
              <c:f>'2025'!$R$1:$R$2</c:f>
              <c:strCache>
                <c:ptCount val="2"/>
                <c:pt idx="0">
                  <c:v>Client</c:v>
                </c:pt>
              </c:strCache>
            </c:strRef>
          </c:tx>
          <c:spPr>
            <a:solidFill>
              <a:schemeClr val="accent3"/>
            </a:solidFill>
            <a:ln>
              <a:noFill/>
            </a:ln>
            <a:effectLst/>
          </c:spPr>
          <c:invertIfNegative val="0"/>
          <c:cat>
            <c:multiLvlStrRef>
              <c:f>'2025'!$A$3:$O$1774</c:f>
              <c:multiLvlStrCache>
                <c:ptCount val="2"/>
                <c:lvl>
                  <c:pt idx="0">
                    <c:v>Retard ?</c:v>
                  </c:pt>
                </c:lvl>
                <c:lvl>
                  <c:pt idx="0">
                    <c:v>SUITE NC</c:v>
                  </c:pt>
                  <c:pt idx="1">
                    <c:v>x</c:v>
                  </c:pt>
                </c:lvl>
                <c:lvl>
                  <c:pt idx="0">
                    <c:v>NC</c:v>
                  </c:pt>
                </c:lvl>
                <c:lvl>
                  <c:pt idx="0">
                    <c:v>CONF</c:v>
                  </c:pt>
                </c:lvl>
                <c:lvl>
                  <c:pt idx="0">
                    <c:v>ST</c:v>
                  </c:pt>
                  <c:pt idx="1">
                    <c:v>S2TF</c:v>
                  </c:pt>
                </c:lvl>
                <c:lvl>
                  <c:pt idx="0">
                    <c:v>COMPOSITION</c:v>
                  </c:pt>
                  <c:pt idx="1">
                    <c:v>G1206 n°1544+10 EX100</c:v>
                  </c:pt>
                </c:lvl>
                <c:lvl>
                  <c:pt idx="0">
                    <c:v>OTP</c:v>
                  </c:pt>
                  <c:pt idx="1">
                    <c:v>705</c:v>
                  </c:pt>
                </c:lvl>
                <c:lvl>
                  <c:pt idx="0">
                    <c:v>diffusé</c:v>
                  </c:pt>
                  <c:pt idx="1">
                    <c:v>Pas de liste de diffusion - relance faites a Romain SANE</c:v>
                  </c:pt>
                </c:lvl>
                <c:lvl>
                  <c:pt idx="0">
                    <c:v>téléchargé</c:v>
                  </c:pt>
                  <c:pt idx="1">
                    <c:v>ok</c:v>
                  </c:pt>
                </c:lvl>
                <c:lvl>
                  <c:pt idx="0">
                    <c:v>DESTINATION</c:v>
                  </c:pt>
                  <c:pt idx="1">
                    <c:v>SAINCAIZE</c:v>
                  </c:pt>
                </c:lvl>
                <c:lvl>
                  <c:pt idx="0">
                    <c:v>ORIGINE</c:v>
                  </c:pt>
                  <c:pt idx="1">
                    <c:v>JOIGNY</c:v>
                  </c:pt>
                </c:lvl>
                <c:lvl>
                  <c:pt idx="0">
                    <c:v>Numéro de spot</c:v>
                  </c:pt>
                  <c:pt idx="1">
                    <c:v>304</c:v>
                  </c:pt>
                </c:lvl>
                <c:lvl>
                  <c:pt idx="0">
                    <c:v>SEMAINE</c:v>
                  </c:pt>
                  <c:pt idx="1">
                    <c:v>13</c:v>
                  </c:pt>
                </c:lvl>
                <c:lvl>
                  <c:pt idx="0">
                    <c:v>DATE</c:v>
                  </c:pt>
                  <c:pt idx="1">
                    <c:v>28-mars</c:v>
                  </c:pt>
                </c:lvl>
                <c:lvl>
                  <c:pt idx="0">
                    <c:v>JOUR</c:v>
                  </c:pt>
                  <c:pt idx="1">
                    <c:v>VENDREDI</c:v>
                  </c:pt>
                </c:lvl>
              </c:multiLvlStrCache>
            </c:multiLvlStrRef>
          </c:cat>
          <c:val>
            <c:numRef>
              <c:f>'2025'!$R$3:$R$1774</c:f>
              <c:numCache>
                <c:formatCode>General</c:formatCode>
                <c:ptCount val="2"/>
                <c:pt idx="0">
                  <c:v>0</c:v>
                </c:pt>
              </c:numCache>
            </c:numRef>
          </c:val>
          <c:extLst>
            <c:ext xmlns:c16="http://schemas.microsoft.com/office/drawing/2014/chart" uri="{C3380CC4-5D6E-409C-BE32-E72D297353CC}">
              <c16:uniqueId val="{00000010-43E7-4145-B94A-EDD4659A6B4D}"/>
            </c:ext>
          </c:extLst>
        </c:ser>
        <c:ser>
          <c:idx val="3"/>
          <c:order val="14"/>
          <c:tx>
            <c:strRef>
              <c:f>'2025'!$S$1:$S$2</c:f>
              <c:strCache>
                <c:ptCount val="2"/>
                <c:pt idx="0">
                  <c:v>Client</c:v>
                </c:pt>
              </c:strCache>
            </c:strRef>
          </c:tx>
          <c:spPr>
            <a:solidFill>
              <a:schemeClr val="accent4"/>
            </a:solidFill>
            <a:ln>
              <a:noFill/>
            </a:ln>
            <a:effectLst/>
          </c:spPr>
          <c:invertIfNegative val="0"/>
          <c:cat>
            <c:multiLvlStrRef>
              <c:f>'2025'!$A$3:$O$1774</c:f>
              <c:multiLvlStrCache>
                <c:ptCount val="2"/>
                <c:lvl>
                  <c:pt idx="0">
                    <c:v>Retard ?</c:v>
                  </c:pt>
                </c:lvl>
                <c:lvl>
                  <c:pt idx="0">
                    <c:v>SUITE NC</c:v>
                  </c:pt>
                  <c:pt idx="1">
                    <c:v>x</c:v>
                  </c:pt>
                </c:lvl>
                <c:lvl>
                  <c:pt idx="0">
                    <c:v>NC</c:v>
                  </c:pt>
                </c:lvl>
                <c:lvl>
                  <c:pt idx="0">
                    <c:v>CONF</c:v>
                  </c:pt>
                </c:lvl>
                <c:lvl>
                  <c:pt idx="0">
                    <c:v>ST</c:v>
                  </c:pt>
                  <c:pt idx="1">
                    <c:v>S2TF</c:v>
                  </c:pt>
                </c:lvl>
                <c:lvl>
                  <c:pt idx="0">
                    <c:v>COMPOSITION</c:v>
                  </c:pt>
                  <c:pt idx="1">
                    <c:v>G1206 n°1544+10 EX100</c:v>
                  </c:pt>
                </c:lvl>
                <c:lvl>
                  <c:pt idx="0">
                    <c:v>OTP</c:v>
                  </c:pt>
                  <c:pt idx="1">
                    <c:v>705</c:v>
                  </c:pt>
                </c:lvl>
                <c:lvl>
                  <c:pt idx="0">
                    <c:v>diffusé</c:v>
                  </c:pt>
                  <c:pt idx="1">
                    <c:v>Pas de liste de diffusion - relance faites a Romain SANE</c:v>
                  </c:pt>
                </c:lvl>
                <c:lvl>
                  <c:pt idx="0">
                    <c:v>téléchargé</c:v>
                  </c:pt>
                  <c:pt idx="1">
                    <c:v>ok</c:v>
                  </c:pt>
                </c:lvl>
                <c:lvl>
                  <c:pt idx="0">
                    <c:v>DESTINATION</c:v>
                  </c:pt>
                  <c:pt idx="1">
                    <c:v>SAINCAIZE</c:v>
                  </c:pt>
                </c:lvl>
                <c:lvl>
                  <c:pt idx="0">
                    <c:v>ORIGINE</c:v>
                  </c:pt>
                  <c:pt idx="1">
                    <c:v>JOIGNY</c:v>
                  </c:pt>
                </c:lvl>
                <c:lvl>
                  <c:pt idx="0">
                    <c:v>Numéro de spot</c:v>
                  </c:pt>
                  <c:pt idx="1">
                    <c:v>304</c:v>
                  </c:pt>
                </c:lvl>
                <c:lvl>
                  <c:pt idx="0">
                    <c:v>SEMAINE</c:v>
                  </c:pt>
                  <c:pt idx="1">
                    <c:v>13</c:v>
                  </c:pt>
                </c:lvl>
                <c:lvl>
                  <c:pt idx="0">
                    <c:v>DATE</c:v>
                  </c:pt>
                  <c:pt idx="1">
                    <c:v>28-mars</c:v>
                  </c:pt>
                </c:lvl>
                <c:lvl>
                  <c:pt idx="0">
                    <c:v>JOUR</c:v>
                  </c:pt>
                  <c:pt idx="1">
                    <c:v>VENDREDI</c:v>
                  </c:pt>
                </c:lvl>
              </c:multiLvlStrCache>
            </c:multiLvlStrRef>
          </c:cat>
          <c:val>
            <c:numRef>
              <c:f>'2025'!$S$3:$S$1774</c:f>
              <c:numCache>
                <c:formatCode>General</c:formatCode>
                <c:ptCount val="2"/>
                <c:pt idx="0">
                  <c:v>0</c:v>
                </c:pt>
              </c:numCache>
            </c:numRef>
          </c:val>
          <c:extLst>
            <c:ext xmlns:c16="http://schemas.microsoft.com/office/drawing/2014/chart" uri="{C3380CC4-5D6E-409C-BE32-E72D297353CC}">
              <c16:uniqueId val="{00000012-43E7-4145-B94A-EDD4659A6B4D}"/>
            </c:ext>
          </c:extLst>
        </c:ser>
        <c:ser>
          <c:idx val="4"/>
          <c:order val="15"/>
          <c:tx>
            <c:strRef>
              <c:f>'2025'!$T$1:$T$2</c:f>
              <c:strCache>
                <c:ptCount val="2"/>
                <c:pt idx="0">
                  <c:v>Client</c:v>
                </c:pt>
              </c:strCache>
            </c:strRef>
          </c:tx>
          <c:spPr>
            <a:solidFill>
              <a:schemeClr val="accent5"/>
            </a:solidFill>
            <a:ln>
              <a:noFill/>
            </a:ln>
            <a:effectLst/>
          </c:spPr>
          <c:invertIfNegative val="0"/>
          <c:cat>
            <c:multiLvlStrRef>
              <c:f>'2025'!$A$3:$O$1774</c:f>
              <c:multiLvlStrCache>
                <c:ptCount val="2"/>
                <c:lvl>
                  <c:pt idx="0">
                    <c:v>Retard ?</c:v>
                  </c:pt>
                </c:lvl>
                <c:lvl>
                  <c:pt idx="0">
                    <c:v>SUITE NC</c:v>
                  </c:pt>
                  <c:pt idx="1">
                    <c:v>x</c:v>
                  </c:pt>
                </c:lvl>
                <c:lvl>
                  <c:pt idx="0">
                    <c:v>NC</c:v>
                  </c:pt>
                </c:lvl>
                <c:lvl>
                  <c:pt idx="0">
                    <c:v>CONF</c:v>
                  </c:pt>
                </c:lvl>
                <c:lvl>
                  <c:pt idx="0">
                    <c:v>ST</c:v>
                  </c:pt>
                  <c:pt idx="1">
                    <c:v>S2TF</c:v>
                  </c:pt>
                </c:lvl>
                <c:lvl>
                  <c:pt idx="0">
                    <c:v>COMPOSITION</c:v>
                  </c:pt>
                  <c:pt idx="1">
                    <c:v>G1206 n°1544+10 EX100</c:v>
                  </c:pt>
                </c:lvl>
                <c:lvl>
                  <c:pt idx="0">
                    <c:v>OTP</c:v>
                  </c:pt>
                  <c:pt idx="1">
                    <c:v>705</c:v>
                  </c:pt>
                </c:lvl>
                <c:lvl>
                  <c:pt idx="0">
                    <c:v>diffusé</c:v>
                  </c:pt>
                  <c:pt idx="1">
                    <c:v>Pas de liste de diffusion - relance faites a Romain SANE</c:v>
                  </c:pt>
                </c:lvl>
                <c:lvl>
                  <c:pt idx="0">
                    <c:v>téléchargé</c:v>
                  </c:pt>
                  <c:pt idx="1">
                    <c:v>ok</c:v>
                  </c:pt>
                </c:lvl>
                <c:lvl>
                  <c:pt idx="0">
                    <c:v>DESTINATION</c:v>
                  </c:pt>
                  <c:pt idx="1">
                    <c:v>SAINCAIZE</c:v>
                  </c:pt>
                </c:lvl>
                <c:lvl>
                  <c:pt idx="0">
                    <c:v>ORIGINE</c:v>
                  </c:pt>
                  <c:pt idx="1">
                    <c:v>JOIGNY</c:v>
                  </c:pt>
                </c:lvl>
                <c:lvl>
                  <c:pt idx="0">
                    <c:v>Numéro de spot</c:v>
                  </c:pt>
                  <c:pt idx="1">
                    <c:v>304</c:v>
                  </c:pt>
                </c:lvl>
                <c:lvl>
                  <c:pt idx="0">
                    <c:v>SEMAINE</c:v>
                  </c:pt>
                  <c:pt idx="1">
                    <c:v>13</c:v>
                  </c:pt>
                </c:lvl>
                <c:lvl>
                  <c:pt idx="0">
                    <c:v>DATE</c:v>
                  </c:pt>
                  <c:pt idx="1">
                    <c:v>28-mars</c:v>
                  </c:pt>
                </c:lvl>
                <c:lvl>
                  <c:pt idx="0">
                    <c:v>JOUR</c:v>
                  </c:pt>
                  <c:pt idx="1">
                    <c:v>VENDREDI</c:v>
                  </c:pt>
                </c:lvl>
              </c:multiLvlStrCache>
            </c:multiLvlStrRef>
          </c:cat>
          <c:val>
            <c:numRef>
              <c:f>'2025'!$T$3:$T$1774</c:f>
              <c:numCache>
                <c:formatCode>General</c:formatCode>
                <c:ptCount val="2"/>
                <c:pt idx="0">
                  <c:v>0</c:v>
                </c:pt>
              </c:numCache>
            </c:numRef>
          </c:val>
          <c:extLst>
            <c:ext xmlns:c16="http://schemas.microsoft.com/office/drawing/2014/chart" uri="{C3380CC4-5D6E-409C-BE32-E72D297353CC}">
              <c16:uniqueId val="{00000014-43E7-4145-B94A-EDD4659A6B4D}"/>
            </c:ext>
          </c:extLst>
        </c:ser>
        <c:ser>
          <c:idx val="5"/>
          <c:order val="16"/>
          <c:tx>
            <c:strRef>
              <c:f>'2025'!$U$1:$U$2</c:f>
              <c:strCache>
                <c:ptCount val="2"/>
                <c:pt idx="0">
                  <c:v>Client</c:v>
                </c:pt>
              </c:strCache>
            </c:strRef>
          </c:tx>
          <c:spPr>
            <a:solidFill>
              <a:schemeClr val="accent6"/>
            </a:solidFill>
            <a:ln>
              <a:noFill/>
            </a:ln>
            <a:effectLst/>
          </c:spPr>
          <c:invertIfNegative val="0"/>
          <c:cat>
            <c:multiLvlStrRef>
              <c:f>'2025'!$A$3:$O$1774</c:f>
              <c:multiLvlStrCache>
                <c:ptCount val="2"/>
                <c:lvl>
                  <c:pt idx="0">
                    <c:v>Retard ?</c:v>
                  </c:pt>
                </c:lvl>
                <c:lvl>
                  <c:pt idx="0">
                    <c:v>SUITE NC</c:v>
                  </c:pt>
                  <c:pt idx="1">
                    <c:v>x</c:v>
                  </c:pt>
                </c:lvl>
                <c:lvl>
                  <c:pt idx="0">
                    <c:v>NC</c:v>
                  </c:pt>
                </c:lvl>
                <c:lvl>
                  <c:pt idx="0">
                    <c:v>CONF</c:v>
                  </c:pt>
                </c:lvl>
                <c:lvl>
                  <c:pt idx="0">
                    <c:v>ST</c:v>
                  </c:pt>
                  <c:pt idx="1">
                    <c:v>S2TF</c:v>
                  </c:pt>
                </c:lvl>
                <c:lvl>
                  <c:pt idx="0">
                    <c:v>COMPOSITION</c:v>
                  </c:pt>
                  <c:pt idx="1">
                    <c:v>G1206 n°1544+10 EX100</c:v>
                  </c:pt>
                </c:lvl>
                <c:lvl>
                  <c:pt idx="0">
                    <c:v>OTP</c:v>
                  </c:pt>
                  <c:pt idx="1">
                    <c:v>705</c:v>
                  </c:pt>
                </c:lvl>
                <c:lvl>
                  <c:pt idx="0">
                    <c:v>diffusé</c:v>
                  </c:pt>
                  <c:pt idx="1">
                    <c:v>Pas de liste de diffusion - relance faites a Romain SANE</c:v>
                  </c:pt>
                </c:lvl>
                <c:lvl>
                  <c:pt idx="0">
                    <c:v>téléchargé</c:v>
                  </c:pt>
                  <c:pt idx="1">
                    <c:v>ok</c:v>
                  </c:pt>
                </c:lvl>
                <c:lvl>
                  <c:pt idx="0">
                    <c:v>DESTINATION</c:v>
                  </c:pt>
                  <c:pt idx="1">
                    <c:v>SAINCAIZE</c:v>
                  </c:pt>
                </c:lvl>
                <c:lvl>
                  <c:pt idx="0">
                    <c:v>ORIGINE</c:v>
                  </c:pt>
                  <c:pt idx="1">
                    <c:v>JOIGNY</c:v>
                  </c:pt>
                </c:lvl>
                <c:lvl>
                  <c:pt idx="0">
                    <c:v>Numéro de spot</c:v>
                  </c:pt>
                  <c:pt idx="1">
                    <c:v>304</c:v>
                  </c:pt>
                </c:lvl>
                <c:lvl>
                  <c:pt idx="0">
                    <c:v>SEMAINE</c:v>
                  </c:pt>
                  <c:pt idx="1">
                    <c:v>13</c:v>
                  </c:pt>
                </c:lvl>
                <c:lvl>
                  <c:pt idx="0">
                    <c:v>DATE</c:v>
                  </c:pt>
                  <c:pt idx="1">
                    <c:v>28-mars</c:v>
                  </c:pt>
                </c:lvl>
                <c:lvl>
                  <c:pt idx="0">
                    <c:v>JOUR</c:v>
                  </c:pt>
                  <c:pt idx="1">
                    <c:v>VENDREDI</c:v>
                  </c:pt>
                </c:lvl>
              </c:multiLvlStrCache>
            </c:multiLvlStrRef>
          </c:cat>
          <c:val>
            <c:numRef>
              <c:f>'2025'!$U$3:$U$1774</c:f>
              <c:numCache>
                <c:formatCode>General</c:formatCode>
                <c:ptCount val="2"/>
                <c:pt idx="0">
                  <c:v>0</c:v>
                </c:pt>
              </c:numCache>
            </c:numRef>
          </c:val>
          <c:extLst>
            <c:ext xmlns:c16="http://schemas.microsoft.com/office/drawing/2014/chart" uri="{C3380CC4-5D6E-409C-BE32-E72D297353CC}">
              <c16:uniqueId val="{00000016-43E7-4145-B94A-EDD4659A6B4D}"/>
            </c:ext>
          </c:extLst>
        </c:ser>
        <c:ser>
          <c:idx val="6"/>
          <c:order val="17"/>
          <c:tx>
            <c:strRef>
              <c:f>'2025'!$V$1:$V$2</c:f>
              <c:strCache>
                <c:ptCount val="2"/>
                <c:pt idx="0">
                  <c:v>Client</c:v>
                </c:pt>
              </c:strCache>
            </c:strRef>
          </c:tx>
          <c:spPr>
            <a:solidFill>
              <a:schemeClr val="accent1">
                <a:lumMod val="60000"/>
              </a:schemeClr>
            </a:solidFill>
            <a:ln>
              <a:noFill/>
            </a:ln>
            <a:effectLst/>
          </c:spPr>
          <c:invertIfNegative val="0"/>
          <c:cat>
            <c:multiLvlStrRef>
              <c:f>'2025'!$A$3:$O$1774</c:f>
              <c:multiLvlStrCache>
                <c:ptCount val="2"/>
                <c:lvl>
                  <c:pt idx="0">
                    <c:v>Retard ?</c:v>
                  </c:pt>
                </c:lvl>
                <c:lvl>
                  <c:pt idx="0">
                    <c:v>SUITE NC</c:v>
                  </c:pt>
                  <c:pt idx="1">
                    <c:v>x</c:v>
                  </c:pt>
                </c:lvl>
                <c:lvl>
                  <c:pt idx="0">
                    <c:v>NC</c:v>
                  </c:pt>
                </c:lvl>
                <c:lvl>
                  <c:pt idx="0">
                    <c:v>CONF</c:v>
                  </c:pt>
                </c:lvl>
                <c:lvl>
                  <c:pt idx="0">
                    <c:v>ST</c:v>
                  </c:pt>
                  <c:pt idx="1">
                    <c:v>S2TF</c:v>
                  </c:pt>
                </c:lvl>
                <c:lvl>
                  <c:pt idx="0">
                    <c:v>COMPOSITION</c:v>
                  </c:pt>
                  <c:pt idx="1">
                    <c:v>G1206 n°1544+10 EX100</c:v>
                  </c:pt>
                </c:lvl>
                <c:lvl>
                  <c:pt idx="0">
                    <c:v>OTP</c:v>
                  </c:pt>
                  <c:pt idx="1">
                    <c:v>705</c:v>
                  </c:pt>
                </c:lvl>
                <c:lvl>
                  <c:pt idx="0">
                    <c:v>diffusé</c:v>
                  </c:pt>
                  <c:pt idx="1">
                    <c:v>Pas de liste de diffusion - relance faites a Romain SANE</c:v>
                  </c:pt>
                </c:lvl>
                <c:lvl>
                  <c:pt idx="0">
                    <c:v>téléchargé</c:v>
                  </c:pt>
                  <c:pt idx="1">
                    <c:v>ok</c:v>
                  </c:pt>
                </c:lvl>
                <c:lvl>
                  <c:pt idx="0">
                    <c:v>DESTINATION</c:v>
                  </c:pt>
                  <c:pt idx="1">
                    <c:v>SAINCAIZE</c:v>
                  </c:pt>
                </c:lvl>
                <c:lvl>
                  <c:pt idx="0">
                    <c:v>ORIGINE</c:v>
                  </c:pt>
                  <c:pt idx="1">
                    <c:v>JOIGNY</c:v>
                  </c:pt>
                </c:lvl>
                <c:lvl>
                  <c:pt idx="0">
                    <c:v>Numéro de spot</c:v>
                  </c:pt>
                  <c:pt idx="1">
                    <c:v>304</c:v>
                  </c:pt>
                </c:lvl>
                <c:lvl>
                  <c:pt idx="0">
                    <c:v>SEMAINE</c:v>
                  </c:pt>
                  <c:pt idx="1">
                    <c:v>13</c:v>
                  </c:pt>
                </c:lvl>
                <c:lvl>
                  <c:pt idx="0">
                    <c:v>DATE</c:v>
                  </c:pt>
                  <c:pt idx="1">
                    <c:v>28-mars</c:v>
                  </c:pt>
                </c:lvl>
                <c:lvl>
                  <c:pt idx="0">
                    <c:v>JOUR</c:v>
                  </c:pt>
                  <c:pt idx="1">
                    <c:v>VENDREDI</c:v>
                  </c:pt>
                </c:lvl>
              </c:multiLvlStrCache>
            </c:multiLvlStrRef>
          </c:cat>
          <c:val>
            <c:numRef>
              <c:f>'2025'!$V$3:$V$1774</c:f>
              <c:numCache>
                <c:formatCode>General</c:formatCode>
                <c:ptCount val="2"/>
                <c:pt idx="0">
                  <c:v>0</c:v>
                </c:pt>
              </c:numCache>
            </c:numRef>
          </c:val>
          <c:extLst>
            <c:ext xmlns:c16="http://schemas.microsoft.com/office/drawing/2014/chart" uri="{C3380CC4-5D6E-409C-BE32-E72D297353CC}">
              <c16:uniqueId val="{00000018-43E7-4145-B94A-EDD4659A6B4D}"/>
            </c:ext>
          </c:extLst>
        </c:ser>
        <c:ser>
          <c:idx val="7"/>
          <c:order val="18"/>
          <c:tx>
            <c:strRef>
              <c:f>'2025'!$W$1:$W$2</c:f>
              <c:strCache>
                <c:ptCount val="2"/>
                <c:pt idx="0">
                  <c:v>Client</c:v>
                </c:pt>
              </c:strCache>
            </c:strRef>
          </c:tx>
          <c:spPr>
            <a:solidFill>
              <a:schemeClr val="accent2">
                <a:lumMod val="60000"/>
              </a:schemeClr>
            </a:solidFill>
            <a:ln>
              <a:noFill/>
            </a:ln>
            <a:effectLst/>
          </c:spPr>
          <c:invertIfNegative val="0"/>
          <c:cat>
            <c:multiLvlStrRef>
              <c:f>'2025'!$A$3:$O$1774</c:f>
              <c:multiLvlStrCache>
                <c:ptCount val="2"/>
                <c:lvl>
                  <c:pt idx="0">
                    <c:v>Retard ?</c:v>
                  </c:pt>
                </c:lvl>
                <c:lvl>
                  <c:pt idx="0">
                    <c:v>SUITE NC</c:v>
                  </c:pt>
                  <c:pt idx="1">
                    <c:v>x</c:v>
                  </c:pt>
                </c:lvl>
                <c:lvl>
                  <c:pt idx="0">
                    <c:v>NC</c:v>
                  </c:pt>
                </c:lvl>
                <c:lvl>
                  <c:pt idx="0">
                    <c:v>CONF</c:v>
                  </c:pt>
                </c:lvl>
                <c:lvl>
                  <c:pt idx="0">
                    <c:v>ST</c:v>
                  </c:pt>
                  <c:pt idx="1">
                    <c:v>S2TF</c:v>
                  </c:pt>
                </c:lvl>
                <c:lvl>
                  <c:pt idx="0">
                    <c:v>COMPOSITION</c:v>
                  </c:pt>
                  <c:pt idx="1">
                    <c:v>G1206 n°1544+10 EX100</c:v>
                  </c:pt>
                </c:lvl>
                <c:lvl>
                  <c:pt idx="0">
                    <c:v>OTP</c:v>
                  </c:pt>
                  <c:pt idx="1">
                    <c:v>705</c:v>
                  </c:pt>
                </c:lvl>
                <c:lvl>
                  <c:pt idx="0">
                    <c:v>diffusé</c:v>
                  </c:pt>
                  <c:pt idx="1">
                    <c:v>Pas de liste de diffusion - relance faites a Romain SANE</c:v>
                  </c:pt>
                </c:lvl>
                <c:lvl>
                  <c:pt idx="0">
                    <c:v>téléchargé</c:v>
                  </c:pt>
                  <c:pt idx="1">
                    <c:v>ok</c:v>
                  </c:pt>
                </c:lvl>
                <c:lvl>
                  <c:pt idx="0">
                    <c:v>DESTINATION</c:v>
                  </c:pt>
                  <c:pt idx="1">
                    <c:v>SAINCAIZE</c:v>
                  </c:pt>
                </c:lvl>
                <c:lvl>
                  <c:pt idx="0">
                    <c:v>ORIGINE</c:v>
                  </c:pt>
                  <c:pt idx="1">
                    <c:v>JOIGNY</c:v>
                  </c:pt>
                </c:lvl>
                <c:lvl>
                  <c:pt idx="0">
                    <c:v>Numéro de spot</c:v>
                  </c:pt>
                  <c:pt idx="1">
                    <c:v>304</c:v>
                  </c:pt>
                </c:lvl>
                <c:lvl>
                  <c:pt idx="0">
                    <c:v>SEMAINE</c:v>
                  </c:pt>
                  <c:pt idx="1">
                    <c:v>13</c:v>
                  </c:pt>
                </c:lvl>
                <c:lvl>
                  <c:pt idx="0">
                    <c:v>DATE</c:v>
                  </c:pt>
                  <c:pt idx="1">
                    <c:v>28-mars</c:v>
                  </c:pt>
                </c:lvl>
                <c:lvl>
                  <c:pt idx="0">
                    <c:v>JOUR</c:v>
                  </c:pt>
                  <c:pt idx="1">
                    <c:v>VENDREDI</c:v>
                  </c:pt>
                </c:lvl>
              </c:multiLvlStrCache>
            </c:multiLvlStrRef>
          </c:cat>
          <c:val>
            <c:numRef>
              <c:f>'2025'!$W$3:$W$1774</c:f>
              <c:numCache>
                <c:formatCode>General</c:formatCode>
                <c:ptCount val="2"/>
                <c:pt idx="0">
                  <c:v>0</c:v>
                </c:pt>
                <c:pt idx="1">
                  <c:v>0</c:v>
                </c:pt>
              </c:numCache>
            </c:numRef>
          </c:val>
          <c:extLst>
            <c:ext xmlns:c16="http://schemas.microsoft.com/office/drawing/2014/chart" uri="{C3380CC4-5D6E-409C-BE32-E72D297353CC}">
              <c16:uniqueId val="{0000001A-43E7-4145-B94A-EDD4659A6B4D}"/>
            </c:ext>
          </c:extLst>
        </c:ser>
        <c:ser>
          <c:idx val="8"/>
          <c:order val="19"/>
          <c:tx>
            <c:strRef>
              <c:f>'2025'!$X$1:$X$2</c:f>
              <c:strCache>
                <c:ptCount val="2"/>
                <c:pt idx="0">
                  <c:v>Client</c:v>
                </c:pt>
              </c:strCache>
            </c:strRef>
          </c:tx>
          <c:spPr>
            <a:solidFill>
              <a:schemeClr val="accent3">
                <a:lumMod val="60000"/>
              </a:schemeClr>
            </a:solidFill>
            <a:ln>
              <a:noFill/>
            </a:ln>
            <a:effectLst/>
          </c:spPr>
          <c:invertIfNegative val="0"/>
          <c:cat>
            <c:multiLvlStrRef>
              <c:f>'2025'!$A$3:$O$1774</c:f>
              <c:multiLvlStrCache>
                <c:ptCount val="2"/>
                <c:lvl>
                  <c:pt idx="0">
                    <c:v>Retard ?</c:v>
                  </c:pt>
                </c:lvl>
                <c:lvl>
                  <c:pt idx="0">
                    <c:v>SUITE NC</c:v>
                  </c:pt>
                  <c:pt idx="1">
                    <c:v>x</c:v>
                  </c:pt>
                </c:lvl>
                <c:lvl>
                  <c:pt idx="0">
                    <c:v>NC</c:v>
                  </c:pt>
                </c:lvl>
                <c:lvl>
                  <c:pt idx="0">
                    <c:v>CONF</c:v>
                  </c:pt>
                </c:lvl>
                <c:lvl>
                  <c:pt idx="0">
                    <c:v>ST</c:v>
                  </c:pt>
                  <c:pt idx="1">
                    <c:v>S2TF</c:v>
                  </c:pt>
                </c:lvl>
                <c:lvl>
                  <c:pt idx="0">
                    <c:v>COMPOSITION</c:v>
                  </c:pt>
                  <c:pt idx="1">
                    <c:v>G1206 n°1544+10 EX100</c:v>
                  </c:pt>
                </c:lvl>
                <c:lvl>
                  <c:pt idx="0">
                    <c:v>OTP</c:v>
                  </c:pt>
                  <c:pt idx="1">
                    <c:v>705</c:v>
                  </c:pt>
                </c:lvl>
                <c:lvl>
                  <c:pt idx="0">
                    <c:v>diffusé</c:v>
                  </c:pt>
                  <c:pt idx="1">
                    <c:v>Pas de liste de diffusion - relance faites a Romain SANE</c:v>
                  </c:pt>
                </c:lvl>
                <c:lvl>
                  <c:pt idx="0">
                    <c:v>téléchargé</c:v>
                  </c:pt>
                  <c:pt idx="1">
                    <c:v>ok</c:v>
                  </c:pt>
                </c:lvl>
                <c:lvl>
                  <c:pt idx="0">
                    <c:v>DESTINATION</c:v>
                  </c:pt>
                  <c:pt idx="1">
                    <c:v>SAINCAIZE</c:v>
                  </c:pt>
                </c:lvl>
                <c:lvl>
                  <c:pt idx="0">
                    <c:v>ORIGINE</c:v>
                  </c:pt>
                  <c:pt idx="1">
                    <c:v>JOIGNY</c:v>
                  </c:pt>
                </c:lvl>
                <c:lvl>
                  <c:pt idx="0">
                    <c:v>Numéro de spot</c:v>
                  </c:pt>
                  <c:pt idx="1">
                    <c:v>304</c:v>
                  </c:pt>
                </c:lvl>
                <c:lvl>
                  <c:pt idx="0">
                    <c:v>SEMAINE</c:v>
                  </c:pt>
                  <c:pt idx="1">
                    <c:v>13</c:v>
                  </c:pt>
                </c:lvl>
                <c:lvl>
                  <c:pt idx="0">
                    <c:v>DATE</c:v>
                  </c:pt>
                  <c:pt idx="1">
                    <c:v>28-mars</c:v>
                  </c:pt>
                </c:lvl>
                <c:lvl>
                  <c:pt idx="0">
                    <c:v>JOUR</c:v>
                  </c:pt>
                  <c:pt idx="1">
                    <c:v>VENDREDI</c:v>
                  </c:pt>
                </c:lvl>
              </c:multiLvlStrCache>
            </c:multiLvlStrRef>
          </c:cat>
          <c:val>
            <c:numRef>
              <c:f>'2025'!$X$3:$X$1774</c:f>
              <c:numCache>
                <c:formatCode>General</c:formatCode>
                <c:ptCount val="2"/>
                <c:pt idx="0">
                  <c:v>0</c:v>
                </c:pt>
              </c:numCache>
            </c:numRef>
          </c:val>
          <c:extLst>
            <c:ext xmlns:c16="http://schemas.microsoft.com/office/drawing/2014/chart" uri="{C3380CC4-5D6E-409C-BE32-E72D297353CC}">
              <c16:uniqueId val="{0000001C-43E7-4145-B94A-EDD4659A6B4D}"/>
            </c:ext>
          </c:extLst>
        </c:ser>
        <c:ser>
          <c:idx val="9"/>
          <c:order val="20"/>
          <c:tx>
            <c:strRef>
              <c:f>'2025'!$Y$1:$Y$2</c:f>
              <c:strCache>
                <c:ptCount val="2"/>
                <c:pt idx="0">
                  <c:v>Client</c:v>
                </c:pt>
              </c:strCache>
            </c:strRef>
          </c:tx>
          <c:spPr>
            <a:solidFill>
              <a:schemeClr val="accent4">
                <a:lumMod val="60000"/>
              </a:schemeClr>
            </a:solidFill>
            <a:ln>
              <a:noFill/>
            </a:ln>
            <a:effectLst/>
          </c:spPr>
          <c:invertIfNegative val="0"/>
          <c:cat>
            <c:multiLvlStrRef>
              <c:f>'2025'!$A$3:$O$1774</c:f>
              <c:multiLvlStrCache>
                <c:ptCount val="2"/>
                <c:lvl>
                  <c:pt idx="0">
                    <c:v>Retard ?</c:v>
                  </c:pt>
                </c:lvl>
                <c:lvl>
                  <c:pt idx="0">
                    <c:v>SUITE NC</c:v>
                  </c:pt>
                  <c:pt idx="1">
                    <c:v>x</c:v>
                  </c:pt>
                </c:lvl>
                <c:lvl>
                  <c:pt idx="0">
                    <c:v>NC</c:v>
                  </c:pt>
                </c:lvl>
                <c:lvl>
                  <c:pt idx="0">
                    <c:v>CONF</c:v>
                  </c:pt>
                </c:lvl>
                <c:lvl>
                  <c:pt idx="0">
                    <c:v>ST</c:v>
                  </c:pt>
                  <c:pt idx="1">
                    <c:v>S2TF</c:v>
                  </c:pt>
                </c:lvl>
                <c:lvl>
                  <c:pt idx="0">
                    <c:v>COMPOSITION</c:v>
                  </c:pt>
                  <c:pt idx="1">
                    <c:v>G1206 n°1544+10 EX100</c:v>
                  </c:pt>
                </c:lvl>
                <c:lvl>
                  <c:pt idx="0">
                    <c:v>OTP</c:v>
                  </c:pt>
                  <c:pt idx="1">
                    <c:v>705</c:v>
                  </c:pt>
                </c:lvl>
                <c:lvl>
                  <c:pt idx="0">
                    <c:v>diffusé</c:v>
                  </c:pt>
                  <c:pt idx="1">
                    <c:v>Pas de liste de diffusion - relance faites a Romain SANE</c:v>
                  </c:pt>
                </c:lvl>
                <c:lvl>
                  <c:pt idx="0">
                    <c:v>téléchargé</c:v>
                  </c:pt>
                  <c:pt idx="1">
                    <c:v>ok</c:v>
                  </c:pt>
                </c:lvl>
                <c:lvl>
                  <c:pt idx="0">
                    <c:v>DESTINATION</c:v>
                  </c:pt>
                  <c:pt idx="1">
                    <c:v>SAINCAIZE</c:v>
                  </c:pt>
                </c:lvl>
                <c:lvl>
                  <c:pt idx="0">
                    <c:v>ORIGINE</c:v>
                  </c:pt>
                  <c:pt idx="1">
                    <c:v>JOIGNY</c:v>
                  </c:pt>
                </c:lvl>
                <c:lvl>
                  <c:pt idx="0">
                    <c:v>Numéro de spot</c:v>
                  </c:pt>
                  <c:pt idx="1">
                    <c:v>304</c:v>
                  </c:pt>
                </c:lvl>
                <c:lvl>
                  <c:pt idx="0">
                    <c:v>SEMAINE</c:v>
                  </c:pt>
                  <c:pt idx="1">
                    <c:v>13</c:v>
                  </c:pt>
                </c:lvl>
                <c:lvl>
                  <c:pt idx="0">
                    <c:v>DATE</c:v>
                  </c:pt>
                  <c:pt idx="1">
                    <c:v>28-mars</c:v>
                  </c:pt>
                </c:lvl>
                <c:lvl>
                  <c:pt idx="0">
                    <c:v>JOUR</c:v>
                  </c:pt>
                  <c:pt idx="1">
                    <c:v>VENDREDI</c:v>
                  </c:pt>
                </c:lvl>
              </c:multiLvlStrCache>
            </c:multiLvlStrRef>
          </c:cat>
          <c:val>
            <c:numRef>
              <c:f>'2025'!$Y$3:$Y$1774</c:f>
              <c:numCache>
                <c:formatCode>General</c:formatCode>
                <c:ptCount val="2"/>
                <c:pt idx="0">
                  <c:v>0</c:v>
                </c:pt>
              </c:numCache>
            </c:numRef>
          </c:val>
          <c:extLst>
            <c:ext xmlns:c16="http://schemas.microsoft.com/office/drawing/2014/chart" uri="{C3380CC4-5D6E-409C-BE32-E72D297353CC}">
              <c16:uniqueId val="{0000001E-43E7-4145-B94A-EDD4659A6B4D}"/>
            </c:ext>
          </c:extLst>
        </c:ser>
        <c:ser>
          <c:idx val="10"/>
          <c:order val="21"/>
          <c:tx>
            <c:strRef>
              <c:f>'2025'!$Z$1:$Z$2</c:f>
              <c:strCache>
                <c:ptCount val="2"/>
                <c:pt idx="0">
                  <c:v>Client</c:v>
                </c:pt>
              </c:strCache>
            </c:strRef>
          </c:tx>
          <c:spPr>
            <a:solidFill>
              <a:schemeClr val="accent5">
                <a:lumMod val="60000"/>
              </a:schemeClr>
            </a:solidFill>
            <a:ln>
              <a:noFill/>
            </a:ln>
            <a:effectLst/>
          </c:spPr>
          <c:invertIfNegative val="0"/>
          <c:cat>
            <c:multiLvlStrRef>
              <c:f>'2025'!$A$3:$O$1774</c:f>
              <c:multiLvlStrCache>
                <c:ptCount val="2"/>
                <c:lvl>
                  <c:pt idx="0">
                    <c:v>Retard ?</c:v>
                  </c:pt>
                </c:lvl>
                <c:lvl>
                  <c:pt idx="0">
                    <c:v>SUITE NC</c:v>
                  </c:pt>
                  <c:pt idx="1">
                    <c:v>x</c:v>
                  </c:pt>
                </c:lvl>
                <c:lvl>
                  <c:pt idx="0">
                    <c:v>NC</c:v>
                  </c:pt>
                </c:lvl>
                <c:lvl>
                  <c:pt idx="0">
                    <c:v>CONF</c:v>
                  </c:pt>
                </c:lvl>
                <c:lvl>
                  <c:pt idx="0">
                    <c:v>ST</c:v>
                  </c:pt>
                  <c:pt idx="1">
                    <c:v>S2TF</c:v>
                  </c:pt>
                </c:lvl>
                <c:lvl>
                  <c:pt idx="0">
                    <c:v>COMPOSITION</c:v>
                  </c:pt>
                  <c:pt idx="1">
                    <c:v>G1206 n°1544+10 EX100</c:v>
                  </c:pt>
                </c:lvl>
                <c:lvl>
                  <c:pt idx="0">
                    <c:v>OTP</c:v>
                  </c:pt>
                  <c:pt idx="1">
                    <c:v>705</c:v>
                  </c:pt>
                </c:lvl>
                <c:lvl>
                  <c:pt idx="0">
                    <c:v>diffusé</c:v>
                  </c:pt>
                  <c:pt idx="1">
                    <c:v>Pas de liste de diffusion - relance faites a Romain SANE</c:v>
                  </c:pt>
                </c:lvl>
                <c:lvl>
                  <c:pt idx="0">
                    <c:v>téléchargé</c:v>
                  </c:pt>
                  <c:pt idx="1">
                    <c:v>ok</c:v>
                  </c:pt>
                </c:lvl>
                <c:lvl>
                  <c:pt idx="0">
                    <c:v>DESTINATION</c:v>
                  </c:pt>
                  <c:pt idx="1">
                    <c:v>SAINCAIZE</c:v>
                  </c:pt>
                </c:lvl>
                <c:lvl>
                  <c:pt idx="0">
                    <c:v>ORIGINE</c:v>
                  </c:pt>
                  <c:pt idx="1">
                    <c:v>JOIGNY</c:v>
                  </c:pt>
                </c:lvl>
                <c:lvl>
                  <c:pt idx="0">
                    <c:v>Numéro de spot</c:v>
                  </c:pt>
                  <c:pt idx="1">
                    <c:v>304</c:v>
                  </c:pt>
                </c:lvl>
                <c:lvl>
                  <c:pt idx="0">
                    <c:v>SEMAINE</c:v>
                  </c:pt>
                  <c:pt idx="1">
                    <c:v>13</c:v>
                  </c:pt>
                </c:lvl>
                <c:lvl>
                  <c:pt idx="0">
                    <c:v>DATE</c:v>
                  </c:pt>
                  <c:pt idx="1">
                    <c:v>28-mars</c:v>
                  </c:pt>
                </c:lvl>
                <c:lvl>
                  <c:pt idx="0">
                    <c:v>JOUR</c:v>
                  </c:pt>
                  <c:pt idx="1">
                    <c:v>VENDREDI</c:v>
                  </c:pt>
                </c:lvl>
              </c:multiLvlStrCache>
            </c:multiLvlStrRef>
          </c:cat>
          <c:val>
            <c:numRef>
              <c:f>'2025'!$Z$3:$Z$1774</c:f>
              <c:numCache>
                <c:formatCode>General</c:formatCode>
                <c:ptCount val="2"/>
                <c:pt idx="0">
                  <c:v>0</c:v>
                </c:pt>
              </c:numCache>
            </c:numRef>
          </c:val>
          <c:extLst>
            <c:ext xmlns:c16="http://schemas.microsoft.com/office/drawing/2014/chart" uri="{C3380CC4-5D6E-409C-BE32-E72D297353CC}">
              <c16:uniqueId val="{00000020-43E7-4145-B94A-EDD4659A6B4D}"/>
            </c:ext>
          </c:extLst>
        </c:ser>
        <c:dLbls>
          <c:showLegendKey val="0"/>
          <c:showVal val="0"/>
          <c:showCatName val="0"/>
          <c:showSerName val="0"/>
          <c:showPercent val="0"/>
          <c:showBubbleSize val="0"/>
        </c:dLbls>
        <c:gapWidth val="219"/>
        <c:overlap val="-27"/>
        <c:axId val="990553791"/>
        <c:axId val="990550911"/>
      </c:barChart>
      <c:catAx>
        <c:axId val="99055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90550911"/>
        <c:crosses val="autoZero"/>
        <c:auto val="1"/>
        <c:lblAlgn val="ctr"/>
        <c:lblOffset val="100"/>
        <c:noMultiLvlLbl val="0"/>
      </c:catAx>
      <c:valAx>
        <c:axId val="990550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90553791"/>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chart>
  <c:txPr>
    <a:bodyPr/>
    <a:lstStyle/>
    <a:p>
      <a:pPr>
        <a:defRPr/>
      </a:pPr>
      <a:endParaRPr lang="fr-FR"/>
    </a:p>
  </c:tx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B4FC31C-5C99-4C70-AB8E-F09A9B9D9053}">
  <sheetPr codeName="Graphique1"/>
  <sheetViews>
    <sheetView zoomScale="114"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absoluteAnchor>
    <xdr:pos x="0" y="0"/>
    <xdr:ext cx="9299408" cy="6074276"/>
    <xdr:graphicFrame macro="">
      <xdr:nvGraphicFramePr>
        <xdr:cNvPr id="2" name="Graphique 1">
          <a:extLst>
            <a:ext uri="{FF2B5EF4-FFF2-40B4-BE49-F238E27FC236}">
              <a16:creationId xmlns:a16="http://schemas.microsoft.com/office/drawing/2014/main" id="{028D6D20-A0E3-42C6-5F42-0FE683E4610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xdr:from>
      <xdr:col>5</xdr:col>
      <xdr:colOff>1270000</xdr:colOff>
      <xdr:row>508</xdr:row>
      <xdr:rowOff>158750</xdr:rowOff>
    </xdr:from>
    <xdr:to>
      <xdr:col>5</xdr:col>
      <xdr:colOff>3111500</xdr:colOff>
      <xdr:row>508</xdr:row>
      <xdr:rowOff>254000</xdr:rowOff>
    </xdr:to>
    <xdr:cxnSp macro="">
      <xdr:nvCxnSpPr>
        <xdr:cNvPr id="3" name="Connecteur droit 1">
          <a:extLst>
            <a:ext uri="{FF2B5EF4-FFF2-40B4-BE49-F238E27FC236}">
              <a16:creationId xmlns:a16="http://schemas.microsoft.com/office/drawing/2014/main" id="{C4D88805-31D0-4316-833D-B163C2B0C721}"/>
            </a:ext>
          </a:extLst>
        </xdr:cNvPr>
        <xdr:cNvCxnSpPr/>
      </xdr:nvCxnSpPr>
      <xdr:spPr>
        <a:xfrm flipV="1">
          <a:off x="16824325" y="32705675"/>
          <a:ext cx="1841500" cy="952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1066800</xdr:colOff>
      <xdr:row>686</xdr:row>
      <xdr:rowOff>152400</xdr:rowOff>
    </xdr:from>
    <xdr:to>
      <xdr:col>5</xdr:col>
      <xdr:colOff>1962150</xdr:colOff>
      <xdr:row>686</xdr:row>
      <xdr:rowOff>209550</xdr:rowOff>
    </xdr:to>
    <xdr:cxnSp macro="">
      <xdr:nvCxnSpPr>
        <xdr:cNvPr id="2" name="Connecteur droit 1">
          <a:extLst>
            <a:ext uri="{FF2B5EF4-FFF2-40B4-BE49-F238E27FC236}">
              <a16:creationId xmlns:a16="http://schemas.microsoft.com/office/drawing/2014/main" id="{49B5D3AE-9762-4457-9AE0-98DD8B13F55F}"/>
            </a:ext>
          </a:extLst>
        </xdr:cNvPr>
        <xdr:cNvCxnSpPr/>
      </xdr:nvCxnSpPr>
      <xdr:spPr>
        <a:xfrm flipV="1">
          <a:off x="8801100" y="60274200"/>
          <a:ext cx="895350" cy="571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1000125</xdr:colOff>
      <xdr:row>839</xdr:row>
      <xdr:rowOff>381000</xdr:rowOff>
    </xdr:from>
    <xdr:to>
      <xdr:col>4</xdr:col>
      <xdr:colOff>1743075</xdr:colOff>
      <xdr:row>839</xdr:row>
      <xdr:rowOff>476250</xdr:rowOff>
    </xdr:to>
    <xdr:sp macro="" textlink="">
      <xdr:nvSpPr>
        <xdr:cNvPr id="4" name="Connecteur droit 2">
          <a:extLst>
            <a:ext uri="{FF2B5EF4-FFF2-40B4-BE49-F238E27FC236}">
              <a16:creationId xmlns:a16="http://schemas.microsoft.com/office/drawing/2014/main" id="{43651AF1-4082-4A9E-BEBE-9CDC0D586DE2}"/>
            </a:ext>
          </a:extLst>
        </xdr:cNvPr>
        <xdr:cNvSpPr>
          <a:spLocks noChangeShapeType="1"/>
        </xdr:cNvSpPr>
      </xdr:nvSpPr>
      <xdr:spPr bwMode="auto">
        <a:xfrm>
          <a:off x="9102725" y="67125850"/>
          <a:ext cx="742950" cy="95250"/>
        </a:xfrm>
        <a:prstGeom prst="line">
          <a:avLst/>
        </a:prstGeom>
        <a:noFill/>
        <a:ln w="6350">
          <a:solidFill>
            <a:srgbClr val="4472C4"/>
          </a:solidFill>
          <a:miter lim="800000"/>
          <a:headEnd/>
          <a:tailEnd/>
        </a:ln>
        <a:extLst>
          <a:ext uri="{909E8E84-426E-40DD-AFC4-6F175D3DCCD1}">
            <a14:hiddenFill xmlns:a14="http://schemas.microsoft.com/office/drawing/2010/main">
              <a:noFill/>
            </a14:hiddenFill>
          </a:ext>
        </a:extLst>
      </xdr:spPr>
    </xdr:sp>
    <xdr:clientData/>
  </xdr:twoCellAnchor>
  <xdr:twoCellAnchor>
    <xdr:from>
      <xdr:col>5</xdr:col>
      <xdr:colOff>1000125</xdr:colOff>
      <xdr:row>839</xdr:row>
      <xdr:rowOff>381000</xdr:rowOff>
    </xdr:from>
    <xdr:to>
      <xdr:col>5</xdr:col>
      <xdr:colOff>1743075</xdr:colOff>
      <xdr:row>839</xdr:row>
      <xdr:rowOff>476250</xdr:rowOff>
    </xdr:to>
    <xdr:sp macro="" textlink="">
      <xdr:nvSpPr>
        <xdr:cNvPr id="5" name="Connecteur droit 2">
          <a:extLst>
            <a:ext uri="{FF2B5EF4-FFF2-40B4-BE49-F238E27FC236}">
              <a16:creationId xmlns:a16="http://schemas.microsoft.com/office/drawing/2014/main" id="{8B08AEDF-E69D-4DE6-93AB-7E027BC913AB}"/>
            </a:ext>
          </a:extLst>
        </xdr:cNvPr>
        <xdr:cNvSpPr>
          <a:spLocks noChangeShapeType="1"/>
        </xdr:cNvSpPr>
      </xdr:nvSpPr>
      <xdr:spPr bwMode="auto">
        <a:xfrm>
          <a:off x="9102725" y="67125850"/>
          <a:ext cx="742950" cy="95250"/>
        </a:xfrm>
        <a:prstGeom prst="line">
          <a:avLst/>
        </a:prstGeom>
        <a:noFill/>
        <a:ln w="6350">
          <a:solidFill>
            <a:srgbClr val="4472C4"/>
          </a:solidFill>
          <a:miter lim="800000"/>
          <a:headEnd/>
          <a:tailEnd/>
        </a:ln>
        <a:extLst>
          <a:ext uri="{909E8E84-426E-40DD-AFC4-6F175D3DCCD1}">
            <a14:hiddenFill xmlns:a14="http://schemas.microsoft.com/office/drawing/2010/main">
              <a:noFill/>
            </a14:hiddenFill>
          </a:ext>
        </a:extLst>
      </xdr:spPr>
    </xdr:sp>
    <xdr:clientData/>
  </xdr:twoCellAnchor>
  <xdr:twoCellAnchor>
    <xdr:from>
      <xdr:col>5</xdr:col>
      <xdr:colOff>1377950</xdr:colOff>
      <xdr:row>995</xdr:row>
      <xdr:rowOff>190500</xdr:rowOff>
    </xdr:from>
    <xdr:to>
      <xdr:col>5</xdr:col>
      <xdr:colOff>2120900</xdr:colOff>
      <xdr:row>995</xdr:row>
      <xdr:rowOff>285750</xdr:rowOff>
    </xdr:to>
    <xdr:sp macro="" textlink="">
      <xdr:nvSpPr>
        <xdr:cNvPr id="3" name="Connecteur droit 2">
          <a:extLst>
            <a:ext uri="{FF2B5EF4-FFF2-40B4-BE49-F238E27FC236}">
              <a16:creationId xmlns:a16="http://schemas.microsoft.com/office/drawing/2014/main" id="{CDE5ECCD-2279-4E16-BC37-8DC7A4EFBC9C}"/>
            </a:ext>
          </a:extLst>
        </xdr:cNvPr>
        <xdr:cNvSpPr>
          <a:spLocks noChangeShapeType="1"/>
        </xdr:cNvSpPr>
      </xdr:nvSpPr>
      <xdr:spPr bwMode="auto">
        <a:xfrm>
          <a:off x="8407400" y="38100000"/>
          <a:ext cx="742950" cy="95250"/>
        </a:xfrm>
        <a:prstGeom prst="line">
          <a:avLst/>
        </a:prstGeom>
        <a:noFill/>
        <a:ln w="6350">
          <a:solidFill>
            <a:srgbClr val="4472C4"/>
          </a:solidFill>
          <a:miter lim="800000"/>
          <a:headEnd/>
          <a:tailEnd/>
        </a:ln>
        <a:extLst>
          <a:ext uri="{909E8E84-426E-40DD-AFC4-6F175D3DCCD1}">
            <a14:hiddenFill xmlns:a14="http://schemas.microsoft.com/office/drawing/2010/main">
              <a:noFill/>
            </a14:hiddenFill>
          </a:ext>
        </a:extLst>
      </xdr:spPr>
    </xdr:sp>
    <xdr:clientData/>
  </xdr:twoCellAnchor>
  <xdr:twoCellAnchor>
    <xdr:from>
      <xdr:col>4</xdr:col>
      <xdr:colOff>165100</xdr:colOff>
      <xdr:row>1026</xdr:row>
      <xdr:rowOff>203200</xdr:rowOff>
    </xdr:from>
    <xdr:to>
      <xdr:col>4</xdr:col>
      <xdr:colOff>1358900</xdr:colOff>
      <xdr:row>1026</xdr:row>
      <xdr:rowOff>254000</xdr:rowOff>
    </xdr:to>
    <xdr:cxnSp macro="">
      <xdr:nvCxnSpPr>
        <xdr:cNvPr id="6" name="Connecteur droit 5">
          <a:extLst>
            <a:ext uri="{FF2B5EF4-FFF2-40B4-BE49-F238E27FC236}">
              <a16:creationId xmlns:a16="http://schemas.microsoft.com/office/drawing/2014/main" id="{396F025F-EF18-4F9B-A969-945EF92A338D}"/>
            </a:ext>
          </a:extLst>
        </xdr:cNvPr>
        <xdr:cNvCxnSpPr/>
      </xdr:nvCxnSpPr>
      <xdr:spPr>
        <a:xfrm>
          <a:off x="4670425" y="48047275"/>
          <a:ext cx="1193800" cy="508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2159000</xdr:colOff>
      <xdr:row>1027</xdr:row>
      <xdr:rowOff>190500</xdr:rowOff>
    </xdr:from>
    <xdr:to>
      <xdr:col>5</xdr:col>
      <xdr:colOff>3416300</xdr:colOff>
      <xdr:row>1027</xdr:row>
      <xdr:rowOff>215900</xdr:rowOff>
    </xdr:to>
    <xdr:cxnSp macro="">
      <xdr:nvCxnSpPr>
        <xdr:cNvPr id="7" name="Connecteur droit avec flèche 6">
          <a:extLst>
            <a:ext uri="{FF2B5EF4-FFF2-40B4-BE49-F238E27FC236}">
              <a16:creationId xmlns:a16="http://schemas.microsoft.com/office/drawing/2014/main" id="{164D25AA-6F09-4615-BB5A-2BB01396F8CE}"/>
            </a:ext>
          </a:extLst>
        </xdr:cNvPr>
        <xdr:cNvCxnSpPr/>
      </xdr:nvCxnSpPr>
      <xdr:spPr>
        <a:xfrm flipV="1">
          <a:off x="9626600" y="48758475"/>
          <a:ext cx="1257300" cy="2540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1547812</xdr:colOff>
      <xdr:row>1964</xdr:row>
      <xdr:rowOff>166687</xdr:rowOff>
    </xdr:from>
    <xdr:to>
      <xdr:col>5</xdr:col>
      <xdr:colOff>2786062</xdr:colOff>
      <xdr:row>1964</xdr:row>
      <xdr:rowOff>214312</xdr:rowOff>
    </xdr:to>
    <xdr:cxnSp macro="">
      <xdr:nvCxnSpPr>
        <xdr:cNvPr id="8" name="Connecteur droit 7">
          <a:extLst>
            <a:ext uri="{FF2B5EF4-FFF2-40B4-BE49-F238E27FC236}">
              <a16:creationId xmlns:a16="http://schemas.microsoft.com/office/drawing/2014/main" id="{9DBA3550-2B88-419E-AB77-DF1F95DC3B6D}"/>
            </a:ext>
          </a:extLst>
        </xdr:cNvPr>
        <xdr:cNvCxnSpPr/>
      </xdr:nvCxnSpPr>
      <xdr:spPr>
        <a:xfrm>
          <a:off x="15857537" y="21480462"/>
          <a:ext cx="1238250" cy="539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219597</xdr:colOff>
      <xdr:row>3</xdr:row>
      <xdr:rowOff>41869</xdr:rowOff>
    </xdr:from>
    <xdr:to>
      <xdr:col>0</xdr:col>
      <xdr:colOff>907246</xdr:colOff>
      <xdr:row>3</xdr:row>
      <xdr:rowOff>735868</xdr:rowOff>
    </xdr:to>
    <xdr:pic>
      <xdr:nvPicPr>
        <xdr:cNvPr id="2" name="Graphique 1" descr="Cycle avec des personnes avec un remplissage uni">
          <a:extLst>
            <a:ext uri="{FF2B5EF4-FFF2-40B4-BE49-F238E27FC236}">
              <a16:creationId xmlns:a16="http://schemas.microsoft.com/office/drawing/2014/main" id="{3CD67151-FF8F-4E67-B0DD-570D855581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19597" y="822919"/>
          <a:ext cx="687649" cy="693999"/>
        </a:xfrm>
        <a:prstGeom prst="rect">
          <a:avLst/>
        </a:prstGeom>
      </xdr:spPr>
    </xdr:pic>
    <xdr:clientData/>
  </xdr:twoCellAnchor>
  <xdr:twoCellAnchor editAs="oneCell">
    <xdr:from>
      <xdr:col>0</xdr:col>
      <xdr:colOff>115138</xdr:colOff>
      <xdr:row>6</xdr:row>
      <xdr:rowOff>83738</xdr:rowOff>
    </xdr:from>
    <xdr:to>
      <xdr:col>0</xdr:col>
      <xdr:colOff>858297</xdr:colOff>
      <xdr:row>6</xdr:row>
      <xdr:rowOff>830072</xdr:rowOff>
    </xdr:to>
    <xdr:pic>
      <xdr:nvPicPr>
        <xdr:cNvPr id="3" name="Graphique 2" descr="Aspiration avec un remplissage uni">
          <a:extLst>
            <a:ext uri="{FF2B5EF4-FFF2-40B4-BE49-F238E27FC236}">
              <a16:creationId xmlns:a16="http://schemas.microsoft.com/office/drawing/2014/main" id="{A6342C7A-8F12-413B-A7E5-0D075FFDD4A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5138" y="5151038"/>
          <a:ext cx="743159" cy="746334"/>
        </a:xfrm>
        <a:prstGeom prst="rect">
          <a:avLst/>
        </a:prstGeom>
      </xdr:spPr>
    </xdr:pic>
    <xdr:clientData/>
  </xdr:twoCellAnchor>
  <xdr:twoCellAnchor editAs="oneCell">
    <xdr:from>
      <xdr:col>0</xdr:col>
      <xdr:colOff>10466</xdr:colOff>
      <xdr:row>7</xdr:row>
      <xdr:rowOff>1276979</xdr:rowOff>
    </xdr:from>
    <xdr:to>
      <xdr:col>0</xdr:col>
      <xdr:colOff>921691</xdr:colOff>
      <xdr:row>7</xdr:row>
      <xdr:rowOff>2191379</xdr:rowOff>
    </xdr:to>
    <xdr:pic>
      <xdr:nvPicPr>
        <xdr:cNvPr id="4" name="Graphique 3" descr="Cône de signalisation avec un remplissage uni">
          <a:extLst>
            <a:ext uri="{FF2B5EF4-FFF2-40B4-BE49-F238E27FC236}">
              <a16:creationId xmlns:a16="http://schemas.microsoft.com/office/drawing/2014/main" id="{C24BED3B-01C5-434A-A228-78DB4E42186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0466" y="7258679"/>
          <a:ext cx="911225" cy="914400"/>
        </a:xfrm>
        <a:prstGeom prst="rect">
          <a:avLst/>
        </a:prstGeom>
      </xdr:spPr>
    </xdr:pic>
    <xdr:clientData/>
  </xdr:twoCellAnchor>
  <xdr:twoCellAnchor editAs="oneCell">
    <xdr:from>
      <xdr:col>0</xdr:col>
      <xdr:colOff>225201</xdr:colOff>
      <xdr:row>5</xdr:row>
      <xdr:rowOff>1125268</xdr:rowOff>
    </xdr:from>
    <xdr:to>
      <xdr:col>0</xdr:col>
      <xdr:colOff>875098</xdr:colOff>
      <xdr:row>5</xdr:row>
      <xdr:rowOff>1791040</xdr:rowOff>
    </xdr:to>
    <xdr:pic>
      <xdr:nvPicPr>
        <xdr:cNvPr id="5" name="Graphique 4" descr="Homme ouvrier du bâtiment avec un remplissage uni">
          <a:extLst>
            <a:ext uri="{FF2B5EF4-FFF2-40B4-BE49-F238E27FC236}">
              <a16:creationId xmlns:a16="http://schemas.microsoft.com/office/drawing/2014/main" id="{39E6DD2C-18D6-46A5-91D9-7B0AAD66C53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25201" y="4655121"/>
          <a:ext cx="649897" cy="665772"/>
        </a:xfrm>
        <a:prstGeom prst="rect">
          <a:avLst/>
        </a:prstGeom>
      </xdr:spPr>
    </xdr:pic>
    <xdr:clientData/>
  </xdr:twoCellAnchor>
  <xdr:twoCellAnchor editAs="oneCell">
    <xdr:from>
      <xdr:col>0</xdr:col>
      <xdr:colOff>162301</xdr:colOff>
      <xdr:row>4</xdr:row>
      <xdr:rowOff>296648</xdr:rowOff>
    </xdr:from>
    <xdr:to>
      <xdr:col>0</xdr:col>
      <xdr:colOff>808082</xdr:colOff>
      <xdr:row>4</xdr:row>
      <xdr:rowOff>942429</xdr:rowOff>
    </xdr:to>
    <xdr:pic>
      <xdr:nvPicPr>
        <xdr:cNvPr id="6" name="Graphique 5" descr="Santé mentale avec un remplissage uni">
          <a:extLst>
            <a:ext uri="{FF2B5EF4-FFF2-40B4-BE49-F238E27FC236}">
              <a16:creationId xmlns:a16="http://schemas.microsoft.com/office/drawing/2014/main" id="{6FF367D3-2622-4CD3-8CCB-0080D9D5014C}"/>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62301" y="1868273"/>
          <a:ext cx="645781" cy="645781"/>
        </a:xfrm>
        <a:prstGeom prst="rect">
          <a:avLst/>
        </a:prstGeom>
      </xdr:spPr>
    </xdr:pic>
    <xdr:clientData/>
  </xdr:twoCellAnchor>
  <xdr:twoCellAnchor editAs="oneCell">
    <xdr:from>
      <xdr:col>0</xdr:col>
      <xdr:colOff>0</xdr:colOff>
      <xdr:row>0</xdr:row>
      <xdr:rowOff>89647</xdr:rowOff>
    </xdr:from>
    <xdr:to>
      <xdr:col>1</xdr:col>
      <xdr:colOff>216087</xdr:colOff>
      <xdr:row>3</xdr:row>
      <xdr:rowOff>197359</xdr:rowOff>
    </xdr:to>
    <xdr:pic>
      <xdr:nvPicPr>
        <xdr:cNvPr id="7" name="Image 6">
          <a:extLst>
            <a:ext uri="{FF2B5EF4-FFF2-40B4-BE49-F238E27FC236}">
              <a16:creationId xmlns:a16="http://schemas.microsoft.com/office/drawing/2014/main" id="{C0715DF4-3C0E-4100-AE49-AED1A812735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0" y="89647"/>
          <a:ext cx="1273362" cy="888762"/>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LO-WANE Rackie" id="{917C239B-13AF-4901-9358-06B35B3BDF7E}" userId="S::rackie.lo-wane@vinci-construction.com::9c168c2f-34ea-41f0-a0fd-42ba5104dc90"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EF Benjamin" refreshedDate="45859.76009074074" createdVersion="8" refreshedVersion="8" minRefreshableVersion="3" recordCount="189" xr:uid="{31E3F9BD-3E52-4713-B365-B8559A54BC79}">
  <cacheSource type="worksheet">
    <worksheetSource name="Tableau7"/>
  </cacheSource>
  <cacheFields count="25">
    <cacheField name="JOUR" numFmtId="0">
      <sharedItems/>
    </cacheField>
    <cacheField name="DATE" numFmtId="16">
      <sharedItems containsSemiMixedTypes="0" containsNonDate="0" containsDate="1" containsString="0" minDate="2025-01-06T00:00:00" maxDate="2025-07-19T00:00:00" count="87">
        <d v="2025-01-06T00:00:00"/>
        <d v="2025-01-09T00:00:00"/>
        <d v="2025-01-10T00:00:00"/>
        <d v="2025-01-13T00:00:00"/>
        <d v="2025-01-14T00:00:00"/>
        <d v="2025-01-15T00:00:00"/>
        <d v="2025-01-16T00:00:00"/>
        <d v="2025-01-17T00:00:00"/>
        <d v="2025-01-18T00:00:00"/>
        <d v="2025-01-20T00:00:00"/>
        <d v="2025-01-21T00:00:00"/>
        <d v="2025-01-24T00:00:00"/>
        <d v="2025-01-27T00:00:00"/>
        <d v="2025-01-28T00:00:00"/>
        <d v="2025-01-29T00:00:00"/>
        <d v="2025-01-30T00:00:00"/>
        <d v="2025-01-31T00:00:00"/>
        <d v="2025-02-03T00:00:00"/>
        <d v="2025-02-04T00:00:00"/>
        <d v="2025-02-05T00:00:00"/>
        <d v="2025-02-07T00:00:00"/>
        <d v="2025-02-10T00:00:00"/>
        <d v="2025-02-11T00:00:00"/>
        <d v="2025-02-12T00:00:00"/>
        <d v="2025-02-13T00:00:00"/>
        <d v="2025-02-14T00:00:00"/>
        <d v="2025-03-05T00:00:00"/>
        <d v="2025-03-07T00:00:00"/>
        <d v="2025-03-12T00:00:00"/>
        <d v="2025-03-14T00:00:00"/>
        <d v="2025-03-20T00:00:00"/>
        <d v="2025-03-21T00:00:00"/>
        <d v="2025-03-31T00:00:00"/>
        <d v="2025-04-01T00:00:00"/>
        <d v="2025-04-02T00:00:00"/>
        <d v="2025-04-03T00:00:00"/>
        <d v="2025-04-05T00:00:00"/>
        <d v="2025-04-09T00:00:00"/>
        <d v="2025-04-10T00:00:00"/>
        <d v="2025-04-11T00:00:00"/>
        <d v="2025-04-14T00:00:00"/>
        <d v="2025-04-15T00:00:00"/>
        <d v="2025-04-16T00:00:00"/>
        <d v="2025-04-17T00:00:00"/>
        <d v="2025-04-18T00:00:00"/>
        <d v="2025-04-21T00:00:00"/>
        <d v="2025-04-22T00:00:00"/>
        <d v="2025-04-23T00:00:00"/>
        <d v="2025-04-24T00:00:00"/>
        <d v="2025-04-25T00:00:00"/>
        <d v="2025-04-26T00:00:00"/>
        <d v="2025-04-28T00:00:00"/>
        <d v="2025-04-29T00:00:00"/>
        <d v="2025-04-30T00:00:00"/>
        <d v="2025-05-02T00:00:00"/>
        <d v="2025-05-05T00:00:00"/>
        <d v="2025-05-06T00:00:00"/>
        <d v="2025-05-07T00:00:00"/>
        <d v="2025-05-08T00:00:00"/>
        <d v="2025-05-12T00:00:00"/>
        <d v="2025-05-14T00:00:00"/>
        <d v="2025-05-20T00:00:00"/>
        <d v="2025-05-21T00:00:00"/>
        <d v="2025-05-22T00:00:00"/>
        <d v="2025-05-23T00:00:00"/>
        <d v="2025-05-26T00:00:00"/>
        <d v="2025-05-27T00:00:00"/>
        <d v="2025-05-28T00:00:00"/>
        <d v="2025-06-03T00:00:00"/>
        <d v="2025-06-05T00:00:00"/>
        <d v="2025-06-06T00:00:00"/>
        <d v="2025-06-10T00:00:00"/>
        <d v="2025-06-16T00:00:00"/>
        <d v="2025-06-17T00:00:00"/>
        <d v="2025-06-18T00:00:00"/>
        <d v="2025-06-23T00:00:00"/>
        <d v="2025-06-24T00:00:00"/>
        <d v="2025-06-26T00:00:00"/>
        <d v="2025-06-27T00:00:00"/>
        <d v="2025-06-30T00:00:00"/>
        <d v="2025-07-01T00:00:00"/>
        <d v="2025-07-02T00:00:00"/>
        <d v="2025-07-03T00:00:00"/>
        <d v="2025-07-04T00:00:00"/>
        <d v="2025-07-11T00:00:00"/>
        <d v="2025-07-12T00:00:00"/>
        <d v="2025-07-18T00:00:00"/>
      </sharedItems>
      <fieldGroup par="24"/>
    </cacheField>
    <cacheField name="SEMAINE" numFmtId="0">
      <sharedItems containsBlank="1" containsMixedTypes="1" containsNumber="1" containsInteger="1" minValue="2" maxValue="28"/>
    </cacheField>
    <cacheField name="Colonne1" numFmtId="0">
      <sharedItems containsNonDate="0" containsString="0" containsBlank="1"/>
    </cacheField>
    <cacheField name="ORIGINE" numFmtId="0">
      <sharedItems/>
    </cacheField>
    <cacheField name="DESTINATION" numFmtId="0">
      <sharedItems/>
    </cacheField>
    <cacheField name="OTP" numFmtId="0">
      <sharedItems containsSemiMixedTypes="0" containsString="0" containsNumber="1" containsInteger="1" minValue="712" maxValue="712"/>
    </cacheField>
    <cacheField name="COMPOSITION" numFmtId="0">
      <sharedItems containsBlank="1" containsMixedTypes="1" containsNumber="1" containsInteger="1" minValue="1122" maxValue="60093"/>
    </cacheField>
    <cacheField name="ST" numFmtId="0">
      <sharedItems containsBlank="1"/>
    </cacheField>
    <cacheField name="CONF" numFmtId="0">
      <sharedItems containsBlank="1" count="4">
        <s v="x"/>
        <m/>
        <s v="FERROTRACT"/>
        <s v="Transifer"/>
      </sharedItems>
    </cacheField>
    <cacheField name="NC" numFmtId="0">
      <sharedItems containsBlank="1" count="2">
        <m/>
        <s v="x"/>
      </sharedItems>
    </cacheField>
    <cacheField name="SUITE NC" numFmtId="0">
      <sharedItems containsBlank="1"/>
    </cacheField>
    <cacheField name="Retard ?" numFmtId="0">
      <sharedItems containsBlank="1"/>
    </cacheField>
    <cacheField name="CAUSE NC" numFmtId="0">
      <sharedItems containsBlank="1"/>
    </cacheField>
    <cacheField name="SOUS-CAUSE NC" numFmtId="0">
      <sharedItems containsBlank="1"/>
    </cacheField>
    <cacheField name="OTP " numFmtId="0">
      <sharedItems containsBlank="1"/>
    </cacheField>
    <cacheField name="CALÉ" numFmtId="0">
      <sharedItems containsBlank="1" containsMixedTypes="1" containsNumber="1" containsInteger="1" minValue="1" maxValue="1"/>
    </cacheField>
    <cacheField name="REPRISE RAME_x000a_CALÉE" numFmtId="0">
      <sharedItems containsBlank="1"/>
    </cacheField>
    <cacheField name="AJOUT ACHE EN OP" numFmtId="0">
      <sharedItems containsBlank="1"/>
    </cacheField>
    <cacheField name="TAXI AUTORISÉ EN OP" numFmtId="0">
      <sharedItems containsBlank="1"/>
    </cacheField>
    <cacheField name="DETAIL NON-CONFORMITE" numFmtId="0">
      <sharedItems containsBlank="1"/>
    </cacheField>
    <cacheField name="ACTIONS" numFmtId="0">
      <sharedItems containsBlank="1"/>
    </cacheField>
    <cacheField name="NC REGLES RH" numFmtId="0">
      <sharedItems containsBlank="1"/>
    </cacheField>
    <cacheField name="Jours (DATE)" numFmtId="0" databaseField="0">
      <fieldGroup base="1">
        <rangePr groupBy="days" startDate="2025-01-06T00:00:00" endDate="2025-07-19T00:00:00"/>
        <groupItems count="368">
          <s v="&lt;06/01/2025"/>
          <s v="01-janv"/>
          <s v="02-janv"/>
          <s v="03-janv"/>
          <s v="04-janv"/>
          <s v="05-janv"/>
          <s v="06-janv"/>
          <s v="07-janv"/>
          <s v="08-janv"/>
          <s v="09-janv"/>
          <s v="10-janv"/>
          <s v="11-janv"/>
          <s v="12-janv"/>
          <s v="13-janv"/>
          <s v="14-janv"/>
          <s v="15-janv"/>
          <s v="16-janv"/>
          <s v="17-janv"/>
          <s v="18-janv"/>
          <s v="19-janv"/>
          <s v="20-janv"/>
          <s v="21-janv"/>
          <s v="22-janv"/>
          <s v="23-janv"/>
          <s v="24-janv"/>
          <s v="25-janv"/>
          <s v="26-janv"/>
          <s v="27-janv"/>
          <s v="28-janv"/>
          <s v="29-janv"/>
          <s v="30-janv"/>
          <s v="31-janv"/>
          <s v="01-févr"/>
          <s v="02-févr"/>
          <s v="03-févr"/>
          <s v="04-févr"/>
          <s v="05-févr"/>
          <s v="06-févr"/>
          <s v="07-févr"/>
          <s v="08-févr"/>
          <s v="09-févr"/>
          <s v="10-févr"/>
          <s v="11-févr"/>
          <s v="12-févr"/>
          <s v="13-févr"/>
          <s v="14-févr"/>
          <s v="15-févr"/>
          <s v="16-févr"/>
          <s v="17-févr"/>
          <s v="18-févr"/>
          <s v="19-févr"/>
          <s v="20-févr"/>
          <s v="21-févr"/>
          <s v="22-févr"/>
          <s v="23-févr"/>
          <s v="24-févr"/>
          <s v="25-févr"/>
          <s v="26-févr"/>
          <s v="27-févr"/>
          <s v="28-févr"/>
          <s v="29-févr"/>
          <s v="01-mars"/>
          <s v="02-mars"/>
          <s v="03-mars"/>
          <s v="04-mars"/>
          <s v="05-mars"/>
          <s v="06-mars"/>
          <s v="07-mars"/>
          <s v="08-mars"/>
          <s v="09-mars"/>
          <s v="10-mars"/>
          <s v="11-mars"/>
          <s v="12-mars"/>
          <s v="13-mars"/>
          <s v="14-mars"/>
          <s v="15-mars"/>
          <s v="16-mars"/>
          <s v="17-mars"/>
          <s v="18-mars"/>
          <s v="19-mars"/>
          <s v="20-mars"/>
          <s v="21-mars"/>
          <s v="22-mars"/>
          <s v="23-mars"/>
          <s v="24-mars"/>
          <s v="25-mars"/>
          <s v="26-mars"/>
          <s v="27-mars"/>
          <s v="28-mars"/>
          <s v="29-mars"/>
          <s v="30-mars"/>
          <s v="31-mars"/>
          <s v="01-avr"/>
          <s v="02-avr"/>
          <s v="03-avr"/>
          <s v="04-avr"/>
          <s v="05-avr"/>
          <s v="06-avr"/>
          <s v="07-avr"/>
          <s v="08-avr"/>
          <s v="09-avr"/>
          <s v="10-avr"/>
          <s v="11-avr"/>
          <s v="12-avr"/>
          <s v="13-avr"/>
          <s v="14-avr"/>
          <s v="15-avr"/>
          <s v="16-avr"/>
          <s v="17-avr"/>
          <s v="18-avr"/>
          <s v="19-avr"/>
          <s v="20-avr"/>
          <s v="21-avr"/>
          <s v="22-avr"/>
          <s v="23-avr"/>
          <s v="24-avr"/>
          <s v="25-avr"/>
          <s v="26-avr"/>
          <s v="27-avr"/>
          <s v="28-avr"/>
          <s v="29-avr"/>
          <s v="30-av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in"/>
          <s v="02-juin"/>
          <s v="03-juin"/>
          <s v="04-juin"/>
          <s v="05-juin"/>
          <s v="06-juin"/>
          <s v="07-juin"/>
          <s v="08-juin"/>
          <s v="09-juin"/>
          <s v="10-juin"/>
          <s v="11-juin"/>
          <s v="12-juin"/>
          <s v="13-juin"/>
          <s v="14-juin"/>
          <s v="15-juin"/>
          <s v="16-juin"/>
          <s v="17-juin"/>
          <s v="18-juin"/>
          <s v="19-juin"/>
          <s v="20-juin"/>
          <s v="21-juin"/>
          <s v="22-juin"/>
          <s v="23-juin"/>
          <s v="24-juin"/>
          <s v="25-juin"/>
          <s v="26-juin"/>
          <s v="27-juin"/>
          <s v="28-juin"/>
          <s v="29-juin"/>
          <s v="30-juin"/>
          <s v="01-juil"/>
          <s v="02-juil"/>
          <s v="03-juil"/>
          <s v="04-juil"/>
          <s v="05-juil"/>
          <s v="06-juil"/>
          <s v="07-juil"/>
          <s v="08-juil"/>
          <s v="09-juil"/>
          <s v="10-juil"/>
          <s v="11-juil"/>
          <s v="12-juil"/>
          <s v="13-juil"/>
          <s v="14-juil"/>
          <s v="15-juil"/>
          <s v="16-juil"/>
          <s v="17-juil"/>
          <s v="18-juil"/>
          <s v="19-juil"/>
          <s v="20-juil"/>
          <s v="21-juil"/>
          <s v="22-juil"/>
          <s v="23-juil"/>
          <s v="24-juil"/>
          <s v="25-juil"/>
          <s v="26-juil"/>
          <s v="27-juil"/>
          <s v="28-juil"/>
          <s v="29-juil"/>
          <s v="30-juil"/>
          <s v="31-juil"/>
          <s v="01-août"/>
          <s v="02-août"/>
          <s v="03-août"/>
          <s v="04-août"/>
          <s v="05-août"/>
          <s v="06-août"/>
          <s v="07-août"/>
          <s v="08-août"/>
          <s v="09-août"/>
          <s v="10-août"/>
          <s v="11-août"/>
          <s v="12-août"/>
          <s v="13-août"/>
          <s v="14-août"/>
          <s v="15-août"/>
          <s v="16-août"/>
          <s v="17-août"/>
          <s v="18-août"/>
          <s v="19-août"/>
          <s v="20-août"/>
          <s v="21-août"/>
          <s v="22-août"/>
          <s v="23-août"/>
          <s v="24-août"/>
          <s v="25-août"/>
          <s v="26-août"/>
          <s v="27-août"/>
          <s v="28-août"/>
          <s v="29-août"/>
          <s v="30-août"/>
          <s v="31-août"/>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éc"/>
          <s v="02-déc"/>
          <s v="03-déc"/>
          <s v="04-déc"/>
          <s v="05-déc"/>
          <s v="06-déc"/>
          <s v="07-déc"/>
          <s v="08-déc"/>
          <s v="09-déc"/>
          <s v="10-déc"/>
          <s v="11-déc"/>
          <s v="12-déc"/>
          <s v="13-déc"/>
          <s v="14-déc"/>
          <s v="15-déc"/>
          <s v="16-déc"/>
          <s v="17-déc"/>
          <s v="18-déc"/>
          <s v="19-déc"/>
          <s v="20-déc"/>
          <s v="21-déc"/>
          <s v="22-déc"/>
          <s v="23-déc"/>
          <s v="24-déc"/>
          <s v="25-déc"/>
          <s v="26-déc"/>
          <s v="27-déc"/>
          <s v="28-déc"/>
          <s v="29-déc"/>
          <s v="30-déc"/>
          <s v="31-déc"/>
          <s v="&gt;19/07/2025"/>
        </groupItems>
      </fieldGroup>
    </cacheField>
    <cacheField name="Mois (DATE)" numFmtId="0" databaseField="0">
      <fieldGroup base="1">
        <rangePr groupBy="months" startDate="2025-01-06T00:00:00" endDate="2025-07-19T00:00:00"/>
        <groupItems count="14">
          <s v="&lt;06/01/2025"/>
          <s v="janv"/>
          <s v="févr"/>
          <s v="mars"/>
          <s v="avr"/>
          <s v="mai"/>
          <s v="juin"/>
          <s v="juil"/>
          <s v="août"/>
          <s v="sept"/>
          <s v="oct"/>
          <s v="nov"/>
          <s v="déc"/>
          <s v="&gt;19/07/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9">
  <r>
    <s v="LUNDI"/>
    <x v="0"/>
    <n v="2"/>
    <m/>
    <s v="PTH"/>
    <s v="LANDY"/>
    <n v="712"/>
    <s v="G1038"/>
    <m/>
    <x v="0"/>
    <x v="0"/>
    <m/>
    <m/>
    <m/>
    <m/>
    <m/>
    <m/>
    <m/>
    <m/>
    <m/>
    <m/>
    <m/>
    <m/>
  </r>
  <r>
    <s v="JEUDI"/>
    <x v="1"/>
    <n v="2"/>
    <m/>
    <s v="GIEVRES"/>
    <s v="VSG 1/2"/>
    <n v="712"/>
    <s v="G1206 n°1121 + 6R93"/>
    <m/>
    <x v="1"/>
    <x v="1"/>
    <m/>
    <m/>
    <s v="Client"/>
    <s v="Panne machine "/>
    <s v="ETF TRAVAUX MECA  //   A955.LOL2595707"/>
    <m/>
    <m/>
    <m/>
    <m/>
    <s v="4h en plus après l'arrivée à VSG pour _x000a_&gt; gonfler la  60000 qui ne démarrait pas (a nécessité de manœuvrer la G12)_x000a_&gt; manœuvrer pour faire de la place à VSG pour dépose des wagons"/>
    <m/>
    <s v="11 h de JS pour P. THEVENET "/>
  </r>
  <r>
    <s v="JEUDI"/>
    <x v="1"/>
    <n v="2"/>
    <m/>
    <s v="ST LEU"/>
    <s v="JUVISY 1/2"/>
    <n v="712"/>
    <s v="V212 n°580-0 "/>
    <m/>
    <x v="1"/>
    <x v="1"/>
    <m/>
    <m/>
    <s v="Client"/>
    <s v="Panne machine "/>
    <s v="ETF  SUD EST   //   A955.LOL2593715"/>
    <m/>
    <m/>
    <m/>
    <m/>
    <s v="ecart horaire soumis de 60min car machine HS,  pas dispo avant 12h00 (marche départ a 11h20) + Maintenance jusqu’à 13h10 _x000a_1h45 de retard au départ "/>
    <m/>
    <m/>
  </r>
  <r>
    <s v="VENDREDI"/>
    <x v="2"/>
    <n v="2"/>
    <m/>
    <s v="VSG"/>
    <s v="JOIGNY 2/2"/>
    <n v="712"/>
    <s v="G1206 n°1121 "/>
    <m/>
    <x v="0"/>
    <x v="0"/>
    <m/>
    <m/>
    <m/>
    <m/>
    <m/>
    <m/>
    <m/>
    <m/>
    <m/>
    <m/>
    <m/>
    <s v="Temps de Repos Y LARFI non respecté. 9h20 (A reboucler avec Rackie)"/>
  </r>
  <r>
    <s v="VENDREDI"/>
    <x v="2"/>
    <n v="2"/>
    <m/>
    <s v="JUVISY"/>
    <s v="LES AUBRAIS 2/2"/>
    <n v="712"/>
    <s v="V212 n°580-0 "/>
    <m/>
    <x v="1"/>
    <x v="1"/>
    <m/>
    <m/>
    <s v="Client"/>
    <s v="Panne machine "/>
    <s v="ETF  SUD EST   //   A955.LOL2593715"/>
    <m/>
    <m/>
    <m/>
    <m/>
    <s v="panne machine"/>
    <m/>
    <m/>
  </r>
  <r>
    <s v="VENDREDI"/>
    <x v="2"/>
    <n v="2"/>
    <m/>
    <s v="GIEVRES"/>
    <s v="LES AUBRAIS   "/>
    <n v="712"/>
    <s v="V212 n°531-3 + 4 R93 "/>
    <s v="TRANSIFER"/>
    <x v="1"/>
    <x v="1"/>
    <m/>
    <m/>
    <s v="Client"/>
    <s v="Panne machine "/>
    <s v="ETF  SUD EST   //   A955.LOL2593715"/>
    <m/>
    <m/>
    <m/>
    <m/>
    <s v="train calé à Vierzon, panne machine"/>
    <m/>
    <m/>
  </r>
  <r>
    <s v="VENDREDI"/>
    <x v="2"/>
    <n v="2"/>
    <m/>
    <s v="Chalons"/>
    <s v="CAVAILLON"/>
    <n v="712"/>
    <s v="BML n°993"/>
    <s v="TRANSIFER"/>
    <x v="0"/>
    <x v="0"/>
    <m/>
    <m/>
    <m/>
    <m/>
    <m/>
    <m/>
    <m/>
    <m/>
    <m/>
    <m/>
    <m/>
    <m/>
  </r>
  <r>
    <s v="LUNDI"/>
    <x v="3"/>
    <n v="3"/>
    <m/>
    <s v="JUVISY"/>
    <s v="LES AUBRAIS"/>
    <n v="712"/>
    <s v="V212 n°580-0"/>
    <s v="SNCF"/>
    <x v="0"/>
    <x v="0"/>
    <m/>
    <m/>
    <m/>
    <m/>
    <m/>
    <m/>
    <m/>
    <m/>
    <m/>
    <m/>
    <m/>
    <m/>
  </r>
  <r>
    <s v="LUNDI"/>
    <x v="3"/>
    <n v="3"/>
    <m/>
    <s v="Vierzon"/>
    <s v="LES AUBRAIS"/>
    <n v="712"/>
    <s v="V212 n°531-3 + 4 R93"/>
    <s v="TRANSIFER"/>
    <x v="1"/>
    <x v="1"/>
    <m/>
    <m/>
    <s v="Client"/>
    <s v="Panne machine "/>
    <s v="ETF ATLANTIQUE   //   A955.LOL2595716"/>
    <s v="x"/>
    <m/>
    <m/>
    <m/>
    <s v="Problème éléctrique bobine cramée"/>
    <m/>
    <m/>
  </r>
  <r>
    <s v="MARDI"/>
    <x v="4"/>
    <n v="3"/>
    <m/>
    <s v="joigny"/>
    <s v="Trappes 1/3"/>
    <n v="712"/>
    <s v="G1206 n°1121 + 4 EX100"/>
    <m/>
    <x v="0"/>
    <x v="0"/>
    <m/>
    <m/>
    <m/>
    <m/>
    <m/>
    <m/>
    <m/>
    <m/>
    <m/>
    <m/>
    <m/>
    <m/>
  </r>
  <r>
    <s v="MARDI"/>
    <x v="4"/>
    <n v="3"/>
    <m/>
    <s v="JUVISY"/>
    <s v="Gièvres 1/2"/>
    <n v="712"/>
    <s v="G1206 n°1838 + 15 wagons"/>
    <m/>
    <x v="1"/>
    <x v="1"/>
    <m/>
    <m/>
    <s v="Feroway"/>
    <s v="Loco non fuelé"/>
    <s v="ETF RGI   //   A955.LOL2593705"/>
    <s v="x"/>
    <m/>
    <m/>
    <m/>
    <s v="fuel inferieur à 8%, train calé à Juvisy //(cette loco a été acheminé depuis Laluque jusque St Pierre par ETMF. _x000a__x000a_Ils ont laissé la loco à 8% à ST- Pierre de C. ). Devait arriver mardi, est arrivé vendredi"/>
    <m/>
    <m/>
  </r>
  <r>
    <s v="MARDI"/>
    <x v="4"/>
    <n v="3"/>
    <m/>
    <s v="Vierzon"/>
    <s v="LES AUBRAIS"/>
    <n v="712"/>
    <s v="BR214"/>
    <s v="TRANSIFER"/>
    <x v="0"/>
    <x v="0"/>
    <m/>
    <m/>
    <m/>
    <m/>
    <m/>
    <m/>
    <s v="X"/>
    <m/>
    <m/>
    <m/>
    <m/>
    <m/>
  </r>
  <r>
    <s v="MARDI"/>
    <x v="4"/>
    <n v="3"/>
    <m/>
    <s v="Gièvres "/>
    <s v="Saincaize 2/2"/>
    <n v="712"/>
    <s v="G1206 n°1838"/>
    <m/>
    <x v="1"/>
    <x v="0"/>
    <s v="X"/>
    <m/>
    <s v="Feroway"/>
    <s v="défaut d'information "/>
    <s v="ETF ATLANTIQUE   //   A955.LOL2595716"/>
    <m/>
    <s v="X"/>
    <m/>
    <m/>
    <s v="fuel inferieur à 8%, train calé à Juvisy. Fuel recommandé trop tardivementla veille  "/>
    <m/>
    <m/>
  </r>
  <r>
    <s v="MERCREDI"/>
    <x v="5"/>
    <n v="3"/>
    <m/>
    <s v="Trappes"/>
    <s v="Rennes 2/3"/>
    <n v="712"/>
    <s v="G1206 n°1121 +  4 EX100"/>
    <s v="S2TF"/>
    <x v="0"/>
    <x v="0"/>
    <m/>
    <m/>
    <m/>
    <m/>
    <m/>
    <m/>
    <m/>
    <m/>
    <m/>
    <m/>
    <m/>
    <m/>
  </r>
  <r>
    <s v="JEUDI"/>
    <x v="6"/>
    <n v="3"/>
    <m/>
    <s v="JUVISY"/>
    <s v="Gièvres 1/2"/>
    <n v="712"/>
    <s v="G1206 n°1838 + 15 wagons"/>
    <s v="S2TF"/>
    <x v="0"/>
    <x v="0"/>
    <m/>
    <m/>
    <m/>
    <m/>
    <m/>
    <m/>
    <m/>
    <m/>
    <m/>
    <m/>
    <m/>
    <m/>
  </r>
  <r>
    <s v="JEUDI"/>
    <x v="6"/>
    <n v="3"/>
    <m/>
    <s v="Rennes"/>
    <s v="Brest 3/3"/>
    <n v="712"/>
    <s v="G1206 n°1121 + 4 EX100"/>
    <m/>
    <x v="0"/>
    <x v="0"/>
    <m/>
    <m/>
    <m/>
    <m/>
    <m/>
    <m/>
    <m/>
    <m/>
    <m/>
    <m/>
    <m/>
    <m/>
  </r>
  <r>
    <s v="VENDREDI"/>
    <x v="7"/>
    <n v="3"/>
    <m/>
    <s v="Brest"/>
    <s v="Le Mans"/>
    <n v="712"/>
    <s v="G1029 + 4EX100"/>
    <s v="S2TF"/>
    <x v="0"/>
    <x v="0"/>
    <m/>
    <m/>
    <m/>
    <m/>
    <m/>
    <m/>
    <m/>
    <m/>
    <m/>
    <m/>
    <m/>
    <m/>
  </r>
  <r>
    <s v="VENDREDI"/>
    <x v="7"/>
    <n v="3"/>
    <m/>
    <s v="Gièvres "/>
    <s v="Saincaize 2/2"/>
    <n v="712"/>
    <s v="G1206 n°1838"/>
    <s v="S2TF"/>
    <x v="0"/>
    <x v="0"/>
    <m/>
    <m/>
    <m/>
    <m/>
    <m/>
    <m/>
    <m/>
    <m/>
    <m/>
    <m/>
    <m/>
    <m/>
  </r>
  <r>
    <s v="VENDREDI"/>
    <x v="7"/>
    <n v="3"/>
    <m/>
    <s v="Trappes"/>
    <s v="LAB"/>
    <n v="712"/>
    <n v="60086"/>
    <s v="S2TF"/>
    <x v="0"/>
    <x v="0"/>
    <m/>
    <m/>
    <m/>
    <m/>
    <m/>
    <m/>
    <m/>
    <m/>
    <m/>
    <m/>
    <m/>
    <m/>
  </r>
  <r>
    <s v="SAMEDI"/>
    <x v="8"/>
    <n v="3"/>
    <m/>
    <s v="LE MANS "/>
    <s v="JUVISY 1/2"/>
    <n v="712"/>
    <s v="G1029 + 4EX100"/>
    <s v="S2TF"/>
    <x v="0"/>
    <x v="0"/>
    <m/>
    <m/>
    <m/>
    <m/>
    <m/>
    <m/>
    <m/>
    <m/>
    <m/>
    <m/>
    <m/>
    <m/>
  </r>
  <r>
    <s v="LUNDI"/>
    <x v="9"/>
    <n v="4"/>
    <m/>
    <s v="JUVISY"/>
    <s v="JOIGNY 2/2"/>
    <n v="712"/>
    <s v="G1029 + 4EX100"/>
    <m/>
    <x v="1"/>
    <x v="1"/>
    <m/>
    <m/>
    <s v="Client"/>
    <s v="Panne machine "/>
    <s v="ETF ATLANTIQUE   //   A955.LOL2595716"/>
    <m/>
    <m/>
    <m/>
    <m/>
    <s v="7 minutes de retard au départ - absence guide de dépannage + ordinateur de centrale HS"/>
    <m/>
    <m/>
  </r>
  <r>
    <s v="LUNDI"/>
    <x v="9"/>
    <n v="4"/>
    <m/>
    <s v="Laluque "/>
    <s v="poitiers 1/2"/>
    <n v="712"/>
    <s v="Bourreuse n°3486"/>
    <m/>
    <x v="2"/>
    <x v="0"/>
    <m/>
    <m/>
    <m/>
    <m/>
    <m/>
    <m/>
    <m/>
    <m/>
    <m/>
    <m/>
    <m/>
    <m/>
  </r>
  <r>
    <s v="MARDI"/>
    <x v="10"/>
    <n v="4"/>
    <m/>
    <s v="Poitiers"/>
    <s v="Gièvres 2/2"/>
    <n v="712"/>
    <s v="Bourreuse n°3486"/>
    <m/>
    <x v="3"/>
    <x v="0"/>
    <m/>
    <m/>
    <m/>
    <m/>
    <m/>
    <m/>
    <m/>
    <m/>
    <m/>
    <m/>
    <m/>
    <m/>
  </r>
  <r>
    <s v="MARDI"/>
    <x v="10"/>
    <n v="4"/>
    <m/>
    <s v="joigny"/>
    <s v="Vierzon"/>
    <n v="712"/>
    <s v="G1029 + 11 EX100"/>
    <m/>
    <x v="1"/>
    <x v="1"/>
    <m/>
    <m/>
    <s v="Client"/>
    <s v="Panne machine "/>
    <s v="ETF ATLANTIQUE   //   A955.LOL2595716"/>
    <s v="x"/>
    <m/>
    <m/>
    <m/>
    <s v="_x000a_calé aux aubrais suite panne G1029"/>
    <m/>
    <s v="11 de JS S. NEBOUT "/>
  </r>
  <r>
    <s v="VENDREDI"/>
    <x v="11"/>
    <n v="4"/>
    <m/>
    <s v="MBP"/>
    <s v="ST LEU"/>
    <n v="712"/>
    <s v="G1038 "/>
    <m/>
    <x v="1"/>
    <x v="1"/>
    <m/>
    <m/>
    <s v="Client"/>
    <s v="Autre"/>
    <s v="ETF ATLANTIQUE   //   A955.LOL2595716"/>
    <m/>
    <m/>
    <m/>
    <m/>
    <s v="Niveau liquide de refroidissement à 0 lors de la PC. Intervention à l'atelier de Beauchamp pour remplissage du liquide"/>
    <m/>
    <m/>
  </r>
  <r>
    <s v="VENDREDI"/>
    <x v="11"/>
    <n v="4"/>
    <m/>
    <s v="BENING"/>
    <s v="VAIRES"/>
    <n v="712"/>
    <n v="60020"/>
    <m/>
    <x v="0"/>
    <x v="0"/>
    <m/>
    <m/>
    <m/>
    <m/>
    <m/>
    <m/>
    <m/>
    <m/>
    <m/>
    <m/>
    <m/>
    <m/>
  </r>
  <r>
    <s v="LUNDI"/>
    <x v="12"/>
    <s v="5"/>
    <m/>
    <s v="Avignon - CHALON"/>
    <s v="montceau les mines  2/2"/>
    <n v="712"/>
    <s v="BML n°993"/>
    <s v="TRANSIFER"/>
    <x v="0"/>
    <x v="0"/>
    <m/>
    <m/>
    <m/>
    <m/>
    <m/>
    <m/>
    <m/>
    <m/>
    <m/>
    <s v="fait plutôt Lundi"/>
    <m/>
    <m/>
  </r>
  <r>
    <s v="MARDI"/>
    <x v="13"/>
    <s v="5"/>
    <m/>
    <s v="ST LEU"/>
    <s v="Vierzon 2/3"/>
    <n v="712"/>
    <s v="G1029+ G1038  + triplette VAD 365 + porte flèche (G1029 tracte)."/>
    <m/>
    <x v="1"/>
    <x v="0"/>
    <s v="X"/>
    <m/>
    <m/>
    <m/>
    <m/>
    <m/>
    <m/>
    <m/>
    <m/>
    <s v="Voir case ci-dessus"/>
    <m/>
    <m/>
  </r>
  <r>
    <s v="MERCREDI"/>
    <x v="14"/>
    <s v="5"/>
    <m/>
    <s v="St-Leu"/>
    <s v="Verberie (retournement)"/>
    <n v="712"/>
    <s v="G1029+WAD352+  Porte flèche double+ G1038"/>
    <m/>
    <x v="0"/>
    <x v="0"/>
    <m/>
    <s v="x"/>
    <s v="Client"/>
    <s v="Panne machine "/>
    <s v="ETF ATLANTIQUE   //   A955.LOL2595716"/>
    <m/>
    <m/>
    <m/>
    <m/>
    <s v="plus de 2h de retard suite maintenance G1038 (fuite)"/>
    <m/>
    <m/>
  </r>
  <r>
    <s v="MERCREDI"/>
    <x v="14"/>
    <s v="5"/>
    <m/>
    <s v="verberie"/>
    <s v="St Leu (retournement)"/>
    <n v="712"/>
    <s v="G1029+WAD352+  Porte flèche double+ G1038"/>
    <m/>
    <x v="1"/>
    <x v="1"/>
    <m/>
    <s v="x"/>
    <s v="Client"/>
    <s v="Panne machine "/>
    <s v="ETF ATLANTIQUE   //   A955.LOL2595716"/>
    <m/>
    <m/>
    <m/>
    <m/>
    <s v="plus de 2h de retard suite maintenance G1038"/>
    <m/>
    <m/>
  </r>
  <r>
    <s v="JEUDI"/>
    <x v="15"/>
    <s v="5"/>
    <m/>
    <s v="St-Leu"/>
    <s v="LES AUBRAIS"/>
    <n v="712"/>
    <s v="G1029+ G1038  + triplette VAD 365 + porte flèche (G1029 tracte)."/>
    <m/>
    <x v="1"/>
    <x v="0"/>
    <s v="X"/>
    <m/>
    <m/>
    <m/>
    <m/>
    <m/>
    <m/>
    <m/>
    <m/>
    <s v="retard au départ suite manœuvres (prévues la veille mais le retard pris n'a pu permettre des les réaliser)_x000a_"/>
    <m/>
    <m/>
  </r>
  <r>
    <s v="JEUDI"/>
    <x v="15"/>
    <s v="5"/>
    <m/>
    <s v="les aubrais"/>
    <s v="Vierzon 2/3"/>
    <n v="712"/>
    <s v="G1029+ G1038  + triplette VAD 365 + porte flèche (G1029 tracte)."/>
    <s v="S2TF"/>
    <x v="1"/>
    <x v="1"/>
    <m/>
    <m/>
    <s v="Externe"/>
    <s v="sous-traitance"/>
    <s v="ETF ATLANTIQUE   //   A955.LOL2595716"/>
    <s v="x"/>
    <m/>
    <m/>
    <m/>
    <s v="Train calé aux AUBRAIS (franchissement garage franc par CDT ST)"/>
    <s v="Voir ave S2TF ce qui a été mis en place @Benjamin KRIEF"/>
    <m/>
  </r>
  <r>
    <s v="JEUDI"/>
    <x v="15"/>
    <s v="5"/>
    <m/>
    <s v="Vierzon"/>
    <s v="GRAND PONT GARAGE"/>
    <n v="712"/>
    <s v="G1038 + 6 EX100"/>
    <m/>
    <x v="1"/>
    <x v="0"/>
    <s v="X"/>
    <m/>
    <m/>
    <m/>
    <m/>
    <m/>
    <m/>
    <m/>
    <m/>
    <s v="Train calé aux Aubrais "/>
    <m/>
    <m/>
  </r>
  <r>
    <s v="VENDREDI"/>
    <x v="16"/>
    <s v="5"/>
    <m/>
    <s v="les aubrais"/>
    <s v="GIEVRES"/>
    <n v="712"/>
    <s v="V212 n°531-3 "/>
    <m/>
    <x v="0"/>
    <x v="0"/>
    <m/>
    <m/>
    <m/>
    <m/>
    <m/>
    <m/>
    <m/>
    <m/>
    <m/>
    <m/>
    <m/>
    <m/>
  </r>
  <r>
    <s v="VENDREDI"/>
    <x v="16"/>
    <s v="5"/>
    <m/>
    <s v="les aubrais"/>
    <s v="Vierzon 2/3"/>
    <n v="712"/>
    <s v="G1029+ G1038  + triplette VAD 365 + porte flèche (G1029 tracte)."/>
    <s v="S2TF"/>
    <x v="1"/>
    <x v="1"/>
    <s v="X"/>
    <m/>
    <s v="Client"/>
    <m/>
    <m/>
    <m/>
    <m/>
    <m/>
    <m/>
    <s v="retard au départ suite incident sécuritaire avec Hakim Baggour (manœuvre IS alors que non habilité / Sillon S2TF)"/>
    <m/>
    <m/>
  </r>
  <r>
    <s v="VENDREDI"/>
    <x v="16"/>
    <s v="5"/>
    <m/>
    <s v="Vierzon"/>
    <s v="limoges 3/3"/>
    <n v="712"/>
    <s v="G1029 + 1 EX100B + 5R93 + triplette VAD 365 + porte flèche (G1029 tracte)"/>
    <s v="S2TF"/>
    <x v="1"/>
    <x v="0"/>
    <s v="X"/>
    <m/>
    <m/>
    <m/>
    <m/>
    <m/>
    <m/>
    <m/>
    <m/>
    <m/>
    <m/>
    <m/>
  </r>
  <r>
    <s v="VENDREDI"/>
    <x v="16"/>
    <s v="5"/>
    <m/>
    <s v="Limogees"/>
    <s v="Le dorat"/>
    <n v="712"/>
    <s v="G1029 + 6 EX100B + 5R93 + triplette VAD 365 + porte flèche"/>
    <m/>
    <x v="1"/>
    <x v="1"/>
    <m/>
    <m/>
    <m/>
    <m/>
    <m/>
    <m/>
    <m/>
    <m/>
    <m/>
    <s v="supprimé"/>
    <m/>
    <m/>
  </r>
  <r>
    <s v="JEUDI"/>
    <x v="15"/>
    <s v="5"/>
    <m/>
    <s v="Vierzon"/>
    <s v="GRAND PONT GARAGE"/>
    <n v="712"/>
    <s v="G1038 + 6 EX100"/>
    <m/>
    <x v="1"/>
    <x v="0"/>
    <s v="X"/>
    <m/>
    <m/>
    <m/>
    <m/>
    <m/>
    <m/>
    <m/>
    <m/>
    <s v="Train calé au aubrais "/>
    <m/>
    <m/>
  </r>
  <r>
    <s v="LUNDI"/>
    <x v="17"/>
    <s v="6"/>
    <m/>
    <s v="LAB"/>
    <s v="GIEVRES"/>
    <n v="712"/>
    <s v="BR214"/>
    <s v="S2TF"/>
    <x v="0"/>
    <x v="0"/>
    <m/>
    <m/>
    <m/>
    <m/>
    <m/>
    <m/>
    <m/>
    <m/>
    <m/>
    <m/>
    <m/>
    <m/>
  </r>
  <r>
    <s v="LUNDI"/>
    <x v="17"/>
    <s v="6"/>
    <m/>
    <s v="GIEVRES"/>
    <s v="VAIRES"/>
    <n v="712"/>
    <s v="V212 n°531-3 + 10 R93"/>
    <m/>
    <x v="0"/>
    <x v="0"/>
    <m/>
    <m/>
    <m/>
    <m/>
    <m/>
    <m/>
    <m/>
    <m/>
    <m/>
    <s v="Manque rebroussement à Vierzon dans l'étude "/>
    <m/>
    <m/>
  </r>
  <r>
    <s v="LUNDI"/>
    <x v="17"/>
    <s v="6"/>
    <m/>
    <s v="Vierzon"/>
    <s v="Limoges 1/2"/>
    <n v="712"/>
    <s v="G1029 +Compo"/>
    <s v="S2TF"/>
    <x v="1"/>
    <x v="1"/>
    <m/>
    <m/>
    <s v="Client"/>
    <s v="Panne machine "/>
    <s v="ETF ATLANTIQUE   //   A955.LOL2595716"/>
    <s v="x"/>
    <m/>
    <m/>
    <m/>
    <s v="panne G1029 / Demande de secours / Train calé a Issoudun - reprise le 04/02"/>
    <m/>
    <m/>
  </r>
  <r>
    <s v="LUNDI"/>
    <x v="17"/>
    <s v="6"/>
    <m/>
    <s v="Limoges"/>
    <s v="Le Dora 2/2"/>
    <n v="712"/>
    <s v="G1029 +Compo"/>
    <m/>
    <x v="1"/>
    <x v="0"/>
    <s v="X"/>
    <m/>
    <m/>
    <m/>
    <m/>
    <m/>
    <m/>
    <m/>
    <m/>
    <m/>
    <m/>
    <m/>
  </r>
  <r>
    <s v="MARDI"/>
    <x v="18"/>
    <s v="6"/>
    <m/>
    <s v="GIEVRES"/>
    <s v="Vaires  Vierzon"/>
    <n v="712"/>
    <s v="BR214 + 10R93"/>
    <s v="S2TF"/>
    <x v="1"/>
    <x v="1"/>
    <m/>
    <m/>
    <s v="Client"/>
    <s v="Annulation par le client "/>
    <s v="ETF ATLANTIQUE   //   A955.LOL2595716"/>
    <m/>
    <m/>
    <m/>
    <m/>
    <s v="annulation client (Laforge), loco priorisé pour récupérer la spot calé à Issoudin"/>
    <m/>
    <m/>
  </r>
  <r>
    <s v="MARDI"/>
    <x v="18"/>
    <s v="6"/>
    <m/>
    <s v="Vierzon"/>
    <s v="issoudin"/>
    <n v="712"/>
    <s v="BR214 "/>
    <s v="S2TF"/>
    <x v="0"/>
    <x v="0"/>
    <s v="X"/>
    <m/>
    <m/>
    <m/>
    <m/>
    <m/>
    <s v="X"/>
    <m/>
    <m/>
    <m/>
    <m/>
    <m/>
  </r>
  <r>
    <s v="MARDI"/>
    <x v="18"/>
    <s v="6"/>
    <m/>
    <s v="Issoudin"/>
    <s v="Vierzon"/>
    <n v="712"/>
    <s v="BR214 "/>
    <s v="S2TF"/>
    <x v="0"/>
    <x v="0"/>
    <s v="X"/>
    <m/>
    <m/>
    <m/>
    <m/>
    <m/>
    <s v="X"/>
    <m/>
    <m/>
    <m/>
    <m/>
    <m/>
  </r>
  <r>
    <s v="MARDI"/>
    <x v="18"/>
    <s v="6"/>
    <m/>
    <s v="vaires"/>
    <s v="Paris Landy"/>
    <n v="712"/>
    <s v="531-3"/>
    <m/>
    <x v="0"/>
    <x v="0"/>
    <m/>
    <m/>
    <m/>
    <m/>
    <m/>
    <m/>
    <m/>
    <m/>
    <m/>
    <m/>
    <m/>
    <m/>
  </r>
  <r>
    <s v="MERCREDI"/>
    <x v="19"/>
    <s v="6"/>
    <m/>
    <s v="Vierzon"/>
    <s v="Vaires"/>
    <n v="712"/>
    <s v="BR214 + 10R93"/>
    <s v="S2TF"/>
    <x v="0"/>
    <x v="0"/>
    <m/>
    <m/>
    <m/>
    <m/>
    <m/>
    <m/>
    <m/>
    <m/>
    <m/>
    <m/>
    <m/>
    <m/>
  </r>
  <r>
    <s v="MERCREDI"/>
    <x v="19"/>
    <s v="6"/>
    <m/>
    <s v="vaires"/>
    <s v="Juvisy"/>
    <n v="712"/>
    <s v="BR214 "/>
    <s v="S2TF"/>
    <x v="1"/>
    <x v="0"/>
    <s v="X"/>
    <m/>
    <m/>
    <m/>
    <m/>
    <m/>
    <m/>
    <m/>
    <m/>
    <s v="Annulé par le client"/>
    <m/>
    <m/>
  </r>
  <r>
    <s v="JEUDI"/>
    <x v="19"/>
    <s v="6"/>
    <m/>
    <s v="Issoudin"/>
    <s v="Limoges "/>
    <n v="712"/>
    <s v="G1029 -5R90 -6EX-porte flèche-VAD"/>
    <s v="S2TF"/>
    <x v="1"/>
    <x v="1"/>
    <m/>
    <m/>
    <s v="Client"/>
    <s v="Panne machine "/>
    <s v="ETF ATLANTIQUE   //   A955.LOL2595716"/>
    <m/>
    <s v="X"/>
    <m/>
    <m/>
    <s v="Machine non dispo pour réparation a 11h00 - nouveau sillon obtenu a 14h00 - Plus possible d'aller au Dorat"/>
    <m/>
    <m/>
  </r>
  <r>
    <s v="JEUDI"/>
    <x v="19"/>
    <s v="6"/>
    <m/>
    <s v="Limoges"/>
    <s v="LE DORAT"/>
    <n v="712"/>
    <s v="G1029 -5R90 -6EX-porte flèche-VAD"/>
    <m/>
    <x v="1"/>
    <x v="0"/>
    <s v="X"/>
    <m/>
    <m/>
    <m/>
    <m/>
    <s v="x"/>
    <m/>
    <m/>
    <m/>
    <s v="voir ci-dessus"/>
    <m/>
    <m/>
  </r>
  <r>
    <s v="VENDREDI"/>
    <x v="20"/>
    <s v="6"/>
    <m/>
    <s v="LIMOGES "/>
    <s v="LE DORAT"/>
    <n v="712"/>
    <s v="G1029 -5R90 -6EX-porte flèche-VAD"/>
    <m/>
    <x v="0"/>
    <x v="0"/>
    <m/>
    <m/>
    <m/>
    <m/>
    <m/>
    <m/>
    <s v="X"/>
    <m/>
    <m/>
    <m/>
    <m/>
    <m/>
  </r>
  <r>
    <s v="VENDREDI"/>
    <x v="20"/>
    <s v="6"/>
    <m/>
    <s v="VSG"/>
    <s v="VIERZON"/>
    <n v="712"/>
    <s v="V211 531"/>
    <s v="S2TF"/>
    <x v="0"/>
    <x v="0"/>
    <m/>
    <m/>
    <m/>
    <m/>
    <m/>
    <m/>
    <m/>
    <m/>
    <m/>
    <m/>
    <m/>
    <m/>
  </r>
  <r>
    <s v="VENDREDI"/>
    <x v="20"/>
    <s v="6"/>
    <m/>
    <s v="Paris Landy"/>
    <s v="VSG"/>
    <n v="712"/>
    <s v="V212 531 + 8R93"/>
    <m/>
    <x v="0"/>
    <x v="0"/>
    <m/>
    <m/>
    <m/>
    <m/>
    <m/>
    <m/>
    <m/>
    <m/>
    <m/>
    <s v="Itinéraire proposé incohérent - conception refaite en OP"/>
    <m/>
    <m/>
  </r>
  <r>
    <s v="VENDREDI"/>
    <x v="20"/>
    <s v="6"/>
    <m/>
    <s v="VSG"/>
    <s v="VIERZON"/>
    <n v="712"/>
    <s v="V212 531"/>
    <s v="S2TF"/>
    <x v="0"/>
    <x v="0"/>
    <m/>
    <m/>
    <m/>
    <m/>
    <m/>
    <m/>
    <m/>
    <m/>
    <m/>
    <s v=" "/>
    <m/>
    <m/>
  </r>
  <r>
    <s v="LUNDI"/>
    <x v="21"/>
    <s v="7"/>
    <m/>
    <s v="vaires"/>
    <s v="VSG"/>
    <n v="712"/>
    <s v="BR214"/>
    <s v="S2TF"/>
    <x v="0"/>
    <x v="0"/>
    <m/>
    <m/>
    <m/>
    <m/>
    <m/>
    <m/>
    <m/>
    <m/>
    <m/>
    <m/>
    <m/>
    <m/>
  </r>
  <r>
    <s v="MARDI"/>
    <x v="22"/>
    <s v="7"/>
    <m/>
    <s v="VSG"/>
    <s v="GIEVRES"/>
    <n v="712"/>
    <s v="BR214 + 8R93"/>
    <s v="S2TF"/>
    <x v="0"/>
    <x v="0"/>
    <m/>
    <m/>
    <m/>
    <m/>
    <m/>
    <m/>
    <m/>
    <m/>
    <m/>
    <m/>
    <m/>
    <m/>
  </r>
  <r>
    <s v="MARDI"/>
    <x v="22"/>
    <s v="7"/>
    <m/>
    <s v="MONTCEAU LES MINES"/>
    <s v="JUVISY 1/2"/>
    <n v="712"/>
    <s v="BML n°16 GS4 n°6490"/>
    <s v="TRANSIFER"/>
    <x v="0"/>
    <x v="0"/>
    <m/>
    <m/>
    <m/>
    <m/>
    <m/>
    <m/>
    <m/>
    <m/>
    <m/>
    <m/>
    <m/>
    <m/>
  </r>
  <r>
    <s v="MERCREDI"/>
    <x v="23"/>
    <s v="7"/>
    <m/>
    <s v="JUVISY"/>
    <s v="LISON 2/2"/>
    <n v="712"/>
    <s v="BML n°16 GS4 n°6490"/>
    <m/>
    <x v="0"/>
    <x v="0"/>
    <m/>
    <m/>
    <m/>
    <m/>
    <m/>
    <m/>
    <m/>
    <m/>
    <m/>
    <m/>
    <m/>
    <m/>
  </r>
  <r>
    <s v="JEUDI"/>
    <x v="24"/>
    <s v="7"/>
    <m/>
    <s v="GIEVRES"/>
    <s v="VENISSIEUX"/>
    <n v="712"/>
    <s v="Bourreuse n°3486"/>
    <m/>
    <x v="0"/>
    <x v="0"/>
    <m/>
    <m/>
    <m/>
    <m/>
    <m/>
    <m/>
    <m/>
    <m/>
    <m/>
    <m/>
    <m/>
    <m/>
  </r>
  <r>
    <s v="VENDREDI"/>
    <x v="25"/>
    <s v="7"/>
    <m/>
    <s v="les aubrais"/>
    <s v="GIEVRES"/>
    <n v="712"/>
    <s v="V212 n°580-0 + 4 R93"/>
    <s v="S2TF"/>
    <x v="0"/>
    <x v="0"/>
    <m/>
    <m/>
    <m/>
    <m/>
    <m/>
    <m/>
    <m/>
    <m/>
    <m/>
    <m/>
    <m/>
    <m/>
  </r>
  <r>
    <s v="VENDREDI"/>
    <x v="25"/>
    <s v="7"/>
    <m/>
    <s v="MONTCEAU LES MINES"/>
    <s v="MONTCHANIN"/>
    <n v="712"/>
    <s v="BML n°993"/>
    <m/>
    <x v="0"/>
    <x v="0"/>
    <m/>
    <m/>
    <m/>
    <m/>
    <m/>
    <m/>
    <m/>
    <m/>
    <m/>
    <m/>
    <m/>
    <m/>
  </r>
  <r>
    <s v="MERCREDI"/>
    <x v="26"/>
    <s v="10"/>
    <m/>
    <s v="VSG"/>
    <s v="VSG"/>
    <n v="712"/>
    <s v="V211 581-8 + 13 wagons vides + V211 635-2"/>
    <s v="SNCF"/>
    <x v="0"/>
    <x v="0"/>
    <m/>
    <m/>
    <m/>
    <m/>
    <m/>
    <m/>
    <m/>
    <m/>
    <m/>
    <m/>
    <m/>
    <m/>
  </r>
  <r>
    <s v="VENDREDI"/>
    <x v="27"/>
    <s v="10"/>
    <m/>
    <s v="VSG"/>
    <s v="VSG"/>
    <n v="712"/>
    <s v="V211 581-8 "/>
    <m/>
    <x v="0"/>
    <x v="0"/>
    <m/>
    <m/>
    <m/>
    <m/>
    <m/>
    <m/>
    <m/>
    <m/>
    <m/>
    <m/>
    <m/>
    <m/>
  </r>
  <r>
    <s v="VENDREDI"/>
    <x v="27"/>
    <s v="10"/>
    <m/>
    <s v="ACHERES"/>
    <s v="SPDC"/>
    <n v="712"/>
    <s v="BB60020"/>
    <m/>
    <x v="0"/>
    <x v="0"/>
    <m/>
    <m/>
    <m/>
    <m/>
    <m/>
    <m/>
    <m/>
    <m/>
    <m/>
    <s v="Y.LARFI prévient le jeudi soir qu'il ne connait pas le fsc de St Côme (pas d'impacts car cela fait parti du complexe de SPDC) + arrêt en ligne suite panne d'un  train(retard absorbé par l'arrêt aux aubrais)"/>
    <m/>
    <m/>
  </r>
  <r>
    <s v="MERCREDI"/>
    <x v="28"/>
    <n v="11"/>
    <m/>
    <s v="LONGUEAU"/>
    <s v="SPDC"/>
    <n v="712"/>
    <n v="60093"/>
    <m/>
    <x v="0"/>
    <x v="0"/>
    <m/>
    <m/>
    <m/>
    <m/>
    <m/>
    <m/>
    <m/>
    <m/>
    <m/>
    <m/>
    <m/>
    <m/>
  </r>
  <r>
    <s v="VENDREDI"/>
    <x v="29"/>
    <n v="11"/>
    <m/>
    <s v="PTH"/>
    <s v="SPDC"/>
    <n v="712"/>
    <s v="G12 1378"/>
    <m/>
    <x v="1"/>
    <x v="1"/>
    <m/>
    <m/>
    <s v="Client"/>
    <s v="Panne machine "/>
    <s v="ETF MONTARGIS  //   A.955LOL2595714"/>
    <m/>
    <m/>
    <m/>
    <m/>
    <s v="js +12h de larfi (arrêt pour fuel à Achères + problème avec le COGC en sortie de dépôt (+2h) + arrêt moteur en ligne (arrêt pour tests avec hotline)"/>
    <m/>
    <s v="12h00 de JS "/>
  </r>
  <r>
    <s v="VENDREDI"/>
    <x v="29"/>
    <n v="11"/>
    <m/>
    <s v="SAINCAIZE"/>
    <s v="MONTS"/>
    <n v="712"/>
    <s v="B1077"/>
    <m/>
    <x v="0"/>
    <x v="0"/>
    <m/>
    <m/>
    <m/>
    <m/>
    <m/>
    <m/>
    <m/>
    <m/>
    <m/>
    <m/>
    <m/>
    <m/>
  </r>
  <r>
    <s v="VENDREDI"/>
    <x v="29"/>
    <n v="11"/>
    <m/>
    <s v="NIMES"/>
    <s v="CHALON SUR SAONE"/>
    <n v="712"/>
    <s v="V212 580"/>
    <m/>
    <x v="1"/>
    <x v="0"/>
    <m/>
    <s v="x"/>
    <m/>
    <m/>
    <m/>
    <m/>
    <m/>
    <m/>
    <m/>
    <s v="2h de retard au départ - manque torche a flamme rouge + fuite air sur l'engin moteur"/>
    <m/>
    <m/>
  </r>
  <r>
    <s v="JEUDI"/>
    <x v="30"/>
    <s v="12"/>
    <m/>
    <s v="PTH"/>
    <s v="SPDC"/>
    <n v="712"/>
    <s v="G12 1486"/>
    <m/>
    <x v="0"/>
    <x v="0"/>
    <m/>
    <m/>
    <m/>
    <m/>
    <m/>
    <m/>
    <m/>
    <m/>
    <m/>
    <m/>
    <m/>
    <m/>
  </r>
  <r>
    <s v="JEUDI"/>
    <x v="30"/>
    <s v="12"/>
    <m/>
    <s v="GARGENVILLE "/>
    <s v="MONTS"/>
    <n v="712"/>
    <s v="Bourreuse n°6346"/>
    <m/>
    <x v="0"/>
    <x v="0"/>
    <m/>
    <m/>
    <m/>
    <m/>
    <m/>
    <m/>
    <m/>
    <m/>
    <m/>
    <m/>
    <m/>
    <m/>
  </r>
  <r>
    <s v="VENDREDI"/>
    <x v="31"/>
    <s v="12"/>
    <m/>
    <s v="MONTROUGE-CHATILLON"/>
    <s v="MONTS"/>
    <n v="712"/>
    <s v="Stab 82BG"/>
    <m/>
    <x v="0"/>
    <x v="0"/>
    <m/>
    <m/>
    <m/>
    <m/>
    <m/>
    <m/>
    <m/>
    <m/>
    <m/>
    <m/>
    <m/>
    <m/>
  </r>
  <r>
    <s v="LUNDI"/>
    <x v="32"/>
    <s v="14"/>
    <m/>
    <s v="BREST"/>
    <s v="Le MANS 1/2"/>
    <n v="712"/>
    <s v="b3485"/>
    <s v="S2TF"/>
    <x v="1"/>
    <x v="1"/>
    <m/>
    <m/>
    <s v="Externe"/>
    <s v="sous-traitance"/>
    <s v="ETF ATLANTIQUE   //   A955.LOL2595716"/>
    <m/>
    <m/>
    <m/>
    <m/>
    <s v="CDT arrivée avec 13min de retard, l'AGS plannifié en 14h-19h n'est pas resté pour faire le départ du train ( départ prévu 16h) Prestation sol  de SFERIS"/>
    <m/>
    <m/>
  </r>
  <r>
    <s v="LUNDI"/>
    <x v="32"/>
    <s v="14"/>
    <m/>
    <s v="ROSNY SUR SEINE"/>
    <s v="VERNOUILLET"/>
    <n v="712"/>
    <s v="g12 1377"/>
    <m/>
    <x v="0"/>
    <x v="0"/>
    <m/>
    <m/>
    <m/>
    <m/>
    <m/>
    <m/>
    <m/>
    <m/>
    <m/>
    <m/>
    <m/>
    <m/>
  </r>
  <r>
    <s v="MARDI"/>
    <x v="33"/>
    <s v="14"/>
    <m/>
    <s v="LE MANS "/>
    <s v="GRAND PONT 2/2"/>
    <n v="712"/>
    <s v="b3485"/>
    <s v="S2TF"/>
    <x v="1"/>
    <x v="0"/>
    <s v="X"/>
    <m/>
    <m/>
    <m/>
    <m/>
    <m/>
    <m/>
    <m/>
    <m/>
    <s v="Départ non réalisé la veille acheminement reporté au 02/04"/>
    <m/>
    <m/>
  </r>
  <r>
    <s v="MERCREDI"/>
    <x v="34"/>
    <s v="14"/>
    <m/>
    <s v="SPDC"/>
    <s v="JUVISY"/>
    <n v="712"/>
    <n v="1486"/>
    <m/>
    <x v="0"/>
    <x v="0"/>
    <m/>
    <m/>
    <m/>
    <m/>
    <m/>
    <m/>
    <m/>
    <m/>
    <m/>
    <m/>
    <m/>
    <m/>
  </r>
  <r>
    <s v="MERCREDI"/>
    <x v="34"/>
    <s v="14"/>
    <m/>
    <s v="BREST"/>
    <s v="LE MANS  "/>
    <n v="712"/>
    <s v="G12 DVF + 10R93"/>
    <s v="S2TF"/>
    <x v="0"/>
    <x v="0"/>
    <s v="X"/>
    <m/>
    <m/>
    <m/>
    <m/>
    <m/>
    <m/>
    <m/>
    <m/>
    <m/>
    <m/>
    <m/>
  </r>
  <r>
    <s v="JEUDI"/>
    <x v="35"/>
    <s v="14"/>
    <m/>
    <s v="LE MANS "/>
    <s v="GRAND PONT   "/>
    <n v="712"/>
    <s v="b3485"/>
    <m/>
    <x v="1"/>
    <x v="1"/>
    <s v="X"/>
    <m/>
    <s v="Chantier"/>
    <s v="organisation chantier"/>
    <s v="ETF ATLANTIQUE   //   A955.LOL2595716"/>
    <m/>
    <m/>
    <m/>
    <m/>
    <s v="Pas d'agent à la réception sur GP suite  à la journée blanche sur le chantier. La machine est déposée sur V24 a Poitiers"/>
    <m/>
    <m/>
  </r>
  <r>
    <s v="SAMEDI"/>
    <x v="36"/>
    <s v="14"/>
    <m/>
    <s v="VERNOUILLET "/>
    <s v="JUVISY"/>
    <n v="712"/>
    <s v="G1206 n°1377"/>
    <m/>
    <x v="1"/>
    <x v="0"/>
    <m/>
    <m/>
    <m/>
    <m/>
    <m/>
    <m/>
    <m/>
    <m/>
    <m/>
    <m/>
    <m/>
    <m/>
  </r>
  <r>
    <s v="MERCREDI"/>
    <x v="37"/>
    <s v="15"/>
    <m/>
    <s v="Rosny"/>
    <s v="VSG 1/4"/>
    <n v="712"/>
    <s v="BR214"/>
    <s v="ST2F"/>
    <x v="0"/>
    <x v="0"/>
    <m/>
    <m/>
    <m/>
    <m/>
    <m/>
    <m/>
    <m/>
    <m/>
    <m/>
    <m/>
    <m/>
    <m/>
  </r>
  <r>
    <s v="MERCREDI"/>
    <x v="37"/>
    <s v="15"/>
    <m/>
    <s v="VSG"/>
    <s v="GIEVRES 2/4"/>
    <n v="712"/>
    <s v="BR214"/>
    <s v="ST2F"/>
    <x v="1"/>
    <x v="1"/>
    <m/>
    <m/>
    <s v="Client"/>
    <s v="Autre"/>
    <s v="ETF ATLANTIQUE   //   A955.LOL2595716"/>
    <m/>
    <m/>
    <m/>
    <m/>
    <s v="wagon sur Fsc DPN et non débranchment - pas d'agent au sol prévu au FDN / départ en HLP"/>
    <s v=" à Investiguer sur le lieu renseigner pour le départ des wagons?  "/>
    <m/>
  </r>
  <r>
    <s v="JEUDI "/>
    <x v="38"/>
    <s v="15"/>
    <m/>
    <s v="GIEVRES"/>
    <s v="GIEN 3/4"/>
    <n v="712"/>
    <s v="BR214"/>
    <s v="ST2F"/>
    <x v="0"/>
    <x v="0"/>
    <m/>
    <m/>
    <m/>
    <m/>
    <m/>
    <m/>
    <m/>
    <m/>
    <m/>
    <m/>
    <m/>
    <m/>
  </r>
  <r>
    <s v="VENDREDI"/>
    <x v="39"/>
    <s v="15"/>
    <m/>
    <s v="GIEN"/>
    <s v="VIERZON 4/4"/>
    <n v="712"/>
    <s v="BR214"/>
    <s v="ST2F"/>
    <x v="0"/>
    <x v="0"/>
    <m/>
    <m/>
    <m/>
    <m/>
    <m/>
    <m/>
    <m/>
    <m/>
    <m/>
    <m/>
    <m/>
    <m/>
  </r>
  <r>
    <s v="LUNDI"/>
    <x v="40"/>
    <s v="16"/>
    <m/>
    <s v="VIERZON"/>
    <s v="ANGOULEME Poitiers 1/2"/>
    <n v="712"/>
    <s v="BR214 + 3 R93 + 4EX100"/>
    <m/>
    <x v="0"/>
    <x v="0"/>
    <m/>
    <m/>
    <m/>
    <m/>
    <m/>
    <m/>
    <m/>
    <m/>
    <m/>
    <m/>
    <m/>
    <m/>
  </r>
  <r>
    <s v="MARDI"/>
    <x v="41"/>
    <s v="16"/>
    <m/>
    <s v="ANGOULEME Poitiers"/>
    <s v="MARMANDE 2/2"/>
    <n v="712"/>
    <s v="BR214"/>
    <m/>
    <x v="0"/>
    <x v="0"/>
    <m/>
    <m/>
    <m/>
    <m/>
    <m/>
    <m/>
    <m/>
    <m/>
    <m/>
    <m/>
    <m/>
    <m/>
  </r>
  <r>
    <s v="MERCREDI"/>
    <x v="42"/>
    <s v="16"/>
    <m/>
    <s v="LANDERNEAU"/>
    <s v="Rennes 1/2"/>
    <n v="712"/>
    <s v="G1206 n°1121 + G1206 n°1122 + 10R93"/>
    <m/>
    <x v="0"/>
    <x v="0"/>
    <m/>
    <m/>
    <m/>
    <m/>
    <m/>
    <m/>
    <m/>
    <m/>
    <m/>
    <s v="Pas de relevé de compo  faite par l'Agent au sol // BF travaux  "/>
    <m/>
    <m/>
  </r>
  <r>
    <s v="MERCREDI"/>
    <x v="42"/>
    <s v="16"/>
    <m/>
    <s v="Rennes"/>
    <s v="LE MANS 2/2"/>
    <n v="712"/>
    <s v="BR 214"/>
    <s v="S2TF"/>
    <x v="0"/>
    <x v="0"/>
    <m/>
    <m/>
    <m/>
    <m/>
    <m/>
    <m/>
    <m/>
    <m/>
    <m/>
    <s v="BF fait jusqu'à Rennes et non le Mans // BF  Refait par S2TF "/>
    <m/>
    <m/>
  </r>
  <r>
    <s v="JEUDI"/>
    <x v="43"/>
    <s v="16"/>
    <m/>
    <s v="SAINCAIZE"/>
    <s v="POITIERS 1/2"/>
    <n v="712"/>
    <s v="BML 108 3443"/>
    <m/>
    <x v="0"/>
    <x v="0"/>
    <m/>
    <m/>
    <m/>
    <m/>
    <m/>
    <m/>
    <m/>
    <m/>
    <m/>
    <m/>
    <m/>
    <m/>
  </r>
  <r>
    <s v="JEUDI"/>
    <x v="43"/>
    <s v="16"/>
    <m/>
    <s v="LE MANS"/>
    <s v="P74 1/2"/>
    <n v="712"/>
    <s v="G12 1121"/>
    <m/>
    <x v="1"/>
    <x v="1"/>
    <m/>
    <m/>
    <s v="Externe"/>
    <s v="sous-traitance"/>
    <s v="ETF ARS Sud  //   A.955LOL2575712"/>
    <m/>
    <m/>
    <m/>
    <m/>
    <s v="S2TF ont du prendre la loco avec l'acheminement Le Masn-VSG"/>
    <m/>
    <m/>
  </r>
  <r>
    <s v="JEUDI"/>
    <x v="43"/>
    <s v="16"/>
    <m/>
    <s v="P74"/>
    <s v="JUVISY 2/2"/>
    <n v="712"/>
    <s v="G12 1885 +G12 1121"/>
    <m/>
    <x v="0"/>
    <x v="0"/>
    <m/>
    <m/>
    <m/>
    <m/>
    <m/>
    <m/>
    <m/>
    <m/>
    <m/>
    <s v="conforme avec 1 G12 au lieu de 2"/>
    <m/>
    <m/>
  </r>
  <r>
    <s v="JEUDI"/>
    <x v="43"/>
    <s v="16"/>
    <m/>
    <s v="LE MANS"/>
    <s v="GIEVRES VSG 1/2"/>
    <n v="712"/>
    <s v="G1206 n°1122 + 10 R93"/>
    <s v="S2TF"/>
    <x v="1"/>
    <x v="0"/>
    <s v="X"/>
    <m/>
    <m/>
    <m/>
    <m/>
    <m/>
    <m/>
    <m/>
    <m/>
    <s v="parti avec les 2 G12 au lieu de 1"/>
    <m/>
    <m/>
  </r>
  <r>
    <s v="JEUDI"/>
    <x v="43"/>
    <s v="16"/>
    <m/>
    <s v="VSG"/>
    <s v="Juvisy"/>
    <n v="712"/>
    <s v="G1206 n°1121"/>
    <s v="S2TF"/>
    <x v="0"/>
    <x v="0"/>
    <m/>
    <m/>
    <m/>
    <m/>
    <m/>
    <m/>
    <m/>
    <s v="x"/>
    <m/>
    <s v="parti avec les 2 G12 au lieu de 1"/>
    <m/>
    <m/>
  </r>
  <r>
    <s v="VENDREDI"/>
    <x v="44"/>
    <s v="16"/>
    <m/>
    <s v="VSG"/>
    <s v="Gièvres 22"/>
    <n v="712"/>
    <s v="G1206 n°1122 + 10 R93 + 3 wagons"/>
    <s v="S2TF"/>
    <x v="0"/>
    <x v="0"/>
    <m/>
    <m/>
    <m/>
    <m/>
    <m/>
    <m/>
    <m/>
    <m/>
    <m/>
    <m/>
    <m/>
    <m/>
  </r>
  <r>
    <s v="VENDREDI"/>
    <x v="44"/>
    <s v="16"/>
    <m/>
    <s v="BIGANOS FACTURE"/>
    <s v="MARMADE"/>
    <n v="712"/>
    <s v="BML n° (FRA)"/>
    <s v="ctsf"/>
    <x v="0"/>
    <x v="0"/>
    <m/>
    <m/>
    <m/>
    <m/>
    <m/>
    <m/>
    <m/>
    <m/>
    <m/>
    <m/>
    <m/>
    <m/>
  </r>
  <r>
    <s v="VENDREDI"/>
    <x v="44"/>
    <s v="16"/>
    <m/>
    <s v="POITIERS"/>
    <s v="MARMANDE 2/2"/>
    <n v="712"/>
    <s v="BML 108 3443"/>
    <m/>
    <x v="0"/>
    <x v="0"/>
    <m/>
    <m/>
    <m/>
    <m/>
    <m/>
    <m/>
    <m/>
    <m/>
    <m/>
    <m/>
    <m/>
    <m/>
  </r>
  <r>
    <s v="VENDREDI"/>
    <x v="44"/>
    <s v="16"/>
    <m/>
    <s v="Tergnier"/>
    <s v="Juvisy"/>
    <n v="712"/>
    <s v="V212 580"/>
    <s v="TFE"/>
    <x v="0"/>
    <x v="0"/>
    <m/>
    <m/>
    <m/>
    <m/>
    <m/>
    <m/>
    <m/>
    <s v="x"/>
    <m/>
    <m/>
    <m/>
    <m/>
  </r>
  <r>
    <s v="LUNDI"/>
    <x v="45"/>
    <s v="17"/>
    <m/>
    <s v="MARMADE "/>
    <s v="LA VACHE "/>
    <n v="712"/>
    <s v="DGS 475 NTB n°6586"/>
    <s v="ctsf"/>
    <x v="0"/>
    <x v="0"/>
    <m/>
    <m/>
    <m/>
    <m/>
    <m/>
    <m/>
    <m/>
    <m/>
    <m/>
    <m/>
    <m/>
    <m/>
  </r>
  <r>
    <s v="LUNDI"/>
    <x v="45"/>
    <s v="17"/>
    <m/>
    <s v="MARMANDE "/>
    <s v="limoges 1/3"/>
    <n v="712"/>
    <s v="BR12"/>
    <s v="ST"/>
    <x v="1"/>
    <x v="1"/>
    <m/>
    <m/>
    <s v="Chantier"/>
    <s v="organisation chantier"/>
    <s v="ETF RGI   //   A955.LOL2593705"/>
    <m/>
    <m/>
    <m/>
    <m/>
    <s v="LOCO déclarée en panne sur le chantier._x000a_"/>
    <m/>
    <m/>
  </r>
  <r>
    <s v="MARDI"/>
    <x v="46"/>
    <s v="17"/>
    <m/>
    <s v="Limoges"/>
    <s v="GIEVRES 2/3"/>
    <n v="712"/>
    <s v="BR12"/>
    <s v="s2tf "/>
    <x v="0"/>
    <x v="0"/>
    <m/>
    <m/>
    <m/>
    <m/>
    <m/>
    <m/>
    <m/>
    <m/>
    <m/>
    <m/>
    <m/>
    <m/>
  </r>
  <r>
    <s v="MECREDI"/>
    <x v="47"/>
    <s v="17"/>
    <m/>
    <s v="GIEVRES"/>
    <s v="VERNEUIL 3/3"/>
    <n v="712"/>
    <s v="BR12+ 9R93"/>
    <s v="ST"/>
    <x v="1"/>
    <x v="0"/>
    <s v="X"/>
    <m/>
    <m/>
    <m/>
    <m/>
    <m/>
    <m/>
    <m/>
    <m/>
    <m/>
    <m/>
    <m/>
  </r>
  <r>
    <s v="JEUDI"/>
    <x v="48"/>
    <s v="17"/>
    <m/>
    <s v="Etampes "/>
    <s v="Juvisy "/>
    <n v="712"/>
    <s v="G1206 1885 + 1377"/>
    <m/>
    <x v="0"/>
    <x v="0"/>
    <m/>
    <s v="x"/>
    <m/>
    <m/>
    <m/>
    <m/>
    <m/>
    <m/>
    <m/>
    <s v="Panne au départ de la 1377 // plusieurs manœuvres réalisés  départ en retard. "/>
    <m/>
    <m/>
  </r>
  <r>
    <s v="JEUDI"/>
    <x v="48"/>
    <s v="17"/>
    <m/>
    <s v="BERCY"/>
    <s v="VSG"/>
    <n v="712"/>
    <s v="V212 581-8 + 10 wagons chargés + V211 635-2"/>
    <s v="SNCF"/>
    <x v="0"/>
    <x v="0"/>
    <m/>
    <m/>
    <m/>
    <m/>
    <m/>
    <m/>
    <m/>
    <m/>
    <m/>
    <m/>
    <m/>
    <m/>
  </r>
  <r>
    <s v="JEUDI"/>
    <x v="48"/>
    <s v="17"/>
    <m/>
    <s v="JUVISY"/>
    <s v="NOISY 1/2"/>
    <n v="712"/>
    <s v="G1206 n°1121 + G1206 11122 + 9 R 93 "/>
    <m/>
    <x v="1"/>
    <x v="1"/>
    <m/>
    <m/>
    <s v="Feroway"/>
    <s v="défaut d'information "/>
    <s v="ETF ARS Sud  //   A.955LOL2575712"/>
    <s v="x"/>
    <m/>
    <m/>
    <m/>
    <s v="Conducteur n'est pas venu faire le train à 06h sa prise de service était à 11h00  le sillon lui a été envoyé la veille , Plage travaux, train fait vers 15h, impossibilité de repartir car Verneuil ferme à 16"/>
    <m/>
    <m/>
  </r>
  <r>
    <s v="JEUDI"/>
    <x v="48"/>
    <s v="17"/>
    <m/>
    <s v="NOISY"/>
    <s v="VERNEUIL L'ETANG 2/2"/>
    <n v="712"/>
    <s v="G1206 n°1121 + G12 1122 + 9 R93 +9 D12"/>
    <m/>
    <x v="1"/>
    <x v="0"/>
    <s v="X"/>
    <m/>
    <m/>
    <m/>
    <m/>
    <m/>
    <m/>
    <m/>
    <m/>
    <m/>
    <m/>
    <m/>
  </r>
  <r>
    <s v="VENDREDI"/>
    <x v="49"/>
    <s v="17"/>
    <m/>
    <s v="GIEVRES"/>
    <s v="VSG"/>
    <n v="712"/>
    <s v="G1206 n°1122"/>
    <m/>
    <x v="1"/>
    <x v="0"/>
    <s v="X"/>
    <m/>
    <m/>
    <m/>
    <m/>
    <m/>
    <m/>
    <m/>
    <m/>
    <s v="Annulation Client  suite aux ploblèmes  rencontré avec la BR 214 le lundi. "/>
    <m/>
    <m/>
  </r>
  <r>
    <s v="SAMEDI"/>
    <x v="50"/>
    <s v="17"/>
    <m/>
    <s v="VALOGNES"/>
    <s v="VERNEUIL L'ETANG"/>
    <n v="712"/>
    <s v="BML n°6490"/>
    <s v="S2TF"/>
    <x v="0"/>
    <x v="0"/>
    <m/>
    <m/>
    <m/>
    <m/>
    <m/>
    <m/>
    <m/>
    <m/>
    <m/>
    <m/>
    <m/>
    <m/>
  </r>
  <r>
    <s v="LUNDI"/>
    <x v="51"/>
    <s v="18"/>
    <m/>
    <s v="VERNEUIL L'ETANG"/>
    <s v="CARENTAN"/>
    <n v="712"/>
    <s v="BML n°6490"/>
    <m/>
    <x v="0"/>
    <x v="0"/>
    <m/>
    <m/>
    <m/>
    <m/>
    <m/>
    <m/>
    <m/>
    <m/>
    <m/>
    <m/>
    <m/>
    <m/>
  </r>
  <r>
    <s v="LUNDI"/>
    <x v="51"/>
    <s v="18"/>
    <m/>
    <s v="VERNEUIL L'ETANG"/>
    <s v="VSG"/>
    <n v="712"/>
    <s v="G1206 n°1121"/>
    <m/>
    <x v="0"/>
    <x v="0"/>
    <m/>
    <m/>
    <m/>
    <m/>
    <m/>
    <m/>
    <m/>
    <m/>
    <m/>
    <m/>
    <m/>
    <m/>
  </r>
  <r>
    <s v="MARDI"/>
    <x v="52"/>
    <s v="18"/>
    <m/>
    <s v="VIERZON"/>
    <s v="VSG POMPADOUR 1/3"/>
    <n v="712"/>
    <s v="V212 n°531-3 + 11R93"/>
    <m/>
    <x v="0"/>
    <x v="0"/>
    <m/>
    <m/>
    <m/>
    <m/>
    <m/>
    <m/>
    <m/>
    <m/>
    <m/>
    <m/>
    <m/>
    <m/>
  </r>
  <r>
    <s v="MARDI"/>
    <x v="52"/>
    <s v="18"/>
    <m/>
    <s v="POMPADOUR"/>
    <s v="VERNEUIL 2/3"/>
    <n v="712"/>
    <s v="V212 n°531-3"/>
    <m/>
    <x v="0"/>
    <x v="0"/>
    <m/>
    <m/>
    <m/>
    <m/>
    <m/>
    <m/>
    <m/>
    <m/>
    <m/>
    <m/>
    <m/>
    <m/>
  </r>
  <r>
    <s v="MERCREDI"/>
    <x v="53"/>
    <s v="18"/>
    <m/>
    <s v="BADAN"/>
    <s v="LANGEAC"/>
    <n v="712"/>
    <s v="BML n°3486"/>
    <m/>
    <x v="1"/>
    <x v="1"/>
    <m/>
    <m/>
    <s v="Chantier"/>
    <s v="organisation chantier"/>
    <s v="ETF ARS Sud  //   A.955LOL2575712"/>
    <m/>
    <m/>
    <m/>
    <m/>
    <s v="erreur sur le sens de travail au départ entraînant un retard puis régul nous a calé au Puy-en-Velay"/>
    <m/>
    <m/>
  </r>
  <r>
    <s v="MERCREDI"/>
    <x v="53"/>
    <s v="18"/>
    <m/>
    <s v="VERNEUIL"/>
    <s v="VSG POMPADOUR 3/3"/>
    <n v="712"/>
    <s v="V212 n°531-3 + 9R93"/>
    <m/>
    <x v="0"/>
    <x v="0"/>
    <m/>
    <m/>
    <m/>
    <m/>
    <m/>
    <m/>
    <m/>
    <m/>
    <m/>
    <m/>
    <m/>
    <m/>
  </r>
  <r>
    <s v="MERCREDI"/>
    <x v="53"/>
    <s v="18"/>
    <m/>
    <s v=" POMPADOUR"/>
    <s v="VSG fsc Debranchement "/>
    <n v="712"/>
    <s v="V212 n°531-3"/>
    <m/>
    <x v="0"/>
    <x v="0"/>
    <m/>
    <m/>
    <m/>
    <m/>
    <m/>
    <m/>
    <m/>
    <m/>
    <m/>
    <m/>
    <m/>
    <m/>
  </r>
  <r>
    <s v="VENDREDI"/>
    <x v="54"/>
    <s v="18"/>
    <m/>
    <s v="Puy en velay "/>
    <s v="LANGEAC"/>
    <n v="712"/>
    <s v="BML n°3486"/>
    <m/>
    <x v="0"/>
    <x v="0"/>
    <m/>
    <m/>
    <m/>
    <m/>
    <m/>
    <m/>
    <m/>
    <m/>
    <m/>
    <m/>
    <m/>
    <m/>
  </r>
  <r>
    <s v="VENDREDI"/>
    <x v="54"/>
    <s v="18"/>
    <m/>
    <s v="VSG fsc Debranchement "/>
    <s v="VIERZON "/>
    <n v="712"/>
    <s v="V212 n°531-3"/>
    <m/>
    <x v="1"/>
    <x v="1"/>
    <m/>
    <m/>
    <s v="Client"/>
    <s v="Panne machine "/>
    <s v="ETF ARS Sud  //   A.955LOL2575712"/>
    <m/>
    <m/>
    <m/>
    <m/>
    <s v="PANNE KVB"/>
    <m/>
    <m/>
  </r>
  <r>
    <s v="LUNDI"/>
    <x v="55"/>
    <n v="19"/>
    <m/>
    <s v="VIERZION"/>
    <s v="GIEVRES 1/4"/>
    <n v="712"/>
    <s v="V212 n°531-3"/>
    <m/>
    <x v="1"/>
    <x v="0"/>
    <s v="X"/>
    <m/>
    <m/>
    <m/>
    <m/>
    <m/>
    <m/>
    <m/>
    <m/>
    <s v="non réalisé suite panne EM le vendredi "/>
    <m/>
    <m/>
  </r>
  <r>
    <s v="LUNDI"/>
    <x v="55"/>
    <n v="19"/>
    <m/>
    <s v="GIEVRES  "/>
    <s v="VIERZON 2/4"/>
    <n v="712"/>
    <s v="V212 n°531-3 + 1 R93 (33 87 399 7 108-7)"/>
    <m/>
    <x v="0"/>
    <x v="0"/>
    <m/>
    <m/>
    <m/>
    <m/>
    <m/>
    <m/>
    <m/>
    <m/>
    <m/>
    <m/>
    <m/>
    <m/>
  </r>
  <r>
    <s v="LUNDI"/>
    <x v="55"/>
    <n v="19"/>
    <m/>
    <s v="POMPADOUR"/>
    <s v="JUVISY"/>
    <n v="712"/>
    <s v="G1206 n°1122"/>
    <m/>
    <x v="0"/>
    <x v="0"/>
    <m/>
    <m/>
    <m/>
    <m/>
    <m/>
    <m/>
    <m/>
    <m/>
    <m/>
    <m/>
    <m/>
    <m/>
  </r>
  <r>
    <s v="LUNDI"/>
    <x v="55"/>
    <n v="19"/>
    <m/>
    <s v="BERCY"/>
    <s v="VSG"/>
    <n v="712"/>
    <s v="V212 581-8 + 10 wagons chargés + V211 635-2"/>
    <s v="SNCF"/>
    <x v="0"/>
    <x v="0"/>
    <m/>
    <m/>
    <m/>
    <m/>
    <m/>
    <m/>
    <m/>
    <m/>
    <m/>
    <m/>
    <m/>
    <m/>
  </r>
  <r>
    <s v="MARDI"/>
    <x v="56"/>
    <n v="19"/>
    <m/>
    <s v="VIERZON"/>
    <s v="POITIERS 3/4"/>
    <n v="712"/>
    <s v="V212 n°531-3 + 1 wagon"/>
    <m/>
    <x v="0"/>
    <x v="0"/>
    <m/>
    <m/>
    <m/>
    <m/>
    <m/>
    <m/>
    <m/>
    <m/>
    <m/>
    <m/>
    <m/>
    <m/>
  </r>
  <r>
    <s v="MERCREDI"/>
    <x v="57"/>
    <n v="19"/>
    <m/>
    <s v="POITIERS"/>
    <s v="MARMANDE 4/4"/>
    <n v="712"/>
    <s v="V212 n°531-3 + 1 wagon"/>
    <s v="S2TF"/>
    <x v="1"/>
    <x v="0"/>
    <s v="X"/>
    <m/>
    <m/>
    <m/>
    <m/>
    <m/>
    <m/>
    <m/>
    <m/>
    <m/>
    <m/>
    <m/>
  </r>
  <r>
    <s v="MERCREDI"/>
    <x v="57"/>
    <n v="19"/>
    <m/>
    <s v="LANGEAC"/>
    <s v="VIERZON 1/2"/>
    <n v="712"/>
    <s v="BML n°3486"/>
    <m/>
    <x v="0"/>
    <x v="0"/>
    <m/>
    <m/>
    <m/>
    <m/>
    <m/>
    <m/>
    <m/>
    <m/>
    <m/>
    <m/>
    <m/>
    <m/>
  </r>
  <r>
    <s v="JEUDI"/>
    <x v="58"/>
    <n v="19"/>
    <m/>
    <s v="VIERZON"/>
    <s v="MORIGNY-CHAMPIGNY 2/2"/>
    <n v="712"/>
    <s v="BML n°3486"/>
    <m/>
    <x v="0"/>
    <x v="0"/>
    <m/>
    <m/>
    <m/>
    <m/>
    <m/>
    <m/>
    <m/>
    <m/>
    <m/>
    <m/>
    <m/>
    <m/>
  </r>
  <r>
    <s v="LUNDI"/>
    <x v="59"/>
    <s v="20"/>
    <m/>
    <s v="Bercy"/>
    <s v="VSG 1/2"/>
    <n v="712"/>
    <s v="V212 581-8 + 10 wagons chargés + V211 635-2"/>
    <s v="SNCF"/>
    <x v="0"/>
    <x v="0"/>
    <m/>
    <m/>
    <m/>
    <m/>
    <m/>
    <m/>
    <m/>
    <m/>
    <m/>
    <m/>
    <m/>
    <m/>
  </r>
  <r>
    <s v="LUNDI"/>
    <x v="59"/>
    <s v="20"/>
    <m/>
    <s v="Juvisy"/>
    <s v="VSG 1/2"/>
    <n v="712"/>
    <s v="G12 1121"/>
    <m/>
    <x v="0"/>
    <x v="0"/>
    <m/>
    <m/>
    <m/>
    <m/>
    <m/>
    <m/>
    <m/>
    <m/>
    <m/>
    <m/>
    <m/>
    <m/>
  </r>
  <r>
    <s v="LUNDI"/>
    <x v="59"/>
    <s v="20"/>
    <m/>
    <s v="VSG"/>
    <s v="Pompadour 2/2"/>
    <n v="712"/>
    <s v="G12 1121"/>
    <m/>
    <x v="0"/>
    <x v="0"/>
    <m/>
    <m/>
    <m/>
    <m/>
    <m/>
    <m/>
    <m/>
    <m/>
    <m/>
    <m/>
    <m/>
    <m/>
  </r>
  <r>
    <s v="MERCREDI"/>
    <x v="60"/>
    <s v="20"/>
    <m/>
    <s v="VSG  DN "/>
    <s v="Mapo "/>
    <n v="712"/>
    <s v="V211 635-2"/>
    <m/>
    <x v="0"/>
    <x v="0"/>
    <m/>
    <m/>
    <m/>
    <m/>
    <m/>
    <m/>
    <m/>
    <m/>
    <m/>
    <m/>
    <m/>
    <m/>
  </r>
  <r>
    <s v="MARDI"/>
    <x v="61"/>
    <n v="21"/>
    <m/>
    <s v="JUVISY"/>
    <s v="VAIRES"/>
    <n v="712"/>
    <s v="G12 1377"/>
    <m/>
    <x v="1"/>
    <x v="1"/>
    <m/>
    <m/>
    <s v="Chantier"/>
    <s v="organisation chantier"/>
    <s v="ETF ARS Sud  //   A.955LOL2575712"/>
    <s v="x"/>
    <m/>
    <m/>
    <m/>
    <m/>
    <m/>
    <s v="Loco fsc Equipement "/>
  </r>
  <r>
    <s v="MERCREDI"/>
    <x v="62"/>
    <n v="21"/>
    <m/>
    <s v="VERT DE MAISON"/>
    <s v="VSG"/>
    <n v="712"/>
    <s v="G1206 + 20R93"/>
    <m/>
    <x v="1"/>
    <x v="1"/>
    <m/>
    <m/>
    <s v="Chantier"/>
    <s v="organisation chantier"/>
    <s v="ETF ARS Sud  //   A.955LOL2575712"/>
    <m/>
    <m/>
    <m/>
    <m/>
    <m/>
    <m/>
    <s v="substit en OP pour TAQ a bercy"/>
  </r>
  <r>
    <s v="JEUDI"/>
    <x v="63"/>
    <n v="21"/>
    <m/>
    <s v="SAINTES"/>
    <s v="LES AUBRAIS 1/2"/>
    <n v="712"/>
    <s v="V212 n°580-0"/>
    <s v="S2TF"/>
    <x v="0"/>
    <x v="0"/>
    <m/>
    <m/>
    <m/>
    <m/>
    <m/>
    <m/>
    <m/>
    <m/>
    <m/>
    <m/>
    <m/>
    <m/>
  </r>
  <r>
    <s v="JEUDI"/>
    <x v="63"/>
    <n v="21"/>
    <m/>
    <s v="VAIRES"/>
    <s v="VERNOUILLET 1/3"/>
    <n v="712"/>
    <s v="G1206 n°1377 + 20 R93"/>
    <m/>
    <x v="1"/>
    <x v="1"/>
    <m/>
    <m/>
    <s v="Externe"/>
    <s v="Autre"/>
    <s v="ETF ARS Sud  //   A.955LOL2575712"/>
    <m/>
    <m/>
    <m/>
    <m/>
    <m/>
    <m/>
    <s v="manœuvres au départ + poste ouvre à 8h"/>
  </r>
  <r>
    <s v="JEUDI"/>
    <x v="63"/>
    <n v="21"/>
    <m/>
    <s v="VERNOUILLET"/>
    <s v="SPDC 2/3"/>
    <n v="712"/>
    <s v="G1206 n°1377 + 10 R93"/>
    <m/>
    <x v="0"/>
    <x v="0"/>
    <m/>
    <m/>
    <s v="Feroway"/>
    <s v="Conception"/>
    <s v="ETF ARS Sud  //   A.955LOL2575712"/>
    <s v="x"/>
    <m/>
    <m/>
    <m/>
    <m/>
    <m/>
    <s v=" poste ouvre à 8h à Vernouillet + calé aux aubrais - saturation triage // "/>
  </r>
  <r>
    <s v="JEUDI"/>
    <x v="63"/>
    <n v="21"/>
    <m/>
    <s v=" VSG"/>
    <s v="SPDC 1/2"/>
    <n v="712"/>
    <s v="G1206 n°1121 + 20 R93"/>
    <m/>
    <x v="1"/>
    <x v="0"/>
    <s v="X"/>
    <s v="x"/>
    <m/>
    <m/>
    <m/>
    <m/>
    <m/>
    <m/>
    <m/>
    <m/>
    <m/>
    <s v="retard au départ car compo non conforme 21 wagons au lieu de 20"/>
  </r>
  <r>
    <s v="VENDREDI"/>
    <x v="64"/>
    <n v="21"/>
    <m/>
    <s v="LES AUBRAIS"/>
    <s v="MONTEREAU 2/2"/>
    <n v="712"/>
    <s v="V212 n°580-0"/>
    <s v="S2TF"/>
    <x v="0"/>
    <x v="0"/>
    <m/>
    <m/>
    <m/>
    <m/>
    <m/>
    <m/>
    <m/>
    <m/>
    <m/>
    <m/>
    <m/>
    <m/>
  </r>
  <r>
    <s v="VENDREDI"/>
    <x v="64"/>
    <n v="21"/>
    <m/>
    <s v="AUBRAIS"/>
    <s v="COUTRAS 3/3"/>
    <n v="712"/>
    <s v="G1206 n°1377 + 10 R93"/>
    <s v="S2TF"/>
    <x v="0"/>
    <x v="0"/>
    <m/>
    <m/>
    <m/>
    <m/>
    <m/>
    <m/>
    <m/>
    <m/>
    <m/>
    <m/>
    <m/>
    <s v="Pas de marche possible pour cause de travaux"/>
  </r>
  <r>
    <s v="VENDREDI"/>
    <x v="64"/>
    <n v="21"/>
    <m/>
    <s v="SPDC"/>
    <s v="COUTRAS 1/2"/>
    <n v="712"/>
    <s v="G1206 n°1121 + 20 R93"/>
    <s v="Ferrotract "/>
    <x v="1"/>
    <x v="0"/>
    <s v="X"/>
    <m/>
    <m/>
    <m/>
    <m/>
    <m/>
    <m/>
    <m/>
    <m/>
    <m/>
    <m/>
    <s v="pas de manœuvre réalisée à l'arrivée / ferrotract n'était pas au courant"/>
  </r>
  <r>
    <s v="LUNDI"/>
    <x v="65"/>
    <s v="22"/>
    <m/>
    <s v="Bercy"/>
    <s v="VSG "/>
    <n v="712"/>
    <s v="V212 581-8 + 10 wagons chargés + V211 635-2"/>
    <s v="SNCF"/>
    <x v="0"/>
    <x v="0"/>
    <m/>
    <m/>
    <m/>
    <m/>
    <m/>
    <m/>
    <m/>
    <m/>
    <m/>
    <m/>
    <m/>
    <m/>
  </r>
  <r>
    <s v="LUNDI"/>
    <x v="65"/>
    <s v="22"/>
    <m/>
    <s v="VAIRES"/>
    <s v="LES AUBRAIS 1/3"/>
    <n v="712"/>
    <s v="BML 108-32 U n°3443"/>
    <s v="S2TF"/>
    <x v="0"/>
    <x v="0"/>
    <m/>
    <m/>
    <m/>
    <m/>
    <m/>
    <m/>
    <m/>
    <m/>
    <m/>
    <m/>
    <m/>
    <m/>
  </r>
  <r>
    <s v="MARDI"/>
    <x v="66"/>
    <s v="22"/>
    <m/>
    <s v="LES AUBRAIS"/>
    <s v="POITIERS 2/3"/>
    <n v="712"/>
    <s v="BML 108-32 U n°3443"/>
    <m/>
    <x v="0"/>
    <x v="0"/>
    <m/>
    <m/>
    <m/>
    <m/>
    <m/>
    <m/>
    <m/>
    <m/>
    <m/>
    <m/>
    <m/>
    <m/>
  </r>
  <r>
    <s v="MARDI"/>
    <x v="66"/>
    <s v="22"/>
    <m/>
    <s v="GRAND PONT"/>
    <s v="GIEVRES"/>
    <n v="712"/>
    <s v="G1038 + 6EX100 + 5R93+BML 3485"/>
    <s v="ferrotract"/>
    <x v="0"/>
    <x v="0"/>
    <m/>
    <m/>
    <m/>
    <m/>
    <m/>
    <m/>
    <m/>
    <m/>
    <m/>
    <m/>
    <m/>
    <m/>
  </r>
  <r>
    <s v="MARDI"/>
    <x v="66"/>
    <s v="22"/>
    <m/>
    <s v="GIEVRES"/>
    <s v="VIERZON"/>
    <n v="712"/>
    <s v="G1038 + BML 3485"/>
    <s v="ferrotract"/>
    <x v="1"/>
    <x v="1"/>
    <m/>
    <m/>
    <m/>
    <m/>
    <m/>
    <m/>
    <m/>
    <m/>
    <m/>
    <m/>
    <m/>
    <m/>
  </r>
  <r>
    <s v="MARDI"/>
    <x v="66"/>
    <s v="22"/>
    <m/>
    <s v="VIERZON"/>
    <s v="Les aubrais + VSG"/>
    <n v="712"/>
    <s v="BML 3485"/>
    <m/>
    <x v="0"/>
    <x v="0"/>
    <m/>
    <m/>
    <s v="Feroway"/>
    <s v="défaut d'information "/>
    <s v="ETF ARS Sud  //   A.955LOL2575712"/>
    <m/>
    <m/>
    <m/>
    <m/>
    <s v="Problème d'horaire de marche pour CDT et C2// Attention anticipation sur l'enchainement des sillons avec la ST"/>
    <m/>
    <m/>
  </r>
  <r>
    <s v="MARDI"/>
    <x v="66"/>
    <s v="22"/>
    <m/>
    <s v="LES MUREAUX"/>
    <s v="VIERZON 1/2"/>
    <n v="712"/>
    <s v="G1206 n°1122"/>
    <m/>
    <x v="0"/>
    <x v="0"/>
    <m/>
    <m/>
    <m/>
    <m/>
    <m/>
    <m/>
    <m/>
    <m/>
    <m/>
    <m/>
    <m/>
    <m/>
  </r>
  <r>
    <s v="MARDI"/>
    <x v="66"/>
    <s v="22"/>
    <m/>
    <s v="Bercy"/>
    <s v="VSG "/>
    <n v="712"/>
    <s v="V211 581-8 + 2 wagons + V211 635-2"/>
    <s v="SNCF"/>
    <x v="0"/>
    <x v="0"/>
    <m/>
    <m/>
    <m/>
    <m/>
    <m/>
    <m/>
    <m/>
    <m/>
    <m/>
    <m/>
    <m/>
    <m/>
  </r>
  <r>
    <s v="MERCREDI"/>
    <x v="67"/>
    <s v="22"/>
    <m/>
    <s v="POITIERS"/>
    <s v="MARMANDE"/>
    <n v="712"/>
    <s v="BML 108-32 U n°3443"/>
    <m/>
    <x v="0"/>
    <x v="0"/>
    <m/>
    <m/>
    <m/>
    <m/>
    <m/>
    <m/>
    <m/>
    <m/>
    <m/>
    <m/>
    <m/>
    <m/>
  </r>
  <r>
    <s v="MERCREDI"/>
    <x v="67"/>
    <s v="22"/>
    <m/>
    <s v="VIERZON"/>
    <s v="ST GERMAIN LES FOSSES"/>
    <n v="712"/>
    <s v="G1206 n°1122 + G1038"/>
    <m/>
    <x v="0"/>
    <x v="0"/>
    <m/>
    <m/>
    <m/>
    <m/>
    <m/>
    <m/>
    <m/>
    <m/>
    <m/>
    <m/>
    <m/>
    <m/>
  </r>
  <r>
    <s v="MERCREDI"/>
    <x v="67"/>
    <s v="22"/>
    <m/>
    <s v="VSG"/>
    <s v="TOURY"/>
    <n v="712"/>
    <s v="BML n°3486"/>
    <s v="S2TF"/>
    <x v="0"/>
    <x v="0"/>
    <m/>
    <m/>
    <m/>
    <m/>
    <m/>
    <m/>
    <m/>
    <m/>
    <m/>
    <m/>
    <m/>
    <s v="acheminement donné à S2TF //nous recuperons le VSG - Paris Bercy"/>
  </r>
  <r>
    <s v="MERCREDI"/>
    <x v="67"/>
    <s v="22"/>
    <m/>
    <s v="VSG"/>
    <s v="ACHERES"/>
    <n v="712"/>
    <s v="BML n°3485"/>
    <s v="S2TF"/>
    <x v="0"/>
    <x v="0"/>
    <m/>
    <m/>
    <m/>
    <m/>
    <m/>
    <m/>
    <m/>
    <m/>
    <s v="x"/>
    <m/>
    <m/>
    <s v="Sollicitation AMO TIGHILT pour reception"/>
  </r>
  <r>
    <s v="MARDI"/>
    <x v="68"/>
    <m/>
    <m/>
    <s v="TOURY LAB"/>
    <s v="MTB"/>
    <n v="712"/>
    <s v="BML n°3486"/>
    <m/>
    <x v="0"/>
    <x v="0"/>
    <m/>
    <m/>
    <m/>
    <m/>
    <m/>
    <m/>
    <m/>
    <m/>
    <m/>
    <m/>
    <m/>
    <m/>
  </r>
  <r>
    <s v="JEUDI"/>
    <x v="69"/>
    <m/>
    <m/>
    <s v="Gannat"/>
    <s v="Montceau"/>
    <n v="712"/>
    <n v="1122"/>
    <s v="ctsf"/>
    <x v="0"/>
    <x v="0"/>
    <m/>
    <m/>
    <m/>
    <m/>
    <m/>
    <m/>
    <m/>
    <m/>
    <m/>
    <m/>
    <m/>
    <m/>
  </r>
  <r>
    <s v="JEUDI"/>
    <x v="69"/>
    <m/>
    <m/>
    <s v="Valognes"/>
    <s v="Juvisy 1/3"/>
    <n v="712"/>
    <s v="BML n°6490_x0009__x0009_"/>
    <m/>
    <x v="0"/>
    <x v="0"/>
    <m/>
    <m/>
    <m/>
    <m/>
    <m/>
    <m/>
    <m/>
    <m/>
    <m/>
    <m/>
    <m/>
    <m/>
  </r>
  <r>
    <s v="VENDREDI"/>
    <x v="70"/>
    <m/>
    <m/>
    <s v="Juvisy"/>
    <s v="Vierzon 2/3"/>
    <n v="712"/>
    <s v="BML n°6490_x0009__x0009_"/>
    <m/>
    <x v="0"/>
    <x v="0"/>
    <m/>
    <m/>
    <m/>
    <m/>
    <m/>
    <m/>
    <m/>
    <m/>
    <m/>
    <m/>
    <m/>
    <m/>
  </r>
  <r>
    <s v="VENDREDI"/>
    <x v="70"/>
    <m/>
    <m/>
    <s v="Vierzon"/>
    <s v="SGF 3/3"/>
    <n v="712"/>
    <s v="BML n°6490_x0009__x0009_"/>
    <m/>
    <x v="0"/>
    <x v="0"/>
    <m/>
    <m/>
    <m/>
    <m/>
    <m/>
    <m/>
    <m/>
    <m/>
    <m/>
    <m/>
    <m/>
    <m/>
  </r>
  <r>
    <s v="VENDREDI"/>
    <x v="70"/>
    <m/>
    <m/>
    <s v="BDC hourcade"/>
    <s v="Coutras 1/2"/>
    <n v="712"/>
    <s v="G1206 n*1121 + 1377_x0009_"/>
    <m/>
    <x v="0"/>
    <x v="0"/>
    <m/>
    <m/>
    <m/>
    <m/>
    <m/>
    <m/>
    <m/>
    <m/>
    <m/>
    <m/>
    <m/>
    <m/>
  </r>
  <r>
    <s v="VENDREDI"/>
    <x v="70"/>
    <m/>
    <m/>
    <s v="Coutras"/>
    <s v="ballastieres 2/2"/>
    <n v="712"/>
    <s v="G1206 n*1121 + 1377_x0009_"/>
    <m/>
    <x v="0"/>
    <x v="0"/>
    <m/>
    <m/>
    <m/>
    <m/>
    <m/>
    <m/>
    <m/>
    <m/>
    <m/>
    <m/>
    <m/>
    <m/>
  </r>
  <r>
    <s v="MARDI"/>
    <x v="71"/>
    <s v="24"/>
    <m/>
    <s v="Bercy"/>
    <s v="VSG "/>
    <n v="712"/>
    <m/>
    <s v="SNCF"/>
    <x v="0"/>
    <x v="0"/>
    <m/>
    <m/>
    <m/>
    <m/>
    <m/>
    <m/>
    <m/>
    <m/>
    <m/>
    <m/>
    <m/>
    <m/>
  </r>
  <r>
    <s v="LUNDI"/>
    <x v="72"/>
    <s v="25"/>
    <m/>
    <s v="Bercy"/>
    <s v="VSG "/>
    <n v="712"/>
    <s v="V212 581-8 + 10 wagons chargés + V211 635-2"/>
    <s v="SNCF"/>
    <x v="0"/>
    <x v="0"/>
    <m/>
    <m/>
    <m/>
    <m/>
    <m/>
    <m/>
    <m/>
    <m/>
    <m/>
    <m/>
    <m/>
    <m/>
  </r>
  <r>
    <s v="MARDI"/>
    <x v="73"/>
    <s v="25"/>
    <m/>
    <s v="VET"/>
    <s v="POITIERS 1/2"/>
    <n v="712"/>
    <s v="BML 3485"/>
    <m/>
    <x v="0"/>
    <x v="0"/>
    <m/>
    <m/>
    <m/>
    <m/>
    <m/>
    <m/>
    <m/>
    <m/>
    <m/>
    <m/>
    <m/>
    <m/>
  </r>
  <r>
    <s v="MERCREDI"/>
    <x v="74"/>
    <s v="25"/>
    <m/>
    <s v="POITIERS"/>
    <s v="MARMANDE 2/2"/>
    <n v="712"/>
    <s v="BML 3485"/>
    <m/>
    <x v="0"/>
    <x v="0"/>
    <m/>
    <m/>
    <m/>
    <m/>
    <m/>
    <m/>
    <m/>
    <m/>
    <m/>
    <m/>
    <m/>
    <m/>
  </r>
  <r>
    <s v="LUNDI"/>
    <x v="75"/>
    <s v="26"/>
    <m/>
    <s v="Bercy"/>
    <s v="VSG "/>
    <n v="712"/>
    <s v="V212 581-8 + 10 wagons chargés + V211 635-2"/>
    <s v="SNCF"/>
    <x v="0"/>
    <x v="0"/>
    <m/>
    <m/>
    <m/>
    <m/>
    <m/>
    <m/>
    <m/>
    <m/>
    <m/>
    <m/>
    <m/>
    <m/>
  </r>
  <r>
    <s v="MARDI"/>
    <x v="76"/>
    <s v="26"/>
    <m/>
    <s v="Gannat"/>
    <s v="Moulins 1/2"/>
    <n v="712"/>
    <s v="g1038"/>
    <s v="TRANSIFER"/>
    <x v="0"/>
    <x v="0"/>
    <m/>
    <m/>
    <m/>
    <m/>
    <m/>
    <m/>
    <m/>
    <m/>
    <m/>
    <m/>
    <m/>
    <m/>
  </r>
  <r>
    <s v="MARDI"/>
    <x v="76"/>
    <s v="26"/>
    <m/>
    <s v="Gilly"/>
    <s v="Montceau les M 2/2"/>
    <n v="712"/>
    <s v="g10381"/>
    <s v="TRANSIFER"/>
    <x v="0"/>
    <x v="0"/>
    <m/>
    <m/>
    <m/>
    <m/>
    <m/>
    <m/>
    <m/>
    <m/>
    <m/>
    <m/>
    <m/>
    <m/>
  </r>
  <r>
    <s v="JEUDI"/>
    <x v="77"/>
    <s v="26"/>
    <m/>
    <s v="GRAND PONT"/>
    <s v="COUTRAS"/>
    <n v="712"/>
    <s v="G1029 + 6EX"/>
    <m/>
    <x v="0"/>
    <x v="0"/>
    <m/>
    <m/>
    <m/>
    <m/>
    <m/>
    <m/>
    <m/>
    <m/>
    <m/>
    <m/>
    <m/>
    <m/>
  </r>
  <r>
    <s v="JEUDI"/>
    <x v="77"/>
    <s v="26"/>
    <m/>
    <s v="COUTRAS"/>
    <s v="MARMANDE 2/2"/>
    <n v="712"/>
    <s v="G1029 + 6EX"/>
    <m/>
    <x v="0"/>
    <x v="0"/>
    <m/>
    <m/>
    <m/>
    <m/>
    <m/>
    <m/>
    <m/>
    <m/>
    <m/>
    <m/>
    <m/>
    <m/>
  </r>
  <r>
    <s v="JEUDI"/>
    <x v="77"/>
    <s v="26"/>
    <m/>
    <s v="GRAND PONT"/>
    <s v="GIEVRES "/>
    <n v="712"/>
    <s v="BR214 + 4EX + 4R93"/>
    <m/>
    <x v="1"/>
    <x v="1"/>
    <m/>
    <m/>
    <s v="G.I"/>
    <s v="Intempéries"/>
    <s v="ETF ARS Sud  //   A.955LOL2575712"/>
    <m/>
    <m/>
    <m/>
    <m/>
    <s v="train calé à SP suite  intempéries  // Sujet wagon "/>
    <m/>
    <m/>
  </r>
  <r>
    <s v="JEUDI"/>
    <x v="77"/>
    <s v="26"/>
    <m/>
    <s v="GIEVRES "/>
    <s v="VIERZON   "/>
    <n v="712"/>
    <s v="BR214 + 4EX + 4R93"/>
    <m/>
    <x v="1"/>
    <x v="0"/>
    <s v="X"/>
    <m/>
    <m/>
    <m/>
    <m/>
    <m/>
    <m/>
    <m/>
    <m/>
    <m/>
    <m/>
    <m/>
  </r>
  <r>
    <s v="VENDREDI"/>
    <x v="78"/>
    <s v="26"/>
    <m/>
    <s v="SPDC"/>
    <s v="Gièvres"/>
    <n v="712"/>
    <s v="BR214 + 3Wagons"/>
    <m/>
    <x v="0"/>
    <x v="0"/>
    <m/>
    <m/>
    <m/>
    <m/>
    <m/>
    <m/>
    <m/>
    <m/>
    <m/>
    <m/>
    <m/>
    <m/>
  </r>
  <r>
    <s v="LUNDI"/>
    <x v="79"/>
    <s v="27"/>
    <m/>
    <s v="VSG"/>
    <s v="JOIGNY 1/2"/>
    <n v="712"/>
    <s v="V211 n°581-8 + (33873947054-4 + 33873938333-3) + n* 33873940263-8"/>
    <s v="TRANSIFER"/>
    <x v="0"/>
    <x v="0"/>
    <m/>
    <m/>
    <m/>
    <m/>
    <m/>
    <m/>
    <m/>
    <m/>
    <m/>
    <m/>
    <m/>
    <m/>
  </r>
  <r>
    <s v="LUNDI"/>
    <x v="79"/>
    <s v="27"/>
    <m/>
    <s v="BOULOGNE"/>
    <s v="VSG 1/3"/>
    <n v="712"/>
    <s v="G1206 n°1378"/>
    <m/>
    <x v="0"/>
    <x v="0"/>
    <m/>
    <m/>
    <m/>
    <m/>
    <m/>
    <m/>
    <m/>
    <m/>
    <m/>
    <s v="Modification dernières minutes pour origine : Boulogne"/>
    <m/>
    <m/>
  </r>
  <r>
    <s v="LUNDI"/>
    <x v="79"/>
    <s v="27"/>
    <m/>
    <s v="GIEVRES"/>
    <s v="VSG 1/3"/>
    <n v="712"/>
    <s v="BR214 + 3WGS"/>
    <m/>
    <x v="0"/>
    <x v="0"/>
    <m/>
    <m/>
    <m/>
    <m/>
    <m/>
    <m/>
    <m/>
    <m/>
    <m/>
    <m/>
    <m/>
    <m/>
  </r>
  <r>
    <s v="MARDI"/>
    <x v="80"/>
    <s v="27"/>
    <m/>
    <s v="VSG"/>
    <s v="JOIGNY 2/3"/>
    <n v="712"/>
    <s v="G1206 n°1378 + V211 n°581-8"/>
    <m/>
    <x v="0"/>
    <x v="0"/>
    <m/>
    <m/>
    <m/>
    <m/>
    <m/>
    <m/>
    <m/>
    <m/>
    <m/>
    <s v="fusion avec vsg joigny du lundi"/>
    <m/>
    <m/>
  </r>
  <r>
    <s v="MARDI"/>
    <x v="80"/>
    <s v="27"/>
    <m/>
    <s v="JOINGY"/>
    <s v="VSG 1/2"/>
    <n v="712"/>
    <s v="G12076 n°1378+ V211 : 9EX100"/>
    <m/>
    <x v="1"/>
    <x v="0"/>
    <m/>
    <s v="x"/>
    <m/>
    <m/>
    <m/>
    <m/>
    <m/>
    <m/>
    <m/>
    <s v="retard au départ (+ de 90min)"/>
    <m/>
    <m/>
  </r>
  <r>
    <s v="MARDI"/>
    <x v="80"/>
    <s v="27"/>
    <m/>
    <s v="BOULOGNE"/>
    <s v="LONGUEAU"/>
    <n v="712"/>
    <s v="G1206 n°1498+ 1546 + 25 Wagons"/>
    <s v="SNCF"/>
    <x v="1"/>
    <x v="1"/>
    <m/>
    <m/>
    <s v="Client"/>
    <s v="Panne machine "/>
    <s v="ETF RGI   //   A955.LOL2593705"/>
    <n v="1"/>
    <m/>
    <m/>
    <m/>
    <s v="Surchauffe moteur G1206 1516 demande de secours en cours"/>
    <m/>
    <m/>
  </r>
  <r>
    <s v="MARDI"/>
    <x v="80"/>
    <s v="27"/>
    <m/>
    <s v="LONGUEAU"/>
    <s v="BOULOGNE  "/>
    <n v="712"/>
    <s v="G1206 n°1546+1498"/>
    <s v="SNCF"/>
    <x v="0"/>
    <x v="0"/>
    <m/>
    <m/>
    <m/>
    <m/>
    <m/>
    <m/>
    <m/>
    <m/>
    <m/>
    <m/>
    <m/>
    <m/>
  </r>
  <r>
    <s v="MARDI"/>
    <x v="80"/>
    <s v="27"/>
    <m/>
    <s v="ABBEVILLE"/>
    <s v="BOULOGNE"/>
    <n v="712"/>
    <s v="G1206 n°1498+ 1546 + 25 Wagons"/>
    <m/>
    <x v="0"/>
    <x v="0"/>
    <m/>
    <m/>
    <m/>
    <m/>
    <m/>
    <m/>
    <m/>
    <m/>
    <m/>
    <m/>
    <m/>
    <m/>
  </r>
  <r>
    <s v="MERCREDI"/>
    <x v="81"/>
    <s v="27"/>
    <m/>
    <s v="VSG"/>
    <s v="MTB 2/2"/>
    <n v="712"/>
    <s v="V211 n°581-8"/>
    <s v="S2TF"/>
    <x v="0"/>
    <x v="0"/>
    <s v="X"/>
    <m/>
    <m/>
    <m/>
    <m/>
    <m/>
    <m/>
    <m/>
    <m/>
    <s v="Acheminement vendu a S2TF en OP "/>
    <m/>
    <m/>
  </r>
  <r>
    <s v="MERCREDI"/>
    <x v="81"/>
    <s v="27"/>
    <m/>
    <s v="MARQUISE"/>
    <s v="CALAIS"/>
    <n v="712"/>
    <s v="R21 GCF"/>
    <s v="ST"/>
    <x v="0"/>
    <x v="0"/>
    <m/>
    <m/>
    <m/>
    <m/>
    <m/>
    <m/>
    <m/>
    <m/>
    <m/>
    <m/>
    <m/>
    <m/>
  </r>
  <r>
    <s v="MERCREDI"/>
    <x v="81"/>
    <s v="27"/>
    <m/>
    <s v="CALAIS"/>
    <s v="BOULOGNE 3/3"/>
    <n v="712"/>
    <s v="R21 GCF"/>
    <s v="ST"/>
    <x v="0"/>
    <x v="0"/>
    <m/>
    <m/>
    <m/>
    <m/>
    <m/>
    <m/>
    <m/>
    <m/>
    <m/>
    <m/>
    <m/>
    <m/>
  </r>
  <r>
    <s v="JEUDI"/>
    <x v="82"/>
    <s v="27"/>
    <m/>
    <s v="MARMANDE"/>
    <s v="NABONNE 1/2"/>
    <n v="712"/>
    <s v="BML n°993"/>
    <m/>
    <x v="0"/>
    <x v="0"/>
    <m/>
    <m/>
    <m/>
    <m/>
    <m/>
    <m/>
    <m/>
    <m/>
    <m/>
    <m/>
    <m/>
    <m/>
  </r>
  <r>
    <s v="JEUDI"/>
    <x v="81"/>
    <s v="27"/>
    <m/>
    <s v="BOULOGNE"/>
    <s v="LONGUEAU"/>
    <n v="712"/>
    <s v="UMG12 + wagons"/>
    <s v="ctsf"/>
    <x v="1"/>
    <x v="0"/>
    <s v="X"/>
    <m/>
    <m/>
    <m/>
    <m/>
    <m/>
    <m/>
    <m/>
    <m/>
    <m/>
    <m/>
    <m/>
  </r>
  <r>
    <s v="JEUDI"/>
    <x v="81"/>
    <s v="27"/>
    <m/>
    <s v="LONGUEAU"/>
    <s v="BOULOGNE"/>
    <n v="712"/>
    <s v="UMG12  "/>
    <s v="CSTF"/>
    <x v="1"/>
    <x v="0"/>
    <s v="X"/>
    <m/>
    <m/>
    <m/>
    <m/>
    <m/>
    <m/>
    <m/>
    <m/>
    <m/>
    <m/>
    <m/>
  </r>
  <r>
    <s v="JEUDI"/>
    <x v="82"/>
    <s v="27"/>
    <m/>
    <s v="MARMANDE"/>
    <s v="SPDC"/>
    <n v="712"/>
    <s v="BML n°3485"/>
    <s v="ctsf"/>
    <x v="0"/>
    <x v="0"/>
    <m/>
    <m/>
    <m/>
    <m/>
    <m/>
    <m/>
    <m/>
    <m/>
    <m/>
    <m/>
    <m/>
    <m/>
  </r>
  <r>
    <s v="VENDREDI"/>
    <x v="83"/>
    <s v="27"/>
    <m/>
    <s v="SPDC"/>
    <s v="MTB 2/2"/>
    <n v="712"/>
    <s v="BML n°3485"/>
    <s v="ctsf"/>
    <x v="0"/>
    <x v="0"/>
    <m/>
    <m/>
    <m/>
    <m/>
    <m/>
    <m/>
    <m/>
    <m/>
    <m/>
    <m/>
    <m/>
    <m/>
  </r>
  <r>
    <s v="VENDREDI"/>
    <x v="83"/>
    <s v="27"/>
    <m/>
    <s v="NABONNE"/>
    <s v="ARLES 2/2"/>
    <n v="712"/>
    <s v="BML n°993"/>
    <m/>
    <x v="0"/>
    <x v="0"/>
    <m/>
    <m/>
    <m/>
    <m/>
    <m/>
    <m/>
    <m/>
    <m/>
    <m/>
    <m/>
    <m/>
    <m/>
  </r>
  <r>
    <s v="VENDREDI"/>
    <x v="84"/>
    <n v="28"/>
    <m/>
    <s v="Coutras"/>
    <s v="SPDC 1/2"/>
    <n v="712"/>
    <s v="G12 1121"/>
    <m/>
    <x v="0"/>
    <x v="0"/>
    <m/>
    <m/>
    <m/>
    <m/>
    <m/>
    <m/>
    <m/>
    <m/>
    <m/>
    <m/>
    <m/>
    <m/>
  </r>
  <r>
    <s v="VENDREDI"/>
    <x v="84"/>
    <n v="28"/>
    <m/>
    <s v="SPDC "/>
    <s v="Coutras"/>
    <n v="712"/>
    <s v="G1029"/>
    <m/>
    <x v="1"/>
    <x v="1"/>
    <m/>
    <m/>
    <s v="Externe"/>
    <s v="sous-traitance"/>
    <s v="ETF ARS Sud  //   A.955LOL2575712"/>
    <s v="x"/>
    <m/>
    <m/>
    <m/>
    <s v="Ferrotract n'a pas mis la loco à disposition. "/>
    <s v="calé au départ suite fermeture EP Ferrotract + travaux a Ruffec"/>
    <m/>
  </r>
  <r>
    <s v="VENDREDI"/>
    <x v="84"/>
    <n v="28"/>
    <m/>
    <s v="SPDC "/>
    <s v="Les Mureaux 2/2"/>
    <n v="712"/>
    <s v="G12 1121"/>
    <m/>
    <x v="0"/>
    <x v="0"/>
    <m/>
    <m/>
    <m/>
    <m/>
    <m/>
    <m/>
    <m/>
    <m/>
    <m/>
    <m/>
    <m/>
    <m/>
  </r>
  <r>
    <s v="VENDREDI"/>
    <x v="84"/>
    <n v="28"/>
    <m/>
    <s v="VSG"/>
    <s v="Massy"/>
    <n v="712"/>
    <s v="60072+13 wagons"/>
    <s v="ctsf"/>
    <x v="1"/>
    <x v="1"/>
    <m/>
    <m/>
    <m/>
    <m/>
    <m/>
    <s v="x"/>
    <s v="X"/>
    <m/>
    <m/>
    <s v="Calé à Juvisy suite absence d'agent au sol à Massy "/>
    <m/>
    <m/>
  </r>
  <r>
    <s v="SAMEDI"/>
    <x v="85"/>
    <n v="28"/>
    <m/>
    <s v="SPDC "/>
    <s v="Coutras"/>
    <n v="712"/>
    <s v="G1029"/>
    <m/>
    <x v="1"/>
    <x v="0"/>
    <m/>
    <m/>
    <m/>
    <m/>
    <m/>
    <m/>
    <s v="X"/>
    <m/>
    <m/>
    <m/>
    <m/>
    <m/>
  </r>
  <r>
    <s v="VENDREDI"/>
    <x v="86"/>
    <s v="29"/>
    <m/>
    <s v="GANNAT"/>
    <s v="LES AUBRAIS"/>
    <n v="712"/>
    <s v="G1038 + G11122"/>
    <m/>
    <x v="0"/>
    <x v="0"/>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5EE09F-37D7-491A-9E26-9887E65C3F08}" name="Tableau croisé dynamique11"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4">
  <location ref="A3:C11" firstHeaderRow="0" firstDataRow="1" firstDataCol="1"/>
  <pivotFields count="25">
    <pivotField showAll="0"/>
    <pivotField numFmtId="16"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24"/>
    <field x="9"/>
  </rowFields>
  <rowItems count="8">
    <i>
      <x v="1"/>
    </i>
    <i>
      <x v="2"/>
    </i>
    <i>
      <x v="3"/>
    </i>
    <i>
      <x v="4"/>
    </i>
    <i>
      <x v="5"/>
    </i>
    <i>
      <x v="6"/>
    </i>
    <i>
      <x v="7"/>
    </i>
    <i t="grand">
      <x/>
    </i>
  </rowItems>
  <colFields count="1">
    <field x="-2"/>
  </colFields>
  <colItems count="2">
    <i>
      <x/>
    </i>
    <i i="1">
      <x v="1"/>
    </i>
  </colItems>
  <dataFields count="2">
    <dataField name="Nombre de NC" fld="10" subtotal="count" baseField="0" baseItem="0"/>
    <dataField name="Nombre de CONF" fld="9" subtotal="count" baseField="0" baseItem="0"/>
  </dataFields>
  <formats count="6">
    <format dxfId="199">
      <pivotArea type="all" dataOnly="0" outline="0" fieldPosition="0"/>
    </format>
    <format dxfId="198">
      <pivotArea outline="0" collapsedLevelsAreSubtotals="1" fieldPosition="0"/>
    </format>
    <format dxfId="197">
      <pivotArea field="24" type="button" dataOnly="0" labelOnly="1" outline="0" axis="axisRow" fieldPosition="0"/>
    </format>
    <format dxfId="196">
      <pivotArea dataOnly="0" labelOnly="1" fieldPosition="0">
        <references count="1">
          <reference field="24" count="7">
            <x v="1"/>
            <x v="2"/>
            <x v="3"/>
            <x v="4"/>
            <x v="5"/>
            <x v="6"/>
            <x v="7"/>
          </reference>
        </references>
      </pivotArea>
    </format>
    <format dxfId="195">
      <pivotArea dataOnly="0" labelOnly="1" grandRow="1" outline="0" fieldPosition="0"/>
    </format>
    <format dxfId="194">
      <pivotArea dataOnly="0" labelOnly="1" outline="0" fieldPosition="0">
        <references count="1">
          <reference field="4294967294" count="2">
            <x v="0"/>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306DBFE-FC90-48D1-A303-54118FD1B117}" name="Tableau7" displayName="Tableau7" ref="A1:W190" totalsRowShown="0" dataDxfId="192" headerRowBorderDxfId="193" tableBorderDxfId="191">
  <autoFilter ref="A1:W190" xr:uid="{3306DBFE-FC90-48D1-A303-54118FD1B117}"/>
  <tableColumns count="23">
    <tableColumn id="1" xr3:uid="{9C014BCE-7149-4293-A16E-0EAA60AD8C0C}" name="JOUR" dataDxfId="190"/>
    <tableColumn id="2" xr3:uid="{31446235-0CBD-4A66-A297-470FA1BC51F2}" name="DATE" dataDxfId="189"/>
    <tableColumn id="3" xr3:uid="{113B065B-973F-486C-A0DA-16D1BA79BCAA}" name="SEMAINE" dataDxfId="188"/>
    <tableColumn id="4" xr3:uid="{A3EC184E-2981-4170-8743-E65B9D21A84C}" name="Colonne1"/>
    <tableColumn id="5" xr3:uid="{0AD973E7-6F00-49D5-A883-7BB14FB840CA}" name="ORIGINE" dataDxfId="187"/>
    <tableColumn id="6" xr3:uid="{3EDEDA2B-9587-4B4A-A80B-F6742F8E2075}" name="DESTINATION"/>
    <tableColumn id="7" xr3:uid="{5E3C7E5F-50A9-4FA0-8715-17C252727602}" name="OTP" dataDxfId="186"/>
    <tableColumn id="8" xr3:uid="{0D76526F-E8ED-45F1-8D72-865A39B5B5A7}" name="COMPOSITION" dataDxfId="185"/>
    <tableColumn id="9" xr3:uid="{359CACDA-59E0-42CB-BF9A-150BA0F204EE}" name="ST"/>
    <tableColumn id="10" xr3:uid="{2334B384-E826-401E-AEA0-97CE20108292}" name="CONF" dataDxfId="184"/>
    <tableColumn id="11" xr3:uid="{B54C3626-A49C-4156-9EC9-C88119021FB4}" name="NC" dataDxfId="183"/>
    <tableColumn id="12" xr3:uid="{5ED9C8A7-1526-4A3E-ADFE-A2AC231F8BC9}" name="SUITE NC" dataDxfId="182"/>
    <tableColumn id="13" xr3:uid="{0E9370D6-DD3A-4AE6-B8BF-946FBF714707}" name="Retard ?" dataDxfId="181"/>
    <tableColumn id="14" xr3:uid="{96E28915-47FD-4BB4-A745-238FA96F7495}" name="CAUSE NC"/>
    <tableColumn id="15" xr3:uid="{3C1BE1B8-969E-40C8-A250-773259F8F976}" name="SOUS-CAUSE NC"/>
    <tableColumn id="16" xr3:uid="{3D7E18C7-337C-4DDF-93BC-B9EF165619F2}" name="OTP "/>
    <tableColumn id="17" xr3:uid="{5C5F6336-A384-4E4A-9506-E8C745EB6BEF}" name="CALÉ" dataDxfId="180"/>
    <tableColumn id="18" xr3:uid="{D43550C5-BA5E-43EA-A5CF-F3952BA62C99}" name="REPRISE RAME_x000a_CALÉE" dataDxfId="179"/>
    <tableColumn id="19" xr3:uid="{5A019ECF-CC1F-46FC-A08E-71D894F6E35A}" name="AJOUT ACHE EN OP" dataDxfId="178"/>
    <tableColumn id="20" xr3:uid="{672E4ECE-CABF-4DEB-8AA1-8FC3BE62D12C}" name="TAXI AUTORISÉ EN OP" dataDxfId="177"/>
    <tableColumn id="21" xr3:uid="{8C220CC0-39E1-46A4-9397-581F0A3989A3}" name="DETAIL NON-CONFORMITE" dataDxfId="176"/>
    <tableColumn id="22" xr3:uid="{917074BC-09E1-4F0E-A393-5E504A9CF240}" name="ACTIONS" dataDxfId="175"/>
    <tableColumn id="23" xr3:uid="{62AE5D22-D299-4AEA-9F64-2AA89A9C7FB2}" name="NC REGLES RH" dataDxfId="17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FEBCB2-D16B-4395-B27C-22CC91DDB083}" name="Tableau3" displayName="Tableau3" ref="C2:C7" totalsRowShown="0">
  <autoFilter ref="C2:C7" xr:uid="{3FFEBCB2-D16B-4395-B27C-22CC91DDB083}"/>
  <tableColumns count="1">
    <tableColumn id="1" xr3:uid="{C9EE1F85-FCD7-4DA6-BBE2-F39E58B9617F}" name="cause "/>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32ED141-F007-40DB-8FC7-881C733946A4}" name="Tableau4" displayName="Tableau4" ref="D2:D10" totalsRowShown="0">
  <autoFilter ref="D2:D10" xr:uid="{A32ED141-F007-40DB-8FC7-881C733946A4}"/>
  <sortState xmlns:xlrd2="http://schemas.microsoft.com/office/spreadsheetml/2017/richdata2" ref="D3:D10">
    <sortCondition ref="D2:D10"/>
  </sortState>
  <tableColumns count="1">
    <tableColumn id="1" xr3:uid="{055B1986-E1BF-4288-A665-8C8025C6C7D1}" name="G.I "/>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F421CB7-CE60-492A-A5B4-38FC2A4AEB04}" name="Tableau5" displayName="Tableau5" ref="E2:E16" totalsRowShown="0">
  <autoFilter ref="E2:E16" xr:uid="{7F421CB7-CE60-492A-A5B4-38FC2A4AEB04}"/>
  <sortState xmlns:xlrd2="http://schemas.microsoft.com/office/spreadsheetml/2017/richdata2" ref="E3:E15">
    <sortCondition ref="E2:E15"/>
  </sortState>
  <tableColumns count="1">
    <tableColumn id="1" xr3:uid="{12AB8368-77CB-4B76-824D-EFE673355ED5}" name="Client "/>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BF9871-BA07-4188-8A3C-ABC35B7A7095}" name="Tableau1" displayName="Tableau1" ref="F2:F20" totalsRowShown="0" headerRowDxfId="173" dataDxfId="172" tableBorderDxfId="171">
  <autoFilter ref="F2:F20" xr:uid="{33BF9871-BA07-4188-8A3C-ABC35B7A7095}"/>
  <sortState xmlns:xlrd2="http://schemas.microsoft.com/office/spreadsheetml/2017/richdata2" ref="F3:F19">
    <sortCondition ref="F2:F19"/>
  </sortState>
  <tableColumns count="1">
    <tableColumn id="1" xr3:uid="{4A3C00DC-11AE-4340-8B97-B8EAD9BDA6D7}" name="Feroway " dataDxfId="17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6D5E29B-014C-4594-8722-6FFD0F1F0C45}" name="Tableau6" displayName="Tableau6" ref="G2:H8" totalsRowShown="0" headerRowDxfId="169" tableBorderDxfId="168">
  <autoFilter ref="G2:H8" xr:uid="{C6D5E29B-014C-4594-8722-6FFD0F1F0C45}"/>
  <sortState xmlns:xlrd2="http://schemas.microsoft.com/office/spreadsheetml/2017/richdata2" ref="G3:H8">
    <sortCondition ref="G2:G8"/>
  </sortState>
  <tableColumns count="2">
    <tableColumn id="1" xr3:uid="{020B78CC-AA62-4368-BAF0-96CA3B3ED4D7}" name="Externe"/>
    <tableColumn id="2" xr3:uid="{7F9061FB-628E-4929-9BEE-D033A4403446}" name="Chantier"/>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2AAE33-93C9-4709-B394-5BFFC10C3C12}" name="Tableau2" displayName="Tableau2" ref="D23:D30" totalsRowShown="0">
  <autoFilter ref="D23:D30" xr:uid="{822AAE33-93C9-4709-B394-5BFFC10C3C12}"/>
  <tableColumns count="1">
    <tableColumn id="1" xr3:uid="{8D0821B4-37DB-42DD-9C84-C7519FD59725}" name="OTP /Agences"/>
  </tableColumns>
  <tableStyleInfo name="TableStyleMedium2"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398" dT="2024-09-17T13:28:23.22" personId="{917C239B-13AF-4901-9358-06B35B3BDF7E}" id="{D6C1322A-2B13-46FA-903B-6794873DA963}">
    <text>SPOT/Chantier? Quentin LUCAS</text>
  </threadedComment>
  <threadedComment ref="H1399" dT="2024-09-17T13:28:23.22" personId="{917C239B-13AF-4901-9358-06B35B3BDF7E}" id="{3D88B89B-CB85-438E-A5D5-19D568E4A171}">
    <text>SPOT/Chantier? Quentin LUCAS</text>
  </threadedComment>
</ThreadedComments>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3.bin"/><Relationship Id="rId1" Type="http://schemas.openxmlformats.org/officeDocument/2006/relationships/printerSettings" Target="../printerSettings/printerSettings2.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6.bin"/><Relationship Id="rId1" Type="http://schemas.openxmlformats.org/officeDocument/2006/relationships/printerSettings" Target="../printerSettings/printerSettings3.bin"/><Relationship Id="rId6" Type="http://schemas.microsoft.com/office/2019/04/relationships/namedSheetView" Target="../namedSheetViews/namedSheetView2.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hyperlink" Target="mailto:florent.dufond@feroway.com"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8.bin"/><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customProperty" Target="../customProperty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customProperty" Target="../customProperty10.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14BD4-EFF0-4A8F-9BDD-83145B14FE1D}">
  <dimension ref="A1:C5"/>
  <sheetViews>
    <sheetView workbookViewId="0">
      <selection activeCell="K13" sqref="K13"/>
    </sheetView>
  </sheetViews>
  <sheetFormatPr baseColWidth="10" defaultRowHeight="15"/>
  <cols>
    <col min="1" max="1" width="22" customWidth="1"/>
    <col min="2" max="2" width="19" customWidth="1"/>
    <col min="3" max="3" width="33.140625" customWidth="1"/>
  </cols>
  <sheetData>
    <row r="1" spans="1:3" ht="15.75" thickBot="1"/>
    <row r="2" spans="1:3" ht="17.25" thickBot="1">
      <c r="A2" s="5096" t="s">
        <v>6107</v>
      </c>
      <c r="B2" s="5096" t="s">
        <v>6108</v>
      </c>
      <c r="C2" s="5096" t="s">
        <v>6109</v>
      </c>
    </row>
    <row r="3" spans="1:3" ht="33.75" thickBot="1">
      <c r="A3" s="5097" t="s">
        <v>6110</v>
      </c>
      <c r="B3" s="5098">
        <v>57</v>
      </c>
      <c r="C3" s="5099">
        <v>0.68</v>
      </c>
    </row>
    <row r="4" spans="1:3" ht="33.75" thickBot="1">
      <c r="A4" s="5097" t="s">
        <v>6111</v>
      </c>
      <c r="B4" s="5098">
        <v>27</v>
      </c>
      <c r="C4" s="5099">
        <v>0.32</v>
      </c>
    </row>
    <row r="5" spans="1:3" ht="17.25" thickBot="1">
      <c r="A5" s="5096" t="s">
        <v>6112</v>
      </c>
      <c r="B5" s="5098">
        <v>84</v>
      </c>
      <c r="C5" s="5100">
        <v>1</v>
      </c>
    </row>
  </sheetData>
  <pageMargins left="0.7" right="0.7" top="0.75" bottom="0.75" header="0.3" footer="0.3"/>
  <customProperties>
    <customPr name="_pios_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295E1-A25B-4E3F-AC8E-29DB86590ABB}">
  <dimension ref="A1:AA774"/>
  <sheetViews>
    <sheetView zoomScale="40" zoomScaleNormal="40" zoomScaleSheetLayoutView="50" workbookViewId="0">
      <pane xSplit="2" ySplit="3" topLeftCell="D618" activePane="bottomRight" state="frozen"/>
      <selection pane="topRight" activeCell="C1" sqref="C1"/>
      <selection pane="bottomLeft" activeCell="A3" sqref="A3"/>
      <selection pane="bottomRight" activeCell="I648" sqref="I648"/>
    </sheetView>
  </sheetViews>
  <sheetFormatPr baseColWidth="10" defaultColWidth="11.42578125" defaultRowHeight="26.25"/>
  <cols>
    <col min="1" max="1" width="54.5703125" style="3163" hidden="1" customWidth="1"/>
    <col min="2" max="2" width="22.7109375" style="3160" customWidth="1"/>
    <col min="3" max="3" width="17.5703125" style="3165" customWidth="1"/>
    <col min="4" max="4" width="17.42578125" style="3165" customWidth="1"/>
    <col min="5" max="5" width="58.140625" style="3166" customWidth="1"/>
    <col min="6" max="6" width="58.5703125" style="3166" customWidth="1"/>
    <col min="7" max="8" width="58.5703125" style="3166" hidden="1" customWidth="1"/>
    <col min="9" max="9" width="21.5703125" style="3160" customWidth="1"/>
    <col min="10" max="10" width="115.85546875" style="3160" customWidth="1"/>
    <col min="11" max="11" width="51.28515625" style="3166" customWidth="1"/>
    <col min="12" max="12" width="27.140625" style="3160" customWidth="1"/>
    <col min="13" max="13" width="22" style="3160" customWidth="1"/>
    <col min="14" max="14" width="19.5703125" style="3160" customWidth="1"/>
    <col min="15" max="15" width="36.5703125" style="3160" customWidth="1"/>
    <col min="16" max="16" width="40.28515625" style="3160" customWidth="1"/>
    <col min="17" max="17" width="85.5703125" style="3160" customWidth="1"/>
    <col min="18" max="18" width="87.5703125" style="3160" customWidth="1"/>
    <col min="19" max="23" width="41.140625" style="3160" customWidth="1"/>
    <col min="24" max="24" width="110.42578125" style="3160" customWidth="1"/>
    <col min="25" max="25" width="90.42578125" style="3160" customWidth="1"/>
    <col min="26" max="26" width="117" style="3156" customWidth="1"/>
    <col min="27" max="27" width="118.5703125" style="3258" customWidth="1"/>
    <col min="28" max="16384" width="11.42578125" style="3161"/>
  </cols>
  <sheetData>
    <row r="1" spans="1:27">
      <c r="O1" s="3161"/>
      <c r="P1" s="20" t="s">
        <v>0</v>
      </c>
      <c r="Q1" s="20"/>
      <c r="R1" s="20"/>
    </row>
    <row r="2" spans="1:27" ht="26.25" customHeight="1">
      <c r="A2" s="4493" t="s">
        <v>1</v>
      </c>
      <c r="B2" s="4493"/>
      <c r="C2" s="4493"/>
      <c r="D2" s="4493"/>
      <c r="E2" s="4493"/>
      <c r="F2" s="4493"/>
      <c r="G2" s="4493"/>
      <c r="H2" s="4493"/>
      <c r="I2" s="4493"/>
      <c r="J2" s="4493"/>
      <c r="K2" s="4493"/>
      <c r="L2" s="4493"/>
      <c r="M2" s="4493"/>
      <c r="N2" s="4493"/>
      <c r="O2" s="4493"/>
      <c r="P2" s="4493"/>
      <c r="Q2" s="4493"/>
      <c r="R2" s="4493"/>
      <c r="S2" s="4493"/>
      <c r="T2" s="4493"/>
      <c r="U2" s="4493"/>
      <c r="V2" s="4493"/>
      <c r="W2" s="4493"/>
      <c r="X2" s="4493"/>
      <c r="Y2" s="4493"/>
      <c r="Z2" s="4493"/>
      <c r="AA2" s="4493"/>
    </row>
    <row r="3" spans="1:27" s="3162" customFormat="1" ht="42">
      <c r="A3" s="47" t="s">
        <v>2</v>
      </c>
      <c r="B3" s="47" t="s">
        <v>3</v>
      </c>
      <c r="C3" s="3159" t="s">
        <v>4</v>
      </c>
      <c r="D3" s="3159" t="s">
        <v>5</v>
      </c>
      <c r="E3" s="3157" t="s">
        <v>6</v>
      </c>
      <c r="F3" s="3157" t="s">
        <v>7</v>
      </c>
      <c r="G3" s="5156" t="s">
        <v>1037</v>
      </c>
      <c r="H3" s="5156" t="s">
        <v>1038</v>
      </c>
      <c r="I3" s="47" t="s">
        <v>8</v>
      </c>
      <c r="J3" s="47" t="s">
        <v>9</v>
      </c>
      <c r="K3" s="47" t="s">
        <v>10</v>
      </c>
      <c r="L3" s="47" t="s">
        <v>11</v>
      </c>
      <c r="M3" s="47" t="s">
        <v>12</v>
      </c>
      <c r="N3" s="47" t="s">
        <v>13</v>
      </c>
      <c r="O3" s="47" t="s">
        <v>14</v>
      </c>
      <c r="P3" s="3155" t="s">
        <v>15</v>
      </c>
      <c r="Q3" s="3155" t="s">
        <v>16</v>
      </c>
      <c r="R3" s="3155" t="s">
        <v>6297</v>
      </c>
      <c r="S3" s="47" t="s">
        <v>6298</v>
      </c>
      <c r="T3" s="47" t="s">
        <v>19</v>
      </c>
      <c r="U3" s="47" t="s">
        <v>20</v>
      </c>
      <c r="V3" s="5048" t="s">
        <v>6299</v>
      </c>
      <c r="W3" s="5048" t="s">
        <v>6300</v>
      </c>
      <c r="X3" s="3158" t="s">
        <v>21</v>
      </c>
      <c r="Y3" s="3158" t="s">
        <v>22</v>
      </c>
      <c r="Z3" s="3155" t="s">
        <v>23</v>
      </c>
      <c r="AA3" s="924" t="s">
        <v>24</v>
      </c>
    </row>
    <row r="4" spans="1:27" ht="57">
      <c r="A4" s="4347" t="s">
        <v>25</v>
      </c>
      <c r="B4" s="4355">
        <v>46027</v>
      </c>
      <c r="C4" s="3160">
        <v>2</v>
      </c>
      <c r="D4" s="4981">
        <v>1</v>
      </c>
      <c r="E4" s="4288" t="s">
        <v>26</v>
      </c>
      <c r="F4" s="4288" t="s">
        <v>27</v>
      </c>
      <c r="G4" s="4288"/>
      <c r="H4" s="4288"/>
      <c r="I4" s="3377">
        <v>712</v>
      </c>
      <c r="J4" s="3377" t="s">
        <v>28</v>
      </c>
      <c r="K4" s="4462" t="s">
        <v>29</v>
      </c>
      <c r="L4" s="4347"/>
      <c r="M4" s="4347" t="s">
        <v>30</v>
      </c>
      <c r="N4" s="4347"/>
      <c r="O4" s="4347"/>
      <c r="P4" s="360" t="s">
        <v>0</v>
      </c>
      <c r="Q4" s="360" t="s">
        <v>31</v>
      </c>
      <c r="R4" s="360" t="s">
        <v>32</v>
      </c>
      <c r="S4" s="4347"/>
      <c r="T4" s="4347"/>
      <c r="U4" s="4347"/>
      <c r="V4" s="4347"/>
      <c r="W4" s="4347"/>
      <c r="X4" s="4376" t="s">
        <v>33</v>
      </c>
      <c r="Y4" s="4376"/>
    </row>
    <row r="5" spans="1:27" ht="57">
      <c r="A5" s="4347" t="s">
        <v>25</v>
      </c>
      <c r="B5" s="4355">
        <v>46027</v>
      </c>
      <c r="C5" s="3160">
        <v>2</v>
      </c>
      <c r="D5" s="4981">
        <v>2</v>
      </c>
      <c r="E5" s="4286" t="s">
        <v>34</v>
      </c>
      <c r="F5" s="4286" t="s">
        <v>35</v>
      </c>
      <c r="G5" s="4286"/>
      <c r="H5" s="4286"/>
      <c r="I5" s="3377">
        <v>707</v>
      </c>
      <c r="J5" s="3377" t="s">
        <v>36</v>
      </c>
      <c r="K5" s="3377"/>
      <c r="L5" s="49"/>
      <c r="M5" s="4347" t="s">
        <v>37</v>
      </c>
      <c r="N5" s="4347"/>
      <c r="O5" s="4347"/>
      <c r="P5" s="360" t="s">
        <v>0</v>
      </c>
      <c r="Q5" s="360" t="s">
        <v>31</v>
      </c>
      <c r="R5" s="360" t="s">
        <v>38</v>
      </c>
      <c r="S5" s="4347" t="s">
        <v>30</v>
      </c>
      <c r="T5" s="4347"/>
      <c r="U5" s="4347"/>
      <c r="V5" s="4347"/>
      <c r="W5" s="4347"/>
      <c r="X5" s="4376" t="s">
        <v>39</v>
      </c>
      <c r="Y5" s="4376"/>
    </row>
    <row r="6" spans="1:27" ht="31.5">
      <c r="A6" s="4347" t="s">
        <v>25</v>
      </c>
      <c r="B6" s="4355">
        <v>46027</v>
      </c>
      <c r="C6" s="3160">
        <v>2</v>
      </c>
      <c r="D6" s="4981">
        <v>2</v>
      </c>
      <c r="E6" s="4286" t="s">
        <v>40</v>
      </c>
      <c r="F6" s="4286" t="s">
        <v>41</v>
      </c>
      <c r="G6" s="4286"/>
      <c r="H6" s="4286"/>
      <c r="I6" s="3377">
        <v>707</v>
      </c>
      <c r="J6" s="3377" t="s">
        <v>42</v>
      </c>
      <c r="K6" s="3377"/>
      <c r="L6" s="4347"/>
      <c r="M6" s="4347"/>
      <c r="N6" s="4347" t="s">
        <v>37</v>
      </c>
      <c r="O6" s="4347"/>
      <c r="S6" s="4347"/>
      <c r="T6" s="4347"/>
      <c r="U6" s="4347"/>
      <c r="V6" s="4347"/>
      <c r="W6" s="4347"/>
      <c r="X6" s="4376"/>
      <c r="Y6" s="4376"/>
    </row>
    <row r="7" spans="1:27" ht="57">
      <c r="A7" s="4347" t="s">
        <v>25</v>
      </c>
      <c r="B7" s="4355">
        <v>46027</v>
      </c>
      <c r="C7" s="3160">
        <v>2</v>
      </c>
      <c r="D7" s="4981">
        <v>3</v>
      </c>
      <c r="E7" s="4329" t="s">
        <v>43</v>
      </c>
      <c r="F7" s="4329" t="s">
        <v>44</v>
      </c>
      <c r="G7" s="4329"/>
      <c r="H7" s="4329"/>
      <c r="I7" s="3377">
        <v>705</v>
      </c>
      <c r="J7" s="3377" t="s">
        <v>45</v>
      </c>
      <c r="K7" s="3377"/>
      <c r="L7" s="4347"/>
      <c r="M7" s="4347" t="s">
        <v>37</v>
      </c>
      <c r="N7" s="4347"/>
      <c r="O7" s="4347"/>
      <c r="P7" s="360" t="s">
        <v>0</v>
      </c>
      <c r="Q7" s="360" t="s">
        <v>31</v>
      </c>
      <c r="R7" s="360" t="s">
        <v>46</v>
      </c>
      <c r="S7" s="4347"/>
      <c r="T7" s="4347"/>
      <c r="U7" s="4347"/>
      <c r="V7" s="4347"/>
      <c r="W7" s="4347"/>
      <c r="X7" s="4376" t="s">
        <v>47</v>
      </c>
      <c r="Y7" s="4376"/>
    </row>
    <row r="8" spans="1:27" ht="57">
      <c r="A8" s="4347" t="s">
        <v>25</v>
      </c>
      <c r="B8" s="4355">
        <v>46027</v>
      </c>
      <c r="C8" s="3160">
        <v>2</v>
      </c>
      <c r="D8" s="4981">
        <v>3</v>
      </c>
      <c r="E8" s="4329" t="s">
        <v>48</v>
      </c>
      <c r="F8" s="4329" t="s">
        <v>49</v>
      </c>
      <c r="G8" s="4329"/>
      <c r="H8" s="4329"/>
      <c r="I8" s="3377">
        <v>705</v>
      </c>
      <c r="J8" s="3377" t="s">
        <v>50</v>
      </c>
      <c r="K8" s="3377"/>
      <c r="L8" s="4347" t="s">
        <v>37</v>
      </c>
      <c r="M8" s="4347"/>
      <c r="N8" s="4347"/>
      <c r="O8" s="4347" t="s">
        <v>37</v>
      </c>
      <c r="P8" s="360"/>
      <c r="Q8" s="360"/>
      <c r="R8" s="360"/>
      <c r="S8" s="4347"/>
      <c r="T8" s="4347"/>
      <c r="U8" s="4347"/>
      <c r="V8" s="4347"/>
      <c r="W8" s="4347"/>
      <c r="X8" s="4376" t="s">
        <v>51</v>
      </c>
      <c r="Y8" s="4376"/>
    </row>
    <row r="9" spans="1:27" ht="31.5">
      <c r="A9" s="4347" t="s">
        <v>25</v>
      </c>
      <c r="B9" s="4355">
        <v>46027</v>
      </c>
      <c r="C9" s="3160">
        <v>2</v>
      </c>
      <c r="D9" s="4981">
        <v>4</v>
      </c>
      <c r="E9" s="4162" t="s">
        <v>52</v>
      </c>
      <c r="F9" s="4162" t="s">
        <v>53</v>
      </c>
      <c r="G9" s="4162"/>
      <c r="H9" s="4162"/>
      <c r="I9" s="3377">
        <v>705</v>
      </c>
      <c r="J9" s="3377" t="s">
        <v>54</v>
      </c>
      <c r="K9" s="3377"/>
      <c r="L9" s="4347" t="s">
        <v>37</v>
      </c>
      <c r="M9" s="4347"/>
      <c r="N9" s="4347"/>
      <c r="O9" s="4347" t="s">
        <v>37</v>
      </c>
      <c r="P9" s="360"/>
      <c r="Q9" s="360"/>
      <c r="R9" s="360"/>
      <c r="S9" s="4347"/>
      <c r="T9" s="4347"/>
      <c r="U9" s="4347"/>
      <c r="V9" s="4347"/>
      <c r="W9" s="4347"/>
      <c r="X9" s="4376" t="s">
        <v>55</v>
      </c>
      <c r="Y9" s="4376"/>
    </row>
    <row r="10" spans="1:27" ht="31.5">
      <c r="A10" s="4347" t="s">
        <v>25</v>
      </c>
      <c r="B10" s="4355">
        <v>46027</v>
      </c>
      <c r="C10" s="3160">
        <v>2</v>
      </c>
      <c r="D10" s="4981">
        <v>5</v>
      </c>
      <c r="E10" s="4307" t="s">
        <v>52</v>
      </c>
      <c r="F10" s="4307" t="s">
        <v>56</v>
      </c>
      <c r="G10" s="4307"/>
      <c r="H10" s="4307"/>
      <c r="I10" s="3377">
        <v>705</v>
      </c>
      <c r="J10" s="3377" t="s">
        <v>57</v>
      </c>
      <c r="K10" s="3377"/>
      <c r="L10" s="4347"/>
      <c r="M10" s="4347" t="s">
        <v>37</v>
      </c>
      <c r="N10" s="4347"/>
      <c r="O10" s="4347"/>
      <c r="P10" s="360" t="s">
        <v>0</v>
      </c>
      <c r="Q10" s="360" t="s">
        <v>31</v>
      </c>
      <c r="R10" s="360" t="s">
        <v>58</v>
      </c>
      <c r="S10" s="4347" t="s">
        <v>37</v>
      </c>
      <c r="T10" s="4347"/>
      <c r="U10" s="4347"/>
      <c r="V10" s="4347"/>
      <c r="W10" s="4347"/>
      <c r="X10" s="4376" t="s">
        <v>59</v>
      </c>
      <c r="Y10" s="4376"/>
    </row>
    <row r="11" spans="1:27" ht="31.5">
      <c r="A11" s="4347" t="s">
        <v>25</v>
      </c>
      <c r="B11" s="4355">
        <v>46027</v>
      </c>
      <c r="C11" s="3160">
        <v>2</v>
      </c>
      <c r="D11" s="4981">
        <v>5</v>
      </c>
      <c r="E11" s="4307" t="s">
        <v>60</v>
      </c>
      <c r="F11" s="4307" t="s">
        <v>61</v>
      </c>
      <c r="G11" s="4307"/>
      <c r="H11" s="4307"/>
      <c r="I11" s="3377">
        <v>705</v>
      </c>
      <c r="J11" s="3377">
        <v>60015</v>
      </c>
      <c r="K11" s="3377"/>
      <c r="L11" s="4347"/>
      <c r="M11" s="4347"/>
      <c r="N11" s="4347" t="s">
        <v>37</v>
      </c>
      <c r="O11" s="4347"/>
      <c r="S11" s="4347"/>
      <c r="T11" s="4347"/>
      <c r="U11" s="4347"/>
      <c r="V11" s="4347"/>
      <c r="W11" s="4347"/>
      <c r="X11" s="4376" t="s">
        <v>62</v>
      </c>
      <c r="Y11" s="4376"/>
    </row>
    <row r="12" spans="1:27" ht="57">
      <c r="A12" s="4347" t="s">
        <v>25</v>
      </c>
      <c r="B12" s="4355">
        <v>46027</v>
      </c>
      <c r="C12" s="3160">
        <v>2</v>
      </c>
      <c r="D12" s="4981">
        <v>6</v>
      </c>
      <c r="E12" s="4288" t="s">
        <v>63</v>
      </c>
      <c r="F12" s="4288" t="s">
        <v>64</v>
      </c>
      <c r="G12" s="4288"/>
      <c r="H12" s="4288"/>
      <c r="I12" s="3377">
        <v>712</v>
      </c>
      <c r="J12" s="3377" t="s">
        <v>65</v>
      </c>
      <c r="K12" s="4462" t="s">
        <v>29</v>
      </c>
      <c r="L12" s="4347"/>
      <c r="M12" s="4347" t="s">
        <v>30</v>
      </c>
      <c r="N12" s="4347"/>
      <c r="O12" s="4347"/>
      <c r="P12" s="360" t="s">
        <v>0</v>
      </c>
      <c r="Q12" s="360" t="s">
        <v>31</v>
      </c>
      <c r="R12" s="360" t="s">
        <v>32</v>
      </c>
      <c r="S12" s="4347" t="s">
        <v>37</v>
      </c>
      <c r="T12" s="4347"/>
      <c r="U12" s="4347"/>
      <c r="V12" s="4347"/>
      <c r="W12" s="4347"/>
      <c r="X12" s="4376" t="s">
        <v>66</v>
      </c>
      <c r="Y12" s="4376"/>
    </row>
    <row r="13" spans="1:27" ht="31.5">
      <c r="A13" s="4347" t="s">
        <v>67</v>
      </c>
      <c r="B13" s="4451">
        <v>46028</v>
      </c>
      <c r="C13" s="3160">
        <f t="shared" ref="C13:C44" si="0">_xlfn.ISOWEEKNUM(B13)</f>
        <v>2</v>
      </c>
      <c r="D13" s="4981">
        <v>6</v>
      </c>
      <c r="E13" s="4288" t="s">
        <v>68</v>
      </c>
      <c r="F13" s="4288" t="s">
        <v>64</v>
      </c>
      <c r="G13" s="4288"/>
      <c r="H13" s="4288"/>
      <c r="I13" s="3377">
        <v>712</v>
      </c>
      <c r="J13" s="3377" t="s">
        <v>65</v>
      </c>
      <c r="K13" s="4462" t="s">
        <v>29</v>
      </c>
      <c r="L13" s="4347" t="s">
        <v>37</v>
      </c>
      <c r="M13" s="4347"/>
      <c r="N13" s="4347"/>
      <c r="O13" s="4347"/>
      <c r="S13" s="4347"/>
      <c r="T13" s="4347" t="s">
        <v>30</v>
      </c>
      <c r="U13" s="4347"/>
      <c r="V13" s="4347"/>
      <c r="W13" s="4347"/>
      <c r="X13" s="4376"/>
      <c r="Y13" s="4376"/>
    </row>
    <row r="14" spans="1:27" ht="31.5">
      <c r="A14" s="4347" t="s">
        <v>67</v>
      </c>
      <c r="B14" s="4451">
        <v>46028</v>
      </c>
      <c r="C14" s="3160">
        <f t="shared" si="0"/>
        <v>2</v>
      </c>
      <c r="D14" s="4981">
        <v>6</v>
      </c>
      <c r="E14" s="4288" t="s">
        <v>26</v>
      </c>
      <c r="F14" s="4288" t="s">
        <v>27</v>
      </c>
      <c r="G14" s="4288"/>
      <c r="H14" s="4288"/>
      <c r="I14" s="3377">
        <v>712</v>
      </c>
      <c r="J14" s="3377" t="s">
        <v>28</v>
      </c>
      <c r="K14" s="4462" t="s">
        <v>29</v>
      </c>
      <c r="L14" s="4347" t="s">
        <v>37</v>
      </c>
      <c r="M14" s="4347"/>
      <c r="N14" s="4347"/>
      <c r="O14" s="4347"/>
      <c r="S14" s="4347"/>
      <c r="T14" s="4347" t="s">
        <v>30</v>
      </c>
      <c r="U14" s="4347"/>
      <c r="V14" s="4347"/>
      <c r="W14" s="4347"/>
      <c r="X14" s="4376"/>
      <c r="Y14" s="4376"/>
    </row>
    <row r="15" spans="1:27" ht="57">
      <c r="A15" s="4347" t="s">
        <v>67</v>
      </c>
      <c r="B15" s="4451">
        <v>46028</v>
      </c>
      <c r="C15" s="3160">
        <f t="shared" si="0"/>
        <v>2</v>
      </c>
      <c r="D15" s="4981">
        <v>7</v>
      </c>
      <c r="E15" s="4492" t="s">
        <v>69</v>
      </c>
      <c r="F15" s="4492" t="s">
        <v>70</v>
      </c>
      <c r="G15" s="4492"/>
      <c r="H15" s="4492"/>
      <c r="I15" s="3377">
        <v>707</v>
      </c>
      <c r="J15" s="3377" t="s">
        <v>36</v>
      </c>
      <c r="K15" s="4463"/>
      <c r="L15" s="4347"/>
      <c r="M15" s="4347" t="s">
        <v>37</v>
      </c>
      <c r="N15" s="4347"/>
      <c r="O15" s="4347"/>
      <c r="P15" s="360" t="s">
        <v>71</v>
      </c>
      <c r="Q15" s="360" t="s">
        <v>72</v>
      </c>
      <c r="R15" s="360" t="s">
        <v>38</v>
      </c>
      <c r="S15" s="4347"/>
      <c r="T15" s="4347" t="s">
        <v>30</v>
      </c>
      <c r="U15" s="4347"/>
      <c r="V15" s="4347"/>
      <c r="W15" s="4347"/>
      <c r="X15" s="4376" t="s">
        <v>73</v>
      </c>
      <c r="Y15" s="4376"/>
    </row>
    <row r="16" spans="1:27" ht="31.5">
      <c r="A16" s="4347" t="s">
        <v>67</v>
      </c>
      <c r="B16" s="4451">
        <v>46028</v>
      </c>
      <c r="C16" s="3160">
        <f t="shared" si="0"/>
        <v>2</v>
      </c>
      <c r="D16" s="4981">
        <v>2</v>
      </c>
      <c r="E16" s="4452" t="s">
        <v>40</v>
      </c>
      <c r="F16" s="4452" t="s">
        <v>74</v>
      </c>
      <c r="G16" s="4452"/>
      <c r="H16" s="4452"/>
      <c r="I16" s="3377">
        <v>707</v>
      </c>
      <c r="J16" s="3377" t="s">
        <v>75</v>
      </c>
      <c r="K16" s="3377"/>
      <c r="L16" s="4347"/>
      <c r="M16" s="4347"/>
      <c r="N16" s="4347" t="s">
        <v>37</v>
      </c>
      <c r="O16" s="4347"/>
      <c r="S16" s="4347"/>
      <c r="T16" s="4347"/>
      <c r="U16" s="4347"/>
      <c r="V16" s="4347"/>
      <c r="W16" s="4347"/>
      <c r="X16" s="4376"/>
      <c r="Y16" s="4376"/>
    </row>
    <row r="17" spans="1:25" ht="57">
      <c r="A17" s="4347" t="s">
        <v>67</v>
      </c>
      <c r="B17" s="4451">
        <v>46028</v>
      </c>
      <c r="C17" s="3160">
        <f t="shared" si="0"/>
        <v>2</v>
      </c>
      <c r="D17" s="4981">
        <v>8</v>
      </c>
      <c r="E17" s="4453" t="s">
        <v>76</v>
      </c>
      <c r="F17" s="4453" t="s">
        <v>77</v>
      </c>
      <c r="G17" s="4453"/>
      <c r="H17" s="4453"/>
      <c r="I17" s="3377">
        <v>707</v>
      </c>
      <c r="J17" s="3377">
        <v>60105</v>
      </c>
      <c r="K17" s="3377"/>
      <c r="L17" s="4347"/>
      <c r="M17" s="4347" t="s">
        <v>30</v>
      </c>
      <c r="N17" s="4347"/>
      <c r="O17" s="4347"/>
      <c r="P17" s="360" t="s">
        <v>71</v>
      </c>
      <c r="Q17" s="360" t="s">
        <v>72</v>
      </c>
      <c r="R17" s="360" t="s">
        <v>38</v>
      </c>
      <c r="S17" s="4347" t="s">
        <v>30</v>
      </c>
      <c r="T17" s="4347"/>
      <c r="U17" s="4347"/>
      <c r="V17" s="4347"/>
      <c r="W17" s="4347"/>
      <c r="X17" s="4376" t="s">
        <v>78</v>
      </c>
      <c r="Y17" s="4376"/>
    </row>
    <row r="18" spans="1:25" ht="31.5">
      <c r="A18" s="4347" t="s">
        <v>67</v>
      </c>
      <c r="B18" s="4451">
        <v>46028</v>
      </c>
      <c r="C18" s="3160">
        <f t="shared" si="0"/>
        <v>2</v>
      </c>
      <c r="D18" s="4981">
        <v>8</v>
      </c>
      <c r="E18" s="4453" t="s">
        <v>79</v>
      </c>
      <c r="F18" s="4453" t="s">
        <v>80</v>
      </c>
      <c r="G18" s="4453"/>
      <c r="H18" s="4453"/>
      <c r="I18" s="3377">
        <v>707</v>
      </c>
      <c r="J18" s="3377">
        <v>60015</v>
      </c>
      <c r="K18" s="3377"/>
      <c r="L18" s="4347"/>
      <c r="M18" s="4347"/>
      <c r="N18" s="4347" t="s">
        <v>30</v>
      </c>
      <c r="O18" s="4347"/>
      <c r="S18" s="4347"/>
      <c r="T18" s="4347"/>
      <c r="U18" s="4347"/>
      <c r="V18" s="4347"/>
      <c r="W18" s="4347"/>
      <c r="X18" s="4376"/>
      <c r="Y18" s="4376"/>
    </row>
    <row r="19" spans="1:25" ht="31.5">
      <c r="A19" s="4347" t="s">
        <v>67</v>
      </c>
      <c r="B19" s="4451">
        <v>46028</v>
      </c>
      <c r="C19" s="3160">
        <f t="shared" si="0"/>
        <v>2</v>
      </c>
      <c r="D19" s="4981">
        <v>9</v>
      </c>
      <c r="E19" s="4162" t="s">
        <v>81</v>
      </c>
      <c r="F19" s="4162" t="s">
        <v>82</v>
      </c>
      <c r="G19" s="4162"/>
      <c r="H19" s="4162"/>
      <c r="I19" s="3377">
        <v>705</v>
      </c>
      <c r="J19" s="3377" t="s">
        <v>83</v>
      </c>
      <c r="K19" s="4464" t="s">
        <v>84</v>
      </c>
      <c r="L19" s="4347" t="s">
        <v>37</v>
      </c>
      <c r="M19" s="4347"/>
      <c r="N19" s="4347"/>
      <c r="O19" s="4347"/>
      <c r="S19" s="4347"/>
      <c r="T19" s="4347"/>
      <c r="U19" s="4347"/>
      <c r="V19" s="4347" t="s">
        <v>37</v>
      </c>
      <c r="W19" s="4347"/>
      <c r="X19" s="4376"/>
      <c r="Y19" s="4376"/>
    </row>
    <row r="20" spans="1:25" ht="31.5">
      <c r="A20" s="4347" t="s">
        <v>85</v>
      </c>
      <c r="B20" s="4355">
        <v>46029</v>
      </c>
      <c r="C20" s="3160">
        <f t="shared" si="0"/>
        <v>2</v>
      </c>
      <c r="D20" s="4981">
        <v>10</v>
      </c>
      <c r="E20" s="4179" t="s">
        <v>86</v>
      </c>
      <c r="F20" s="4179" t="s">
        <v>87</v>
      </c>
      <c r="G20" s="4179"/>
      <c r="H20" s="4179"/>
      <c r="I20" s="3377">
        <v>707</v>
      </c>
      <c r="J20" s="3377" t="s">
        <v>88</v>
      </c>
      <c r="K20" s="3377"/>
      <c r="L20" s="4347" t="s">
        <v>37</v>
      </c>
      <c r="M20" s="4347"/>
      <c r="N20" s="4347"/>
      <c r="O20" s="4347"/>
      <c r="S20" s="4347"/>
      <c r="T20" s="4347"/>
      <c r="U20" s="4347"/>
      <c r="V20" s="4347" t="s">
        <v>37</v>
      </c>
      <c r="W20" s="4347"/>
      <c r="X20" s="4376"/>
      <c r="Y20" s="4376"/>
    </row>
    <row r="21" spans="1:25" ht="57">
      <c r="A21" s="4347" t="s">
        <v>85</v>
      </c>
      <c r="B21" s="4355">
        <v>46029</v>
      </c>
      <c r="C21" s="3160">
        <f t="shared" si="0"/>
        <v>2</v>
      </c>
      <c r="D21" s="4981">
        <v>11</v>
      </c>
      <c r="E21" s="4290" t="s">
        <v>89</v>
      </c>
      <c r="F21" s="4290" t="s">
        <v>90</v>
      </c>
      <c r="G21" s="4290"/>
      <c r="H21" s="4290"/>
      <c r="I21" s="3377">
        <v>707</v>
      </c>
      <c r="J21" s="3377" t="s">
        <v>91</v>
      </c>
      <c r="K21" s="3377"/>
      <c r="L21" s="4347" t="s">
        <v>37</v>
      </c>
      <c r="M21" s="4347"/>
      <c r="N21" s="4347"/>
      <c r="O21" s="4347"/>
      <c r="S21" s="4347"/>
      <c r="T21" s="4347"/>
      <c r="U21" s="4347"/>
      <c r="V21" s="4347"/>
      <c r="W21" s="4347"/>
      <c r="X21" s="4376" t="s">
        <v>92</v>
      </c>
      <c r="Y21" s="4376"/>
    </row>
    <row r="22" spans="1:25" ht="31.5">
      <c r="A22" s="4347" t="s">
        <v>85</v>
      </c>
      <c r="B22" s="4355">
        <v>46029</v>
      </c>
      <c r="C22" s="3160">
        <f t="shared" si="0"/>
        <v>2</v>
      </c>
      <c r="D22" s="4981">
        <v>12</v>
      </c>
      <c r="E22" s="4454" t="s">
        <v>48</v>
      </c>
      <c r="F22" s="4454" t="s">
        <v>93</v>
      </c>
      <c r="G22" s="4454"/>
      <c r="H22" s="4454"/>
      <c r="I22" s="3377">
        <v>707</v>
      </c>
      <c r="J22" s="3388" t="s">
        <v>94</v>
      </c>
      <c r="K22" s="3377"/>
      <c r="L22" s="4347" t="s">
        <v>37</v>
      </c>
      <c r="M22" s="4347"/>
      <c r="N22" s="4347"/>
      <c r="O22" s="4347"/>
      <c r="S22" s="4347"/>
      <c r="T22" s="4347"/>
      <c r="U22" s="4347"/>
      <c r="V22" s="4347" t="s">
        <v>37</v>
      </c>
      <c r="W22" s="4347"/>
      <c r="X22" s="4376"/>
      <c r="Y22" s="4376"/>
    </row>
    <row r="23" spans="1:25" ht="31.5">
      <c r="A23" s="4347" t="s">
        <v>85</v>
      </c>
      <c r="B23" s="4355">
        <v>46029</v>
      </c>
      <c r="C23" s="3160">
        <f t="shared" si="0"/>
        <v>2</v>
      </c>
      <c r="D23" s="4981">
        <v>12</v>
      </c>
      <c r="E23" s="4455" t="s">
        <v>95</v>
      </c>
      <c r="F23" s="4455" t="s">
        <v>96</v>
      </c>
      <c r="G23" s="4455"/>
      <c r="H23" s="4455"/>
      <c r="I23" s="3377">
        <v>707</v>
      </c>
      <c r="J23" s="3377" t="s">
        <v>94</v>
      </c>
      <c r="K23" s="3377"/>
      <c r="L23" s="4347" t="s">
        <v>37</v>
      </c>
      <c r="M23" s="4347"/>
      <c r="N23" s="4347"/>
      <c r="O23" s="4347"/>
      <c r="S23" s="4347"/>
      <c r="T23" s="4347"/>
      <c r="U23" s="4347"/>
      <c r="V23" s="4347" t="s">
        <v>37</v>
      </c>
      <c r="W23" s="4347"/>
      <c r="X23" s="4376"/>
      <c r="Y23" s="4376"/>
    </row>
    <row r="24" spans="1:25" ht="31.5">
      <c r="A24" s="4347" t="s">
        <v>85</v>
      </c>
      <c r="B24" s="4355">
        <v>46029</v>
      </c>
      <c r="C24" s="3160">
        <f t="shared" si="0"/>
        <v>2</v>
      </c>
      <c r="D24" s="4981">
        <v>7</v>
      </c>
      <c r="E24" s="4452" t="s">
        <v>69</v>
      </c>
      <c r="F24" s="4452" t="s">
        <v>70</v>
      </c>
      <c r="G24" s="4452"/>
      <c r="H24" s="4452"/>
      <c r="I24" s="3377">
        <v>707</v>
      </c>
      <c r="J24" s="3377" t="s">
        <v>36</v>
      </c>
      <c r="K24" s="4463"/>
      <c r="L24" s="4347" t="s">
        <v>37</v>
      </c>
      <c r="M24" s="4347"/>
      <c r="N24" s="4347"/>
      <c r="O24" s="4347"/>
      <c r="S24" s="4347"/>
      <c r="T24" s="4347"/>
      <c r="U24" s="4347"/>
      <c r="V24" s="4347"/>
      <c r="W24" s="4347"/>
      <c r="X24" s="4376"/>
      <c r="Y24" s="4376"/>
    </row>
    <row r="25" spans="1:25" ht="31.5">
      <c r="A25" s="4347" t="s">
        <v>85</v>
      </c>
      <c r="B25" s="4355">
        <v>46029</v>
      </c>
      <c r="C25" s="3160">
        <f t="shared" si="0"/>
        <v>2</v>
      </c>
      <c r="D25" s="4981">
        <v>13</v>
      </c>
      <c r="E25" s="4456" t="s">
        <v>97</v>
      </c>
      <c r="F25" s="4456" t="s">
        <v>98</v>
      </c>
      <c r="G25" s="4456"/>
      <c r="H25" s="4456"/>
      <c r="I25" s="3377">
        <v>712</v>
      </c>
      <c r="J25" s="3377" t="s">
        <v>99</v>
      </c>
      <c r="K25" s="4464" t="s">
        <v>84</v>
      </c>
      <c r="L25" s="4347" t="s">
        <v>37</v>
      </c>
      <c r="M25" s="4347"/>
      <c r="N25" s="4347"/>
      <c r="O25" s="4347"/>
      <c r="S25" s="4347"/>
      <c r="T25" s="4347"/>
      <c r="U25" s="4347"/>
      <c r="V25" s="4347"/>
      <c r="W25" s="4347"/>
      <c r="X25" s="4376"/>
      <c r="Y25" s="4376"/>
    </row>
    <row r="26" spans="1:25" ht="57">
      <c r="A26" s="4347" t="s">
        <v>85</v>
      </c>
      <c r="B26" s="4355">
        <v>46029</v>
      </c>
      <c r="C26" s="3160">
        <f t="shared" si="0"/>
        <v>2</v>
      </c>
      <c r="D26" s="4981">
        <v>14</v>
      </c>
      <c r="E26" s="4457" t="s">
        <v>100</v>
      </c>
      <c r="F26" s="4457" t="s">
        <v>101</v>
      </c>
      <c r="G26" s="4457"/>
      <c r="H26" s="4457"/>
      <c r="I26" s="3377">
        <v>707</v>
      </c>
      <c r="J26" s="3377" t="s">
        <v>57</v>
      </c>
      <c r="K26" s="3377"/>
      <c r="L26" s="4347"/>
      <c r="M26" s="4347"/>
      <c r="N26" s="4347" t="s">
        <v>37</v>
      </c>
      <c r="O26" s="4347"/>
      <c r="S26" s="4347" t="s">
        <v>37</v>
      </c>
      <c r="T26" s="4347"/>
      <c r="U26" s="4347" t="s">
        <v>37</v>
      </c>
      <c r="V26" s="4347"/>
      <c r="W26" s="4347"/>
      <c r="X26" s="4376" t="s">
        <v>102</v>
      </c>
      <c r="Y26" s="4376"/>
    </row>
    <row r="27" spans="1:25" ht="31.5">
      <c r="A27" s="4347" t="s">
        <v>85</v>
      </c>
      <c r="B27" s="4355">
        <v>46029</v>
      </c>
      <c r="C27" s="3160">
        <f t="shared" si="0"/>
        <v>2</v>
      </c>
      <c r="D27" s="4981">
        <v>15</v>
      </c>
      <c r="E27" s="4457" t="s">
        <v>52</v>
      </c>
      <c r="F27" s="4457" t="s">
        <v>52</v>
      </c>
      <c r="G27" s="4457"/>
      <c r="H27" s="4457"/>
      <c r="I27" s="3377">
        <v>705</v>
      </c>
      <c r="J27" s="3377"/>
      <c r="K27" s="3377"/>
      <c r="L27" s="4347"/>
      <c r="M27" s="4347" t="s">
        <v>37</v>
      </c>
      <c r="N27" s="4347"/>
      <c r="O27" s="4347"/>
      <c r="P27" s="360" t="s">
        <v>71</v>
      </c>
      <c r="Q27" s="360" t="s">
        <v>72</v>
      </c>
      <c r="R27" s="360" t="s">
        <v>103</v>
      </c>
      <c r="S27" s="4347"/>
      <c r="T27" s="4347"/>
      <c r="U27" s="4347"/>
      <c r="V27" s="4347"/>
      <c r="W27" s="4347"/>
      <c r="X27" s="4376" t="s">
        <v>104</v>
      </c>
      <c r="Y27" s="4376"/>
    </row>
    <row r="28" spans="1:25" ht="31.5">
      <c r="A28" s="4347" t="s">
        <v>105</v>
      </c>
      <c r="B28" s="4355">
        <v>46030</v>
      </c>
      <c r="C28" s="3160">
        <f t="shared" si="0"/>
        <v>2</v>
      </c>
      <c r="D28" s="4981">
        <v>10</v>
      </c>
      <c r="E28" s="4179" t="s">
        <v>53</v>
      </c>
      <c r="F28" s="4179" t="s">
        <v>106</v>
      </c>
      <c r="G28" s="4179"/>
      <c r="H28" s="4179"/>
      <c r="I28" s="3377">
        <v>707</v>
      </c>
      <c r="J28" s="3377" t="s">
        <v>107</v>
      </c>
      <c r="K28" s="3377"/>
      <c r="L28" s="4347"/>
      <c r="M28" s="4347" t="s">
        <v>37</v>
      </c>
      <c r="N28" s="4347"/>
      <c r="O28" s="4347"/>
      <c r="S28" s="4347"/>
      <c r="T28" s="4347"/>
      <c r="U28" s="4347"/>
      <c r="V28" s="4347"/>
      <c r="W28" s="4347"/>
      <c r="X28" s="4376"/>
      <c r="Y28" s="4376"/>
    </row>
    <row r="29" spans="1:25" ht="57">
      <c r="A29" s="4347" t="s">
        <v>105</v>
      </c>
      <c r="B29" s="4355">
        <v>46030</v>
      </c>
      <c r="C29" s="3160">
        <f t="shared" si="0"/>
        <v>2</v>
      </c>
      <c r="D29" s="4981">
        <v>2</v>
      </c>
      <c r="E29" s="4459" t="s">
        <v>40</v>
      </c>
      <c r="F29" s="4459" t="s">
        <v>74</v>
      </c>
      <c r="G29" s="4459"/>
      <c r="H29" s="4459"/>
      <c r="I29" s="3377">
        <v>707</v>
      </c>
      <c r="J29" s="3377" t="s">
        <v>108</v>
      </c>
      <c r="K29" s="3377"/>
      <c r="L29" s="4347"/>
      <c r="M29" s="4347"/>
      <c r="N29" s="4347" t="s">
        <v>37</v>
      </c>
      <c r="O29" s="4347"/>
      <c r="P29" s="360" t="s">
        <v>109</v>
      </c>
      <c r="Q29" s="360" t="s">
        <v>110</v>
      </c>
      <c r="R29" s="360" t="s">
        <v>38</v>
      </c>
      <c r="S29" s="4347"/>
      <c r="T29" s="4347" t="s">
        <v>37</v>
      </c>
      <c r="U29" s="4347"/>
      <c r="V29" s="4347"/>
      <c r="W29" s="4347"/>
      <c r="X29" s="4376" t="s">
        <v>111</v>
      </c>
      <c r="Y29" s="4376" t="s">
        <v>112</v>
      </c>
    </row>
    <row r="30" spans="1:25" ht="31.5">
      <c r="A30" s="4347" t="s">
        <v>105</v>
      </c>
      <c r="B30" s="4355">
        <v>46030</v>
      </c>
      <c r="C30" s="3160">
        <f t="shared" si="0"/>
        <v>2</v>
      </c>
      <c r="D30" s="4981">
        <v>2</v>
      </c>
      <c r="E30" s="4162" t="s">
        <v>40</v>
      </c>
      <c r="F30" s="4162" t="s">
        <v>113</v>
      </c>
      <c r="G30" s="4162"/>
      <c r="H30" s="4162"/>
      <c r="I30" s="3377">
        <v>707</v>
      </c>
      <c r="J30" s="3377" t="s">
        <v>108</v>
      </c>
      <c r="K30" s="4462" t="s">
        <v>114</v>
      </c>
      <c r="L30" s="4347" t="s">
        <v>37</v>
      </c>
      <c r="M30" s="4347"/>
      <c r="N30" s="4347"/>
      <c r="O30" s="4347"/>
      <c r="S30" s="4347"/>
      <c r="T30" s="4347" t="s">
        <v>37</v>
      </c>
      <c r="U30" s="4347"/>
      <c r="V30" s="4347"/>
      <c r="W30" s="4347"/>
      <c r="X30" s="4376"/>
      <c r="Y30" s="4376"/>
    </row>
    <row r="31" spans="1:25" ht="31.5">
      <c r="A31" s="4347" t="s">
        <v>105</v>
      </c>
      <c r="B31" s="4355">
        <v>46030</v>
      </c>
      <c r="C31" s="3160">
        <f t="shared" si="0"/>
        <v>2</v>
      </c>
      <c r="D31" s="4981">
        <v>11</v>
      </c>
      <c r="E31" s="4290" t="s">
        <v>115</v>
      </c>
      <c r="F31" s="4290" t="s">
        <v>116</v>
      </c>
      <c r="G31" s="4290"/>
      <c r="H31" s="4290"/>
      <c r="I31" s="3377">
        <v>707</v>
      </c>
      <c r="J31" s="4162" t="s">
        <v>117</v>
      </c>
      <c r="K31" s="3377"/>
      <c r="L31" s="4347" t="s">
        <v>37</v>
      </c>
      <c r="M31" s="4347"/>
      <c r="N31" s="4347"/>
      <c r="O31" s="4347"/>
      <c r="S31" s="4347"/>
      <c r="T31" s="4347"/>
      <c r="U31" s="4347"/>
      <c r="V31" s="4347"/>
      <c r="W31" s="4347"/>
      <c r="X31" s="4376"/>
      <c r="Y31" s="4376"/>
    </row>
    <row r="32" spans="1:25" ht="31.5">
      <c r="A32" s="4347" t="s">
        <v>105</v>
      </c>
      <c r="B32" s="4355">
        <v>46030</v>
      </c>
      <c r="C32" s="3160">
        <f t="shared" si="0"/>
        <v>2</v>
      </c>
      <c r="D32" s="4981">
        <v>12</v>
      </c>
      <c r="E32" s="4454" t="s">
        <v>118</v>
      </c>
      <c r="F32" s="4454" t="s">
        <v>119</v>
      </c>
      <c r="G32" s="4454"/>
      <c r="H32" s="4454"/>
      <c r="I32" s="3377">
        <v>707</v>
      </c>
      <c r="J32" s="4162" t="s">
        <v>94</v>
      </c>
      <c r="K32" s="3377"/>
      <c r="L32" s="4347" t="s">
        <v>37</v>
      </c>
      <c r="M32" s="4347"/>
      <c r="N32" s="4347"/>
      <c r="O32" s="4347"/>
      <c r="S32" s="4347"/>
      <c r="T32" s="4347"/>
      <c r="U32" s="4347"/>
      <c r="V32" s="4347"/>
      <c r="W32" s="4347"/>
      <c r="X32" s="4376"/>
      <c r="Y32" s="4376"/>
    </row>
    <row r="33" spans="1:25" ht="31.5">
      <c r="A33" s="4347" t="s">
        <v>105</v>
      </c>
      <c r="B33" s="4355">
        <v>46030</v>
      </c>
      <c r="C33" s="3160">
        <f t="shared" si="0"/>
        <v>2</v>
      </c>
      <c r="D33" s="4981">
        <v>16</v>
      </c>
      <c r="E33" s="4458" t="s">
        <v>106</v>
      </c>
      <c r="F33" s="4458" t="s">
        <v>120</v>
      </c>
      <c r="G33" s="4458"/>
      <c r="H33" s="4458"/>
      <c r="I33" s="3377">
        <v>712</v>
      </c>
      <c r="J33" s="4162" t="s">
        <v>121</v>
      </c>
      <c r="K33" s="4462" t="s">
        <v>29</v>
      </c>
      <c r="L33" s="4347"/>
      <c r="M33" s="4347" t="s">
        <v>37</v>
      </c>
      <c r="N33" s="4347"/>
      <c r="O33" s="4347"/>
      <c r="P33" s="360" t="s">
        <v>122</v>
      </c>
      <c r="Q33" s="360" t="s">
        <v>123</v>
      </c>
      <c r="R33" s="360" t="s">
        <v>32</v>
      </c>
      <c r="S33" s="4347"/>
      <c r="T33" s="4347"/>
      <c r="U33" s="4347"/>
      <c r="V33" s="4347"/>
      <c r="W33" s="4347"/>
      <c r="X33" s="4376"/>
      <c r="Y33" s="4376"/>
    </row>
    <row r="34" spans="1:25" ht="31.5">
      <c r="A34" s="4347" t="s">
        <v>105</v>
      </c>
      <c r="B34" s="4355">
        <v>46030</v>
      </c>
      <c r="C34" s="3160">
        <f t="shared" si="0"/>
        <v>2</v>
      </c>
      <c r="D34" s="4981">
        <v>17</v>
      </c>
      <c r="E34" s="3377" t="s">
        <v>124</v>
      </c>
      <c r="F34" s="3377" t="s">
        <v>125</v>
      </c>
      <c r="G34" s="3377"/>
      <c r="H34" s="3377"/>
      <c r="I34" s="3377">
        <v>707</v>
      </c>
      <c r="J34" s="3377" t="s">
        <v>57</v>
      </c>
      <c r="K34" s="3377"/>
      <c r="L34" s="4347"/>
      <c r="M34" s="4347" t="s">
        <v>37</v>
      </c>
      <c r="N34" s="4347"/>
      <c r="O34" s="4347"/>
      <c r="P34" s="360" t="s">
        <v>0</v>
      </c>
      <c r="Q34" s="360" t="s">
        <v>126</v>
      </c>
      <c r="R34" s="360" t="s">
        <v>58</v>
      </c>
      <c r="S34" s="4347"/>
      <c r="T34" s="4347"/>
      <c r="U34" s="4347"/>
      <c r="V34" s="4347"/>
      <c r="W34" s="4347"/>
      <c r="X34" s="4376"/>
      <c r="Y34" s="4376"/>
    </row>
    <row r="35" spans="1:25" ht="31.5">
      <c r="A35" s="4347" t="s">
        <v>105</v>
      </c>
      <c r="B35" s="4355">
        <v>46030</v>
      </c>
      <c r="C35" s="3160">
        <f t="shared" si="0"/>
        <v>2</v>
      </c>
      <c r="D35" s="4981">
        <v>18</v>
      </c>
      <c r="E35" s="4460" t="s">
        <v>52</v>
      </c>
      <c r="F35" s="4460" t="s">
        <v>127</v>
      </c>
      <c r="G35" s="4460"/>
      <c r="H35" s="4460"/>
      <c r="I35" s="3377">
        <v>705</v>
      </c>
      <c r="J35" s="3377" t="s">
        <v>128</v>
      </c>
      <c r="K35" s="3377"/>
      <c r="L35" s="4347" t="s">
        <v>37</v>
      </c>
      <c r="M35" s="4347"/>
      <c r="N35" s="4347"/>
      <c r="O35" s="4347"/>
      <c r="S35" s="4347"/>
      <c r="T35" s="4347"/>
      <c r="U35" s="4347"/>
      <c r="V35" s="4347"/>
      <c r="W35" s="4347"/>
      <c r="X35" s="4376"/>
      <c r="Y35" s="4376"/>
    </row>
    <row r="36" spans="1:25" ht="31.5">
      <c r="A36" s="4347" t="s">
        <v>105</v>
      </c>
      <c r="B36" s="4355">
        <v>46030</v>
      </c>
      <c r="C36" s="3160">
        <f t="shared" si="0"/>
        <v>2</v>
      </c>
      <c r="D36" s="4981">
        <v>18</v>
      </c>
      <c r="E36" s="4460" t="s">
        <v>129</v>
      </c>
      <c r="F36" s="4460" t="s">
        <v>130</v>
      </c>
      <c r="G36" s="4460"/>
      <c r="H36" s="4460"/>
      <c r="I36" s="3377">
        <v>705</v>
      </c>
      <c r="J36" s="3377" t="s">
        <v>131</v>
      </c>
      <c r="K36" s="4465"/>
      <c r="L36" s="4347" t="s">
        <v>37</v>
      </c>
      <c r="M36" s="4347"/>
      <c r="N36" s="4347"/>
      <c r="O36" s="4347"/>
      <c r="S36" s="4347"/>
      <c r="T36" s="4347"/>
      <c r="U36" s="4347"/>
      <c r="V36" s="4347" t="s">
        <v>37</v>
      </c>
      <c r="W36" s="4347"/>
      <c r="X36" s="4376"/>
      <c r="Y36" s="4376"/>
    </row>
    <row r="37" spans="1:25" ht="31.5">
      <c r="A37" s="4347" t="s">
        <v>132</v>
      </c>
      <c r="B37" s="4355">
        <v>46031</v>
      </c>
      <c r="C37" s="3160">
        <f t="shared" si="0"/>
        <v>2</v>
      </c>
      <c r="D37" s="4981">
        <v>10</v>
      </c>
      <c r="E37" s="4179" t="s">
        <v>106</v>
      </c>
      <c r="F37" s="4179" t="s">
        <v>119</v>
      </c>
      <c r="G37" s="4179"/>
      <c r="H37" s="4179"/>
      <c r="I37" s="3377">
        <v>707</v>
      </c>
      <c r="J37" s="3377" t="s">
        <v>107</v>
      </c>
      <c r="K37" s="4466" t="s">
        <v>133</v>
      </c>
      <c r="L37" s="4347" t="s">
        <v>37</v>
      </c>
      <c r="M37" s="4347"/>
      <c r="N37" s="4347"/>
      <c r="O37" s="4347"/>
      <c r="S37" s="4347"/>
      <c r="T37" s="4347"/>
      <c r="U37" s="4347"/>
      <c r="V37" s="4347"/>
      <c r="W37" s="4347"/>
      <c r="X37" s="4376"/>
      <c r="Y37" s="4376"/>
    </row>
    <row r="38" spans="1:25" ht="31.5">
      <c r="A38" s="4347" t="s">
        <v>132</v>
      </c>
      <c r="B38" s="4355">
        <v>46031</v>
      </c>
      <c r="C38" s="3160">
        <f t="shared" si="0"/>
        <v>2</v>
      </c>
      <c r="D38" s="4981">
        <v>16</v>
      </c>
      <c r="E38" s="4458" t="s">
        <v>134</v>
      </c>
      <c r="F38" s="4458" t="s">
        <v>135</v>
      </c>
      <c r="G38" s="4458"/>
      <c r="H38" s="4458"/>
      <c r="I38" s="3377">
        <v>712</v>
      </c>
      <c r="J38" s="3377" t="s">
        <v>121</v>
      </c>
      <c r="K38" s="3377"/>
      <c r="L38" s="4347"/>
      <c r="M38" s="4347"/>
      <c r="N38" s="4347" t="s">
        <v>37</v>
      </c>
      <c r="O38" s="4347"/>
      <c r="S38" s="4347"/>
      <c r="T38" s="4347"/>
      <c r="U38" s="4347"/>
      <c r="V38" s="4347"/>
      <c r="W38" s="4347"/>
      <c r="X38" s="4376" t="s">
        <v>136</v>
      </c>
      <c r="Y38" s="4376"/>
    </row>
    <row r="39" spans="1:25" ht="57">
      <c r="A39" s="4347" t="s">
        <v>132</v>
      </c>
      <c r="B39" s="4355">
        <v>46031</v>
      </c>
      <c r="C39" s="3160">
        <f t="shared" si="0"/>
        <v>2</v>
      </c>
      <c r="D39" s="4981">
        <v>19</v>
      </c>
      <c r="E39" s="4162" t="s">
        <v>95</v>
      </c>
      <c r="F39" s="4162" t="s">
        <v>48</v>
      </c>
      <c r="G39" s="4162"/>
      <c r="H39" s="4162"/>
      <c r="I39" s="3377">
        <v>705</v>
      </c>
      <c r="J39" s="3377" t="s">
        <v>137</v>
      </c>
      <c r="K39" s="3377"/>
      <c r="L39" s="4347"/>
      <c r="M39" s="4347" t="s">
        <v>30</v>
      </c>
      <c r="N39" s="4347"/>
      <c r="O39" s="4347"/>
      <c r="P39" s="360" t="s">
        <v>71</v>
      </c>
      <c r="Q39" s="360" t="s">
        <v>138</v>
      </c>
      <c r="R39" s="360" t="s">
        <v>58</v>
      </c>
      <c r="S39" s="4347"/>
      <c r="T39" s="4347"/>
      <c r="U39" s="4347"/>
      <c r="V39" s="4347"/>
      <c r="W39" s="4347"/>
      <c r="X39" s="4376" t="s">
        <v>139</v>
      </c>
      <c r="Y39" s="4376"/>
    </row>
    <row r="40" spans="1:25" ht="31.5">
      <c r="A40" s="4347"/>
      <c r="B40" s="4355">
        <v>46031</v>
      </c>
      <c r="C40" s="3160">
        <f t="shared" si="0"/>
        <v>2</v>
      </c>
      <c r="D40" s="4981">
        <v>20</v>
      </c>
      <c r="E40" s="4162" t="s">
        <v>79</v>
      </c>
      <c r="F40" s="4162" t="s">
        <v>140</v>
      </c>
      <c r="G40" s="4162"/>
      <c r="H40" s="4162"/>
      <c r="I40" s="3377">
        <v>707</v>
      </c>
      <c r="J40" s="3377">
        <v>60015</v>
      </c>
      <c r="K40" s="4467" t="s">
        <v>84</v>
      </c>
      <c r="L40" s="4347"/>
      <c r="M40" s="4347" t="s">
        <v>30</v>
      </c>
      <c r="N40" s="4347"/>
      <c r="O40" s="4347"/>
      <c r="P40" s="360" t="s">
        <v>71</v>
      </c>
      <c r="Q40" s="360" t="s">
        <v>72</v>
      </c>
      <c r="R40" s="360" t="s">
        <v>38</v>
      </c>
      <c r="S40" s="4347"/>
      <c r="T40" s="4347"/>
      <c r="U40" s="4347"/>
      <c r="V40" s="4347"/>
      <c r="W40" s="4347"/>
      <c r="X40" s="4376" t="s">
        <v>141</v>
      </c>
      <c r="Y40" s="4376"/>
    </row>
    <row r="41" spans="1:25" ht="31.5">
      <c r="A41" s="4347" t="s">
        <v>132</v>
      </c>
      <c r="B41" s="4355">
        <v>46031</v>
      </c>
      <c r="C41" s="3160">
        <f t="shared" si="0"/>
        <v>2</v>
      </c>
      <c r="D41" s="4981">
        <v>20</v>
      </c>
      <c r="E41" s="4162" t="s">
        <v>80</v>
      </c>
      <c r="F41" s="4162" t="s">
        <v>142</v>
      </c>
      <c r="G41" s="4162"/>
      <c r="H41" s="4162"/>
      <c r="I41" s="3377">
        <v>705</v>
      </c>
      <c r="J41" s="3377">
        <v>60105</v>
      </c>
      <c r="K41" s="4467" t="s">
        <v>84</v>
      </c>
      <c r="L41" s="4347"/>
      <c r="M41" s="4347"/>
      <c r="N41" s="4347" t="s">
        <v>37</v>
      </c>
      <c r="O41" s="4347"/>
      <c r="S41" s="4347"/>
      <c r="T41" s="4347"/>
      <c r="U41" s="4347"/>
      <c r="V41" s="4347"/>
      <c r="W41" s="4347"/>
      <c r="X41" s="4376"/>
      <c r="Y41" s="4376"/>
    </row>
    <row r="42" spans="1:25" ht="31.5">
      <c r="A42" s="4347" t="s">
        <v>143</v>
      </c>
      <c r="B42" s="4355">
        <v>46032</v>
      </c>
      <c r="C42" s="3160">
        <f t="shared" si="0"/>
        <v>2</v>
      </c>
      <c r="D42" s="4981">
        <v>21</v>
      </c>
      <c r="E42" s="4461" t="s">
        <v>48</v>
      </c>
      <c r="F42" s="4162" t="s">
        <v>79</v>
      </c>
      <c r="G42" s="4162"/>
      <c r="H42" s="4162"/>
      <c r="I42" s="3377">
        <v>705</v>
      </c>
      <c r="J42" s="3377" t="s">
        <v>144</v>
      </c>
      <c r="K42" s="4347"/>
      <c r="L42" s="4347" t="s">
        <v>37</v>
      </c>
      <c r="M42" s="4347"/>
      <c r="N42" s="4347"/>
      <c r="O42" s="4347"/>
      <c r="S42" s="4347"/>
      <c r="T42" s="4347"/>
      <c r="U42" s="4347"/>
      <c r="V42" s="4347" t="s">
        <v>37</v>
      </c>
      <c r="W42" s="4347"/>
      <c r="X42" s="4347"/>
      <c r="Y42" s="4376"/>
    </row>
    <row r="43" spans="1:25" ht="31.5">
      <c r="A43" s="4468" t="s">
        <v>25</v>
      </c>
      <c r="B43" s="4469">
        <v>46034</v>
      </c>
      <c r="C43" s="3160">
        <f t="shared" si="0"/>
        <v>3</v>
      </c>
      <c r="D43" s="4982">
        <v>22</v>
      </c>
      <c r="E43" s="4476" t="s">
        <v>43</v>
      </c>
      <c r="F43" s="4476" t="s">
        <v>145</v>
      </c>
      <c r="G43" s="4476"/>
      <c r="H43" s="4476"/>
      <c r="I43" s="4472">
        <v>707</v>
      </c>
      <c r="J43" s="4471">
        <v>60020</v>
      </c>
      <c r="K43" s="4471"/>
      <c r="L43" s="4468" t="s">
        <v>37</v>
      </c>
      <c r="M43" s="4468"/>
      <c r="N43" s="4468"/>
      <c r="S43" s="4468"/>
      <c r="T43" s="4468"/>
      <c r="U43" s="4468"/>
      <c r="X43" s="4486"/>
    </row>
    <row r="44" spans="1:25" ht="31.5">
      <c r="A44" s="4468" t="s">
        <v>25</v>
      </c>
      <c r="B44" s="4469">
        <v>46034</v>
      </c>
      <c r="C44" s="3160">
        <f t="shared" si="0"/>
        <v>3</v>
      </c>
      <c r="D44" s="4982">
        <v>22</v>
      </c>
      <c r="E44" s="4476" t="s">
        <v>146</v>
      </c>
      <c r="F44" s="4476"/>
      <c r="G44" s="4476"/>
      <c r="H44" s="4476"/>
      <c r="I44" s="4472">
        <v>707</v>
      </c>
      <c r="J44" s="4471" t="s">
        <v>147</v>
      </c>
      <c r="K44" s="4471"/>
      <c r="L44" s="4468" t="s">
        <v>37</v>
      </c>
      <c r="M44" s="4468"/>
      <c r="N44" s="4468"/>
      <c r="S44" s="4468"/>
      <c r="T44" s="4468"/>
      <c r="U44" s="4468"/>
      <c r="X44" s="4486"/>
    </row>
    <row r="45" spans="1:25" ht="31.5">
      <c r="A45" s="4468" t="s">
        <v>25</v>
      </c>
      <c r="B45" s="4469">
        <v>46034</v>
      </c>
      <c r="C45" s="3160">
        <f t="shared" ref="C45:C75" si="1">_xlfn.ISOWEEKNUM(B45)</f>
        <v>3</v>
      </c>
      <c r="D45" s="4983">
        <v>23</v>
      </c>
      <c r="E45" s="4558" t="s">
        <v>148</v>
      </c>
      <c r="F45" s="4558" t="s">
        <v>97</v>
      </c>
      <c r="G45" s="4558"/>
      <c r="H45" s="4558"/>
      <c r="I45" s="4472">
        <v>707</v>
      </c>
      <c r="J45" s="4471" t="s">
        <v>149</v>
      </c>
      <c r="K45" s="4471"/>
      <c r="L45" s="4468" t="s">
        <v>37</v>
      </c>
      <c r="M45" s="4468"/>
      <c r="N45" s="4468"/>
      <c r="S45" s="4468"/>
      <c r="T45" s="4468"/>
      <c r="U45" s="4468"/>
      <c r="X45" s="4486"/>
    </row>
    <row r="46" spans="1:25" ht="31.5">
      <c r="A46" s="4468" t="s">
        <v>25</v>
      </c>
      <c r="B46" s="4470">
        <v>46034</v>
      </c>
      <c r="C46" s="3160">
        <f t="shared" si="1"/>
        <v>3</v>
      </c>
      <c r="D46" s="4982">
        <v>24</v>
      </c>
      <c r="E46" s="4552" t="s">
        <v>53</v>
      </c>
      <c r="F46" s="4629" t="s">
        <v>150</v>
      </c>
      <c r="G46" s="4629"/>
      <c r="H46" s="4629"/>
      <c r="I46" s="4472">
        <v>707</v>
      </c>
      <c r="J46" s="4471" t="s">
        <v>151</v>
      </c>
      <c r="K46" s="4471"/>
      <c r="L46" s="4468" t="s">
        <v>37</v>
      </c>
      <c r="M46" s="4468"/>
      <c r="N46" s="4468"/>
      <c r="S46" s="4468"/>
      <c r="T46" s="4468"/>
      <c r="U46" s="4468"/>
      <c r="X46" s="4486"/>
    </row>
    <row r="47" spans="1:25" ht="31.5">
      <c r="A47" s="4468" t="s">
        <v>25</v>
      </c>
      <c r="B47" s="4470">
        <v>46034</v>
      </c>
      <c r="C47" s="3160">
        <f t="shared" si="1"/>
        <v>3</v>
      </c>
      <c r="D47" s="4982">
        <v>25</v>
      </c>
      <c r="E47" s="4473" t="s">
        <v>152</v>
      </c>
      <c r="F47" s="4473" t="s">
        <v>153</v>
      </c>
      <c r="G47" s="4473"/>
      <c r="H47" s="4473"/>
      <c r="I47" s="4471">
        <v>705</v>
      </c>
      <c r="J47" s="4471" t="s">
        <v>154</v>
      </c>
      <c r="K47" s="4471"/>
      <c r="L47" s="4468" t="s">
        <v>37</v>
      </c>
      <c r="M47" s="4468"/>
      <c r="N47" s="4468"/>
      <c r="S47" s="4468"/>
      <c r="T47" s="4468"/>
      <c r="U47" s="4468"/>
      <c r="X47" s="4486"/>
    </row>
    <row r="48" spans="1:25" ht="31.5">
      <c r="A48" s="4468" t="s">
        <v>25</v>
      </c>
      <c r="B48" s="4470">
        <v>46034</v>
      </c>
      <c r="C48" s="3160">
        <f t="shared" si="1"/>
        <v>3</v>
      </c>
      <c r="D48" s="4982">
        <v>26</v>
      </c>
      <c r="E48" s="4471" t="s">
        <v>155</v>
      </c>
      <c r="F48" s="4471" t="s">
        <v>156</v>
      </c>
      <c r="G48" s="4471"/>
      <c r="H48" s="4471"/>
      <c r="I48" s="4471">
        <v>705</v>
      </c>
      <c r="J48" s="4471" t="s">
        <v>157</v>
      </c>
      <c r="K48" s="4471"/>
      <c r="L48" s="4468" t="s">
        <v>37</v>
      </c>
      <c r="M48" s="4468"/>
      <c r="N48" s="4468"/>
      <c r="S48" s="4468"/>
      <c r="T48" s="4468"/>
      <c r="U48" s="4468"/>
      <c r="X48" s="4486"/>
    </row>
    <row r="49" spans="1:24" ht="31.5">
      <c r="A49" s="4468" t="s">
        <v>25</v>
      </c>
      <c r="B49" s="4470">
        <v>46034</v>
      </c>
      <c r="C49" s="3160">
        <f t="shared" si="1"/>
        <v>3</v>
      </c>
      <c r="D49" s="4982">
        <v>27</v>
      </c>
      <c r="E49" s="4471" t="s">
        <v>48</v>
      </c>
      <c r="F49" s="4471" t="s">
        <v>79</v>
      </c>
      <c r="G49" s="4471"/>
      <c r="H49" s="4471"/>
      <c r="I49" s="4471">
        <v>705</v>
      </c>
      <c r="J49" s="4471" t="s">
        <v>158</v>
      </c>
      <c r="K49" s="4471"/>
      <c r="L49" s="4468"/>
      <c r="M49" s="4468" t="s">
        <v>30</v>
      </c>
      <c r="N49" s="4468"/>
      <c r="P49" s="360" t="s">
        <v>109</v>
      </c>
      <c r="Q49" s="360" t="s">
        <v>159</v>
      </c>
      <c r="R49" s="360" t="s">
        <v>160</v>
      </c>
      <c r="S49" s="4468" t="s">
        <v>37</v>
      </c>
      <c r="T49" s="4468"/>
      <c r="U49" s="4468"/>
      <c r="X49" s="4486" t="s">
        <v>161</v>
      </c>
    </row>
    <row r="50" spans="1:24" ht="31.5">
      <c r="A50" s="4468" t="s">
        <v>25</v>
      </c>
      <c r="B50" s="4470">
        <v>46034</v>
      </c>
      <c r="C50" s="3160">
        <f t="shared" si="1"/>
        <v>3</v>
      </c>
      <c r="D50" s="4982">
        <v>28</v>
      </c>
      <c r="E50" s="4474" t="s">
        <v>162</v>
      </c>
      <c r="F50" s="4474" t="s">
        <v>140</v>
      </c>
      <c r="G50" s="4474"/>
      <c r="H50" s="4474"/>
      <c r="I50" s="4471">
        <v>705</v>
      </c>
      <c r="J50" s="4471">
        <v>60015</v>
      </c>
      <c r="K50" s="4471"/>
      <c r="L50" s="4468" t="s">
        <v>37</v>
      </c>
      <c r="M50" s="4468"/>
      <c r="N50" s="4468"/>
      <c r="S50" s="4468"/>
      <c r="T50" s="4468"/>
      <c r="U50" s="4468"/>
      <c r="X50" s="4486"/>
    </row>
    <row r="51" spans="1:24" ht="31.5">
      <c r="A51" s="4468" t="s">
        <v>25</v>
      </c>
      <c r="B51" s="4470">
        <v>46034</v>
      </c>
      <c r="C51" s="3160">
        <f t="shared" si="1"/>
        <v>3</v>
      </c>
      <c r="D51" s="4982">
        <v>28</v>
      </c>
      <c r="E51" s="4474" t="s">
        <v>163</v>
      </c>
      <c r="F51" s="4474" t="s">
        <v>164</v>
      </c>
      <c r="G51" s="4474"/>
      <c r="H51" s="4474"/>
      <c r="I51" s="4471">
        <v>705</v>
      </c>
      <c r="J51" s="4471">
        <v>60105</v>
      </c>
      <c r="K51" s="4471"/>
      <c r="L51" s="4468" t="s">
        <v>37</v>
      </c>
      <c r="M51" s="4468"/>
      <c r="N51" s="4468"/>
      <c r="S51" s="4468"/>
      <c r="T51" s="4468"/>
      <c r="U51" s="4468"/>
      <c r="X51" s="4486"/>
    </row>
    <row r="52" spans="1:24" ht="57">
      <c r="A52" s="4468" t="s">
        <v>25</v>
      </c>
      <c r="B52" s="4470">
        <v>46034</v>
      </c>
      <c r="C52" s="3160">
        <f t="shared" si="1"/>
        <v>3</v>
      </c>
      <c r="D52" s="4982">
        <v>29</v>
      </c>
      <c r="E52" s="4475" t="s">
        <v>48</v>
      </c>
      <c r="F52" s="4475" t="s">
        <v>165</v>
      </c>
      <c r="G52" s="4475"/>
      <c r="H52" s="4475"/>
      <c r="I52" s="4471">
        <v>705</v>
      </c>
      <c r="J52" s="4471" t="s">
        <v>166</v>
      </c>
      <c r="K52" s="4482"/>
      <c r="L52" s="4468" t="s">
        <v>37</v>
      </c>
      <c r="M52" s="4468"/>
      <c r="N52" s="4468"/>
      <c r="S52" s="4468"/>
      <c r="T52" s="4468"/>
      <c r="U52" s="4468" t="s">
        <v>30</v>
      </c>
      <c r="X52" s="4486" t="s">
        <v>167</v>
      </c>
    </row>
    <row r="53" spans="1:24" ht="31.5">
      <c r="A53" s="4468" t="s">
        <v>25</v>
      </c>
      <c r="B53" s="4470">
        <v>46034</v>
      </c>
      <c r="C53" s="3160">
        <f t="shared" si="1"/>
        <v>3</v>
      </c>
      <c r="D53" s="4982">
        <v>29</v>
      </c>
      <c r="E53" s="4475" t="s">
        <v>168</v>
      </c>
      <c r="F53" s="4475" t="s">
        <v>142</v>
      </c>
      <c r="G53" s="4475"/>
      <c r="H53" s="4475"/>
      <c r="I53" s="4471">
        <v>705</v>
      </c>
      <c r="J53" s="4471" t="s">
        <v>166</v>
      </c>
      <c r="K53" s="4482"/>
      <c r="L53" s="4468" t="s">
        <v>37</v>
      </c>
      <c r="M53" s="4468"/>
      <c r="N53" s="4468"/>
      <c r="S53" s="4468"/>
      <c r="T53" s="4468"/>
      <c r="U53" s="4468"/>
      <c r="X53" s="4486"/>
    </row>
    <row r="54" spans="1:24" ht="31.5">
      <c r="A54" s="4468" t="s">
        <v>25</v>
      </c>
      <c r="B54" s="4470">
        <v>46034</v>
      </c>
      <c r="C54" s="3160">
        <f t="shared" si="1"/>
        <v>3</v>
      </c>
      <c r="D54" s="4982">
        <v>30</v>
      </c>
      <c r="E54" s="4471" t="s">
        <v>169</v>
      </c>
      <c r="F54" s="4471" t="s">
        <v>48</v>
      </c>
      <c r="G54" s="4471"/>
      <c r="H54" s="4471"/>
      <c r="I54" s="4471">
        <v>705</v>
      </c>
      <c r="J54" s="4471" t="s">
        <v>170</v>
      </c>
      <c r="K54" s="4482"/>
      <c r="L54" s="4468" t="s">
        <v>37</v>
      </c>
      <c r="M54" s="4468"/>
      <c r="N54" s="4468"/>
      <c r="S54" s="4468"/>
      <c r="T54" s="4468"/>
      <c r="U54" s="4468"/>
      <c r="X54" s="4486"/>
    </row>
    <row r="55" spans="1:24" ht="31.5">
      <c r="A55" s="4468" t="s">
        <v>25</v>
      </c>
      <c r="B55" s="4470">
        <v>46034</v>
      </c>
      <c r="C55" s="3160">
        <f t="shared" si="1"/>
        <v>3</v>
      </c>
      <c r="D55" s="4982">
        <v>31</v>
      </c>
      <c r="E55" s="4471" t="s">
        <v>48</v>
      </c>
      <c r="F55" s="4471" t="s">
        <v>171</v>
      </c>
      <c r="G55" s="4471"/>
      <c r="H55" s="4471"/>
      <c r="I55" s="4471">
        <v>705</v>
      </c>
      <c r="J55" s="4471" t="s">
        <v>172</v>
      </c>
      <c r="K55" s="4483" t="s">
        <v>84</v>
      </c>
      <c r="L55" s="4468" t="s">
        <v>37</v>
      </c>
      <c r="M55" s="4468"/>
      <c r="N55" s="4468"/>
      <c r="S55" s="4468"/>
      <c r="T55" s="4468"/>
      <c r="U55" s="4468"/>
      <c r="V55" s="3160" t="s">
        <v>37</v>
      </c>
      <c r="X55" s="4486"/>
    </row>
    <row r="56" spans="1:24" ht="31.5">
      <c r="A56" s="4468" t="s">
        <v>67</v>
      </c>
      <c r="B56" s="4469">
        <v>46035</v>
      </c>
      <c r="C56" s="3160">
        <f t="shared" si="1"/>
        <v>3</v>
      </c>
      <c r="D56" s="4984">
        <v>32</v>
      </c>
      <c r="E56" s="4553" t="s">
        <v>40</v>
      </c>
      <c r="F56" s="4553" t="s">
        <v>173</v>
      </c>
      <c r="G56" s="4553"/>
      <c r="H56" s="4553"/>
      <c r="I56" s="4472">
        <v>707</v>
      </c>
      <c r="J56" s="4471" t="s">
        <v>147</v>
      </c>
      <c r="K56" s="4483" t="s">
        <v>174</v>
      </c>
      <c r="L56" s="4468" t="s">
        <v>37</v>
      </c>
      <c r="M56" s="4468"/>
      <c r="N56" s="4468"/>
      <c r="S56" s="4468"/>
      <c r="T56" s="4468"/>
      <c r="U56" s="4468"/>
      <c r="X56" s="4486"/>
    </row>
    <row r="57" spans="1:24" ht="31.5">
      <c r="A57" s="4468" t="s">
        <v>67</v>
      </c>
      <c r="B57" s="4469">
        <v>46035</v>
      </c>
      <c r="C57" s="3160">
        <f t="shared" si="1"/>
        <v>3</v>
      </c>
      <c r="D57" s="4982">
        <v>25</v>
      </c>
      <c r="E57" s="4473" t="s">
        <v>175</v>
      </c>
      <c r="F57" s="4473" t="s">
        <v>44</v>
      </c>
      <c r="G57" s="4473"/>
      <c r="H57" s="4473"/>
      <c r="I57" s="4471">
        <v>705</v>
      </c>
      <c r="J57" s="4471" t="s">
        <v>154</v>
      </c>
      <c r="K57" s="4471"/>
      <c r="L57" s="4468" t="s">
        <v>37</v>
      </c>
      <c r="M57" s="4468"/>
      <c r="N57" s="4468"/>
      <c r="S57" s="4468"/>
      <c r="T57" s="4468"/>
      <c r="U57" s="4468"/>
      <c r="V57" s="3160" t="s">
        <v>37</v>
      </c>
      <c r="X57" s="4486"/>
    </row>
    <row r="58" spans="1:24" ht="31.5">
      <c r="A58" s="4468" t="s">
        <v>67</v>
      </c>
      <c r="B58" s="4469">
        <v>46035</v>
      </c>
      <c r="C58" s="3160">
        <f t="shared" si="1"/>
        <v>3</v>
      </c>
      <c r="D58" s="4982">
        <v>33</v>
      </c>
      <c r="E58" s="4477" t="s">
        <v>176</v>
      </c>
      <c r="F58" s="4477" t="s">
        <v>60</v>
      </c>
      <c r="G58" s="4477"/>
      <c r="H58" s="4477"/>
      <c r="I58" s="4471">
        <v>705</v>
      </c>
      <c r="J58" s="4471" t="s">
        <v>177</v>
      </c>
      <c r="K58" s="4471"/>
      <c r="L58" s="4484"/>
      <c r="M58" s="4468" t="s">
        <v>37</v>
      </c>
      <c r="N58" s="4468"/>
      <c r="P58" s="360" t="s">
        <v>71</v>
      </c>
      <c r="Q58" s="360" t="s">
        <v>178</v>
      </c>
      <c r="R58" s="360" t="s">
        <v>160</v>
      </c>
      <c r="S58" s="4468" t="s">
        <v>37</v>
      </c>
      <c r="T58" s="4468"/>
      <c r="U58" s="4468"/>
      <c r="V58" s="3160" t="s">
        <v>37</v>
      </c>
      <c r="X58" s="4486" t="s">
        <v>179</v>
      </c>
    </row>
    <row r="59" spans="1:24" ht="31.5">
      <c r="A59" s="4468" t="s">
        <v>180</v>
      </c>
      <c r="B59" s="4469">
        <v>46035</v>
      </c>
      <c r="C59" s="3160">
        <f t="shared" si="1"/>
        <v>3</v>
      </c>
      <c r="D59" s="4982">
        <v>34</v>
      </c>
      <c r="E59" s="4478" t="s">
        <v>48</v>
      </c>
      <c r="F59" s="4478" t="s">
        <v>79</v>
      </c>
      <c r="G59" s="4478"/>
      <c r="H59" s="4478"/>
      <c r="I59" s="4471">
        <v>705</v>
      </c>
      <c r="J59" s="4471" t="s">
        <v>181</v>
      </c>
      <c r="K59" s="4471"/>
      <c r="L59" s="4468"/>
      <c r="M59" s="4468" t="s">
        <v>37</v>
      </c>
      <c r="N59" s="4468"/>
      <c r="P59" s="360" t="s">
        <v>71</v>
      </c>
      <c r="Q59" s="360" t="s">
        <v>178</v>
      </c>
      <c r="R59" s="360" t="s">
        <v>160</v>
      </c>
      <c r="S59" s="4468" t="s">
        <v>37</v>
      </c>
      <c r="T59" s="4468" t="s">
        <v>37</v>
      </c>
      <c r="U59" s="4468"/>
      <c r="V59" s="3160" t="s">
        <v>37</v>
      </c>
      <c r="X59" s="4486" t="s">
        <v>179</v>
      </c>
    </row>
    <row r="60" spans="1:24" ht="31.5">
      <c r="A60" s="4468" t="s">
        <v>85</v>
      </c>
      <c r="B60" s="4469">
        <v>46036</v>
      </c>
      <c r="C60" s="3160">
        <f t="shared" si="1"/>
        <v>3</v>
      </c>
      <c r="D60" s="4982">
        <v>35</v>
      </c>
      <c r="E60" s="4479" t="s">
        <v>182</v>
      </c>
      <c r="F60" s="4479" t="s">
        <v>183</v>
      </c>
      <c r="G60" s="4479"/>
      <c r="H60" s="4479"/>
      <c r="I60" s="4471">
        <v>705</v>
      </c>
      <c r="J60" s="4471" t="s">
        <v>184</v>
      </c>
      <c r="K60" s="4471"/>
      <c r="L60" s="4471" t="s">
        <v>37</v>
      </c>
      <c r="M60" s="4468"/>
      <c r="N60" s="4468"/>
      <c r="S60" s="4468"/>
      <c r="T60" s="4468"/>
      <c r="U60" s="4468"/>
      <c r="X60" s="4486"/>
    </row>
    <row r="61" spans="1:24" ht="31.5">
      <c r="A61" s="4468" t="s">
        <v>85</v>
      </c>
      <c r="B61" s="4469">
        <v>46036</v>
      </c>
      <c r="C61" s="3160">
        <f t="shared" si="1"/>
        <v>3</v>
      </c>
      <c r="D61" s="4982">
        <v>36</v>
      </c>
      <c r="E61" s="4471" t="s">
        <v>43</v>
      </c>
      <c r="F61" s="4471" t="s">
        <v>185</v>
      </c>
      <c r="G61" s="4471"/>
      <c r="H61" s="4471"/>
      <c r="I61" s="4471">
        <v>703</v>
      </c>
      <c r="J61" s="4471" t="s">
        <v>186</v>
      </c>
      <c r="K61" s="4471"/>
      <c r="L61" s="4468"/>
      <c r="M61" s="4468" t="s">
        <v>37</v>
      </c>
      <c r="N61" s="4468"/>
      <c r="P61" s="360" t="s">
        <v>0</v>
      </c>
      <c r="Q61" s="360" t="s">
        <v>187</v>
      </c>
      <c r="R61" s="360" t="s">
        <v>46</v>
      </c>
      <c r="S61" s="4468"/>
      <c r="T61" s="4468"/>
      <c r="U61" s="4468"/>
      <c r="X61" s="4486" t="s">
        <v>188</v>
      </c>
    </row>
    <row r="62" spans="1:24" ht="31.5">
      <c r="A62" s="4468" t="s">
        <v>85</v>
      </c>
      <c r="B62" s="4469">
        <v>46036</v>
      </c>
      <c r="C62" s="3160">
        <f t="shared" si="1"/>
        <v>3</v>
      </c>
      <c r="D62" s="4982">
        <v>37</v>
      </c>
      <c r="E62" s="4471" t="s">
        <v>48</v>
      </c>
      <c r="F62" s="4471" t="s">
        <v>79</v>
      </c>
      <c r="G62" s="4471"/>
      <c r="H62" s="4471"/>
      <c r="I62" s="4481">
        <v>705</v>
      </c>
      <c r="J62" s="4481" t="s">
        <v>177</v>
      </c>
      <c r="K62" s="4471"/>
      <c r="L62" s="4760" t="s">
        <v>37</v>
      </c>
      <c r="M62" s="4468"/>
      <c r="N62" s="4468"/>
      <c r="S62" s="4468" t="s">
        <v>37</v>
      </c>
      <c r="T62" s="4468"/>
      <c r="U62" s="4468"/>
      <c r="V62" s="3160" t="s">
        <v>37</v>
      </c>
      <c r="X62" s="4486"/>
    </row>
    <row r="63" spans="1:24" ht="31.5">
      <c r="A63" s="4468" t="s">
        <v>85</v>
      </c>
      <c r="B63" s="4469">
        <v>46036</v>
      </c>
      <c r="C63" s="3160">
        <f t="shared" si="1"/>
        <v>3</v>
      </c>
      <c r="D63" s="4982">
        <v>38</v>
      </c>
      <c r="E63" s="4471" t="s">
        <v>48</v>
      </c>
      <c r="F63" s="4471" t="s">
        <v>79</v>
      </c>
      <c r="G63" s="4471"/>
      <c r="H63" s="4471"/>
      <c r="I63" s="4481">
        <v>705</v>
      </c>
      <c r="J63" s="4481" t="s">
        <v>189</v>
      </c>
      <c r="K63" s="4471"/>
      <c r="L63" s="4485" t="s">
        <v>37</v>
      </c>
      <c r="M63" s="4468"/>
      <c r="N63" s="4468" t="s">
        <v>30</v>
      </c>
      <c r="S63" s="4468"/>
      <c r="T63" s="4468" t="s">
        <v>30</v>
      </c>
      <c r="U63" s="4468"/>
      <c r="X63" s="4486"/>
    </row>
    <row r="64" spans="1:24" ht="31.5">
      <c r="A64" s="4468" t="s">
        <v>85</v>
      </c>
      <c r="B64" s="4469">
        <v>46036</v>
      </c>
      <c r="C64" s="3160">
        <f t="shared" si="1"/>
        <v>3</v>
      </c>
      <c r="D64" s="4982">
        <v>39</v>
      </c>
      <c r="E64" s="4480" t="s">
        <v>48</v>
      </c>
      <c r="F64" s="4480" t="s">
        <v>190</v>
      </c>
      <c r="G64" s="4480"/>
      <c r="H64" s="4480"/>
      <c r="I64" s="4471"/>
      <c r="J64" s="4471">
        <v>60072</v>
      </c>
      <c r="K64" s="4471"/>
      <c r="L64" s="4468" t="s">
        <v>37</v>
      </c>
      <c r="M64" s="4468"/>
      <c r="N64" s="4468"/>
      <c r="S64" s="4468"/>
      <c r="T64" s="4468"/>
      <c r="U64" s="4468"/>
      <c r="X64" s="4486"/>
    </row>
    <row r="65" spans="1:25" ht="31.5">
      <c r="A65" s="4468" t="s">
        <v>85</v>
      </c>
      <c r="B65" s="4469">
        <v>46036</v>
      </c>
      <c r="C65" s="3160">
        <f t="shared" si="1"/>
        <v>3</v>
      </c>
      <c r="D65" s="4982">
        <v>39</v>
      </c>
      <c r="E65" s="4480" t="s">
        <v>48</v>
      </c>
      <c r="F65" s="4480" t="s">
        <v>191</v>
      </c>
      <c r="G65" s="4480"/>
      <c r="H65" s="4480"/>
      <c r="I65" s="4471"/>
      <c r="J65" s="4471">
        <v>60072</v>
      </c>
      <c r="K65" s="4471"/>
      <c r="L65" s="4468" t="s">
        <v>37</v>
      </c>
      <c r="M65" s="4468"/>
      <c r="N65" s="4468"/>
      <c r="S65" s="4468"/>
      <c r="T65" s="4468"/>
      <c r="U65" s="4468"/>
      <c r="X65" s="4486"/>
    </row>
    <row r="66" spans="1:25" ht="31.5">
      <c r="A66" s="4468" t="s">
        <v>85</v>
      </c>
      <c r="B66" s="4469">
        <v>46036</v>
      </c>
      <c r="C66" s="3160">
        <f t="shared" si="1"/>
        <v>3</v>
      </c>
      <c r="D66" s="4982">
        <v>39</v>
      </c>
      <c r="E66" s="4480" t="s">
        <v>48</v>
      </c>
      <c r="F66" s="4480" t="s">
        <v>192</v>
      </c>
      <c r="G66" s="4480"/>
      <c r="H66" s="4480"/>
      <c r="I66" s="4471"/>
      <c r="J66" s="4471">
        <v>60072</v>
      </c>
      <c r="K66" s="4471"/>
      <c r="L66" s="4468" t="s">
        <v>37</v>
      </c>
      <c r="M66" s="4468"/>
      <c r="N66" s="4468"/>
      <c r="S66" s="4468"/>
      <c r="T66" s="4468"/>
      <c r="U66" s="4468"/>
      <c r="X66" s="4486"/>
    </row>
    <row r="67" spans="1:25" ht="31.5">
      <c r="A67" s="4468" t="s">
        <v>85</v>
      </c>
      <c r="B67" s="4469">
        <v>46036</v>
      </c>
      <c r="C67" s="3160">
        <f t="shared" si="1"/>
        <v>3</v>
      </c>
      <c r="D67" s="4982">
        <v>40</v>
      </c>
      <c r="E67" s="4480" t="s">
        <v>193</v>
      </c>
      <c r="F67" s="4480" t="s">
        <v>194</v>
      </c>
      <c r="G67" s="4480"/>
      <c r="H67" s="4480"/>
      <c r="I67" s="4471">
        <v>707</v>
      </c>
      <c r="J67" s="4471">
        <v>60093</v>
      </c>
      <c r="K67" s="4471"/>
      <c r="L67" s="4468" t="s">
        <v>37</v>
      </c>
      <c r="M67" s="4468"/>
      <c r="N67" s="4468"/>
      <c r="S67" s="4468"/>
      <c r="T67" s="4468"/>
      <c r="U67" s="4468" t="s">
        <v>37</v>
      </c>
      <c r="X67" s="4486"/>
    </row>
    <row r="68" spans="1:25" ht="31.5">
      <c r="A68" s="4468" t="s">
        <v>85</v>
      </c>
      <c r="B68" s="4469">
        <v>46036</v>
      </c>
      <c r="C68" s="3160">
        <f t="shared" si="1"/>
        <v>3</v>
      </c>
      <c r="D68" s="4982">
        <v>40</v>
      </c>
      <c r="E68" s="4480" t="s">
        <v>194</v>
      </c>
      <c r="F68" s="4480" t="s">
        <v>193</v>
      </c>
      <c r="G68" s="4480"/>
      <c r="H68" s="4480"/>
      <c r="I68" s="4471">
        <v>707</v>
      </c>
      <c r="J68" s="4471">
        <v>60093</v>
      </c>
      <c r="K68" s="4471"/>
      <c r="L68" s="4468" t="s">
        <v>37</v>
      </c>
      <c r="M68" s="4468"/>
      <c r="N68" s="4468"/>
      <c r="S68" s="4468"/>
      <c r="T68" s="4468"/>
      <c r="U68" s="4468" t="s">
        <v>37</v>
      </c>
      <c r="X68" s="4486"/>
    </row>
    <row r="69" spans="1:25" ht="31.5">
      <c r="A69" s="4468" t="s">
        <v>105</v>
      </c>
      <c r="B69" s="4469">
        <v>46037</v>
      </c>
      <c r="C69" s="3160">
        <f t="shared" si="1"/>
        <v>3</v>
      </c>
      <c r="D69" s="4982">
        <v>35</v>
      </c>
      <c r="E69" s="4479" t="s">
        <v>169</v>
      </c>
      <c r="F69" s="4479" t="s">
        <v>195</v>
      </c>
      <c r="G69" s="4479"/>
      <c r="H69" s="4479"/>
      <c r="I69" s="4471">
        <v>705</v>
      </c>
      <c r="J69" s="4471" t="s">
        <v>184</v>
      </c>
      <c r="K69" s="4471"/>
      <c r="L69" s="4468" t="s">
        <v>37</v>
      </c>
      <c r="M69" s="4468"/>
      <c r="N69" s="4468"/>
      <c r="S69" s="4468"/>
      <c r="T69" s="4468"/>
      <c r="U69" s="4468"/>
      <c r="X69" s="4486"/>
    </row>
    <row r="70" spans="1:25" ht="31.5">
      <c r="A70" s="4468" t="s">
        <v>105</v>
      </c>
      <c r="B70" s="4469">
        <v>46037</v>
      </c>
      <c r="C70" s="3160">
        <f t="shared" si="1"/>
        <v>3</v>
      </c>
      <c r="D70" s="4982">
        <v>41</v>
      </c>
      <c r="E70" s="4471" t="s">
        <v>43</v>
      </c>
      <c r="F70" s="4471" t="s">
        <v>185</v>
      </c>
      <c r="G70" s="4471"/>
      <c r="H70" s="4471"/>
      <c r="I70" s="4471">
        <v>703</v>
      </c>
      <c r="J70" s="4471" t="s">
        <v>186</v>
      </c>
      <c r="K70" s="4471"/>
      <c r="L70" s="4468" t="s">
        <v>37</v>
      </c>
      <c r="M70" s="4468"/>
      <c r="N70" s="4468"/>
      <c r="S70" s="4468"/>
      <c r="T70" s="4468"/>
      <c r="U70" s="4468" t="s">
        <v>37</v>
      </c>
      <c r="X70" s="4486"/>
    </row>
    <row r="71" spans="1:25" ht="31.5">
      <c r="A71" s="4468" t="s">
        <v>105</v>
      </c>
      <c r="B71" s="4469">
        <v>46037</v>
      </c>
      <c r="C71" s="3160">
        <f t="shared" si="1"/>
        <v>3</v>
      </c>
      <c r="D71" s="4982">
        <v>42</v>
      </c>
      <c r="E71" s="4471" t="s">
        <v>48</v>
      </c>
      <c r="F71" s="4471" t="s">
        <v>196</v>
      </c>
      <c r="G71" s="4471"/>
      <c r="H71" s="4471"/>
      <c r="I71" s="4471">
        <v>705</v>
      </c>
      <c r="J71" s="4471" t="s">
        <v>197</v>
      </c>
      <c r="K71" s="4483" t="s">
        <v>84</v>
      </c>
      <c r="L71" s="4760" t="s">
        <v>37</v>
      </c>
      <c r="M71" s="4468"/>
      <c r="N71" s="4468"/>
      <c r="S71" s="4468"/>
      <c r="T71" s="4468"/>
      <c r="U71" s="4468"/>
      <c r="X71" s="4486" t="s">
        <v>198</v>
      </c>
    </row>
    <row r="72" spans="1:25" ht="31.5">
      <c r="A72" s="4468" t="s">
        <v>105</v>
      </c>
      <c r="B72" s="4469">
        <v>46037</v>
      </c>
      <c r="C72" s="3160">
        <f t="shared" si="1"/>
        <v>3</v>
      </c>
      <c r="D72" s="4982">
        <v>42</v>
      </c>
      <c r="E72" s="4471" t="s">
        <v>196</v>
      </c>
      <c r="F72" s="4471" t="s">
        <v>142</v>
      </c>
      <c r="G72" s="4471"/>
      <c r="H72" s="4471"/>
      <c r="I72" s="4471">
        <v>705</v>
      </c>
      <c r="J72" s="4471" t="s">
        <v>197</v>
      </c>
      <c r="K72" s="4471"/>
      <c r="L72" s="4485" t="s">
        <v>37</v>
      </c>
      <c r="M72" s="4468"/>
      <c r="N72" s="4468"/>
      <c r="S72" s="4468"/>
      <c r="T72" s="4468"/>
      <c r="U72" s="4468"/>
      <c r="X72" s="4486"/>
    </row>
    <row r="73" spans="1:25" ht="31.5">
      <c r="A73" s="4468" t="s">
        <v>132</v>
      </c>
      <c r="B73" s="4469">
        <v>46038</v>
      </c>
      <c r="C73" s="3160">
        <f t="shared" si="1"/>
        <v>3</v>
      </c>
      <c r="D73" s="4982">
        <v>43</v>
      </c>
      <c r="E73" s="4471" t="s">
        <v>48</v>
      </c>
      <c r="F73" s="4471" t="s">
        <v>199</v>
      </c>
      <c r="G73" s="4471"/>
      <c r="H73" s="4471"/>
      <c r="I73" s="4471">
        <v>707</v>
      </c>
      <c r="J73" s="4471">
        <v>60072</v>
      </c>
      <c r="K73" s="4471"/>
      <c r="L73" s="4468" t="s">
        <v>37</v>
      </c>
      <c r="M73" s="4468"/>
      <c r="N73" s="4468"/>
      <c r="S73" s="4468"/>
      <c r="T73" s="4468"/>
      <c r="U73" s="4468"/>
      <c r="X73" s="4486"/>
    </row>
    <row r="74" spans="1:25" ht="31.5">
      <c r="A74" s="4468" t="s">
        <v>132</v>
      </c>
      <c r="B74" s="4469">
        <v>46038</v>
      </c>
      <c r="C74" s="3160">
        <f t="shared" si="1"/>
        <v>3</v>
      </c>
      <c r="D74" s="4982">
        <v>44</v>
      </c>
      <c r="E74" s="4471" t="s">
        <v>53</v>
      </c>
      <c r="F74" s="4471" t="s">
        <v>48</v>
      </c>
      <c r="G74" s="4471"/>
      <c r="H74" s="4471"/>
      <c r="I74" s="4471">
        <v>707</v>
      </c>
      <c r="J74" s="4471" t="s">
        <v>200</v>
      </c>
      <c r="K74" s="4483" t="s">
        <v>84</v>
      </c>
      <c r="L74" s="4468" t="s">
        <v>37</v>
      </c>
      <c r="M74" s="4468"/>
      <c r="N74" s="4468"/>
      <c r="S74" s="4468"/>
      <c r="T74" s="4468"/>
      <c r="U74" s="4468" t="s">
        <v>30</v>
      </c>
      <c r="X74" s="4486" t="s">
        <v>198</v>
      </c>
    </row>
    <row r="75" spans="1:25" ht="31.5">
      <c r="A75" s="4468" t="s">
        <v>143</v>
      </c>
      <c r="B75" s="4469">
        <v>46039</v>
      </c>
      <c r="C75" s="3160">
        <f t="shared" si="1"/>
        <v>3</v>
      </c>
      <c r="D75" s="4985">
        <v>45</v>
      </c>
      <c r="E75" s="4471" t="s">
        <v>48</v>
      </c>
      <c r="F75" s="4471" t="s">
        <v>79</v>
      </c>
      <c r="G75" s="4471"/>
      <c r="H75" s="4471"/>
      <c r="I75" s="4472">
        <v>705</v>
      </c>
      <c r="J75" s="4472" t="s">
        <v>201</v>
      </c>
      <c r="K75" s="4471"/>
      <c r="L75" s="4468" t="s">
        <v>37</v>
      </c>
      <c r="M75" s="4468"/>
      <c r="N75" s="4468"/>
      <c r="S75" s="4468"/>
      <c r="T75" s="4468"/>
      <c r="U75" s="4468"/>
      <c r="V75" s="3160" t="s">
        <v>37</v>
      </c>
      <c r="X75" s="4486" t="s">
        <v>202</v>
      </c>
    </row>
    <row r="76" spans="1:25" ht="31.5">
      <c r="A76" s="4347" t="s">
        <v>25</v>
      </c>
      <c r="B76" s="4355">
        <v>46041</v>
      </c>
      <c r="C76" s="3165" t="s">
        <v>203</v>
      </c>
      <c r="D76" s="4981">
        <v>46</v>
      </c>
      <c r="E76" s="4286" t="s">
        <v>204</v>
      </c>
      <c r="F76" s="4286" t="s">
        <v>205</v>
      </c>
      <c r="G76" s="4286"/>
      <c r="H76" s="4286"/>
      <c r="I76" s="4162">
        <v>712</v>
      </c>
      <c r="J76" s="4162" t="s">
        <v>206</v>
      </c>
      <c r="K76" s="4347"/>
      <c r="L76" s="4347" t="s">
        <v>37</v>
      </c>
      <c r="M76" s="4347"/>
      <c r="N76" s="4347"/>
      <c r="O76" s="4347"/>
      <c r="S76" s="4347"/>
      <c r="T76" s="4347"/>
      <c r="U76" s="4347"/>
      <c r="V76" s="4347"/>
      <c r="W76" s="4347"/>
      <c r="X76" s="4376"/>
    </row>
    <row r="77" spans="1:25" ht="31.5">
      <c r="A77" s="4347" t="s">
        <v>25</v>
      </c>
      <c r="B77" s="4355">
        <v>46041</v>
      </c>
      <c r="C77" s="3165" t="s">
        <v>203</v>
      </c>
      <c r="D77" s="4981">
        <v>47</v>
      </c>
      <c r="E77" s="4287" t="s">
        <v>207</v>
      </c>
      <c r="F77" s="4287" t="s">
        <v>208</v>
      </c>
      <c r="G77" s="4287"/>
      <c r="H77" s="4287"/>
      <c r="I77" s="4162">
        <v>705</v>
      </c>
      <c r="J77" s="4162" t="s">
        <v>94</v>
      </c>
      <c r="K77" s="4347"/>
      <c r="L77" s="4347" t="s">
        <v>37</v>
      </c>
      <c r="M77" s="4347"/>
      <c r="N77" s="4347"/>
      <c r="O77" s="4347"/>
      <c r="S77" s="4347"/>
      <c r="T77" s="4347"/>
      <c r="U77" s="4347"/>
      <c r="V77" s="4347" t="s">
        <v>37</v>
      </c>
      <c r="W77" s="4347"/>
      <c r="X77" s="4376"/>
    </row>
    <row r="78" spans="1:25" ht="31.5">
      <c r="A78" s="4347" t="s">
        <v>25</v>
      </c>
      <c r="B78" s="4355">
        <v>46041</v>
      </c>
      <c r="C78" s="3165" t="s">
        <v>203</v>
      </c>
      <c r="D78" s="4981">
        <v>48</v>
      </c>
      <c r="E78" s="4244" t="s">
        <v>80</v>
      </c>
      <c r="F78" s="4244" t="s">
        <v>209</v>
      </c>
      <c r="G78" s="4244"/>
      <c r="H78" s="4244"/>
      <c r="I78" s="4162">
        <v>707</v>
      </c>
      <c r="J78" s="4162">
        <v>60015</v>
      </c>
      <c r="K78" s="4347"/>
      <c r="L78" s="4347" t="s">
        <v>37</v>
      </c>
      <c r="M78" s="4347"/>
      <c r="N78" s="4347"/>
      <c r="O78" s="4347"/>
      <c r="S78" s="4347"/>
      <c r="T78" s="4347"/>
      <c r="U78" s="4347"/>
      <c r="V78" s="4347"/>
      <c r="W78" s="4347"/>
      <c r="X78" s="4376"/>
    </row>
    <row r="79" spans="1:25" ht="31.5">
      <c r="A79" s="4347" t="s">
        <v>25</v>
      </c>
      <c r="B79" s="4355">
        <v>46041</v>
      </c>
      <c r="C79" s="3165" t="s">
        <v>203</v>
      </c>
      <c r="D79" s="4981">
        <v>49</v>
      </c>
      <c r="E79" s="4487" t="s">
        <v>79</v>
      </c>
      <c r="F79" s="4487" t="s">
        <v>210</v>
      </c>
      <c r="G79" s="4487"/>
      <c r="H79" s="4487"/>
      <c r="I79" s="4162">
        <v>705</v>
      </c>
      <c r="J79" s="4162" t="s">
        <v>211</v>
      </c>
      <c r="K79" s="4347"/>
      <c r="L79" s="4347" t="s">
        <v>37</v>
      </c>
      <c r="M79" s="4347"/>
      <c r="N79" s="4347"/>
      <c r="O79" s="4347"/>
      <c r="S79" s="4347"/>
      <c r="T79" s="4347"/>
      <c r="U79" s="4347"/>
      <c r="V79" s="4347"/>
      <c r="W79" s="4347"/>
      <c r="X79" s="4376"/>
    </row>
    <row r="80" spans="1:25" ht="52.5">
      <c r="A80" s="4347" t="s">
        <v>25</v>
      </c>
      <c r="B80" s="4355">
        <v>46041</v>
      </c>
      <c r="C80" s="3165" t="s">
        <v>203</v>
      </c>
      <c r="D80" s="4981">
        <v>49</v>
      </c>
      <c r="E80" s="4487" t="s">
        <v>212</v>
      </c>
      <c r="F80" s="4487" t="s">
        <v>195</v>
      </c>
      <c r="G80" s="4487"/>
      <c r="H80" s="4487"/>
      <c r="I80" s="4162">
        <v>705</v>
      </c>
      <c r="J80" s="4162" t="s">
        <v>211</v>
      </c>
      <c r="K80" s="4347"/>
      <c r="L80" s="4347"/>
      <c r="M80" s="4347" t="s">
        <v>37</v>
      </c>
      <c r="N80" s="4347"/>
      <c r="O80" s="4347"/>
      <c r="P80" s="360" t="s">
        <v>109</v>
      </c>
      <c r="Q80" s="360" t="s">
        <v>213</v>
      </c>
      <c r="R80" s="360" t="s">
        <v>160</v>
      </c>
      <c r="S80" s="4347"/>
      <c r="T80" s="4347"/>
      <c r="U80" s="4347"/>
      <c r="V80" s="4347"/>
      <c r="W80" s="4347" t="s">
        <v>30</v>
      </c>
      <c r="X80" s="4376" t="s">
        <v>214</v>
      </c>
      <c r="Y80" s="3166" t="s">
        <v>215</v>
      </c>
    </row>
    <row r="81" spans="1:25" ht="31.5">
      <c r="A81" s="4347" t="s">
        <v>67</v>
      </c>
      <c r="B81" s="4355">
        <v>46042</v>
      </c>
      <c r="C81" s="3165" t="s">
        <v>203</v>
      </c>
      <c r="D81" s="4981">
        <v>46</v>
      </c>
      <c r="E81" s="4286" t="s">
        <v>216</v>
      </c>
      <c r="F81" s="4286" t="s">
        <v>217</v>
      </c>
      <c r="G81" s="4286"/>
      <c r="H81" s="4286"/>
      <c r="I81" s="4162">
        <v>712</v>
      </c>
      <c r="J81" s="4162" t="s">
        <v>218</v>
      </c>
      <c r="K81" s="4162"/>
      <c r="L81" s="4347" t="s">
        <v>37</v>
      </c>
      <c r="M81" s="4347"/>
      <c r="N81" s="4347"/>
      <c r="O81" s="4347"/>
      <c r="S81" s="4347"/>
      <c r="T81" s="4347"/>
      <c r="U81" s="4347"/>
      <c r="V81" s="4347"/>
      <c r="W81" s="4347"/>
      <c r="X81" s="4376"/>
    </row>
    <row r="82" spans="1:25" ht="31.5">
      <c r="A82" s="4347" t="s">
        <v>67</v>
      </c>
      <c r="B82" s="4355">
        <v>46042</v>
      </c>
      <c r="C82" s="3165" t="s">
        <v>203</v>
      </c>
      <c r="D82" s="4981">
        <v>47</v>
      </c>
      <c r="E82" s="4287" t="s">
        <v>219</v>
      </c>
      <c r="F82" s="4287" t="s">
        <v>195</v>
      </c>
      <c r="G82" s="4287"/>
      <c r="H82" s="4287"/>
      <c r="I82" s="4162">
        <v>705</v>
      </c>
      <c r="J82" s="4162" t="s">
        <v>94</v>
      </c>
      <c r="K82" s="4347"/>
      <c r="L82" s="4347" t="s">
        <v>37</v>
      </c>
      <c r="M82" s="4347"/>
      <c r="N82" s="4347"/>
      <c r="O82" s="4347"/>
      <c r="S82" s="4347"/>
      <c r="T82" s="4347"/>
      <c r="U82" s="4347"/>
      <c r="V82" s="4347"/>
      <c r="W82" s="4347"/>
      <c r="X82" s="4376"/>
    </row>
    <row r="83" spans="1:25" ht="31.5">
      <c r="A83" s="4347" t="s">
        <v>67</v>
      </c>
      <c r="B83" s="4355">
        <v>46042</v>
      </c>
      <c r="C83" s="3165" t="s">
        <v>203</v>
      </c>
      <c r="D83" s="4981">
        <v>48</v>
      </c>
      <c r="E83" s="4244" t="s">
        <v>40</v>
      </c>
      <c r="F83" s="4244" t="s">
        <v>220</v>
      </c>
      <c r="G83" s="4244"/>
      <c r="H83" s="4244"/>
      <c r="I83" s="4162">
        <v>707</v>
      </c>
      <c r="J83" s="4162" t="s">
        <v>221</v>
      </c>
      <c r="K83" s="4347"/>
      <c r="L83" s="4347" t="s">
        <v>37</v>
      </c>
      <c r="M83" s="4347"/>
      <c r="N83" s="4347"/>
      <c r="O83" s="4347"/>
      <c r="S83" s="4347"/>
      <c r="T83" s="4347"/>
      <c r="U83" s="4347"/>
      <c r="V83" s="4347"/>
      <c r="W83" s="4347"/>
      <c r="X83" s="4376"/>
    </row>
    <row r="84" spans="1:25" ht="31.5">
      <c r="A84" s="4347" t="s">
        <v>85</v>
      </c>
      <c r="B84" s="4355">
        <v>46043</v>
      </c>
      <c r="C84" s="3165" t="s">
        <v>203</v>
      </c>
      <c r="D84" s="4981">
        <v>48</v>
      </c>
      <c r="E84" s="4244" t="s">
        <v>40</v>
      </c>
      <c r="F84" s="4244" t="s">
        <v>222</v>
      </c>
      <c r="G84" s="4244"/>
      <c r="H84" s="4244"/>
      <c r="I84" s="4162">
        <v>707</v>
      </c>
      <c r="J84" s="4162" t="s">
        <v>221</v>
      </c>
      <c r="K84" s="4162"/>
      <c r="L84" s="4347" t="s">
        <v>37</v>
      </c>
      <c r="M84" s="4347"/>
      <c r="N84" s="4347"/>
      <c r="O84" s="4347"/>
      <c r="S84" s="4347"/>
      <c r="T84" s="4347"/>
      <c r="U84" s="4347"/>
      <c r="V84" s="4347"/>
      <c r="W84" s="4347"/>
      <c r="X84" s="4376"/>
    </row>
    <row r="85" spans="1:25" ht="31.5">
      <c r="A85" s="4347" t="s">
        <v>85</v>
      </c>
      <c r="B85" s="4355">
        <v>46043</v>
      </c>
      <c r="C85" s="3165" t="s">
        <v>203</v>
      </c>
      <c r="D85" s="4981">
        <v>50</v>
      </c>
      <c r="E85" s="4312" t="s">
        <v>194</v>
      </c>
      <c r="F85" s="4312" t="s">
        <v>223</v>
      </c>
      <c r="G85" s="4312"/>
      <c r="H85" s="4312"/>
      <c r="I85" s="4162">
        <v>705</v>
      </c>
      <c r="J85" s="4162">
        <v>60000</v>
      </c>
      <c r="K85" s="4162"/>
      <c r="L85" s="4347" t="s">
        <v>37</v>
      </c>
      <c r="M85" s="4347"/>
      <c r="N85" s="4347"/>
      <c r="O85" s="4347"/>
      <c r="S85" s="4347"/>
      <c r="T85" s="4347"/>
      <c r="U85" s="4347"/>
      <c r="V85" s="4347"/>
      <c r="W85" s="4347"/>
      <c r="X85" s="4376"/>
    </row>
    <row r="86" spans="1:25" ht="31.5">
      <c r="A86" s="4347" t="s">
        <v>85</v>
      </c>
      <c r="B86" s="4355">
        <v>46043</v>
      </c>
      <c r="C86" s="3165" t="s">
        <v>203</v>
      </c>
      <c r="D86" s="4981">
        <v>50</v>
      </c>
      <c r="E86" s="4312" t="s">
        <v>204</v>
      </c>
      <c r="F86" s="4312" t="s">
        <v>224</v>
      </c>
      <c r="G86" s="4312"/>
      <c r="H86" s="4312"/>
      <c r="I86" s="4162">
        <v>705</v>
      </c>
      <c r="J86" s="4162" t="s">
        <v>225</v>
      </c>
      <c r="K86" s="4162"/>
      <c r="L86" s="4347" t="s">
        <v>37</v>
      </c>
      <c r="M86" s="4347"/>
      <c r="N86" s="4347"/>
      <c r="O86" s="4347"/>
      <c r="S86" s="4347"/>
      <c r="T86" s="4347"/>
      <c r="U86" s="4347"/>
      <c r="V86" s="4347"/>
      <c r="W86" s="4347"/>
      <c r="X86" s="4376"/>
    </row>
    <row r="87" spans="1:25" ht="31.5">
      <c r="A87" s="4347" t="s">
        <v>85</v>
      </c>
      <c r="B87" s="4348">
        <v>46043</v>
      </c>
      <c r="C87" s="3165" t="s">
        <v>203</v>
      </c>
      <c r="D87" s="4986">
        <v>51</v>
      </c>
      <c r="E87" s="4240" t="s">
        <v>79</v>
      </c>
      <c r="F87" s="4240" t="s">
        <v>209</v>
      </c>
      <c r="G87" s="4240"/>
      <c r="H87" s="4240"/>
      <c r="I87" s="4162">
        <v>707</v>
      </c>
      <c r="J87" s="4162" t="s">
        <v>226</v>
      </c>
      <c r="K87" s="4347"/>
      <c r="L87" s="4347" t="s">
        <v>37</v>
      </c>
      <c r="M87" s="4347"/>
      <c r="N87" s="4347"/>
      <c r="O87" s="4347"/>
      <c r="S87" s="4347"/>
      <c r="T87" s="4347"/>
      <c r="U87" s="4347" t="s">
        <v>30</v>
      </c>
      <c r="V87" s="4347"/>
      <c r="W87" s="4347"/>
      <c r="X87" s="4376"/>
    </row>
    <row r="88" spans="1:25" ht="31.5">
      <c r="A88" s="4347" t="s">
        <v>85</v>
      </c>
      <c r="B88" s="4355">
        <v>46043</v>
      </c>
      <c r="C88" s="3165" t="s">
        <v>203</v>
      </c>
      <c r="D88" s="4986">
        <v>52</v>
      </c>
      <c r="E88" s="4162" t="s">
        <v>227</v>
      </c>
      <c r="F88" s="4162" t="s">
        <v>79</v>
      </c>
      <c r="G88" s="4162"/>
      <c r="H88" s="4162"/>
      <c r="I88" s="4162">
        <v>705</v>
      </c>
      <c r="J88" s="4162" t="s">
        <v>228</v>
      </c>
      <c r="K88" s="4347"/>
      <c r="L88" s="4347" t="s">
        <v>37</v>
      </c>
      <c r="M88" s="4347"/>
      <c r="N88" s="4347"/>
      <c r="O88" s="4347"/>
      <c r="S88" s="4347"/>
      <c r="T88" s="4347"/>
      <c r="U88" s="4347"/>
      <c r="V88" s="4347"/>
      <c r="W88" s="4347"/>
      <c r="X88" s="4376"/>
    </row>
    <row r="89" spans="1:25" ht="159" customHeight="1">
      <c r="A89" s="4347" t="s">
        <v>85</v>
      </c>
      <c r="B89" s="4355">
        <v>46043</v>
      </c>
      <c r="C89" s="3165" t="s">
        <v>203</v>
      </c>
      <c r="D89" s="4986">
        <v>53</v>
      </c>
      <c r="E89" s="4198" t="s">
        <v>79</v>
      </c>
      <c r="F89" s="4198" t="s">
        <v>229</v>
      </c>
      <c r="G89" s="4198"/>
      <c r="H89" s="4198"/>
      <c r="I89" s="4162">
        <v>705</v>
      </c>
      <c r="J89" s="4162" t="s">
        <v>230</v>
      </c>
      <c r="K89" s="4347"/>
      <c r="L89" s="4347"/>
      <c r="M89" s="4347" t="s">
        <v>37</v>
      </c>
      <c r="N89" s="4347"/>
      <c r="O89" s="4347"/>
      <c r="P89" s="360" t="s">
        <v>231</v>
      </c>
      <c r="Q89" s="360" t="s">
        <v>232</v>
      </c>
      <c r="R89" s="360" t="s">
        <v>160</v>
      </c>
      <c r="S89" s="4347"/>
      <c r="T89" s="4347" t="s">
        <v>37</v>
      </c>
      <c r="U89" s="4347"/>
      <c r="V89" s="4347"/>
      <c r="W89" s="4347"/>
      <c r="X89" s="4376" t="s">
        <v>233</v>
      </c>
      <c r="Y89" s="3166" t="s">
        <v>234</v>
      </c>
    </row>
    <row r="90" spans="1:25" ht="142.5">
      <c r="A90" s="4347" t="s">
        <v>85</v>
      </c>
      <c r="B90" s="4355">
        <v>46044</v>
      </c>
      <c r="C90" s="3165" t="s">
        <v>203</v>
      </c>
      <c r="D90" s="4986">
        <v>54</v>
      </c>
      <c r="E90" s="4162" t="s">
        <v>150</v>
      </c>
      <c r="F90" s="4162" t="s">
        <v>235</v>
      </c>
      <c r="G90" s="4162"/>
      <c r="H90" s="4162"/>
      <c r="I90" s="4162">
        <v>707</v>
      </c>
      <c r="J90" s="4162" t="s">
        <v>151</v>
      </c>
      <c r="K90" s="4347"/>
      <c r="L90" s="4347"/>
      <c r="M90" s="4347" t="s">
        <v>37</v>
      </c>
      <c r="N90" s="4347"/>
      <c r="O90" s="4347"/>
      <c r="P90" s="360" t="s">
        <v>109</v>
      </c>
      <c r="Q90" s="360" t="s">
        <v>213</v>
      </c>
      <c r="R90" s="360" t="s">
        <v>38</v>
      </c>
      <c r="S90" s="4347"/>
      <c r="T90" s="4347"/>
      <c r="U90" s="4347"/>
      <c r="V90" s="4347"/>
      <c r="W90" s="4347" t="s">
        <v>30</v>
      </c>
      <c r="X90" s="4376" t="s">
        <v>236</v>
      </c>
      <c r="Y90" s="3160" t="s">
        <v>237</v>
      </c>
    </row>
    <row r="91" spans="1:25" ht="31.5">
      <c r="A91" s="4347" t="s">
        <v>105</v>
      </c>
      <c r="B91" s="4348">
        <v>46044</v>
      </c>
      <c r="C91" s="3165" t="s">
        <v>203</v>
      </c>
      <c r="D91" s="4986">
        <v>51</v>
      </c>
      <c r="E91" s="4240" t="s">
        <v>169</v>
      </c>
      <c r="F91" s="4240" t="s">
        <v>238</v>
      </c>
      <c r="G91" s="4240"/>
      <c r="H91" s="4240"/>
      <c r="I91" s="4162">
        <v>707</v>
      </c>
      <c r="J91" s="4162" t="s">
        <v>239</v>
      </c>
      <c r="K91" s="4464" t="s">
        <v>84</v>
      </c>
      <c r="L91" s="4347" t="s">
        <v>37</v>
      </c>
      <c r="M91" s="4347"/>
      <c r="N91" s="4347"/>
      <c r="O91" s="4347"/>
      <c r="S91" s="4347"/>
      <c r="T91" s="4347"/>
      <c r="U91" s="4347" t="s">
        <v>30</v>
      </c>
      <c r="V91" s="4347"/>
      <c r="W91" s="4347"/>
      <c r="X91" s="4376"/>
    </row>
    <row r="92" spans="1:25" ht="31.5">
      <c r="A92" s="4347" t="s">
        <v>105</v>
      </c>
      <c r="B92" s="4355">
        <v>46044</v>
      </c>
      <c r="C92" s="3165" t="s">
        <v>203</v>
      </c>
      <c r="D92" s="4986">
        <v>51</v>
      </c>
      <c r="E92" s="4240" t="s">
        <v>204</v>
      </c>
      <c r="F92" s="4240" t="s">
        <v>240</v>
      </c>
      <c r="G92" s="4240"/>
      <c r="H92" s="4240"/>
      <c r="I92" s="4162">
        <v>707</v>
      </c>
      <c r="J92" s="4162" t="s">
        <v>226</v>
      </c>
      <c r="K92" s="4464" t="s">
        <v>84</v>
      </c>
      <c r="L92" s="4347" t="s">
        <v>37</v>
      </c>
      <c r="M92" s="4347"/>
      <c r="N92" s="4347"/>
      <c r="O92" s="4347"/>
      <c r="S92" s="4347"/>
      <c r="T92" s="4347"/>
      <c r="U92" s="4347"/>
      <c r="V92" s="4347"/>
      <c r="W92" s="4347"/>
      <c r="X92" s="4376"/>
    </row>
    <row r="93" spans="1:25" ht="31.5">
      <c r="A93" s="4347" t="s">
        <v>105</v>
      </c>
      <c r="B93" s="4355">
        <v>46044</v>
      </c>
      <c r="C93" s="3165" t="s">
        <v>203</v>
      </c>
      <c r="D93" s="4981">
        <v>53</v>
      </c>
      <c r="E93" s="4198" t="s">
        <v>156</v>
      </c>
      <c r="F93" s="4198" t="s">
        <v>241</v>
      </c>
      <c r="G93" s="4198"/>
      <c r="H93" s="4198"/>
      <c r="I93" s="4162">
        <v>705</v>
      </c>
      <c r="J93" s="4162" t="s">
        <v>242</v>
      </c>
      <c r="K93" s="4347"/>
      <c r="L93" s="4347" t="s">
        <v>37</v>
      </c>
      <c r="M93" s="4347"/>
      <c r="N93" s="4347"/>
      <c r="O93" s="4347"/>
      <c r="S93" s="4347"/>
      <c r="T93" s="4347" t="s">
        <v>37</v>
      </c>
      <c r="U93" s="4347"/>
      <c r="V93" s="4347"/>
      <c r="W93" s="4347"/>
      <c r="X93" s="4376"/>
    </row>
    <row r="94" spans="1:25" ht="31.5">
      <c r="A94" s="4347" t="s">
        <v>105</v>
      </c>
      <c r="B94" s="4355">
        <v>46044</v>
      </c>
      <c r="C94" s="3165" t="s">
        <v>203</v>
      </c>
      <c r="D94" s="4981">
        <v>55</v>
      </c>
      <c r="E94" s="4162" t="s">
        <v>243</v>
      </c>
      <c r="F94" s="4162" t="s">
        <v>244</v>
      </c>
      <c r="G94" s="4162"/>
      <c r="H94" s="4162"/>
      <c r="I94" s="4162">
        <v>707</v>
      </c>
      <c r="J94" s="4162" t="s">
        <v>245</v>
      </c>
      <c r="K94" s="4347"/>
      <c r="L94" s="4347" t="s">
        <v>37</v>
      </c>
      <c r="M94" s="4347"/>
      <c r="N94" s="4347"/>
      <c r="O94" s="4347"/>
      <c r="S94" s="4347"/>
      <c r="T94" s="4347"/>
      <c r="U94" s="4347"/>
      <c r="V94" s="4347"/>
      <c r="W94" s="4347"/>
      <c r="X94" s="4376"/>
    </row>
    <row r="95" spans="1:25" ht="31.5">
      <c r="A95" s="4347" t="s">
        <v>105</v>
      </c>
      <c r="B95" s="4355">
        <v>46044</v>
      </c>
      <c r="C95" s="3165" t="s">
        <v>203</v>
      </c>
      <c r="D95" s="4981">
        <v>56</v>
      </c>
      <c r="E95" s="4162" t="s">
        <v>68</v>
      </c>
      <c r="F95" s="4162" t="s">
        <v>40</v>
      </c>
      <c r="G95" s="4162"/>
      <c r="H95" s="4162"/>
      <c r="I95" s="4162">
        <v>712</v>
      </c>
      <c r="J95" s="4162" t="s">
        <v>246</v>
      </c>
      <c r="K95" s="4347"/>
      <c r="L95" s="4347" t="s">
        <v>37</v>
      </c>
      <c r="M95" s="4347"/>
      <c r="N95" s="4347"/>
      <c r="O95" s="4347"/>
      <c r="S95" s="4347"/>
      <c r="T95" s="4347"/>
      <c r="U95" s="4347"/>
      <c r="V95" s="4347"/>
      <c r="W95" s="4347"/>
      <c r="X95" s="4376"/>
    </row>
    <row r="96" spans="1:25" ht="31.5">
      <c r="A96" s="4347" t="s">
        <v>105</v>
      </c>
      <c r="B96" s="4355">
        <v>46044</v>
      </c>
      <c r="C96" s="3165" t="s">
        <v>203</v>
      </c>
      <c r="D96" s="4981">
        <v>57</v>
      </c>
      <c r="E96" s="4488" t="s">
        <v>48</v>
      </c>
      <c r="F96" s="4488" t="s">
        <v>56</v>
      </c>
      <c r="G96" s="4488"/>
      <c r="H96" s="4488"/>
      <c r="I96" s="4162">
        <v>705</v>
      </c>
      <c r="J96" s="4162" t="s">
        <v>247</v>
      </c>
      <c r="K96" s="4464" t="s">
        <v>174</v>
      </c>
      <c r="L96" s="4347" t="s">
        <v>37</v>
      </c>
      <c r="M96" s="4347"/>
      <c r="N96" s="4347"/>
      <c r="O96" s="4347"/>
      <c r="S96" s="4347"/>
      <c r="T96" s="4347"/>
      <c r="U96" s="4347"/>
      <c r="V96" s="4347"/>
      <c r="W96" s="4347"/>
      <c r="X96" s="4376"/>
    </row>
    <row r="97" spans="1:25" ht="31.5">
      <c r="A97" s="4347" t="s">
        <v>105</v>
      </c>
      <c r="B97" s="4355">
        <v>46044</v>
      </c>
      <c r="C97" s="3165" t="s">
        <v>203</v>
      </c>
      <c r="D97" s="4981">
        <v>57</v>
      </c>
      <c r="E97" s="4488" t="s">
        <v>79</v>
      </c>
      <c r="F97" s="4488" t="s">
        <v>142</v>
      </c>
      <c r="G97" s="4488"/>
      <c r="H97" s="4488"/>
      <c r="I97" s="4162">
        <v>705</v>
      </c>
      <c r="J97" s="4162" t="s">
        <v>248</v>
      </c>
      <c r="K97" s="4347"/>
      <c r="L97" s="4347" t="s">
        <v>37</v>
      </c>
      <c r="M97" s="4347"/>
      <c r="N97" s="4347"/>
      <c r="O97" s="4347"/>
      <c r="S97" s="4347"/>
      <c r="T97" s="4347"/>
      <c r="U97" s="4347"/>
      <c r="V97" s="4347"/>
      <c r="W97" s="4347"/>
      <c r="X97" s="4376"/>
    </row>
    <row r="98" spans="1:25" ht="31.5">
      <c r="A98" s="4347" t="s">
        <v>132</v>
      </c>
      <c r="B98" s="4355">
        <v>46045</v>
      </c>
      <c r="C98" s="3165" t="s">
        <v>203</v>
      </c>
      <c r="D98" s="4981">
        <v>53</v>
      </c>
      <c r="E98" s="4198" t="s">
        <v>249</v>
      </c>
      <c r="F98" s="4198" t="s">
        <v>250</v>
      </c>
      <c r="G98" s="4198"/>
      <c r="H98" s="4198"/>
      <c r="I98" s="4162">
        <v>705</v>
      </c>
      <c r="J98" s="4162" t="s">
        <v>251</v>
      </c>
      <c r="K98" s="4347"/>
      <c r="L98" s="3160" t="s">
        <v>37</v>
      </c>
      <c r="M98" s="4347"/>
      <c r="N98" s="4347"/>
      <c r="O98" s="4347"/>
      <c r="S98" s="4347"/>
      <c r="T98" s="4347"/>
      <c r="U98" s="4347"/>
      <c r="V98" s="4347" t="s">
        <v>37</v>
      </c>
      <c r="W98" s="4347"/>
      <c r="X98" s="4376"/>
    </row>
    <row r="99" spans="1:25" ht="31.5">
      <c r="A99" s="4347" t="s">
        <v>132</v>
      </c>
      <c r="B99" s="4355">
        <v>46045</v>
      </c>
      <c r="C99" s="3165" t="s">
        <v>203</v>
      </c>
      <c r="D99" s="4986">
        <v>53</v>
      </c>
      <c r="E99" s="4198" t="s">
        <v>252</v>
      </c>
      <c r="F99" s="4198" t="s">
        <v>253</v>
      </c>
      <c r="G99" s="4198"/>
      <c r="H99" s="4198"/>
      <c r="I99" s="4162">
        <v>705</v>
      </c>
      <c r="J99" s="4162" t="s">
        <v>251</v>
      </c>
      <c r="K99" s="4347"/>
      <c r="L99" s="4347" t="s">
        <v>37</v>
      </c>
      <c r="M99" s="4347"/>
      <c r="N99" s="4347"/>
      <c r="O99" s="4347"/>
      <c r="S99" s="4347"/>
      <c r="T99" s="4347"/>
      <c r="U99" s="4347"/>
      <c r="V99" s="4347" t="s">
        <v>37</v>
      </c>
      <c r="W99" s="4347"/>
      <c r="X99" s="4376"/>
    </row>
    <row r="100" spans="1:25" ht="57">
      <c r="A100" s="4347" t="s">
        <v>132</v>
      </c>
      <c r="B100" s="4355">
        <v>46045</v>
      </c>
      <c r="C100" s="3165" t="s">
        <v>203</v>
      </c>
      <c r="D100" s="4981">
        <v>50</v>
      </c>
      <c r="E100" s="4312" t="s">
        <v>95</v>
      </c>
      <c r="F100" s="4312" t="s">
        <v>254</v>
      </c>
      <c r="G100" s="4312"/>
      <c r="H100" s="4312"/>
      <c r="I100" s="4162">
        <v>705</v>
      </c>
      <c r="J100" s="4162" t="s">
        <v>225</v>
      </c>
      <c r="K100" s="4347"/>
      <c r="L100" s="4347"/>
      <c r="M100" s="4347" t="s">
        <v>37</v>
      </c>
      <c r="N100" s="4347"/>
      <c r="O100" s="4347"/>
      <c r="P100" s="360" t="s">
        <v>109</v>
      </c>
      <c r="Q100" s="360" t="s">
        <v>255</v>
      </c>
      <c r="R100" s="360" t="s">
        <v>160</v>
      </c>
      <c r="S100" s="4347"/>
      <c r="T100" s="4347"/>
      <c r="U100" s="4347"/>
      <c r="V100" s="4347"/>
      <c r="W100" s="4347"/>
      <c r="X100" s="4376" t="s">
        <v>256</v>
      </c>
      <c r="Y100" s="3160" t="s">
        <v>257</v>
      </c>
    </row>
    <row r="101" spans="1:25" ht="31.5">
      <c r="A101" s="4347" t="s">
        <v>132</v>
      </c>
      <c r="B101" s="4355">
        <v>46045</v>
      </c>
      <c r="C101" s="3165" t="s">
        <v>203</v>
      </c>
      <c r="D101" s="4981">
        <v>58</v>
      </c>
      <c r="E101" s="4162" t="s">
        <v>79</v>
      </c>
      <c r="F101" s="4162" t="s">
        <v>258</v>
      </c>
      <c r="G101" s="4162"/>
      <c r="H101" s="4162"/>
      <c r="I101" s="4162">
        <v>705</v>
      </c>
      <c r="J101" s="4162" t="s">
        <v>259</v>
      </c>
      <c r="K101" s="4347"/>
      <c r="L101" s="4347" t="s">
        <v>37</v>
      </c>
      <c r="M101" s="4347"/>
      <c r="N101" s="4347"/>
      <c r="O101" s="4347"/>
      <c r="S101" s="4347"/>
      <c r="T101" s="4347"/>
      <c r="U101" s="4347"/>
      <c r="V101" s="4347" t="s">
        <v>37</v>
      </c>
      <c r="W101" s="4347"/>
      <c r="X101" s="4376"/>
    </row>
    <row r="102" spans="1:25" ht="31.5">
      <c r="A102" s="4347" t="s">
        <v>132</v>
      </c>
      <c r="B102" s="4355">
        <v>46045</v>
      </c>
      <c r="C102" s="3165" t="s">
        <v>203</v>
      </c>
      <c r="D102" s="4981">
        <v>59</v>
      </c>
      <c r="E102" s="4162" t="s">
        <v>48</v>
      </c>
      <c r="F102" s="4162" t="s">
        <v>258</v>
      </c>
      <c r="G102" s="4162"/>
      <c r="H102" s="4162"/>
      <c r="I102" s="4162">
        <v>707</v>
      </c>
      <c r="J102" s="4162" t="s">
        <v>260</v>
      </c>
      <c r="K102" s="4347"/>
      <c r="L102" s="4347" t="s">
        <v>37</v>
      </c>
      <c r="M102" s="4347"/>
      <c r="N102" s="4347"/>
      <c r="O102" s="4347"/>
      <c r="S102" s="4347"/>
      <c r="T102" s="4347"/>
      <c r="U102" s="4347"/>
      <c r="V102" s="4347"/>
      <c r="W102" s="4347"/>
      <c r="X102" s="4376"/>
    </row>
    <row r="103" spans="1:25" ht="31.5">
      <c r="A103" s="4347" t="s">
        <v>132</v>
      </c>
      <c r="B103" s="4355">
        <v>46045</v>
      </c>
      <c r="C103" s="3165" t="s">
        <v>203</v>
      </c>
      <c r="D103" s="4981">
        <v>60</v>
      </c>
      <c r="E103" s="4488" t="s">
        <v>48</v>
      </c>
      <c r="F103" s="4488" t="s">
        <v>56</v>
      </c>
      <c r="G103" s="4488"/>
      <c r="H103" s="4488"/>
      <c r="I103" s="4162">
        <v>705</v>
      </c>
      <c r="J103" s="4162" t="s">
        <v>247</v>
      </c>
      <c r="K103" s="4464" t="s">
        <v>174</v>
      </c>
      <c r="L103" s="4347" t="s">
        <v>37</v>
      </c>
      <c r="M103" s="4347"/>
      <c r="N103" s="4347"/>
      <c r="O103" s="4347"/>
      <c r="S103" s="4347"/>
      <c r="T103" s="4347"/>
      <c r="U103" s="4347"/>
      <c r="V103" s="4347"/>
      <c r="W103" s="4347"/>
      <c r="X103" s="4376"/>
    </row>
    <row r="104" spans="1:25" ht="31.5">
      <c r="A104" s="4347" t="s">
        <v>132</v>
      </c>
      <c r="B104" s="4355">
        <v>46045</v>
      </c>
      <c r="C104" s="3165" t="s">
        <v>203</v>
      </c>
      <c r="D104" s="4981">
        <v>60</v>
      </c>
      <c r="E104" s="4488" t="s">
        <v>79</v>
      </c>
      <c r="F104" s="4488" t="s">
        <v>142</v>
      </c>
      <c r="G104" s="4488"/>
      <c r="H104" s="4488"/>
      <c r="I104" s="4162">
        <v>705</v>
      </c>
      <c r="J104" s="4162" t="s">
        <v>247</v>
      </c>
      <c r="K104" s="4347"/>
      <c r="L104" s="4347" t="s">
        <v>37</v>
      </c>
      <c r="M104" s="4347"/>
      <c r="N104" s="4347"/>
      <c r="O104" s="4347"/>
      <c r="S104" s="4347"/>
      <c r="T104" s="4347"/>
      <c r="U104" s="4347"/>
      <c r="V104" s="4347"/>
      <c r="W104" s="4347"/>
      <c r="X104" s="4376"/>
    </row>
    <row r="105" spans="1:25" ht="31.5">
      <c r="A105" s="4347" t="s">
        <v>143</v>
      </c>
      <c r="B105" s="4355">
        <v>46046</v>
      </c>
      <c r="C105" s="3165" t="s">
        <v>203</v>
      </c>
      <c r="D105" s="4981">
        <v>61</v>
      </c>
      <c r="E105" s="4489" t="s">
        <v>40</v>
      </c>
      <c r="F105" s="4489" t="s">
        <v>130</v>
      </c>
      <c r="G105" s="4489"/>
      <c r="H105" s="4489"/>
      <c r="I105" s="4162">
        <v>712</v>
      </c>
      <c r="J105" s="4162" t="s">
        <v>261</v>
      </c>
      <c r="K105" s="4162"/>
      <c r="L105" s="4347" t="s">
        <v>37</v>
      </c>
      <c r="M105" s="4347"/>
      <c r="N105" s="4347"/>
      <c r="O105" s="4347"/>
      <c r="S105" s="4347"/>
      <c r="T105" s="4347"/>
      <c r="U105" s="4347"/>
      <c r="V105" s="4347"/>
      <c r="W105" s="4347"/>
      <c r="X105" s="4376"/>
    </row>
    <row r="106" spans="1:25" ht="31.5">
      <c r="A106" s="4347" t="s">
        <v>25</v>
      </c>
      <c r="B106" s="4355">
        <v>46048</v>
      </c>
      <c r="C106" s="3165" t="s">
        <v>262</v>
      </c>
      <c r="D106" s="4981">
        <v>62</v>
      </c>
      <c r="E106" s="4329" t="s">
        <v>80</v>
      </c>
      <c r="F106" s="4329" t="s">
        <v>263</v>
      </c>
      <c r="G106" s="4329"/>
      <c r="H106" s="4329"/>
      <c r="I106" s="4162">
        <v>707</v>
      </c>
      <c r="J106" s="4162">
        <v>60072</v>
      </c>
      <c r="L106" s="4347" t="s">
        <v>37</v>
      </c>
    </row>
    <row r="107" spans="1:25" ht="31.5">
      <c r="A107" s="4347" t="s">
        <v>25</v>
      </c>
      <c r="B107" s="4355">
        <v>46048</v>
      </c>
      <c r="C107" s="3165" t="s">
        <v>262</v>
      </c>
      <c r="D107" s="4981">
        <v>63</v>
      </c>
      <c r="E107" s="3377" t="s">
        <v>264</v>
      </c>
      <c r="F107" s="3377" t="s">
        <v>265</v>
      </c>
      <c r="G107" s="3377"/>
      <c r="H107" s="3377"/>
      <c r="I107" s="4162">
        <v>705</v>
      </c>
      <c r="J107" s="4162" t="s">
        <v>266</v>
      </c>
      <c r="L107" s="4490" t="s">
        <v>37</v>
      </c>
    </row>
    <row r="108" spans="1:25" ht="31.5">
      <c r="A108" s="4347" t="s">
        <v>25</v>
      </c>
      <c r="B108" s="4355">
        <v>46048</v>
      </c>
      <c r="C108" s="3165" t="s">
        <v>262</v>
      </c>
      <c r="D108" s="4981">
        <v>64</v>
      </c>
      <c r="E108" s="3377" t="s">
        <v>48</v>
      </c>
      <c r="F108" s="3377" t="s">
        <v>163</v>
      </c>
      <c r="G108" s="3377"/>
      <c r="H108" s="3377"/>
      <c r="I108" s="4162">
        <v>705</v>
      </c>
      <c r="J108" s="4162" t="s">
        <v>266</v>
      </c>
      <c r="L108" s="4347" t="s">
        <v>37</v>
      </c>
    </row>
    <row r="109" spans="1:25" ht="31.5">
      <c r="A109" s="4347" t="s">
        <v>25</v>
      </c>
      <c r="B109" s="4355">
        <v>46048</v>
      </c>
      <c r="C109" s="3165" t="s">
        <v>262</v>
      </c>
      <c r="D109" s="4981">
        <v>65</v>
      </c>
      <c r="E109" s="3377" t="s">
        <v>267</v>
      </c>
      <c r="F109" s="3377" t="s">
        <v>268</v>
      </c>
      <c r="G109" s="3377"/>
      <c r="H109" s="3377"/>
      <c r="I109" s="4162">
        <v>707</v>
      </c>
      <c r="J109" s="4162" t="s">
        <v>269</v>
      </c>
      <c r="L109" s="4347" t="s">
        <v>37</v>
      </c>
    </row>
    <row r="110" spans="1:25" ht="31.5">
      <c r="A110" s="4347" t="s">
        <v>25</v>
      </c>
      <c r="B110" s="4355">
        <v>46048</v>
      </c>
      <c r="C110" s="3165" t="s">
        <v>262</v>
      </c>
      <c r="D110" s="4981">
        <v>66</v>
      </c>
      <c r="E110" s="3377" t="s">
        <v>169</v>
      </c>
      <c r="F110" s="3377" t="s">
        <v>270</v>
      </c>
      <c r="G110" s="3377"/>
      <c r="H110" s="3377"/>
      <c r="I110" s="4162">
        <v>712</v>
      </c>
      <c r="J110" s="4162" t="s">
        <v>271</v>
      </c>
      <c r="L110" s="4347" t="s">
        <v>37</v>
      </c>
    </row>
    <row r="111" spans="1:25" ht="31.5">
      <c r="A111" s="4347" t="s">
        <v>67</v>
      </c>
      <c r="B111" s="4355">
        <v>46049</v>
      </c>
      <c r="C111" s="3165" t="s">
        <v>262</v>
      </c>
      <c r="D111" s="4981">
        <v>62</v>
      </c>
      <c r="E111" s="4329" t="s">
        <v>148</v>
      </c>
      <c r="F111" s="4329" t="s">
        <v>238</v>
      </c>
      <c r="G111" s="4329"/>
      <c r="H111" s="4329"/>
      <c r="I111" s="4162">
        <v>707</v>
      </c>
      <c r="J111" s="4162">
        <v>60072</v>
      </c>
      <c r="L111" s="4347" t="s">
        <v>37</v>
      </c>
    </row>
    <row r="112" spans="1:25" ht="31.5">
      <c r="A112" s="4347" t="s">
        <v>67</v>
      </c>
      <c r="B112" s="4355">
        <v>46049</v>
      </c>
      <c r="C112" s="3165" t="s">
        <v>262</v>
      </c>
      <c r="D112" s="4981">
        <v>67</v>
      </c>
      <c r="E112" s="3377" t="s">
        <v>207</v>
      </c>
      <c r="F112" s="3377" t="s">
        <v>272</v>
      </c>
      <c r="G112" s="3377"/>
      <c r="H112" s="3377"/>
      <c r="I112" s="4162">
        <v>707</v>
      </c>
      <c r="J112" s="4162" t="s">
        <v>107</v>
      </c>
      <c r="K112" s="4464" t="s">
        <v>29</v>
      </c>
      <c r="L112" s="4347" t="s">
        <v>37</v>
      </c>
    </row>
    <row r="113" spans="1:24" ht="31.5">
      <c r="A113" s="4347" t="s">
        <v>67</v>
      </c>
      <c r="B113" s="4355">
        <v>46049</v>
      </c>
      <c r="C113" s="3165" t="s">
        <v>262</v>
      </c>
      <c r="D113" s="4981">
        <v>68</v>
      </c>
      <c r="E113" s="3377" t="s">
        <v>273</v>
      </c>
      <c r="F113" s="3377" t="s">
        <v>273</v>
      </c>
      <c r="G113" s="3377"/>
      <c r="H113" s="3377"/>
      <c r="I113" s="4162">
        <v>703</v>
      </c>
      <c r="J113" s="4162" t="s">
        <v>274</v>
      </c>
      <c r="K113" s="3160"/>
      <c r="L113" s="4347" t="s">
        <v>37</v>
      </c>
    </row>
    <row r="114" spans="1:24" ht="31.5">
      <c r="A114" s="4347" t="s">
        <v>85</v>
      </c>
      <c r="B114" s="4355">
        <v>46050</v>
      </c>
      <c r="C114" s="3165" t="s">
        <v>262</v>
      </c>
      <c r="D114" s="4981">
        <v>69</v>
      </c>
      <c r="E114" s="4291" t="s">
        <v>258</v>
      </c>
      <c r="F114" s="4291" t="s">
        <v>275</v>
      </c>
      <c r="G114" s="4291"/>
      <c r="H114" s="4291"/>
      <c r="I114" s="4162">
        <v>707</v>
      </c>
      <c r="J114" s="4162" t="s">
        <v>276</v>
      </c>
      <c r="L114" s="4347" t="s">
        <v>37</v>
      </c>
    </row>
    <row r="115" spans="1:24" ht="31.5">
      <c r="A115" s="4347" t="s">
        <v>85</v>
      </c>
      <c r="B115" s="4355">
        <v>46050</v>
      </c>
      <c r="C115" s="3165" t="s">
        <v>262</v>
      </c>
      <c r="D115" s="4981">
        <v>70</v>
      </c>
      <c r="E115" s="4291" t="s">
        <v>277</v>
      </c>
      <c r="F115" s="4291" t="s">
        <v>268</v>
      </c>
      <c r="G115" s="4291"/>
      <c r="H115" s="4291"/>
      <c r="I115" s="4162">
        <v>707</v>
      </c>
      <c r="J115" s="4162" t="s">
        <v>278</v>
      </c>
      <c r="L115" s="4347" t="s">
        <v>37</v>
      </c>
    </row>
    <row r="116" spans="1:24" ht="31.5">
      <c r="A116" s="4347" t="s">
        <v>85</v>
      </c>
      <c r="B116" s="4355">
        <v>46050</v>
      </c>
      <c r="C116" s="3165" t="s">
        <v>262</v>
      </c>
      <c r="D116" s="4981">
        <v>1244</v>
      </c>
      <c r="E116" s="3377" t="s">
        <v>79</v>
      </c>
      <c r="F116" s="3377" t="s">
        <v>48</v>
      </c>
      <c r="G116" s="3377"/>
      <c r="H116" s="3377"/>
      <c r="I116" s="4162">
        <v>705</v>
      </c>
      <c r="J116" s="4162" t="s">
        <v>279</v>
      </c>
      <c r="L116" s="4347"/>
      <c r="M116" s="4376" t="s">
        <v>37</v>
      </c>
      <c r="P116" s="360" t="s">
        <v>0</v>
      </c>
      <c r="Q116" s="360" t="s">
        <v>31</v>
      </c>
      <c r="R116" s="360" t="s">
        <v>160</v>
      </c>
      <c r="V116" s="3160" t="s">
        <v>37</v>
      </c>
      <c r="X116" s="4376" t="s">
        <v>280</v>
      </c>
    </row>
    <row r="117" spans="1:24" ht="31.5">
      <c r="A117" s="4347" t="s">
        <v>281</v>
      </c>
      <c r="B117" s="4355">
        <v>46050</v>
      </c>
      <c r="C117" s="3165" t="s">
        <v>262</v>
      </c>
      <c r="D117" s="4981">
        <v>72</v>
      </c>
      <c r="E117" s="4491" t="s">
        <v>97</v>
      </c>
      <c r="F117" s="4491" t="s">
        <v>263</v>
      </c>
      <c r="G117" s="4491"/>
      <c r="H117" s="4491"/>
      <c r="I117" s="4162">
        <v>707</v>
      </c>
      <c r="J117" s="4162" t="s">
        <v>149</v>
      </c>
      <c r="L117" s="4347" t="s">
        <v>37</v>
      </c>
    </row>
    <row r="118" spans="1:24" ht="31.5">
      <c r="A118" s="4347" t="s">
        <v>105</v>
      </c>
      <c r="B118" s="4355">
        <v>46051</v>
      </c>
      <c r="C118" s="3165" t="s">
        <v>262</v>
      </c>
      <c r="D118" s="4981">
        <v>69</v>
      </c>
      <c r="E118" s="4291" t="s">
        <v>282</v>
      </c>
      <c r="F118" s="4291" t="s">
        <v>283</v>
      </c>
      <c r="G118" s="4291"/>
      <c r="H118" s="4291"/>
      <c r="I118" s="4162">
        <v>707</v>
      </c>
      <c r="J118" s="4162" t="s">
        <v>276</v>
      </c>
      <c r="L118" s="4347" t="s">
        <v>37</v>
      </c>
    </row>
    <row r="119" spans="1:24" ht="31.5">
      <c r="A119" s="4347" t="s">
        <v>105</v>
      </c>
      <c r="B119" s="4355">
        <v>46051</v>
      </c>
      <c r="C119" s="3165" t="s">
        <v>262</v>
      </c>
      <c r="D119" s="4981">
        <v>1244</v>
      </c>
      <c r="E119" s="3377" t="s">
        <v>48</v>
      </c>
      <c r="F119" s="3377" t="s">
        <v>79</v>
      </c>
      <c r="G119" s="3377"/>
      <c r="H119" s="3377"/>
      <c r="I119" s="4162">
        <v>705</v>
      </c>
      <c r="J119" s="4162" t="s">
        <v>284</v>
      </c>
      <c r="L119" s="4347" t="s">
        <v>37</v>
      </c>
      <c r="U119" s="4347" t="s">
        <v>37</v>
      </c>
    </row>
    <row r="120" spans="1:24" ht="31.5">
      <c r="A120" s="4347" t="s">
        <v>105</v>
      </c>
      <c r="B120" s="4355">
        <v>46051</v>
      </c>
      <c r="C120" s="3165" t="s">
        <v>262</v>
      </c>
      <c r="D120" s="4981">
        <v>1244</v>
      </c>
      <c r="E120" s="3377" t="s">
        <v>48</v>
      </c>
      <c r="F120" s="3377" t="s">
        <v>285</v>
      </c>
      <c r="G120" s="3377"/>
      <c r="H120" s="3377"/>
      <c r="I120" s="4162">
        <v>705</v>
      </c>
      <c r="J120" s="4162" t="s">
        <v>286</v>
      </c>
      <c r="L120" s="4347" t="s">
        <v>37</v>
      </c>
    </row>
    <row r="121" spans="1:24" ht="31.5">
      <c r="A121" s="4347" t="s">
        <v>105</v>
      </c>
      <c r="B121" s="4355">
        <v>46051</v>
      </c>
      <c r="C121" s="3165" t="s">
        <v>262</v>
      </c>
      <c r="D121" s="4981">
        <v>1247</v>
      </c>
      <c r="E121" s="3377" t="s">
        <v>79</v>
      </c>
      <c r="F121" s="3377" t="s">
        <v>285</v>
      </c>
      <c r="G121" s="3377"/>
      <c r="H121" s="3377"/>
      <c r="I121" s="4162">
        <v>705</v>
      </c>
      <c r="J121" s="4162" t="s">
        <v>279</v>
      </c>
      <c r="K121" s="4464" t="s">
        <v>114</v>
      </c>
      <c r="L121" s="4490" t="s">
        <v>37</v>
      </c>
      <c r="U121" s="4671"/>
      <c r="V121" s="3160" t="s">
        <v>37</v>
      </c>
    </row>
    <row r="122" spans="1:24" ht="31.5">
      <c r="A122" s="4347" t="s">
        <v>105</v>
      </c>
      <c r="B122" s="4355">
        <v>46051</v>
      </c>
      <c r="C122" s="3165" t="s">
        <v>262</v>
      </c>
      <c r="D122" s="4981">
        <v>76</v>
      </c>
      <c r="E122" s="4290" t="s">
        <v>258</v>
      </c>
      <c r="F122" s="4290" t="s">
        <v>263</v>
      </c>
      <c r="G122" s="4290"/>
      <c r="H122" s="4290"/>
      <c r="I122" s="4162">
        <v>707</v>
      </c>
      <c r="J122" s="4162" t="s">
        <v>151</v>
      </c>
      <c r="L122" s="4347" t="s">
        <v>37</v>
      </c>
    </row>
    <row r="123" spans="1:24" ht="31.5">
      <c r="A123" s="4347" t="s">
        <v>132</v>
      </c>
      <c r="B123" s="4355">
        <v>46052</v>
      </c>
      <c r="C123" s="3165" t="s">
        <v>262</v>
      </c>
      <c r="D123" s="4981">
        <v>72</v>
      </c>
      <c r="E123" s="4491" t="s">
        <v>148</v>
      </c>
      <c r="F123" s="4491" t="s">
        <v>287</v>
      </c>
      <c r="G123" s="4491"/>
      <c r="H123" s="4491"/>
      <c r="I123" s="4162">
        <v>707</v>
      </c>
      <c r="J123" s="4162" t="s">
        <v>149</v>
      </c>
      <c r="L123" s="4347" t="s">
        <v>37</v>
      </c>
      <c r="U123" s="4347" t="s">
        <v>37</v>
      </c>
    </row>
    <row r="124" spans="1:24" ht="31.5">
      <c r="A124" s="4347" t="s">
        <v>132</v>
      </c>
      <c r="B124" s="4355">
        <v>46052</v>
      </c>
      <c r="C124" s="3165" t="s">
        <v>262</v>
      </c>
      <c r="D124" s="4981">
        <v>76</v>
      </c>
      <c r="E124" s="4290" t="s">
        <v>148</v>
      </c>
      <c r="F124" s="4290" t="s">
        <v>288</v>
      </c>
      <c r="G124" s="4290"/>
      <c r="H124" s="4290"/>
      <c r="I124" s="4162">
        <v>707</v>
      </c>
      <c r="J124" s="4162" t="s">
        <v>151</v>
      </c>
      <c r="L124" s="4347" t="s">
        <v>30</v>
      </c>
    </row>
    <row r="125" spans="1:24" ht="31.5">
      <c r="A125" s="4347" t="s">
        <v>132</v>
      </c>
      <c r="B125" s="4355">
        <v>46052</v>
      </c>
      <c r="C125" s="3165" t="s">
        <v>262</v>
      </c>
      <c r="D125" s="4981">
        <v>77</v>
      </c>
      <c r="E125" s="3377" t="s">
        <v>204</v>
      </c>
      <c r="F125" s="3377" t="s">
        <v>204</v>
      </c>
      <c r="G125" s="3377"/>
      <c r="H125" s="3377"/>
      <c r="I125" s="4162">
        <v>707</v>
      </c>
      <c r="J125" s="4162">
        <v>60086</v>
      </c>
      <c r="L125" s="4347" t="s">
        <v>30</v>
      </c>
      <c r="U125" s="4671"/>
    </row>
    <row r="126" spans="1:24" ht="31.5">
      <c r="A126" s="4347" t="s">
        <v>143</v>
      </c>
      <c r="B126" s="4355">
        <v>46053</v>
      </c>
      <c r="C126" s="3165" t="s">
        <v>262</v>
      </c>
      <c r="D126" s="4981">
        <v>78</v>
      </c>
      <c r="E126" s="4162" t="s">
        <v>79</v>
      </c>
      <c r="F126" s="4162" t="s">
        <v>289</v>
      </c>
      <c r="G126" s="4162"/>
      <c r="H126" s="4162"/>
      <c r="I126" s="4162">
        <v>705</v>
      </c>
      <c r="J126" s="4162" t="s">
        <v>290</v>
      </c>
      <c r="K126" s="4464" t="s">
        <v>114</v>
      </c>
      <c r="L126" s="4347" t="s">
        <v>30</v>
      </c>
    </row>
    <row r="127" spans="1:24" ht="31.5">
      <c r="A127" s="4347" t="s">
        <v>25</v>
      </c>
      <c r="B127" s="4355">
        <v>46055</v>
      </c>
      <c r="C127" s="3165" t="s">
        <v>291</v>
      </c>
      <c r="D127" s="4981">
        <v>79</v>
      </c>
      <c r="E127" s="4162" t="s">
        <v>106</v>
      </c>
      <c r="F127" s="4162" t="s">
        <v>48</v>
      </c>
      <c r="G127" s="4162"/>
      <c r="H127" s="4162"/>
      <c r="I127" s="4162">
        <v>705</v>
      </c>
      <c r="J127" s="4162" t="s">
        <v>292</v>
      </c>
      <c r="K127" s="4464" t="s">
        <v>310</v>
      </c>
      <c r="L127" s="4347" t="s">
        <v>37</v>
      </c>
      <c r="M127" s="4347"/>
      <c r="X127" s="4376"/>
    </row>
    <row r="128" spans="1:24" ht="31.5">
      <c r="A128" s="4347" t="s">
        <v>25</v>
      </c>
      <c r="B128" s="4355">
        <v>46055</v>
      </c>
      <c r="C128" s="3165" t="s">
        <v>291</v>
      </c>
      <c r="D128" s="4981">
        <v>80</v>
      </c>
      <c r="E128" s="4162" t="s">
        <v>293</v>
      </c>
      <c r="F128" s="4162" t="s">
        <v>79</v>
      </c>
      <c r="G128" s="4162"/>
      <c r="H128" s="4162"/>
      <c r="I128" s="4162">
        <v>705</v>
      </c>
      <c r="J128" s="4162" t="s">
        <v>294</v>
      </c>
      <c r="K128" s="4347"/>
      <c r="L128" s="4347" t="s">
        <v>37</v>
      </c>
      <c r="M128" s="4347"/>
      <c r="X128" s="4376"/>
    </row>
    <row r="129" spans="1:25" ht="78.75">
      <c r="A129" s="4347" t="s">
        <v>25</v>
      </c>
      <c r="B129" s="4355">
        <v>46055</v>
      </c>
      <c r="C129" s="3165" t="s">
        <v>291</v>
      </c>
      <c r="D129" s="4981">
        <v>81</v>
      </c>
      <c r="E129" s="4162" t="s">
        <v>295</v>
      </c>
      <c r="F129" s="4162" t="s">
        <v>296</v>
      </c>
      <c r="G129" s="4162"/>
      <c r="H129" s="4162"/>
      <c r="I129" s="4162">
        <v>705</v>
      </c>
      <c r="J129" s="4162" t="s">
        <v>149</v>
      </c>
      <c r="K129" s="4347"/>
      <c r="L129" s="4347" t="s">
        <v>37</v>
      </c>
      <c r="M129" s="4347"/>
      <c r="V129" s="3160" t="s">
        <v>37</v>
      </c>
      <c r="X129" s="4376"/>
      <c r="Y129" s="3166" t="s">
        <v>297</v>
      </c>
    </row>
    <row r="130" spans="1:25" ht="31.5">
      <c r="A130" s="4347" t="s">
        <v>67</v>
      </c>
      <c r="B130" s="4355">
        <v>46056</v>
      </c>
      <c r="C130" s="3165" t="s">
        <v>291</v>
      </c>
      <c r="D130" s="4981">
        <v>82</v>
      </c>
      <c r="E130" s="3377" t="s">
        <v>43</v>
      </c>
      <c r="F130" s="4162" t="s">
        <v>79</v>
      </c>
      <c r="G130" s="4162"/>
      <c r="H130" s="4162"/>
      <c r="I130" s="4162">
        <v>705</v>
      </c>
      <c r="J130" s="4162" t="s">
        <v>298</v>
      </c>
      <c r="K130" s="4162"/>
      <c r="L130" s="4347" t="s">
        <v>37</v>
      </c>
      <c r="M130" s="4347"/>
      <c r="X130" s="4376"/>
    </row>
    <row r="131" spans="1:25" ht="121.5" customHeight="1">
      <c r="A131" s="4347" t="s">
        <v>67</v>
      </c>
      <c r="B131" s="4355">
        <v>46056</v>
      </c>
      <c r="C131" s="3165" t="s">
        <v>291</v>
      </c>
      <c r="D131" s="4981">
        <v>83</v>
      </c>
      <c r="E131" s="3377" t="s">
        <v>48</v>
      </c>
      <c r="F131" s="3377" t="s">
        <v>79</v>
      </c>
      <c r="G131" s="3377"/>
      <c r="H131" s="3377"/>
      <c r="I131" s="4162">
        <v>712</v>
      </c>
      <c r="J131" s="4162" t="s">
        <v>299</v>
      </c>
      <c r="K131" s="4162"/>
      <c r="L131" s="4347"/>
      <c r="M131" s="4347" t="s">
        <v>37</v>
      </c>
      <c r="P131" s="20" t="s">
        <v>109</v>
      </c>
      <c r="Q131" s="21" t="s">
        <v>300</v>
      </c>
      <c r="R131" s="20" t="s">
        <v>38</v>
      </c>
      <c r="X131" s="4376"/>
      <c r="Y131" s="3166" t="s">
        <v>301</v>
      </c>
    </row>
    <row r="132" spans="1:25" ht="31.5">
      <c r="A132" s="4347" t="s">
        <v>85</v>
      </c>
      <c r="B132" s="4355">
        <v>46057</v>
      </c>
      <c r="C132" s="3165" t="s">
        <v>291</v>
      </c>
      <c r="D132" s="4981">
        <v>84</v>
      </c>
      <c r="E132" s="3377" t="s">
        <v>48</v>
      </c>
      <c r="F132" s="3377" t="s">
        <v>79</v>
      </c>
      <c r="G132" s="3377"/>
      <c r="H132" s="3377"/>
      <c r="I132" s="4162">
        <v>705</v>
      </c>
      <c r="J132" s="4162" t="s">
        <v>302</v>
      </c>
      <c r="K132" s="4464" t="s">
        <v>303</v>
      </c>
      <c r="L132" s="4347" t="s">
        <v>37</v>
      </c>
      <c r="M132" s="4347"/>
      <c r="V132" s="3160" t="s">
        <v>37</v>
      </c>
      <c r="X132" s="4376"/>
    </row>
    <row r="133" spans="1:25" ht="31.5">
      <c r="A133" s="4347" t="s">
        <v>85</v>
      </c>
      <c r="B133" s="4355">
        <v>46057</v>
      </c>
      <c r="C133" s="3165" t="s">
        <v>291</v>
      </c>
      <c r="D133" s="4981">
        <v>85</v>
      </c>
      <c r="E133" s="4162" t="s">
        <v>79</v>
      </c>
      <c r="F133" s="4162" t="s">
        <v>304</v>
      </c>
      <c r="G133" s="4162"/>
      <c r="H133" s="4162"/>
      <c r="I133" s="4162">
        <v>712</v>
      </c>
      <c r="J133" s="4162" t="s">
        <v>261</v>
      </c>
      <c r="K133" s="4162"/>
      <c r="L133" s="4347" t="s">
        <v>37</v>
      </c>
      <c r="M133" s="4347"/>
      <c r="X133" s="4376"/>
    </row>
    <row r="134" spans="1:25" ht="31.5">
      <c r="A134" s="4347" t="s">
        <v>105</v>
      </c>
      <c r="B134" s="4355">
        <v>46058</v>
      </c>
      <c r="C134" s="3165" t="s">
        <v>291</v>
      </c>
      <c r="D134" s="4981">
        <v>86</v>
      </c>
      <c r="E134" s="3377" t="s">
        <v>305</v>
      </c>
      <c r="F134" s="4162" t="s">
        <v>306</v>
      </c>
      <c r="G134" s="4162"/>
      <c r="H134" s="4162"/>
      <c r="I134" s="4162">
        <v>712</v>
      </c>
      <c r="J134" s="4162" t="s">
        <v>307</v>
      </c>
      <c r="K134" s="4162"/>
      <c r="L134" s="4347" t="s">
        <v>37</v>
      </c>
      <c r="M134" s="4347"/>
      <c r="X134" s="4376"/>
    </row>
    <row r="135" spans="1:25" ht="88.35" customHeight="1">
      <c r="A135" s="4347" t="s">
        <v>105</v>
      </c>
      <c r="B135" s="4355">
        <v>46058</v>
      </c>
      <c r="C135" s="3165" t="s">
        <v>291</v>
      </c>
      <c r="D135" s="4981">
        <v>87</v>
      </c>
      <c r="E135" s="3377" t="s">
        <v>79</v>
      </c>
      <c r="F135" s="4162" t="s">
        <v>308</v>
      </c>
      <c r="G135" s="4162"/>
      <c r="H135" s="4162"/>
      <c r="I135" s="4162">
        <v>705</v>
      </c>
      <c r="J135" s="4162" t="s">
        <v>309</v>
      </c>
      <c r="K135" s="4464" t="s">
        <v>310</v>
      </c>
      <c r="L135" s="4347"/>
      <c r="M135" s="4347" t="s">
        <v>37</v>
      </c>
      <c r="P135" s="20" t="s">
        <v>0</v>
      </c>
      <c r="Q135" s="20" t="s">
        <v>187</v>
      </c>
      <c r="R135" s="20" t="s">
        <v>160</v>
      </c>
      <c r="X135" s="4376" t="s">
        <v>311</v>
      </c>
    </row>
    <row r="136" spans="1:25" ht="31.5">
      <c r="A136" s="4347" t="s">
        <v>132</v>
      </c>
      <c r="B136" s="4355">
        <v>46059</v>
      </c>
      <c r="C136" s="3165" t="s">
        <v>291</v>
      </c>
      <c r="D136" s="4981">
        <v>88</v>
      </c>
      <c r="E136" s="4287" t="s">
        <v>312</v>
      </c>
      <c r="F136" s="4287" t="s">
        <v>113</v>
      </c>
      <c r="G136" s="4287"/>
      <c r="H136" s="4287"/>
      <c r="I136" s="4162">
        <v>712</v>
      </c>
      <c r="J136" s="4162" t="s">
        <v>99</v>
      </c>
      <c r="K136" s="4162"/>
      <c r="L136" s="4368" t="s">
        <v>37</v>
      </c>
      <c r="M136" s="4368"/>
      <c r="X136" s="4975"/>
    </row>
    <row r="137" spans="1:25" ht="31.5">
      <c r="A137" s="4347" t="s">
        <v>132</v>
      </c>
      <c r="B137" s="4355">
        <v>46059</v>
      </c>
      <c r="C137" s="3165" t="s">
        <v>291</v>
      </c>
      <c r="D137" s="4981">
        <v>89</v>
      </c>
      <c r="E137" s="4244" t="s">
        <v>204</v>
      </c>
      <c r="F137" s="4244" t="s">
        <v>313</v>
      </c>
      <c r="G137" s="4244"/>
      <c r="H137" s="4244"/>
      <c r="I137" s="4162">
        <v>707</v>
      </c>
      <c r="J137" s="4162">
        <v>60086</v>
      </c>
      <c r="K137" s="4162"/>
      <c r="L137" s="4368" t="s">
        <v>37</v>
      </c>
      <c r="M137" s="4368"/>
      <c r="X137" s="4975"/>
    </row>
    <row r="138" spans="1:25" ht="31.5">
      <c r="A138" s="4347" t="s">
        <v>132</v>
      </c>
      <c r="B138" s="4355">
        <v>46059</v>
      </c>
      <c r="C138" s="3165" t="s">
        <v>291</v>
      </c>
      <c r="D138" s="4981">
        <v>89</v>
      </c>
      <c r="E138" s="4244" t="s">
        <v>272</v>
      </c>
      <c r="F138" s="4244" t="s">
        <v>314</v>
      </c>
      <c r="G138" s="4244"/>
      <c r="H138" s="4244"/>
      <c r="I138" s="4162">
        <v>707</v>
      </c>
      <c r="J138" s="4162" t="s">
        <v>315</v>
      </c>
      <c r="K138" s="4162"/>
      <c r="L138" s="4368" t="s">
        <v>37</v>
      </c>
      <c r="M138" s="4368"/>
      <c r="X138" s="4975"/>
    </row>
    <row r="139" spans="1:25" ht="31.5">
      <c r="A139" s="4347" t="s">
        <v>132</v>
      </c>
      <c r="B139" s="4355">
        <v>46059</v>
      </c>
      <c r="C139" s="3165" t="s">
        <v>291</v>
      </c>
      <c r="D139" s="4981">
        <v>89</v>
      </c>
      <c r="E139" s="4244" t="s">
        <v>204</v>
      </c>
      <c r="F139" s="4244" t="s">
        <v>316</v>
      </c>
      <c r="G139" s="4244"/>
      <c r="H139" s="4244"/>
      <c r="I139" s="4162">
        <v>707</v>
      </c>
      <c r="J139" s="4162" t="s">
        <v>317</v>
      </c>
      <c r="K139" s="4162"/>
      <c r="L139" s="4368" t="s">
        <v>37</v>
      </c>
      <c r="M139" s="4368"/>
      <c r="X139" s="4975"/>
    </row>
    <row r="140" spans="1:25" ht="31.5">
      <c r="A140" s="4347" t="s">
        <v>132</v>
      </c>
      <c r="B140" s="4355">
        <v>46059</v>
      </c>
      <c r="C140" s="3165" t="s">
        <v>291</v>
      </c>
      <c r="D140" s="4981">
        <v>90</v>
      </c>
      <c r="E140" s="4162" t="s">
        <v>273</v>
      </c>
      <c r="F140" s="4162" t="s">
        <v>79</v>
      </c>
      <c r="G140" s="4162"/>
      <c r="H140" s="4162"/>
      <c r="I140" s="4162">
        <v>705</v>
      </c>
      <c r="J140" s="4162" t="s">
        <v>318</v>
      </c>
      <c r="K140" s="4162"/>
      <c r="L140" s="4368"/>
      <c r="M140" s="4368" t="s">
        <v>37</v>
      </c>
      <c r="P140" s="20" t="s">
        <v>0</v>
      </c>
      <c r="Q140" s="20" t="s">
        <v>187</v>
      </c>
      <c r="R140" s="20" t="s">
        <v>160</v>
      </c>
      <c r="X140" s="4975" t="s">
        <v>319</v>
      </c>
    </row>
    <row r="141" spans="1:25" ht="31.5">
      <c r="A141" s="4347" t="s">
        <v>132</v>
      </c>
      <c r="B141" s="4355">
        <v>46059</v>
      </c>
      <c r="C141" s="3165" t="s">
        <v>291</v>
      </c>
      <c r="D141" s="4981">
        <v>91</v>
      </c>
      <c r="E141" s="4162" t="s">
        <v>304</v>
      </c>
      <c r="F141" s="4162" t="s">
        <v>79</v>
      </c>
      <c r="G141" s="4162"/>
      <c r="H141" s="4162"/>
      <c r="I141" s="4162">
        <v>712</v>
      </c>
      <c r="J141" s="4162" t="s">
        <v>261</v>
      </c>
      <c r="K141" s="4464" t="s">
        <v>320</v>
      </c>
      <c r="L141" s="4368" t="s">
        <v>37</v>
      </c>
      <c r="M141" s="4368"/>
      <c r="X141" s="4975"/>
    </row>
    <row r="142" spans="1:25" ht="31.5">
      <c r="A142" s="4347" t="s">
        <v>143</v>
      </c>
      <c r="B142" s="4355">
        <v>46060</v>
      </c>
      <c r="C142" s="3165" t="s">
        <v>291</v>
      </c>
      <c r="D142" s="4981">
        <v>88</v>
      </c>
      <c r="E142" s="4287" t="s">
        <v>204</v>
      </c>
      <c r="F142" s="4287" t="s">
        <v>116</v>
      </c>
      <c r="G142" s="4287"/>
      <c r="H142" s="4287"/>
      <c r="I142" s="4162">
        <v>712</v>
      </c>
      <c r="J142" s="4162" t="s">
        <v>99</v>
      </c>
      <c r="K142" s="4162"/>
      <c r="L142" s="4368" t="s">
        <v>37</v>
      </c>
      <c r="M142" s="4347"/>
      <c r="X142" s="4376"/>
    </row>
    <row r="143" spans="1:25" ht="31.5">
      <c r="A143" s="4347" t="s">
        <v>143</v>
      </c>
      <c r="B143" s="4355">
        <v>46060</v>
      </c>
      <c r="C143" s="3165" t="s">
        <v>291</v>
      </c>
      <c r="D143" s="4981">
        <v>92</v>
      </c>
      <c r="E143" s="5174" t="s">
        <v>321</v>
      </c>
      <c r="F143" s="5174"/>
      <c r="G143" s="4326"/>
      <c r="H143" s="4326"/>
      <c r="I143" s="4162">
        <v>705</v>
      </c>
      <c r="J143" s="4162"/>
      <c r="K143" s="4162"/>
      <c r="L143" s="4368" t="s">
        <v>37</v>
      </c>
      <c r="M143" s="4347"/>
      <c r="U143" s="3160" t="s">
        <v>37</v>
      </c>
      <c r="V143" s="3160" t="s">
        <v>37</v>
      </c>
      <c r="X143" s="4376"/>
    </row>
    <row r="144" spans="1:25" ht="31.5">
      <c r="A144" s="4347" t="s">
        <v>25</v>
      </c>
      <c r="B144" s="4355">
        <v>46062</v>
      </c>
      <c r="C144" s="3165" t="s">
        <v>322</v>
      </c>
      <c r="D144" s="4981">
        <v>93</v>
      </c>
      <c r="E144" s="4162" t="s">
        <v>268</v>
      </c>
      <c r="F144" s="4162" t="s">
        <v>79</v>
      </c>
      <c r="G144" s="4162"/>
      <c r="H144" s="4162"/>
      <c r="I144" s="4162">
        <v>707</v>
      </c>
      <c r="J144" s="4162" t="s">
        <v>269</v>
      </c>
      <c r="K144" s="4465"/>
      <c r="L144" s="4347"/>
      <c r="M144" s="4347" t="s">
        <v>37</v>
      </c>
      <c r="N144" s="4347"/>
      <c r="O144" s="4347"/>
      <c r="P144" s="21" t="s">
        <v>109</v>
      </c>
      <c r="Q144" s="21" t="s">
        <v>323</v>
      </c>
      <c r="R144" s="21" t="s">
        <v>324</v>
      </c>
      <c r="S144" s="4347" t="s">
        <v>37</v>
      </c>
      <c r="T144" s="4347"/>
      <c r="U144" s="4347"/>
      <c r="X144" s="4376" t="s">
        <v>325</v>
      </c>
    </row>
    <row r="145" spans="1:24" ht="31.5">
      <c r="A145" s="4347" t="s">
        <v>25</v>
      </c>
      <c r="B145" s="4355">
        <v>46062</v>
      </c>
      <c r="C145" s="3165" t="s">
        <v>322</v>
      </c>
      <c r="D145" s="4981">
        <v>94</v>
      </c>
      <c r="E145" s="4976" t="s">
        <v>148</v>
      </c>
      <c r="F145" s="4976" t="s">
        <v>183</v>
      </c>
      <c r="G145" s="4976"/>
      <c r="H145" s="4976"/>
      <c r="I145" s="4162">
        <v>707</v>
      </c>
      <c r="J145" s="4162" t="s">
        <v>326</v>
      </c>
      <c r="K145" s="4465"/>
      <c r="L145" s="4347" t="s">
        <v>37</v>
      </c>
      <c r="M145" s="4347"/>
      <c r="N145" s="4347"/>
      <c r="O145" s="4347"/>
      <c r="S145" s="4347"/>
      <c r="T145" s="4347"/>
      <c r="U145" s="4347"/>
      <c r="X145" s="4376"/>
    </row>
    <row r="146" spans="1:24" ht="31.5">
      <c r="A146" s="4347" t="s">
        <v>25</v>
      </c>
      <c r="B146" s="4355">
        <v>46062</v>
      </c>
      <c r="C146" s="3165" t="s">
        <v>322</v>
      </c>
      <c r="D146" s="4981">
        <v>95</v>
      </c>
      <c r="E146" s="4162" t="s">
        <v>79</v>
      </c>
      <c r="F146" s="4162" t="s">
        <v>273</v>
      </c>
      <c r="G146" s="4162"/>
      <c r="H146" s="4162"/>
      <c r="I146" s="4162">
        <v>705</v>
      </c>
      <c r="J146" s="4162" t="s">
        <v>327</v>
      </c>
      <c r="K146" s="4347"/>
      <c r="L146" s="4347" t="s">
        <v>37</v>
      </c>
      <c r="M146" s="4347"/>
      <c r="N146" s="4347"/>
      <c r="O146" s="4347"/>
      <c r="S146" s="4347"/>
      <c r="T146" s="4347"/>
      <c r="U146" s="4347"/>
      <c r="X146" s="4376"/>
    </row>
    <row r="147" spans="1:24" ht="31.5">
      <c r="A147" s="4347" t="s">
        <v>25</v>
      </c>
      <c r="B147" s="4355">
        <v>46062</v>
      </c>
      <c r="C147" s="3165" t="s">
        <v>322</v>
      </c>
      <c r="D147" s="4981">
        <v>96</v>
      </c>
      <c r="E147" s="4181" t="s">
        <v>272</v>
      </c>
      <c r="F147" s="4181" t="s">
        <v>328</v>
      </c>
      <c r="G147" s="4181"/>
      <c r="H147" s="4181"/>
      <c r="I147" s="4162">
        <v>707</v>
      </c>
      <c r="J147" s="4162" t="s">
        <v>329</v>
      </c>
      <c r="K147" s="4464" t="s">
        <v>29</v>
      </c>
      <c r="L147" s="4347" t="s">
        <v>37</v>
      </c>
      <c r="M147" s="4347"/>
      <c r="N147" s="4347"/>
      <c r="O147" s="4347"/>
      <c r="S147" s="4347"/>
      <c r="T147" s="4347"/>
      <c r="U147" s="4347"/>
      <c r="X147" s="4376"/>
    </row>
    <row r="148" spans="1:24" ht="31.5">
      <c r="A148" s="4347" t="s">
        <v>67</v>
      </c>
      <c r="B148" s="4355">
        <v>46063</v>
      </c>
      <c r="C148" s="3165" t="s">
        <v>322</v>
      </c>
      <c r="D148" s="4981">
        <v>97</v>
      </c>
      <c r="E148" s="4162" t="s">
        <v>268</v>
      </c>
      <c r="F148" s="4162" t="s">
        <v>79</v>
      </c>
      <c r="G148" s="4162"/>
      <c r="H148" s="4162"/>
      <c r="I148" s="4162">
        <v>707</v>
      </c>
      <c r="J148" s="4162" t="s">
        <v>269</v>
      </c>
      <c r="K148" s="4465"/>
      <c r="L148" s="4347" t="s">
        <v>37</v>
      </c>
      <c r="M148" s="4347"/>
      <c r="N148" s="4347"/>
      <c r="O148" s="4347"/>
      <c r="S148" s="4347"/>
      <c r="T148" s="4347" t="s">
        <v>30</v>
      </c>
      <c r="U148" s="4347"/>
      <c r="X148" s="4376"/>
    </row>
    <row r="149" spans="1:24" ht="31.5">
      <c r="A149" s="4347" t="s">
        <v>67</v>
      </c>
      <c r="B149" s="4355">
        <v>46062</v>
      </c>
      <c r="C149" s="3165" t="s">
        <v>322</v>
      </c>
      <c r="D149" s="4981">
        <v>98</v>
      </c>
      <c r="E149" s="4239" t="s">
        <v>79</v>
      </c>
      <c r="F149" s="4239" t="s">
        <v>330</v>
      </c>
      <c r="G149" s="4239"/>
      <c r="H149" s="4239"/>
      <c r="I149" s="4162">
        <v>707</v>
      </c>
      <c r="J149" s="4162" t="s">
        <v>331</v>
      </c>
      <c r="K149" s="4465"/>
      <c r="L149" s="4347"/>
      <c r="M149" s="4347" t="s">
        <v>37</v>
      </c>
      <c r="N149" s="4347"/>
      <c r="O149" s="4347"/>
      <c r="P149" s="20" t="s">
        <v>0</v>
      </c>
      <c r="Q149" s="20" t="s">
        <v>31</v>
      </c>
      <c r="R149" s="20" t="s">
        <v>160</v>
      </c>
      <c r="S149" s="4347" t="s">
        <v>37</v>
      </c>
      <c r="T149" s="4347"/>
      <c r="U149" s="4347" t="s">
        <v>30</v>
      </c>
      <c r="X149" s="4376" t="s">
        <v>332</v>
      </c>
    </row>
    <row r="150" spans="1:24" ht="31.5">
      <c r="A150" s="4347" t="s">
        <v>67</v>
      </c>
      <c r="B150" s="4355">
        <v>46062</v>
      </c>
      <c r="C150" s="3165" t="s">
        <v>322</v>
      </c>
      <c r="D150" s="4981">
        <v>98</v>
      </c>
      <c r="E150" s="4239" t="s">
        <v>296</v>
      </c>
      <c r="F150" s="4239" t="s">
        <v>195</v>
      </c>
      <c r="G150" s="4239"/>
      <c r="H150" s="4239"/>
      <c r="I150" s="4162">
        <v>707</v>
      </c>
      <c r="J150" s="4162" t="s">
        <v>333</v>
      </c>
      <c r="K150" s="4465"/>
      <c r="L150" s="4347"/>
      <c r="M150" s="4347"/>
      <c r="N150" s="4347" t="s">
        <v>37</v>
      </c>
      <c r="O150" s="4347"/>
      <c r="S150" s="4347"/>
      <c r="T150" s="4347"/>
      <c r="U150" s="4347" t="s">
        <v>30</v>
      </c>
      <c r="X150" s="4376"/>
    </row>
    <row r="151" spans="1:24" ht="31.5">
      <c r="A151" s="4347" t="s">
        <v>67</v>
      </c>
      <c r="B151" s="4355">
        <v>46063</v>
      </c>
      <c r="C151" s="3165" t="s">
        <v>322</v>
      </c>
      <c r="D151" s="4981">
        <v>96</v>
      </c>
      <c r="E151" s="4181" t="s">
        <v>334</v>
      </c>
      <c r="F151" s="4977" t="s">
        <v>335</v>
      </c>
      <c r="G151" s="4977"/>
      <c r="H151" s="4977"/>
      <c r="I151" s="4162">
        <v>707</v>
      </c>
      <c r="J151" s="4162" t="s">
        <v>329</v>
      </c>
      <c r="K151" s="4464" t="s">
        <v>29</v>
      </c>
      <c r="L151" s="4347" t="s">
        <v>37</v>
      </c>
      <c r="M151" s="4347"/>
      <c r="N151" s="4347"/>
      <c r="O151" s="4347"/>
      <c r="S151" s="4347"/>
      <c r="T151" s="4347"/>
      <c r="U151" s="4347"/>
      <c r="X151" s="4376"/>
    </row>
    <row r="152" spans="1:24" ht="31.5">
      <c r="A152" s="4347" t="s">
        <v>67</v>
      </c>
      <c r="B152" s="4355">
        <v>46063</v>
      </c>
      <c r="C152" s="3165" t="s">
        <v>322</v>
      </c>
      <c r="D152" s="4981">
        <v>96</v>
      </c>
      <c r="E152" s="4181" t="s">
        <v>216</v>
      </c>
      <c r="F152" s="4181" t="s">
        <v>336</v>
      </c>
      <c r="G152" s="4181"/>
      <c r="H152" s="4181"/>
      <c r="I152" s="4162">
        <v>707</v>
      </c>
      <c r="J152" s="4162" t="s">
        <v>329</v>
      </c>
      <c r="K152" s="4464" t="s">
        <v>29</v>
      </c>
      <c r="L152" s="4347" t="s">
        <v>37</v>
      </c>
      <c r="M152" s="4347"/>
      <c r="N152" s="4347"/>
      <c r="O152" s="4347"/>
      <c r="S152" s="4347"/>
      <c r="T152" s="4347"/>
      <c r="U152" s="4347"/>
      <c r="X152" s="4376"/>
    </row>
    <row r="153" spans="1:24" ht="31.5">
      <c r="A153" s="4347" t="s">
        <v>67</v>
      </c>
      <c r="B153" s="4355">
        <v>46063</v>
      </c>
      <c r="C153" s="3165" t="s">
        <v>322</v>
      </c>
      <c r="D153" s="4981">
        <v>97</v>
      </c>
      <c r="E153" s="3377" t="s">
        <v>273</v>
      </c>
      <c r="F153" s="4163" t="s">
        <v>337</v>
      </c>
      <c r="G153" s="5132"/>
      <c r="H153" s="5132"/>
      <c r="I153" s="4979">
        <v>707</v>
      </c>
      <c r="J153" s="4162" t="s">
        <v>338</v>
      </c>
      <c r="K153" s="4162"/>
      <c r="L153" s="4347" t="s">
        <v>37</v>
      </c>
      <c r="M153" s="4347"/>
      <c r="N153" s="4347"/>
      <c r="O153" s="4347"/>
      <c r="S153" s="4347"/>
      <c r="T153" s="4347"/>
      <c r="U153" s="4347"/>
      <c r="X153" s="4376"/>
    </row>
    <row r="154" spans="1:24" ht="31.5">
      <c r="A154" s="4347" t="s">
        <v>67</v>
      </c>
      <c r="B154" s="4355">
        <v>46063</v>
      </c>
      <c r="C154" s="3165" t="s">
        <v>322</v>
      </c>
      <c r="D154" s="4981">
        <v>98</v>
      </c>
      <c r="E154" s="3377" t="s">
        <v>339</v>
      </c>
      <c r="F154" s="4163" t="s">
        <v>43</v>
      </c>
      <c r="G154" s="5132"/>
      <c r="H154" s="5132"/>
      <c r="I154" s="4979">
        <v>712</v>
      </c>
      <c r="J154" s="4162" t="s">
        <v>340</v>
      </c>
      <c r="K154" s="4162"/>
      <c r="L154" s="4347" t="s">
        <v>37</v>
      </c>
      <c r="M154" s="4347"/>
      <c r="N154" s="4347"/>
      <c r="O154" s="4347"/>
      <c r="S154" s="4347"/>
      <c r="T154" s="4347"/>
      <c r="U154" s="4347"/>
      <c r="X154" s="4376"/>
    </row>
    <row r="155" spans="1:24" ht="57">
      <c r="A155" s="4347" t="s">
        <v>67</v>
      </c>
      <c r="B155" s="4355">
        <v>46063</v>
      </c>
      <c r="C155" s="3165" t="s">
        <v>322</v>
      </c>
      <c r="D155" s="4981">
        <v>99</v>
      </c>
      <c r="E155" s="3377" t="s">
        <v>79</v>
      </c>
      <c r="F155" s="4323" t="s">
        <v>341</v>
      </c>
      <c r="G155" s="5133"/>
      <c r="H155" s="5133"/>
      <c r="I155" s="4979">
        <v>705</v>
      </c>
      <c r="J155" s="4162" t="s">
        <v>342</v>
      </c>
      <c r="K155" s="4162"/>
      <c r="L155" s="4347"/>
      <c r="M155" s="4347" t="s">
        <v>37</v>
      </c>
      <c r="N155" s="4347"/>
      <c r="O155" s="4347"/>
      <c r="P155" s="21" t="s">
        <v>0</v>
      </c>
      <c r="Q155" s="21" t="s">
        <v>343</v>
      </c>
      <c r="R155" s="21" t="s">
        <v>160</v>
      </c>
      <c r="S155" s="4347" t="s">
        <v>37</v>
      </c>
      <c r="T155" s="4347"/>
      <c r="U155" s="4347"/>
      <c r="X155" s="4376" t="s">
        <v>344</v>
      </c>
    </row>
    <row r="156" spans="1:24" ht="57">
      <c r="A156" s="4347" t="s">
        <v>67</v>
      </c>
      <c r="B156" s="4355">
        <v>46063</v>
      </c>
      <c r="C156" s="3165" t="s">
        <v>322</v>
      </c>
      <c r="D156" s="4981">
        <v>100</v>
      </c>
      <c r="E156" s="3377" t="s">
        <v>148</v>
      </c>
      <c r="F156" s="4323" t="s">
        <v>341</v>
      </c>
      <c r="G156" s="5133"/>
      <c r="H156" s="5133"/>
      <c r="I156" s="4979">
        <v>707</v>
      </c>
      <c r="J156" s="4162" t="s">
        <v>260</v>
      </c>
      <c r="K156" s="4162"/>
      <c r="L156" s="4347"/>
      <c r="M156" s="4347"/>
      <c r="N156" s="4347" t="s">
        <v>37</v>
      </c>
      <c r="O156" s="4347"/>
      <c r="P156" s="21"/>
      <c r="Q156" s="21"/>
      <c r="R156" s="21"/>
      <c r="S156" s="4347" t="s">
        <v>37</v>
      </c>
      <c r="T156" s="4347"/>
      <c r="U156" s="4347"/>
      <c r="X156" s="4376" t="s">
        <v>345</v>
      </c>
    </row>
    <row r="157" spans="1:24" ht="31.5">
      <c r="A157" s="4347" t="s">
        <v>85</v>
      </c>
      <c r="B157" s="4355">
        <v>46064</v>
      </c>
      <c r="C157" s="3165" t="s">
        <v>322</v>
      </c>
      <c r="D157" s="4981">
        <v>99</v>
      </c>
      <c r="E157" s="3377" t="s">
        <v>79</v>
      </c>
      <c r="F157" s="4323" t="s">
        <v>341</v>
      </c>
      <c r="G157" s="5133"/>
      <c r="H157" s="5133"/>
      <c r="I157" s="4979">
        <v>705</v>
      </c>
      <c r="J157" s="4162" t="s">
        <v>342</v>
      </c>
      <c r="K157" s="4464" t="s">
        <v>84</v>
      </c>
      <c r="L157" s="4347" t="s">
        <v>37</v>
      </c>
      <c r="M157" s="4347"/>
      <c r="N157" s="4347"/>
      <c r="O157" s="4347"/>
      <c r="S157" s="4347"/>
      <c r="T157" s="4347" t="s">
        <v>37</v>
      </c>
      <c r="U157" s="4347" t="s">
        <v>37</v>
      </c>
      <c r="X157" s="4376"/>
    </row>
    <row r="158" spans="1:24" ht="31.5">
      <c r="A158" s="4347" t="s">
        <v>85</v>
      </c>
      <c r="B158" s="4355">
        <v>46064</v>
      </c>
      <c r="C158" s="3165" t="s">
        <v>322</v>
      </c>
      <c r="D158" s="4981">
        <v>101</v>
      </c>
      <c r="E158" s="3377" t="s">
        <v>339</v>
      </c>
      <c r="F158" s="3377" t="s">
        <v>341</v>
      </c>
      <c r="G158" s="3377"/>
      <c r="H158" s="3377"/>
      <c r="I158" s="4162">
        <v>707</v>
      </c>
      <c r="J158" s="4162" t="s">
        <v>260</v>
      </c>
      <c r="K158" s="4464" t="s">
        <v>84</v>
      </c>
      <c r="L158" s="4347" t="s">
        <v>37</v>
      </c>
      <c r="M158" s="4347"/>
      <c r="N158" s="4347"/>
      <c r="O158" s="4347"/>
      <c r="S158" s="4347"/>
      <c r="T158" s="4347" t="s">
        <v>37</v>
      </c>
      <c r="U158" s="4347"/>
      <c r="X158" s="4376"/>
    </row>
    <row r="159" spans="1:24" ht="31.5">
      <c r="A159" s="4347" t="s">
        <v>85</v>
      </c>
      <c r="B159" s="4355">
        <v>46064</v>
      </c>
      <c r="C159" s="3165" t="s">
        <v>322</v>
      </c>
      <c r="D159" s="4981">
        <v>94</v>
      </c>
      <c r="E159" s="4976" t="s">
        <v>169</v>
      </c>
      <c r="F159" s="4976" t="s">
        <v>346</v>
      </c>
      <c r="G159" s="4976"/>
      <c r="H159" s="4976"/>
      <c r="I159" s="4162">
        <v>707</v>
      </c>
      <c r="J159" s="4162" t="s">
        <v>347</v>
      </c>
      <c r="K159" s="4465"/>
      <c r="L159" s="4347" t="s">
        <v>37</v>
      </c>
      <c r="M159" s="4347"/>
      <c r="N159" s="4347"/>
      <c r="O159" s="4347"/>
      <c r="S159" s="4347"/>
      <c r="T159" s="4347"/>
      <c r="U159" s="4347"/>
      <c r="X159" s="4376"/>
    </row>
    <row r="160" spans="1:24" ht="31.5">
      <c r="A160" s="4347" t="s">
        <v>85</v>
      </c>
      <c r="B160" s="4355">
        <v>46064</v>
      </c>
      <c r="C160" s="3165" t="s">
        <v>322</v>
      </c>
      <c r="D160" s="4981">
        <v>102</v>
      </c>
      <c r="E160" s="4338" t="s">
        <v>348</v>
      </c>
      <c r="F160" s="4978" t="s">
        <v>263</v>
      </c>
      <c r="G160" s="5134"/>
      <c r="H160" s="5134"/>
      <c r="I160" s="4979">
        <v>712</v>
      </c>
      <c r="J160" s="4162" t="s">
        <v>349</v>
      </c>
      <c r="K160" s="4162"/>
      <c r="L160" s="4347"/>
      <c r="M160" s="4347" t="s">
        <v>30</v>
      </c>
      <c r="N160" s="4347"/>
      <c r="O160" s="4347"/>
      <c r="P160" s="21" t="s">
        <v>0</v>
      </c>
      <c r="Q160" s="21" t="s">
        <v>187</v>
      </c>
      <c r="R160" s="21" t="s">
        <v>32</v>
      </c>
      <c r="S160" s="4347" t="s">
        <v>37</v>
      </c>
      <c r="T160" s="4347"/>
      <c r="U160" s="4347"/>
      <c r="X160" s="4376" t="s">
        <v>350</v>
      </c>
    </row>
    <row r="161" spans="1:27" s="5082" customFormat="1" ht="31.5">
      <c r="A161" s="4347" t="s">
        <v>85</v>
      </c>
      <c r="B161" s="5073">
        <v>46064</v>
      </c>
      <c r="C161" s="5074" t="s">
        <v>322</v>
      </c>
      <c r="D161" s="5075">
        <v>103</v>
      </c>
      <c r="E161" s="4179" t="s">
        <v>351</v>
      </c>
      <c r="F161" s="4180" t="s">
        <v>60</v>
      </c>
      <c r="G161" s="5135"/>
      <c r="H161" s="5135"/>
      <c r="I161" s="5076">
        <v>705</v>
      </c>
      <c r="J161" s="4179" t="s">
        <v>352</v>
      </c>
      <c r="K161" s="4179"/>
      <c r="L161" s="5077" t="s">
        <v>37</v>
      </c>
      <c r="M161" s="5077"/>
      <c r="N161" s="5077"/>
      <c r="O161" s="5077"/>
      <c r="P161" s="5078" t="s">
        <v>109</v>
      </c>
      <c r="Q161" s="5078" t="s">
        <v>213</v>
      </c>
      <c r="R161" s="5078" t="s">
        <v>6120</v>
      </c>
      <c r="S161" s="5077"/>
      <c r="T161" s="5077"/>
      <c r="U161" s="5077"/>
      <c r="V161" s="5079"/>
      <c r="W161" s="5079" t="s">
        <v>30</v>
      </c>
      <c r="X161" s="4995" t="s">
        <v>353</v>
      </c>
      <c r="Y161" s="5079"/>
      <c r="Z161" s="5080"/>
      <c r="AA161" s="5081"/>
    </row>
    <row r="162" spans="1:27" ht="31.5">
      <c r="A162" s="4347" t="s">
        <v>85</v>
      </c>
      <c r="B162" s="4355">
        <v>46064</v>
      </c>
      <c r="C162" s="3165" t="s">
        <v>322</v>
      </c>
      <c r="D162" s="4981">
        <v>104</v>
      </c>
      <c r="E162" s="4290" t="s">
        <v>354</v>
      </c>
      <c r="F162" s="4290" t="s">
        <v>355</v>
      </c>
      <c r="G162" s="4290"/>
      <c r="H162" s="4290"/>
      <c r="I162" s="4162">
        <v>703</v>
      </c>
      <c r="J162" s="4162" t="s">
        <v>356</v>
      </c>
      <c r="K162" s="4465"/>
      <c r="L162" s="4347" t="s">
        <v>37</v>
      </c>
      <c r="M162" s="4347"/>
      <c r="N162" s="4347"/>
      <c r="O162" s="4347"/>
      <c r="S162" s="4347"/>
      <c r="T162" s="4347"/>
      <c r="U162" s="4347"/>
      <c r="X162" s="4376"/>
    </row>
    <row r="163" spans="1:27" ht="31.5">
      <c r="A163" s="4347" t="s">
        <v>85</v>
      </c>
      <c r="B163" s="4355">
        <v>46064</v>
      </c>
      <c r="C163" s="3165" t="s">
        <v>322</v>
      </c>
      <c r="D163" s="4981">
        <v>104</v>
      </c>
      <c r="E163" s="4290" t="s">
        <v>357</v>
      </c>
      <c r="F163" s="4290" t="s">
        <v>358</v>
      </c>
      <c r="G163" s="4290"/>
      <c r="H163" s="4290"/>
      <c r="I163" s="4162">
        <v>703</v>
      </c>
      <c r="J163" s="4162" t="s">
        <v>356</v>
      </c>
      <c r="K163" s="4465"/>
      <c r="L163" s="4347" t="s">
        <v>37</v>
      </c>
      <c r="M163" s="4347"/>
      <c r="N163" s="4347"/>
      <c r="O163" s="4347"/>
      <c r="S163" s="4347"/>
      <c r="T163" s="4347"/>
      <c r="U163" s="4347"/>
      <c r="X163" s="4376"/>
    </row>
    <row r="164" spans="1:27" ht="31.5">
      <c r="A164" s="4347" t="s">
        <v>85</v>
      </c>
      <c r="B164" s="4355">
        <v>46064</v>
      </c>
      <c r="C164" s="3165" t="s">
        <v>322</v>
      </c>
      <c r="D164" s="4981">
        <v>105</v>
      </c>
      <c r="E164" s="3377" t="s">
        <v>359</v>
      </c>
      <c r="F164" s="4162" t="s">
        <v>360</v>
      </c>
      <c r="G164" s="4162"/>
      <c r="H164" s="4162"/>
      <c r="I164" s="4162">
        <v>707</v>
      </c>
      <c r="J164" s="4162" t="s">
        <v>361</v>
      </c>
      <c r="K164" s="4465"/>
      <c r="L164" s="4347" t="s">
        <v>37</v>
      </c>
      <c r="M164" s="4347"/>
      <c r="N164" s="4347"/>
      <c r="O164" s="4347"/>
      <c r="S164" s="4347"/>
      <c r="T164" s="4347"/>
      <c r="U164" s="4347"/>
      <c r="X164" s="4376"/>
    </row>
    <row r="165" spans="1:27" ht="31.5">
      <c r="A165" s="4347" t="s">
        <v>85</v>
      </c>
      <c r="B165" s="4355">
        <v>46064</v>
      </c>
      <c r="C165" s="3165" t="s">
        <v>322</v>
      </c>
      <c r="D165" s="4981">
        <v>106</v>
      </c>
      <c r="E165" s="4162" t="s">
        <v>156</v>
      </c>
      <c r="F165" s="4162" t="s">
        <v>81</v>
      </c>
      <c r="G165" s="4162"/>
      <c r="H165" s="4162"/>
      <c r="I165" s="4162">
        <v>705</v>
      </c>
      <c r="J165" s="4162" t="s">
        <v>362</v>
      </c>
      <c r="K165" s="4162"/>
      <c r="L165" s="4347" t="s">
        <v>37</v>
      </c>
      <c r="M165" s="4347"/>
      <c r="N165" s="4347"/>
      <c r="O165" s="4347"/>
      <c r="S165" s="4347"/>
      <c r="T165" s="4347"/>
      <c r="U165" s="4347"/>
      <c r="V165" s="3160" t="s">
        <v>37</v>
      </c>
      <c r="X165" s="4376"/>
    </row>
    <row r="166" spans="1:27" ht="31.5">
      <c r="A166" s="4347" t="s">
        <v>85</v>
      </c>
      <c r="B166" s="4355">
        <v>46064</v>
      </c>
      <c r="C166" s="3165" t="s">
        <v>322</v>
      </c>
      <c r="D166" s="4981">
        <v>107</v>
      </c>
      <c r="E166" s="4239" t="s">
        <v>79</v>
      </c>
      <c r="F166" s="4239" t="s">
        <v>330</v>
      </c>
      <c r="G166" s="4239"/>
      <c r="H166" s="4239"/>
      <c r="I166" s="4162">
        <v>707</v>
      </c>
      <c r="J166" s="4162" t="s">
        <v>363</v>
      </c>
      <c r="K166" s="4464" t="s">
        <v>84</v>
      </c>
      <c r="L166" s="4347" t="s">
        <v>37</v>
      </c>
      <c r="M166" s="4347"/>
      <c r="N166" s="4347"/>
      <c r="O166" s="4347"/>
      <c r="S166" s="4347"/>
      <c r="T166" s="4347" t="s">
        <v>30</v>
      </c>
      <c r="U166" s="4347"/>
      <c r="X166" s="4376"/>
    </row>
    <row r="167" spans="1:27" ht="31.5">
      <c r="A167" s="4347" t="s">
        <v>85</v>
      </c>
      <c r="B167" s="4355">
        <v>46064</v>
      </c>
      <c r="C167" s="3165" t="s">
        <v>322</v>
      </c>
      <c r="D167" s="4981">
        <v>107</v>
      </c>
      <c r="E167" s="4239" t="s">
        <v>296</v>
      </c>
      <c r="F167" s="4239" t="s">
        <v>195</v>
      </c>
      <c r="G167" s="4239"/>
      <c r="H167" s="4239"/>
      <c r="I167" s="4162">
        <v>707</v>
      </c>
      <c r="J167" s="4162" t="s">
        <v>333</v>
      </c>
      <c r="K167" s="4464" t="s">
        <v>84</v>
      </c>
      <c r="L167" s="4347"/>
      <c r="M167" s="4347" t="s">
        <v>37</v>
      </c>
      <c r="N167" s="4347"/>
      <c r="O167" s="4347"/>
      <c r="P167" s="21" t="s">
        <v>122</v>
      </c>
      <c r="Q167" s="21" t="s">
        <v>123</v>
      </c>
      <c r="R167" s="21" t="s">
        <v>324</v>
      </c>
      <c r="S167" s="4347"/>
      <c r="T167" s="4347"/>
      <c r="U167" s="4347"/>
      <c r="W167" s="3160" t="s">
        <v>30</v>
      </c>
      <c r="X167" s="4376" t="s">
        <v>353</v>
      </c>
    </row>
    <row r="168" spans="1:27" ht="31.5">
      <c r="A168" s="4347" t="s">
        <v>105</v>
      </c>
      <c r="B168" s="4355">
        <v>46065</v>
      </c>
      <c r="C168" s="3165" t="s">
        <v>322</v>
      </c>
      <c r="D168" s="4981">
        <v>108</v>
      </c>
      <c r="E168" s="4162" t="s">
        <v>156</v>
      </c>
      <c r="F168" s="4162" t="s">
        <v>81</v>
      </c>
      <c r="G168" s="4162"/>
      <c r="H168" s="4162"/>
      <c r="I168" s="4162">
        <v>705</v>
      </c>
      <c r="J168" s="4162" t="s">
        <v>364</v>
      </c>
      <c r="K168" s="4162"/>
      <c r="L168" s="4347" t="s">
        <v>37</v>
      </c>
      <c r="M168" s="4347"/>
      <c r="N168" s="4347"/>
      <c r="O168" s="4347"/>
      <c r="S168" s="4347"/>
      <c r="T168" s="4347"/>
      <c r="U168" s="4347"/>
      <c r="V168" s="3160" t="s">
        <v>37</v>
      </c>
      <c r="X168" s="4376"/>
    </row>
    <row r="169" spans="1:27" ht="31.5">
      <c r="A169" s="4347" t="s">
        <v>105</v>
      </c>
      <c r="B169" s="4355">
        <v>46065</v>
      </c>
      <c r="C169" s="3165" t="s">
        <v>322</v>
      </c>
      <c r="D169" s="4981">
        <v>109</v>
      </c>
      <c r="E169" s="3377" t="s">
        <v>273</v>
      </c>
      <c r="F169" s="4162" t="s">
        <v>156</v>
      </c>
      <c r="G169" s="4162"/>
      <c r="H169" s="4162"/>
      <c r="I169" s="4162">
        <v>705</v>
      </c>
      <c r="J169" s="4162" t="s">
        <v>186</v>
      </c>
      <c r="K169" s="4162"/>
      <c r="L169" s="4347" t="s">
        <v>37</v>
      </c>
      <c r="M169" s="4347"/>
      <c r="N169" s="4347"/>
      <c r="O169" s="4347"/>
      <c r="S169" s="4347"/>
      <c r="T169" s="4347"/>
      <c r="U169" s="4347"/>
      <c r="X169" s="4376"/>
    </row>
    <row r="170" spans="1:27" ht="31.5">
      <c r="A170" s="4347" t="s">
        <v>105</v>
      </c>
      <c r="B170" s="4355">
        <v>46065</v>
      </c>
      <c r="C170" s="3165" t="s">
        <v>322</v>
      </c>
      <c r="D170" s="4981">
        <v>102</v>
      </c>
      <c r="E170" s="4338" t="s">
        <v>148</v>
      </c>
      <c r="F170" s="4338" t="s">
        <v>365</v>
      </c>
      <c r="G170" s="4338"/>
      <c r="H170" s="4338"/>
      <c r="I170" s="4162">
        <v>712</v>
      </c>
      <c r="J170" s="4162" t="s">
        <v>366</v>
      </c>
      <c r="K170" s="4162"/>
      <c r="L170" s="4347"/>
      <c r="M170" s="4347"/>
      <c r="N170" s="4347" t="s">
        <v>30</v>
      </c>
      <c r="O170" s="4347"/>
      <c r="S170" s="4347"/>
      <c r="T170" s="4347"/>
      <c r="U170" s="4347"/>
      <c r="X170" s="4376" t="s">
        <v>350</v>
      </c>
    </row>
    <row r="171" spans="1:27" ht="31.5">
      <c r="A171" s="4347" t="s">
        <v>105</v>
      </c>
      <c r="B171" s="4355">
        <v>46065</v>
      </c>
      <c r="C171" s="3165" t="s">
        <v>322</v>
      </c>
      <c r="D171" s="4981">
        <v>110</v>
      </c>
      <c r="E171" s="4191" t="s">
        <v>367</v>
      </c>
      <c r="F171" s="4191" t="s">
        <v>368</v>
      </c>
      <c r="G171" s="4191"/>
      <c r="H171" s="4191"/>
      <c r="I171" s="4162">
        <v>712</v>
      </c>
      <c r="J171" s="4980" t="s">
        <v>369</v>
      </c>
      <c r="K171" s="4465"/>
      <c r="L171" s="4347"/>
      <c r="M171" s="4347" t="s">
        <v>30</v>
      </c>
      <c r="N171" s="4347"/>
      <c r="O171" s="4347"/>
      <c r="P171" s="21" t="s">
        <v>0</v>
      </c>
      <c r="Q171" s="21" t="s">
        <v>31</v>
      </c>
      <c r="R171" s="21" t="s">
        <v>32</v>
      </c>
      <c r="S171" s="4347"/>
      <c r="T171" s="4347"/>
      <c r="U171" s="4347"/>
      <c r="X171" s="4376" t="s">
        <v>370</v>
      </c>
    </row>
    <row r="172" spans="1:27" ht="31.5">
      <c r="A172" s="4347" t="s">
        <v>132</v>
      </c>
      <c r="B172" s="4355">
        <v>46066</v>
      </c>
      <c r="C172" s="3165" t="s">
        <v>322</v>
      </c>
      <c r="D172" s="4981">
        <v>110</v>
      </c>
      <c r="E172" s="4191" t="s">
        <v>367</v>
      </c>
      <c r="F172" s="4191" t="s">
        <v>368</v>
      </c>
      <c r="G172" s="4191"/>
      <c r="H172" s="4191"/>
      <c r="I172" s="4162">
        <v>712</v>
      </c>
      <c r="J172" s="4980" t="s">
        <v>369</v>
      </c>
      <c r="K172" s="4465"/>
      <c r="L172" s="4347"/>
      <c r="M172" s="4347" t="s">
        <v>37</v>
      </c>
      <c r="N172" s="4347"/>
      <c r="O172" s="4347"/>
      <c r="P172" s="21" t="s">
        <v>71</v>
      </c>
      <c r="Q172" s="21" t="s">
        <v>371</v>
      </c>
      <c r="R172" s="21" t="s">
        <v>32</v>
      </c>
      <c r="S172" s="4347"/>
      <c r="T172" s="4347"/>
      <c r="U172" s="4347"/>
      <c r="X172" s="4376" t="s">
        <v>372</v>
      </c>
    </row>
    <row r="173" spans="1:27" ht="31.5">
      <c r="A173" s="4347" t="s">
        <v>132</v>
      </c>
      <c r="B173" s="4355">
        <v>46066</v>
      </c>
      <c r="C173" s="3165" t="s">
        <v>322</v>
      </c>
      <c r="D173" s="4981">
        <v>110</v>
      </c>
      <c r="E173" s="4191" t="s">
        <v>264</v>
      </c>
      <c r="F173" s="4191" t="s">
        <v>373</v>
      </c>
      <c r="G173" s="4191"/>
      <c r="H173" s="4191"/>
      <c r="I173" s="4162">
        <v>712</v>
      </c>
      <c r="J173" s="4162" t="s">
        <v>374</v>
      </c>
      <c r="K173" s="4162"/>
      <c r="L173" s="4368"/>
      <c r="M173" s="4368"/>
      <c r="N173" s="4347" t="s">
        <v>30</v>
      </c>
      <c r="O173" s="4368"/>
      <c r="S173" s="4368"/>
      <c r="T173" s="4368"/>
      <c r="U173" s="4368"/>
      <c r="X173" s="4975"/>
    </row>
    <row r="174" spans="1:27" ht="31.5">
      <c r="A174" s="4347" t="s">
        <v>132</v>
      </c>
      <c r="B174" s="4355">
        <v>46066</v>
      </c>
      <c r="C174" s="3165" t="s">
        <v>322</v>
      </c>
      <c r="D174" s="4981">
        <v>111</v>
      </c>
      <c r="E174" s="4162" t="s">
        <v>375</v>
      </c>
      <c r="F174" s="4162" t="s">
        <v>376</v>
      </c>
      <c r="G174" s="4162"/>
      <c r="H174" s="4162"/>
      <c r="I174" s="4162">
        <v>707</v>
      </c>
      <c r="J174" s="4162" t="s">
        <v>377</v>
      </c>
      <c r="K174" s="4162"/>
      <c r="L174" s="4368" t="s">
        <v>37</v>
      </c>
      <c r="M174" s="4347"/>
      <c r="N174" s="4368"/>
      <c r="O174" s="4368"/>
      <c r="P174" s="21"/>
      <c r="Q174" s="21"/>
      <c r="R174" s="21"/>
      <c r="S174" s="4368"/>
      <c r="T174" s="4368"/>
      <c r="U174" s="4368"/>
      <c r="X174" s="4975"/>
    </row>
    <row r="175" spans="1:27" ht="31.5">
      <c r="A175" s="4347" t="s">
        <v>132</v>
      </c>
      <c r="B175" s="4355">
        <v>46066</v>
      </c>
      <c r="C175" s="3165" t="s">
        <v>322</v>
      </c>
      <c r="D175" s="4981">
        <v>112</v>
      </c>
      <c r="E175" s="3377" t="s">
        <v>273</v>
      </c>
      <c r="F175" s="4162" t="s">
        <v>378</v>
      </c>
      <c r="G175" s="4162"/>
      <c r="H175" s="4162"/>
      <c r="I175" s="4162">
        <v>712</v>
      </c>
      <c r="J175" s="4162" t="s">
        <v>379</v>
      </c>
      <c r="K175" s="4162"/>
      <c r="L175" s="4347" t="s">
        <v>30</v>
      </c>
      <c r="M175" s="4368"/>
      <c r="N175" s="4368"/>
      <c r="O175" s="4368"/>
      <c r="S175" s="4368"/>
      <c r="T175" s="4368"/>
      <c r="U175" s="4368"/>
      <c r="X175" s="4975"/>
    </row>
    <row r="176" spans="1:27" ht="31.5">
      <c r="A176" s="4347" t="s">
        <v>132</v>
      </c>
      <c r="B176" s="4355">
        <v>46066</v>
      </c>
      <c r="C176" s="3165" t="s">
        <v>322</v>
      </c>
      <c r="D176" s="4981">
        <v>113</v>
      </c>
      <c r="E176" s="4162" t="s">
        <v>380</v>
      </c>
      <c r="F176" s="4162" t="s">
        <v>381</v>
      </c>
      <c r="G176" s="4162"/>
      <c r="H176" s="4162"/>
      <c r="I176" s="4162">
        <v>705</v>
      </c>
      <c r="J176" s="4162" t="s">
        <v>342</v>
      </c>
      <c r="K176" s="4162"/>
      <c r="L176" s="4347" t="s">
        <v>30</v>
      </c>
      <c r="M176" s="4368"/>
      <c r="N176" s="4368"/>
      <c r="O176" s="4347" t="s">
        <v>30</v>
      </c>
      <c r="S176" s="4368"/>
      <c r="T176" s="4368"/>
      <c r="U176" s="4368"/>
      <c r="V176" s="3160" t="s">
        <v>37</v>
      </c>
      <c r="X176" s="4975" t="s">
        <v>382</v>
      </c>
    </row>
    <row r="177" spans="1:24" ht="31.5">
      <c r="A177" s="4347" t="s">
        <v>132</v>
      </c>
      <c r="B177" s="4355">
        <v>46066</v>
      </c>
      <c r="C177" s="3165" t="s">
        <v>322</v>
      </c>
      <c r="D177" s="4981">
        <v>114</v>
      </c>
      <c r="E177" s="4162" t="s">
        <v>156</v>
      </c>
      <c r="F177" s="4162" t="s">
        <v>383</v>
      </c>
      <c r="G177" s="4162"/>
      <c r="H177" s="4162"/>
      <c r="I177" s="4162">
        <v>705</v>
      </c>
      <c r="J177" s="4162" t="s">
        <v>384</v>
      </c>
      <c r="K177" s="4162"/>
      <c r="L177" s="4347" t="s">
        <v>30</v>
      </c>
      <c r="M177" s="4368"/>
      <c r="N177" s="4368"/>
      <c r="O177" s="4368"/>
      <c r="S177" s="4368"/>
      <c r="T177" s="4368"/>
      <c r="U177" s="4368"/>
      <c r="X177" s="4975"/>
    </row>
    <row r="178" spans="1:24" ht="31.5">
      <c r="A178" s="4347" t="s">
        <v>132</v>
      </c>
      <c r="B178" s="4355">
        <v>46066</v>
      </c>
      <c r="C178" s="3165" t="s">
        <v>322</v>
      </c>
      <c r="D178" s="4981">
        <v>115</v>
      </c>
      <c r="E178" s="4307" t="s">
        <v>385</v>
      </c>
      <c r="F178" s="4307" t="s">
        <v>386</v>
      </c>
      <c r="G178" s="4307"/>
      <c r="H178" s="4307"/>
      <c r="I178" s="4162">
        <v>712</v>
      </c>
      <c r="J178" s="4162" t="s">
        <v>387</v>
      </c>
      <c r="K178" s="4465"/>
      <c r="L178" s="4347" t="s">
        <v>30</v>
      </c>
      <c r="M178" s="4368"/>
      <c r="N178" s="4368"/>
      <c r="O178" s="4368"/>
      <c r="S178" s="4368"/>
      <c r="T178" s="4368"/>
      <c r="U178" s="4368"/>
      <c r="X178" s="4975"/>
    </row>
    <row r="179" spans="1:24" ht="31.5">
      <c r="A179" s="4347" t="s">
        <v>143</v>
      </c>
      <c r="B179" s="4355">
        <v>46067</v>
      </c>
      <c r="C179" s="3165" t="s">
        <v>322</v>
      </c>
      <c r="D179" s="4981">
        <v>115</v>
      </c>
      <c r="E179" s="4307" t="s">
        <v>388</v>
      </c>
      <c r="F179" s="4307" t="s">
        <v>389</v>
      </c>
      <c r="G179" s="4307"/>
      <c r="H179" s="4307"/>
      <c r="I179" s="4162">
        <v>712</v>
      </c>
      <c r="J179" s="4162" t="s">
        <v>387</v>
      </c>
      <c r="K179" s="4162"/>
      <c r="L179" s="4347" t="s">
        <v>30</v>
      </c>
      <c r="M179" s="4367"/>
      <c r="N179" s="4347"/>
      <c r="O179" s="4347"/>
      <c r="S179" s="4347"/>
      <c r="T179" s="4347"/>
      <c r="U179" s="4347"/>
      <c r="X179" s="4376" t="e" cm="1">
        <f t="array" ref="X179">#REF!</f>
        <v>#REF!</v>
      </c>
    </row>
    <row r="180" spans="1:24" ht="31.5">
      <c r="B180" s="4355">
        <v>46069</v>
      </c>
      <c r="C180" s="3165" t="s">
        <v>390</v>
      </c>
      <c r="D180" s="3165" t="s">
        <v>391</v>
      </c>
      <c r="E180" s="3377" t="s">
        <v>392</v>
      </c>
      <c r="F180" s="3377" t="s">
        <v>48</v>
      </c>
      <c r="G180" s="3377"/>
      <c r="H180" s="3377"/>
      <c r="I180" s="4162">
        <v>705</v>
      </c>
      <c r="J180" s="4162" t="s">
        <v>393</v>
      </c>
      <c r="K180" s="4465"/>
      <c r="L180" s="4347" t="s">
        <v>37</v>
      </c>
      <c r="M180" s="4347"/>
      <c r="N180" s="4347"/>
      <c r="O180" s="4347"/>
      <c r="S180" s="4347"/>
      <c r="T180" s="4347"/>
      <c r="U180" s="4347"/>
      <c r="V180" s="4347" t="s">
        <v>37</v>
      </c>
      <c r="W180" s="4347"/>
      <c r="X180" s="4376"/>
    </row>
    <row r="181" spans="1:24" ht="31.5">
      <c r="B181" s="4355">
        <v>46069</v>
      </c>
      <c r="C181" s="3165" t="s">
        <v>390</v>
      </c>
      <c r="D181" s="3165" t="s">
        <v>394</v>
      </c>
      <c r="E181" s="4244" t="s">
        <v>60</v>
      </c>
      <c r="F181" s="4244" t="s">
        <v>44</v>
      </c>
      <c r="G181" s="4244"/>
      <c r="H181" s="4244"/>
      <c r="I181" s="4162">
        <v>705</v>
      </c>
      <c r="J181" s="4162" t="s">
        <v>395</v>
      </c>
      <c r="K181" s="4465"/>
      <c r="L181" s="4347"/>
      <c r="M181" s="4347" t="s">
        <v>37</v>
      </c>
      <c r="N181" s="4347"/>
      <c r="O181" s="4347"/>
      <c r="P181" s="21" t="s">
        <v>0</v>
      </c>
      <c r="Q181" s="21" t="s">
        <v>187</v>
      </c>
      <c r="R181" s="21" t="s">
        <v>160</v>
      </c>
      <c r="S181" s="4347"/>
      <c r="T181" s="4347"/>
      <c r="U181" s="4347"/>
      <c r="V181" s="4347"/>
      <c r="W181" s="4347"/>
      <c r="X181" s="4376" t="s">
        <v>396</v>
      </c>
    </row>
    <row r="182" spans="1:24" ht="31.5">
      <c r="B182" s="4355">
        <v>46069</v>
      </c>
      <c r="C182" s="3165" t="s">
        <v>390</v>
      </c>
      <c r="D182" s="3165" t="s">
        <v>394</v>
      </c>
      <c r="E182" s="4244" t="s">
        <v>48</v>
      </c>
      <c r="F182" s="4244" t="s">
        <v>195</v>
      </c>
      <c r="G182" s="4244"/>
      <c r="H182" s="4244"/>
      <c r="I182" s="4162">
        <v>705</v>
      </c>
      <c r="J182" s="4162" t="s">
        <v>397</v>
      </c>
      <c r="K182" s="4162"/>
      <c r="L182" s="4162"/>
      <c r="M182" s="4347"/>
      <c r="N182" s="4347" t="s">
        <v>37</v>
      </c>
      <c r="O182" s="4347"/>
      <c r="P182" s="21" t="s">
        <v>0</v>
      </c>
      <c r="Q182" s="21" t="s">
        <v>187</v>
      </c>
      <c r="R182" s="21" t="s">
        <v>160</v>
      </c>
      <c r="S182" s="4347" t="s">
        <v>37</v>
      </c>
      <c r="T182" s="4347"/>
      <c r="U182" s="4347"/>
      <c r="V182" s="4347"/>
      <c r="W182" s="4347"/>
      <c r="X182" s="4376"/>
    </row>
    <row r="183" spans="1:24" ht="31.5">
      <c r="B183" s="4355">
        <v>46069</v>
      </c>
      <c r="C183" s="3165" t="s">
        <v>390</v>
      </c>
      <c r="D183" s="3165" t="s">
        <v>398</v>
      </c>
      <c r="E183" s="3377" t="s">
        <v>258</v>
      </c>
      <c r="F183" s="3377" t="s">
        <v>48</v>
      </c>
      <c r="G183" s="3377"/>
      <c r="H183" s="3377"/>
      <c r="I183" s="4162">
        <v>705</v>
      </c>
      <c r="J183" s="4162" t="s">
        <v>399</v>
      </c>
      <c r="K183" s="4465"/>
      <c r="L183" s="4347" t="s">
        <v>37</v>
      </c>
      <c r="M183" s="4347"/>
      <c r="N183" s="4347"/>
      <c r="O183" s="4347"/>
      <c r="S183" s="4347"/>
      <c r="T183" s="4347"/>
      <c r="U183" s="4347"/>
      <c r="V183" s="4347"/>
      <c r="W183" s="4347"/>
      <c r="X183" s="4376"/>
    </row>
    <row r="184" spans="1:24" ht="31.5">
      <c r="B184" s="4355">
        <v>46069</v>
      </c>
      <c r="C184" s="3165" t="s">
        <v>390</v>
      </c>
      <c r="D184" s="3165" t="s">
        <v>400</v>
      </c>
      <c r="E184" s="3377" t="s">
        <v>80</v>
      </c>
      <c r="F184" s="3377" t="s">
        <v>401</v>
      </c>
      <c r="G184" s="3377"/>
      <c r="H184" s="3377"/>
      <c r="I184" s="4162">
        <v>707</v>
      </c>
      <c r="J184" s="4162">
        <v>60105</v>
      </c>
      <c r="K184" s="4465"/>
      <c r="L184" s="4347" t="s">
        <v>37</v>
      </c>
      <c r="M184" s="4347"/>
      <c r="N184" s="4347"/>
      <c r="O184" s="4347"/>
      <c r="S184" s="4347"/>
      <c r="T184" s="4347"/>
      <c r="U184" s="4347"/>
      <c r="V184" s="4347"/>
      <c r="W184" s="4347"/>
      <c r="X184" s="4376"/>
    </row>
    <row r="185" spans="1:24" ht="31.5">
      <c r="B185" s="4355">
        <v>46069</v>
      </c>
      <c r="C185" s="3165" t="s">
        <v>390</v>
      </c>
      <c r="D185" s="3165" t="s">
        <v>402</v>
      </c>
      <c r="E185" s="3377" t="s">
        <v>60</v>
      </c>
      <c r="F185" s="3377" t="s">
        <v>79</v>
      </c>
      <c r="G185" s="3377"/>
      <c r="H185" s="3377"/>
      <c r="I185" s="4162">
        <v>705</v>
      </c>
      <c r="J185" s="4162" t="s">
        <v>403</v>
      </c>
      <c r="K185" s="4465"/>
      <c r="L185" s="4347" t="s">
        <v>37</v>
      </c>
      <c r="M185" s="4347"/>
      <c r="N185" s="4347"/>
      <c r="O185" s="4347"/>
      <c r="S185" s="4347"/>
      <c r="T185" s="4347"/>
      <c r="U185" s="4347"/>
      <c r="V185" s="4347" t="s">
        <v>37</v>
      </c>
      <c r="W185" s="4347"/>
      <c r="X185" s="4376"/>
    </row>
    <row r="186" spans="1:24" ht="31.5">
      <c r="B186" s="4355">
        <v>46070</v>
      </c>
      <c r="C186" s="3165" t="s">
        <v>390</v>
      </c>
      <c r="D186" s="3165" t="s">
        <v>404</v>
      </c>
      <c r="E186" s="4162" t="s">
        <v>405</v>
      </c>
      <c r="F186" s="4162" t="s">
        <v>273</v>
      </c>
      <c r="G186" s="4162"/>
      <c r="H186" s="4162"/>
      <c r="I186" s="4162">
        <v>707</v>
      </c>
      <c r="J186" s="4989" t="s">
        <v>406</v>
      </c>
      <c r="K186" s="4465"/>
      <c r="L186" s="4347"/>
      <c r="M186" s="4347" t="s">
        <v>37</v>
      </c>
      <c r="N186" s="4347"/>
      <c r="O186" s="4347"/>
      <c r="P186" s="21" t="s">
        <v>0</v>
      </c>
      <c r="Q186" s="21" t="s">
        <v>31</v>
      </c>
      <c r="R186" s="21" t="s">
        <v>324</v>
      </c>
      <c r="S186" s="4347" t="s">
        <v>37</v>
      </c>
      <c r="T186" s="4347"/>
      <c r="U186" s="4347"/>
      <c r="V186" s="4347"/>
      <c r="W186" s="4347"/>
      <c r="X186" s="4376" t="s">
        <v>407</v>
      </c>
    </row>
    <row r="187" spans="1:24" ht="31.5">
      <c r="B187" s="4355">
        <v>46070</v>
      </c>
      <c r="C187" s="3165" t="s">
        <v>390</v>
      </c>
      <c r="D187" s="3165" t="s">
        <v>394</v>
      </c>
      <c r="E187" s="4244" t="s">
        <v>48</v>
      </c>
      <c r="F187" s="4244" t="s">
        <v>195</v>
      </c>
      <c r="G187" s="4244"/>
      <c r="H187" s="4244"/>
      <c r="I187" s="4162">
        <v>705</v>
      </c>
      <c r="J187" s="4162" t="s">
        <v>408</v>
      </c>
      <c r="K187" s="4464" t="s">
        <v>310</v>
      </c>
      <c r="L187" s="4347" t="s">
        <v>37</v>
      </c>
      <c r="M187" s="4347"/>
      <c r="N187" s="4347"/>
      <c r="O187" s="4347"/>
      <c r="S187" s="4347"/>
      <c r="T187" s="4347" t="s">
        <v>37</v>
      </c>
      <c r="U187" s="4347"/>
      <c r="V187" s="4347"/>
      <c r="W187" s="4347"/>
      <c r="X187" s="4376"/>
    </row>
    <row r="188" spans="1:24" ht="31.5">
      <c r="B188" s="4355">
        <v>46070</v>
      </c>
      <c r="C188" s="3165" t="s">
        <v>390</v>
      </c>
      <c r="D188" s="3165" t="s">
        <v>409</v>
      </c>
      <c r="E188" s="3377" t="s">
        <v>339</v>
      </c>
      <c r="F188" s="3377" t="s">
        <v>282</v>
      </c>
      <c r="G188" s="3377"/>
      <c r="H188" s="3377"/>
      <c r="I188" s="4162">
        <v>705</v>
      </c>
      <c r="J188" s="4162" t="s">
        <v>410</v>
      </c>
      <c r="K188" s="4465"/>
      <c r="L188" s="4347" t="s">
        <v>37</v>
      </c>
      <c r="M188" s="4347"/>
      <c r="N188" s="4347"/>
      <c r="O188" s="4347"/>
      <c r="S188" s="4347"/>
      <c r="T188" s="4347"/>
      <c r="U188" s="4347"/>
      <c r="V188" s="4347" t="s">
        <v>37</v>
      </c>
      <c r="W188" s="4347"/>
      <c r="X188" s="4376"/>
    </row>
    <row r="189" spans="1:24" ht="31.5">
      <c r="B189" s="4355">
        <v>46070</v>
      </c>
      <c r="C189" s="3165" t="s">
        <v>390</v>
      </c>
      <c r="D189" s="3165" t="s">
        <v>411</v>
      </c>
      <c r="E189" s="3377" t="s">
        <v>378</v>
      </c>
      <c r="F189" s="3377" t="s">
        <v>412</v>
      </c>
      <c r="G189" s="3377"/>
      <c r="H189" s="3377"/>
      <c r="I189" s="4162">
        <v>705</v>
      </c>
      <c r="J189" s="4162" t="s">
        <v>379</v>
      </c>
      <c r="K189" s="4465"/>
      <c r="L189" s="4347" t="s">
        <v>37</v>
      </c>
      <c r="M189" s="4347"/>
      <c r="N189" s="4347"/>
      <c r="O189" s="4347"/>
      <c r="S189" s="4347"/>
      <c r="T189" s="4347" t="s">
        <v>37</v>
      </c>
      <c r="U189" s="4347"/>
      <c r="V189" s="4347"/>
      <c r="W189" s="4347"/>
      <c r="X189" s="4376"/>
    </row>
    <row r="190" spans="1:24" ht="31.5">
      <c r="B190" s="4355">
        <v>46071</v>
      </c>
      <c r="C190" s="3165" t="s">
        <v>390</v>
      </c>
      <c r="D190" s="3165" t="s">
        <v>413</v>
      </c>
      <c r="E190" s="4162" t="s">
        <v>48</v>
      </c>
      <c r="F190" s="4162" t="s">
        <v>414</v>
      </c>
      <c r="G190" s="4162"/>
      <c r="H190" s="4162"/>
      <c r="I190" s="4162">
        <v>705</v>
      </c>
      <c r="J190" s="4162" t="s">
        <v>415</v>
      </c>
      <c r="K190" s="4465"/>
      <c r="L190" s="4347" t="s">
        <v>37</v>
      </c>
      <c r="M190" s="4347"/>
      <c r="N190" s="4347"/>
      <c r="O190" s="4347"/>
      <c r="S190" s="4347"/>
      <c r="T190" s="4347"/>
      <c r="U190" s="4347"/>
      <c r="V190" s="4347"/>
      <c r="W190" s="4347"/>
      <c r="X190" s="4376"/>
    </row>
    <row r="191" spans="1:24" ht="31.5">
      <c r="B191" s="4355">
        <v>46071</v>
      </c>
      <c r="C191" s="3165" t="s">
        <v>390</v>
      </c>
      <c r="D191" s="3165" t="s">
        <v>416</v>
      </c>
      <c r="E191" s="3377" t="s">
        <v>60</v>
      </c>
      <c r="F191" s="3377" t="s">
        <v>48</v>
      </c>
      <c r="G191" s="3377"/>
      <c r="H191" s="3377"/>
      <c r="I191" s="4162">
        <v>705</v>
      </c>
      <c r="J191" s="4162" t="s">
        <v>417</v>
      </c>
      <c r="K191" s="4465"/>
      <c r="L191" s="4347" t="s">
        <v>37</v>
      </c>
      <c r="M191" s="4347"/>
      <c r="N191" s="4347"/>
      <c r="O191" s="4347"/>
      <c r="S191" s="4347"/>
      <c r="T191" s="4347" t="s">
        <v>37</v>
      </c>
      <c r="U191" s="4347"/>
      <c r="V191" s="4347"/>
      <c r="W191" s="4347"/>
      <c r="X191"/>
    </row>
    <row r="192" spans="1:24" ht="31.5">
      <c r="B192" s="4355">
        <v>46071</v>
      </c>
      <c r="C192" s="3165" t="s">
        <v>390</v>
      </c>
      <c r="D192" s="3165" t="s">
        <v>418</v>
      </c>
      <c r="E192" s="4162" t="s">
        <v>258</v>
      </c>
      <c r="F192" s="4162" t="s">
        <v>419</v>
      </c>
      <c r="G192" s="4162"/>
      <c r="H192" s="4162"/>
      <c r="I192" s="4162">
        <v>712</v>
      </c>
      <c r="J192" s="4162" t="s">
        <v>65</v>
      </c>
      <c r="K192" s="4465"/>
      <c r="L192" s="4347" t="s">
        <v>37</v>
      </c>
      <c r="M192" s="4347"/>
      <c r="N192" s="4347"/>
      <c r="O192" s="4347"/>
      <c r="S192" s="4347"/>
      <c r="T192" s="4347"/>
      <c r="U192" s="4347"/>
      <c r="V192" s="4347"/>
      <c r="W192" s="4347"/>
      <c r="X192" s="4376"/>
    </row>
    <row r="193" spans="2:24" ht="31.5">
      <c r="B193" s="4355">
        <v>46071</v>
      </c>
      <c r="C193" s="3165" t="s">
        <v>390</v>
      </c>
      <c r="D193" s="3165" t="s">
        <v>420</v>
      </c>
      <c r="E193" s="3377" t="s">
        <v>421</v>
      </c>
      <c r="F193" s="3377" t="s">
        <v>79</v>
      </c>
      <c r="G193" s="3377"/>
      <c r="H193" s="3377"/>
      <c r="I193" s="4162">
        <v>705</v>
      </c>
      <c r="J193" s="4162" t="s">
        <v>422</v>
      </c>
      <c r="K193" s="4465"/>
      <c r="L193" s="4347" t="s">
        <v>37</v>
      </c>
      <c r="M193" s="4347"/>
      <c r="N193" s="4347"/>
      <c r="O193" s="4347"/>
      <c r="S193" s="4347"/>
      <c r="T193" s="4347"/>
      <c r="U193" s="4347"/>
      <c r="V193" s="4347"/>
      <c r="W193" s="4347"/>
      <c r="X193" s="4376"/>
    </row>
    <row r="194" spans="2:24" ht="31.5">
      <c r="B194" s="4355">
        <v>46071</v>
      </c>
      <c r="C194" s="3165" t="s">
        <v>390</v>
      </c>
      <c r="D194" s="3165" t="s">
        <v>423</v>
      </c>
      <c r="E194" s="4288" t="s">
        <v>48</v>
      </c>
      <c r="F194" s="4288" t="s">
        <v>424</v>
      </c>
      <c r="G194" s="4288"/>
      <c r="H194" s="4288"/>
      <c r="I194" s="4162">
        <v>705</v>
      </c>
      <c r="J194" s="4162" t="s">
        <v>425</v>
      </c>
      <c r="K194" s="4465"/>
      <c r="L194" s="4347" t="s">
        <v>37</v>
      </c>
      <c r="M194" s="4347"/>
      <c r="N194" s="4347"/>
      <c r="O194" s="4347"/>
      <c r="S194" s="4347"/>
      <c r="T194" s="4347"/>
      <c r="U194" s="4347"/>
      <c r="V194" s="4347" t="s">
        <v>37</v>
      </c>
      <c r="W194" s="4347"/>
      <c r="X194" s="4376"/>
    </row>
    <row r="195" spans="2:24" ht="85.5">
      <c r="B195" s="4355">
        <v>46071</v>
      </c>
      <c r="C195" s="3165" t="s">
        <v>390</v>
      </c>
      <c r="D195" s="3165" t="s">
        <v>423</v>
      </c>
      <c r="E195" s="4288" t="s">
        <v>285</v>
      </c>
      <c r="F195" s="4288" t="s">
        <v>426</v>
      </c>
      <c r="G195" s="4288"/>
      <c r="H195" s="4288"/>
      <c r="I195" s="4162">
        <v>705</v>
      </c>
      <c r="J195" s="4162" t="s">
        <v>427</v>
      </c>
      <c r="K195" s="4465"/>
      <c r="L195" s="4347"/>
      <c r="M195" s="4347" t="s">
        <v>37</v>
      </c>
      <c r="N195" s="4347"/>
      <c r="O195" s="4347"/>
      <c r="P195" s="21" t="s">
        <v>109</v>
      </c>
      <c r="Q195" s="21" t="s">
        <v>159</v>
      </c>
      <c r="R195" s="21" t="s">
        <v>160</v>
      </c>
      <c r="S195" s="4347" t="s">
        <v>37</v>
      </c>
      <c r="T195" s="4347"/>
      <c r="U195" s="4347"/>
      <c r="V195" s="4347"/>
      <c r="W195" s="4347"/>
      <c r="X195" s="4376" t="s">
        <v>428</v>
      </c>
    </row>
    <row r="196" spans="2:24" ht="31.5">
      <c r="B196" s="4355">
        <v>46071</v>
      </c>
      <c r="C196" s="3165" t="s">
        <v>390</v>
      </c>
      <c r="D196" s="3165" t="s">
        <v>429</v>
      </c>
      <c r="E196" s="4198" t="s">
        <v>419</v>
      </c>
      <c r="F196" s="4198" t="s">
        <v>44</v>
      </c>
      <c r="G196" s="4198"/>
      <c r="H196" s="4198"/>
      <c r="I196" s="4162">
        <v>705</v>
      </c>
      <c r="J196" s="4162" t="s">
        <v>430</v>
      </c>
      <c r="K196" s="4464" t="s">
        <v>84</v>
      </c>
      <c r="L196" s="4347" t="s">
        <v>37</v>
      </c>
      <c r="M196" s="4347"/>
      <c r="N196" s="4347"/>
      <c r="O196" s="4347"/>
      <c r="S196" s="4347"/>
      <c r="T196" s="4347"/>
      <c r="U196" s="4347"/>
      <c r="V196" s="4347"/>
      <c r="W196" s="4347"/>
      <c r="X196" s="4376"/>
    </row>
    <row r="197" spans="2:24" ht="31.5">
      <c r="B197" s="4355">
        <v>46071</v>
      </c>
      <c r="C197" s="3165" t="s">
        <v>390</v>
      </c>
      <c r="D197" s="3165" t="s">
        <v>429</v>
      </c>
      <c r="E197" s="4198" t="s">
        <v>171</v>
      </c>
      <c r="F197" s="4198" t="s">
        <v>195</v>
      </c>
      <c r="G197" s="4198"/>
      <c r="H197" s="4198"/>
      <c r="I197" s="4162">
        <v>705</v>
      </c>
      <c r="J197" s="4162" t="s">
        <v>431</v>
      </c>
      <c r="K197" s="4464" t="s">
        <v>84</v>
      </c>
      <c r="L197" s="4347" t="s">
        <v>37</v>
      </c>
      <c r="M197" s="4347"/>
      <c r="N197" s="4347"/>
      <c r="O197" s="4347"/>
      <c r="S197" s="4347"/>
      <c r="T197" s="4347"/>
      <c r="U197" s="4347"/>
      <c r="V197" s="4347"/>
      <c r="W197" s="4347"/>
      <c r="X197" s="4376"/>
    </row>
    <row r="198" spans="2:24" ht="31.5">
      <c r="B198" s="4355">
        <v>46071</v>
      </c>
      <c r="C198" s="3165" t="s">
        <v>390</v>
      </c>
      <c r="D198" s="3165" t="s">
        <v>432</v>
      </c>
      <c r="E198" s="4162" t="s">
        <v>405</v>
      </c>
      <c r="F198" s="4162" t="s">
        <v>273</v>
      </c>
      <c r="G198" s="4162"/>
      <c r="H198" s="4162"/>
      <c r="I198" s="4162">
        <v>707</v>
      </c>
      <c r="J198" s="4989" t="s">
        <v>406</v>
      </c>
      <c r="K198" s="4347"/>
      <c r="L198" s="4347"/>
      <c r="M198" s="4347" t="s">
        <v>37</v>
      </c>
      <c r="N198" s="4347"/>
      <c r="O198" s="4347"/>
      <c r="P198" s="21" t="s">
        <v>0</v>
      </c>
      <c r="Q198" s="21" t="s">
        <v>31</v>
      </c>
      <c r="R198" s="21" t="s">
        <v>324</v>
      </c>
      <c r="S198" s="4347" t="s">
        <v>433</v>
      </c>
      <c r="T198" s="4347" t="s">
        <v>37</v>
      </c>
      <c r="U198" s="4347"/>
      <c r="V198" s="4347"/>
      <c r="W198" s="4347"/>
      <c r="X198" s="4376" t="s">
        <v>434</v>
      </c>
    </row>
    <row r="199" spans="2:24" ht="31.5">
      <c r="B199" s="4355">
        <v>46071</v>
      </c>
      <c r="C199" s="3165" t="s">
        <v>390</v>
      </c>
      <c r="D199" s="3165" t="s">
        <v>435</v>
      </c>
      <c r="E199" s="3377" t="s">
        <v>436</v>
      </c>
      <c r="F199" s="3377" t="s">
        <v>437</v>
      </c>
      <c r="G199" s="3377"/>
      <c r="H199" s="3377"/>
      <c r="I199" s="4162">
        <v>705</v>
      </c>
      <c r="J199" s="4162" t="s">
        <v>438</v>
      </c>
      <c r="K199" s="4464" t="s">
        <v>84</v>
      </c>
      <c r="L199" s="4347" t="s">
        <v>37</v>
      </c>
      <c r="M199" s="4347"/>
      <c r="N199" s="4347"/>
      <c r="O199" s="4347"/>
      <c r="S199" s="4347"/>
      <c r="T199" s="4347"/>
      <c r="U199" s="4347" t="s">
        <v>37</v>
      </c>
      <c r="V199" s="4347"/>
      <c r="W199" s="4347"/>
      <c r="X199" s="4376"/>
    </row>
    <row r="200" spans="2:24" ht="31.5">
      <c r="B200" s="4355">
        <v>46071</v>
      </c>
      <c r="C200" s="3165" t="s">
        <v>390</v>
      </c>
      <c r="D200" s="3165" t="s">
        <v>435</v>
      </c>
      <c r="E200" s="3377" t="s">
        <v>48</v>
      </c>
      <c r="F200" s="3377" t="s">
        <v>436</v>
      </c>
      <c r="G200" s="3377"/>
      <c r="H200" s="3377"/>
      <c r="I200" s="4162">
        <v>705</v>
      </c>
      <c r="J200" s="4162" t="s">
        <v>439</v>
      </c>
      <c r="K200" s="4464" t="s">
        <v>84</v>
      </c>
      <c r="L200" s="4347" t="s">
        <v>37</v>
      </c>
      <c r="M200" s="4347"/>
      <c r="N200" s="4347"/>
      <c r="O200" s="4347"/>
      <c r="S200" s="4347"/>
      <c r="T200" s="4347"/>
      <c r="U200" s="4347" t="s">
        <v>37</v>
      </c>
      <c r="V200" s="4347"/>
      <c r="W200" s="4347"/>
      <c r="X200" s="4376"/>
    </row>
    <row r="201" spans="2:24" ht="31.5">
      <c r="B201" s="4355">
        <v>46071</v>
      </c>
      <c r="C201" s="3165" t="s">
        <v>390</v>
      </c>
      <c r="D201" s="3165" t="s">
        <v>440</v>
      </c>
      <c r="E201" s="3377" t="s">
        <v>441</v>
      </c>
      <c r="F201" s="3377" t="s">
        <v>442</v>
      </c>
      <c r="G201" s="3377"/>
      <c r="H201" s="3377"/>
      <c r="I201" s="4162">
        <v>705</v>
      </c>
      <c r="J201" s="4162" t="s">
        <v>431</v>
      </c>
      <c r="K201" s="4464" t="s">
        <v>310</v>
      </c>
      <c r="L201" s="4347" t="s">
        <v>37</v>
      </c>
      <c r="M201" s="4347"/>
      <c r="N201" s="4347"/>
      <c r="O201" s="4347"/>
      <c r="S201" s="4347"/>
      <c r="T201" s="4347"/>
      <c r="U201" s="4347"/>
      <c r="V201" s="4347"/>
      <c r="W201" s="4347"/>
      <c r="X201" s="4376"/>
    </row>
    <row r="202" spans="2:24" ht="31.5">
      <c r="B202" s="4355">
        <v>46072</v>
      </c>
      <c r="C202" s="3165" t="s">
        <v>390</v>
      </c>
      <c r="D202" s="3165" t="s">
        <v>443</v>
      </c>
      <c r="E202" s="4307" t="s">
        <v>419</v>
      </c>
      <c r="F202" s="4307" t="s">
        <v>444</v>
      </c>
      <c r="G202" s="5136"/>
      <c r="H202" s="5136"/>
      <c r="I202" s="4988">
        <v>712</v>
      </c>
      <c r="J202" s="4162" t="s">
        <v>445</v>
      </c>
      <c r="K202" s="4162"/>
      <c r="L202" s="4347" t="s">
        <v>37</v>
      </c>
      <c r="M202" s="4347"/>
      <c r="N202" s="4347"/>
      <c r="O202" s="4347"/>
      <c r="S202" s="4347"/>
      <c r="T202" s="4347"/>
      <c r="U202" s="4347"/>
      <c r="V202" s="4347"/>
      <c r="W202" s="4347"/>
      <c r="X202" s="4376"/>
    </row>
    <row r="203" spans="2:24" ht="31.5">
      <c r="B203" s="4355">
        <v>46072</v>
      </c>
      <c r="C203" s="3165" t="s">
        <v>390</v>
      </c>
      <c r="D203" s="3165" t="s">
        <v>446</v>
      </c>
      <c r="E203" s="3377" t="s">
        <v>273</v>
      </c>
      <c r="F203" s="3377" t="s">
        <v>447</v>
      </c>
      <c r="G203" s="3377"/>
      <c r="H203" s="3377"/>
      <c r="I203" s="4162">
        <v>703</v>
      </c>
      <c r="J203" s="4162" t="s">
        <v>448</v>
      </c>
      <c r="K203" s="4162"/>
      <c r="L203" s="4347" t="s">
        <v>37</v>
      </c>
      <c r="M203" s="4347"/>
      <c r="N203" s="4347"/>
      <c r="O203" s="4347"/>
      <c r="S203" s="4347"/>
      <c r="T203" s="4347"/>
      <c r="U203" s="4347"/>
      <c r="V203" s="4347"/>
      <c r="W203" s="4347"/>
      <c r="X203" s="4376"/>
    </row>
    <row r="204" spans="2:24" ht="31.5">
      <c r="B204" s="4355">
        <v>46072</v>
      </c>
      <c r="C204" s="3165" t="s">
        <v>390</v>
      </c>
      <c r="D204" s="3165" t="s">
        <v>449</v>
      </c>
      <c r="E204" s="3377" t="s">
        <v>450</v>
      </c>
      <c r="F204" s="3377" t="s">
        <v>264</v>
      </c>
      <c r="G204" s="3377"/>
      <c r="H204" s="3377"/>
      <c r="I204" s="4162">
        <v>712</v>
      </c>
      <c r="J204" s="4162" t="s">
        <v>451</v>
      </c>
      <c r="K204" s="4464" t="s">
        <v>84</v>
      </c>
      <c r="L204" s="4347"/>
      <c r="M204" s="4347" t="s">
        <v>30</v>
      </c>
      <c r="N204" s="4347"/>
      <c r="O204" s="4347"/>
      <c r="P204" s="21" t="s">
        <v>0</v>
      </c>
      <c r="Q204" s="21" t="s">
        <v>187</v>
      </c>
      <c r="R204" s="21" t="s">
        <v>32</v>
      </c>
      <c r="S204" s="4347"/>
      <c r="T204" s="4347"/>
      <c r="U204" s="4347"/>
      <c r="V204" s="4347"/>
      <c r="W204" s="4347"/>
      <c r="X204" s="4376" t="s">
        <v>452</v>
      </c>
    </row>
    <row r="205" spans="2:24" ht="31.5">
      <c r="B205" s="4355">
        <v>46072</v>
      </c>
      <c r="C205" s="3165" t="s">
        <v>390</v>
      </c>
      <c r="D205" s="3165" t="s">
        <v>453</v>
      </c>
      <c r="E205" s="3377" t="s">
        <v>268</v>
      </c>
      <c r="F205" s="3377" t="s">
        <v>454</v>
      </c>
      <c r="G205" s="3377"/>
      <c r="H205" s="3377"/>
      <c r="I205" s="4162">
        <v>707</v>
      </c>
      <c r="J205" s="4162" t="s">
        <v>455</v>
      </c>
      <c r="K205" s="4162"/>
      <c r="L205" s="4347" t="s">
        <v>37</v>
      </c>
      <c r="M205" s="4347"/>
      <c r="N205" s="4347"/>
      <c r="O205" s="4347"/>
      <c r="S205" s="4347"/>
      <c r="T205" s="4347"/>
      <c r="U205" s="4347"/>
      <c r="V205" s="4347"/>
      <c r="W205" s="4347"/>
      <c r="X205" s="4376"/>
    </row>
    <row r="206" spans="2:24" ht="31.5">
      <c r="B206" s="4355">
        <v>46073</v>
      </c>
      <c r="C206" s="3165" t="s">
        <v>390</v>
      </c>
      <c r="D206" s="3165" t="s">
        <v>456</v>
      </c>
      <c r="E206" s="3377" t="s">
        <v>457</v>
      </c>
      <c r="F206" s="3377" t="s">
        <v>458</v>
      </c>
      <c r="G206" s="3377"/>
      <c r="H206" s="3377"/>
      <c r="I206" s="4162">
        <v>712</v>
      </c>
      <c r="J206" s="4162" t="s">
        <v>459</v>
      </c>
      <c r="K206" s="4162"/>
      <c r="L206" s="4347" t="s">
        <v>37</v>
      </c>
      <c r="M206" s="4368"/>
      <c r="N206" s="4368"/>
      <c r="O206" s="4368"/>
      <c r="S206" s="4368"/>
      <c r="T206" s="4368"/>
      <c r="U206" s="4368"/>
      <c r="V206" s="4368"/>
      <c r="W206" s="4368"/>
      <c r="X206" s="4975"/>
    </row>
    <row r="207" spans="2:24" ht="31.5">
      <c r="B207" s="4355">
        <v>46073</v>
      </c>
      <c r="C207" s="3165" t="s">
        <v>390</v>
      </c>
      <c r="D207" s="3165" t="s">
        <v>460</v>
      </c>
      <c r="E207" s="3377" t="s">
        <v>60</v>
      </c>
      <c r="F207" s="3377" t="s">
        <v>282</v>
      </c>
      <c r="G207" s="3377"/>
      <c r="H207" s="3377"/>
      <c r="I207" s="4162">
        <v>705</v>
      </c>
      <c r="J207" s="4162" t="s">
        <v>461</v>
      </c>
      <c r="K207" s="4162"/>
      <c r="L207" s="4368" t="s">
        <v>37</v>
      </c>
      <c r="M207" s="4368"/>
      <c r="N207" s="4368"/>
      <c r="O207" s="4368"/>
      <c r="S207" s="4368"/>
      <c r="T207" s="4368"/>
      <c r="U207" s="4368"/>
      <c r="V207" s="4368"/>
      <c r="W207" s="4368"/>
      <c r="X207" s="4975"/>
    </row>
    <row r="208" spans="2:24" ht="31.5">
      <c r="B208" s="4355">
        <v>46073</v>
      </c>
      <c r="C208" s="3165" t="s">
        <v>390</v>
      </c>
      <c r="D208" s="3165" t="s">
        <v>443</v>
      </c>
      <c r="E208" s="4307" t="s">
        <v>462</v>
      </c>
      <c r="F208" s="4307" t="s">
        <v>463</v>
      </c>
      <c r="G208" s="4310"/>
      <c r="H208" s="4310"/>
      <c r="I208" s="4979">
        <v>712</v>
      </c>
      <c r="J208" s="4162" t="s">
        <v>445</v>
      </c>
      <c r="K208" s="4162"/>
      <c r="L208" s="4990" t="s">
        <v>37</v>
      </c>
      <c r="M208" s="4368"/>
      <c r="N208" s="4368"/>
      <c r="O208" s="4368"/>
      <c r="S208" s="4368"/>
      <c r="T208" s="4368"/>
      <c r="U208" s="4368"/>
      <c r="V208" s="4368"/>
      <c r="W208" s="4368"/>
      <c r="X208" s="4975"/>
    </row>
    <row r="209" spans="2:25" ht="31.5">
      <c r="B209" s="4355">
        <v>46073</v>
      </c>
      <c r="C209" s="3165" t="s">
        <v>390</v>
      </c>
      <c r="D209" s="3165" t="s">
        <v>464</v>
      </c>
      <c r="E209" s="4987" t="s">
        <v>264</v>
      </c>
      <c r="F209" s="4987" t="s">
        <v>183</v>
      </c>
      <c r="G209" s="4987"/>
      <c r="H209" s="4987"/>
      <c r="I209" s="4280">
        <v>707</v>
      </c>
      <c r="J209" s="4280" t="s">
        <v>465</v>
      </c>
      <c r="K209" s="4464" t="s">
        <v>84</v>
      </c>
      <c r="L209" s="4990"/>
      <c r="M209" s="4368" t="s">
        <v>37</v>
      </c>
      <c r="N209" s="4368"/>
      <c r="O209" s="4368"/>
      <c r="P209" s="21" t="s">
        <v>0</v>
      </c>
      <c r="Q209" s="21" t="s">
        <v>187</v>
      </c>
      <c r="R209" s="21" t="s">
        <v>32</v>
      </c>
      <c r="S209" s="4368"/>
      <c r="T209" s="4368"/>
      <c r="U209" s="4368"/>
      <c r="V209" s="4368"/>
      <c r="W209" s="4368"/>
      <c r="X209" s="4975" t="s">
        <v>452</v>
      </c>
    </row>
    <row r="210" spans="2:25" ht="31.5">
      <c r="B210" s="4355">
        <v>46073</v>
      </c>
      <c r="C210" s="3165" t="s">
        <v>390</v>
      </c>
      <c r="D210" s="3165" t="s">
        <v>464</v>
      </c>
      <c r="E210" s="4987" t="s">
        <v>169</v>
      </c>
      <c r="F210" s="4987" t="s">
        <v>466</v>
      </c>
      <c r="G210" s="4987"/>
      <c r="H210" s="4987"/>
      <c r="I210" s="4280">
        <v>707</v>
      </c>
      <c r="J210" s="4280" t="s">
        <v>467</v>
      </c>
      <c r="K210" s="4464" t="s">
        <v>84</v>
      </c>
      <c r="L210" s="4990" t="s">
        <v>37</v>
      </c>
      <c r="M210" s="4368"/>
      <c r="N210" s="4368"/>
      <c r="O210" s="4368"/>
      <c r="S210" s="4368"/>
      <c r="T210" s="4368"/>
      <c r="U210" s="4368"/>
      <c r="V210" s="4368"/>
      <c r="W210" s="4368"/>
      <c r="X210" s="4975"/>
    </row>
    <row r="211" spans="2:25" ht="31.5">
      <c r="B211" s="4355">
        <v>46074</v>
      </c>
      <c r="C211" s="3165" t="s">
        <v>390</v>
      </c>
      <c r="D211" s="3165" t="s">
        <v>468</v>
      </c>
      <c r="E211" s="4288" t="s">
        <v>441</v>
      </c>
      <c r="F211" s="4288" t="s">
        <v>426</v>
      </c>
      <c r="G211" s="4288"/>
      <c r="H211" s="4288"/>
      <c r="I211" s="4162">
        <v>705</v>
      </c>
      <c r="J211" s="4162" t="s">
        <v>427</v>
      </c>
      <c r="K211" s="4162"/>
      <c r="L211" s="4990" t="s">
        <v>37</v>
      </c>
      <c r="M211" s="4367"/>
      <c r="N211" s="4347" t="s">
        <v>37</v>
      </c>
      <c r="O211" s="4347"/>
      <c r="S211" s="4347"/>
      <c r="T211" s="4347" t="s">
        <v>37</v>
      </c>
      <c r="U211" s="4347"/>
      <c r="V211" s="4347"/>
      <c r="W211" s="4347"/>
      <c r="X211" s="4376" t="s">
        <v>469</v>
      </c>
    </row>
    <row r="212" spans="2:25" ht="31.5">
      <c r="B212" s="4355">
        <v>46074</v>
      </c>
      <c r="C212" s="3165" t="s">
        <v>390</v>
      </c>
      <c r="D212" s="3165" t="s">
        <v>470</v>
      </c>
      <c r="E212" s="3377" t="s">
        <v>412</v>
      </c>
      <c r="F212" s="3377" t="s">
        <v>471</v>
      </c>
      <c r="G212" s="3377"/>
      <c r="H212" s="3377"/>
      <c r="I212" s="4162">
        <v>712</v>
      </c>
      <c r="J212" s="4162" t="s">
        <v>379</v>
      </c>
      <c r="K212" s="4162"/>
      <c r="L212" s="4990" t="s">
        <v>37</v>
      </c>
      <c r="M212" s="4367"/>
      <c r="N212" s="4347"/>
      <c r="O212" s="4347"/>
      <c r="S212" s="4347"/>
      <c r="T212" s="4347"/>
      <c r="U212" s="4347"/>
      <c r="V212" s="4347"/>
      <c r="W212" s="4347"/>
      <c r="X212" s="4376"/>
    </row>
    <row r="213" spans="2:25" ht="171">
      <c r="B213" s="4355">
        <v>46074</v>
      </c>
      <c r="C213" s="3165" t="s">
        <v>390</v>
      </c>
      <c r="D213" s="3165" t="s">
        <v>472</v>
      </c>
      <c r="E213" s="3377" t="s">
        <v>60</v>
      </c>
      <c r="F213" s="3377" t="s">
        <v>282</v>
      </c>
      <c r="G213" s="3377"/>
      <c r="H213" s="3377"/>
      <c r="I213" s="4162">
        <v>705</v>
      </c>
      <c r="J213" s="4162" t="s">
        <v>473</v>
      </c>
      <c r="K213" s="4162"/>
      <c r="L213" s="49"/>
      <c r="M213" s="4367" t="s">
        <v>37</v>
      </c>
      <c r="N213" s="4347"/>
      <c r="O213" s="4347"/>
      <c r="P213" s="21" t="s">
        <v>0</v>
      </c>
      <c r="Q213" s="21" t="s">
        <v>110</v>
      </c>
      <c r="R213" s="21" t="s">
        <v>160</v>
      </c>
      <c r="S213" s="4347"/>
      <c r="T213" s="4347"/>
      <c r="U213" s="4347"/>
      <c r="V213" s="4347" t="s">
        <v>37</v>
      </c>
      <c r="W213" s="4347"/>
      <c r="X213" s="4376" t="s">
        <v>474</v>
      </c>
      <c r="Y213" s="3166" t="s">
        <v>475</v>
      </c>
    </row>
    <row r="214" spans="2:25" ht="31.5">
      <c r="B214" s="4355">
        <v>46074</v>
      </c>
      <c r="C214" s="3165" t="s">
        <v>390</v>
      </c>
      <c r="D214" s="3165" t="s">
        <v>476</v>
      </c>
      <c r="E214" s="3377" t="s">
        <v>60</v>
      </c>
      <c r="F214" s="3377" t="s">
        <v>282</v>
      </c>
      <c r="G214" s="3377"/>
      <c r="H214" s="3377"/>
      <c r="I214" s="4162">
        <v>705</v>
      </c>
      <c r="J214" s="4162" t="s">
        <v>477</v>
      </c>
      <c r="K214" s="4162"/>
      <c r="L214" s="4990" t="s">
        <v>37</v>
      </c>
      <c r="M214" s="4367"/>
      <c r="N214" s="4347"/>
      <c r="O214" s="4347"/>
      <c r="S214" s="4347"/>
      <c r="T214" s="4347"/>
      <c r="U214" s="4347"/>
      <c r="V214" s="4347"/>
      <c r="W214" s="4347"/>
      <c r="X214" s="4376"/>
    </row>
    <row r="215" spans="2:25" ht="31.5">
      <c r="B215" s="4355">
        <v>46076</v>
      </c>
      <c r="C215" s="3165" t="s">
        <v>478</v>
      </c>
      <c r="D215" s="3165" t="s">
        <v>476</v>
      </c>
      <c r="E215" s="3377" t="s">
        <v>60</v>
      </c>
      <c r="F215" s="3377" t="s">
        <v>282</v>
      </c>
      <c r="G215" s="3377"/>
      <c r="H215" s="3377"/>
      <c r="I215" s="4162">
        <v>705</v>
      </c>
      <c r="J215" s="4162" t="s">
        <v>479</v>
      </c>
      <c r="K215" s="4162"/>
      <c r="L215" s="49" t="s">
        <v>37</v>
      </c>
      <c r="M215" s="4367"/>
      <c r="N215" s="4347"/>
      <c r="O215" s="4347"/>
      <c r="S215" s="4347"/>
      <c r="T215" s="4347"/>
      <c r="U215" s="4347" t="s">
        <v>37</v>
      </c>
      <c r="V215" s="4347"/>
      <c r="W215" s="4347"/>
      <c r="X215" s="4376"/>
    </row>
    <row r="216" spans="2:25" ht="52.5">
      <c r="B216" s="4355">
        <v>46076</v>
      </c>
      <c r="C216" s="3165" t="s">
        <v>478</v>
      </c>
      <c r="D216" s="3165" t="s">
        <v>480</v>
      </c>
      <c r="E216" s="4999" t="s">
        <v>481</v>
      </c>
      <c r="F216" s="4307" t="s">
        <v>183</v>
      </c>
      <c r="G216" s="4307"/>
      <c r="H216" s="4307"/>
      <c r="I216" s="4162">
        <v>707</v>
      </c>
      <c r="J216" s="4162" t="s">
        <v>482</v>
      </c>
      <c r="K216" s="4464" t="s">
        <v>174</v>
      </c>
      <c r="L216" s="4347" t="s">
        <v>37</v>
      </c>
      <c r="M216" s="4347"/>
      <c r="N216" s="4347"/>
      <c r="O216" s="4347"/>
      <c r="S216" s="4347"/>
      <c r="T216" s="4347"/>
      <c r="U216" s="4347"/>
      <c r="V216" s="4347"/>
      <c r="W216" s="4347"/>
      <c r="X216" s="4376"/>
      <c r="Y216" s="3166" t="s">
        <v>483</v>
      </c>
    </row>
    <row r="217" spans="2:25" ht="57">
      <c r="B217" s="4355">
        <v>46076</v>
      </c>
      <c r="C217" s="3165" t="s">
        <v>478</v>
      </c>
      <c r="D217" s="3165" t="s">
        <v>480</v>
      </c>
      <c r="E217" s="4307" t="s">
        <v>169</v>
      </c>
      <c r="F217" s="4307" t="s">
        <v>61</v>
      </c>
      <c r="G217" s="4307"/>
      <c r="H217" s="4307"/>
      <c r="I217" s="4162">
        <v>707</v>
      </c>
      <c r="J217" s="4162">
        <v>60000</v>
      </c>
      <c r="K217" s="4464" t="s">
        <v>84</v>
      </c>
      <c r="L217" s="4347"/>
      <c r="M217" s="4347" t="s">
        <v>30</v>
      </c>
      <c r="N217" s="4347"/>
      <c r="O217" s="4347"/>
      <c r="P217" s="21" t="s">
        <v>109</v>
      </c>
      <c r="Q217" s="21" t="s">
        <v>484</v>
      </c>
      <c r="R217" s="21" t="s">
        <v>324</v>
      </c>
      <c r="S217" s="4347" t="s">
        <v>37</v>
      </c>
      <c r="T217" s="4347"/>
      <c r="U217" s="4347"/>
      <c r="V217" s="4347"/>
      <c r="W217" s="4347"/>
      <c r="X217" s="4376" t="s">
        <v>485</v>
      </c>
    </row>
    <row r="218" spans="2:25" ht="31.5">
      <c r="B218" s="4355">
        <v>46076</v>
      </c>
      <c r="C218" s="3165" t="s">
        <v>478</v>
      </c>
      <c r="D218" s="3165" t="s">
        <v>486</v>
      </c>
      <c r="E218" s="4312" t="s">
        <v>258</v>
      </c>
      <c r="F218" s="4312" t="s">
        <v>56</v>
      </c>
      <c r="G218" s="4312"/>
      <c r="H218" s="4312"/>
      <c r="I218" s="4162">
        <v>707</v>
      </c>
      <c r="J218" s="4162" t="s">
        <v>487</v>
      </c>
      <c r="K218" s="4347"/>
      <c r="L218" s="4347" t="s">
        <v>37</v>
      </c>
      <c r="M218" s="4347"/>
      <c r="N218" s="4347"/>
      <c r="O218" s="4347"/>
      <c r="S218" s="4347"/>
      <c r="T218" s="4347"/>
      <c r="U218" s="4347"/>
      <c r="V218" s="4347"/>
      <c r="W218" s="4347"/>
      <c r="X218" s="4376"/>
    </row>
    <row r="219" spans="2:25" ht="31.5">
      <c r="B219" s="4355">
        <v>46076</v>
      </c>
      <c r="C219" s="3165" t="s">
        <v>478</v>
      </c>
      <c r="D219" s="3165" t="s">
        <v>486</v>
      </c>
      <c r="E219" s="4312" t="s">
        <v>79</v>
      </c>
      <c r="F219" s="4312" t="s">
        <v>488</v>
      </c>
      <c r="G219" s="4312"/>
      <c r="H219" s="4312"/>
      <c r="I219" s="4162">
        <v>707</v>
      </c>
      <c r="J219" s="4162" t="s">
        <v>489</v>
      </c>
      <c r="K219" s="4347"/>
      <c r="L219" s="4347" t="s">
        <v>37</v>
      </c>
      <c r="M219" s="4347"/>
      <c r="N219" s="4347"/>
      <c r="O219" s="4347"/>
      <c r="S219" s="4347"/>
      <c r="T219" s="4347"/>
      <c r="U219" s="4347"/>
      <c r="V219" s="4347"/>
      <c r="W219" s="4347"/>
      <c r="X219" s="4376"/>
    </row>
    <row r="220" spans="2:25" ht="31.5">
      <c r="B220" s="4355">
        <v>46076</v>
      </c>
      <c r="C220" s="3165" t="s">
        <v>478</v>
      </c>
      <c r="D220" s="3165" t="s">
        <v>490</v>
      </c>
      <c r="E220" s="3377" t="s">
        <v>491</v>
      </c>
      <c r="F220" s="3377" t="s">
        <v>273</v>
      </c>
      <c r="G220" s="3377"/>
      <c r="H220" s="3377"/>
      <c r="I220" s="4162">
        <v>705</v>
      </c>
      <c r="J220" s="4162" t="s">
        <v>492</v>
      </c>
      <c r="K220" s="4465"/>
      <c r="L220" s="4347" t="s">
        <v>37</v>
      </c>
      <c r="M220" s="4347"/>
      <c r="N220" s="4347"/>
      <c r="O220" s="4347"/>
      <c r="S220" s="4347"/>
      <c r="T220" s="4347"/>
      <c r="U220" s="4347"/>
      <c r="V220" s="4347" t="s">
        <v>37</v>
      </c>
      <c r="W220" s="4347"/>
      <c r="X220" s="4376"/>
    </row>
    <row r="221" spans="2:25" ht="31.5">
      <c r="B221" s="4355">
        <v>46076</v>
      </c>
      <c r="C221" s="3165" t="s">
        <v>478</v>
      </c>
      <c r="D221" s="3165" t="s">
        <v>493</v>
      </c>
      <c r="E221" s="4162" t="s">
        <v>79</v>
      </c>
      <c r="F221" s="4162" t="s">
        <v>494</v>
      </c>
      <c r="G221" s="4162"/>
      <c r="H221" s="4162"/>
      <c r="I221" s="4162">
        <v>712</v>
      </c>
      <c r="J221" s="4162" t="s">
        <v>495</v>
      </c>
      <c r="K221" s="4464" t="s">
        <v>84</v>
      </c>
      <c r="L221" s="4347" t="s">
        <v>37</v>
      </c>
      <c r="M221" s="4347"/>
      <c r="N221" s="4347"/>
      <c r="O221" s="4347"/>
      <c r="S221" s="4347"/>
      <c r="T221" s="4347"/>
      <c r="U221" s="4347"/>
      <c r="V221" s="4347"/>
      <c r="W221" s="4347"/>
      <c r="X221" s="4376"/>
    </row>
    <row r="222" spans="2:25" ht="31.5">
      <c r="B222" s="4355">
        <v>46076</v>
      </c>
      <c r="C222" s="3165" t="s">
        <v>478</v>
      </c>
      <c r="D222" s="3165" t="s">
        <v>496</v>
      </c>
      <c r="E222" s="4191" t="s">
        <v>339</v>
      </c>
      <c r="F222" s="4191" t="s">
        <v>497</v>
      </c>
      <c r="G222" s="4191"/>
      <c r="H222" s="4191"/>
      <c r="I222" s="4162">
        <v>707</v>
      </c>
      <c r="J222" s="4162" t="s">
        <v>151</v>
      </c>
      <c r="K222" s="4465"/>
      <c r="L222" s="4347" t="s">
        <v>37</v>
      </c>
      <c r="M222" s="4347"/>
      <c r="N222" s="4347"/>
      <c r="O222" s="4347"/>
      <c r="S222" s="4347"/>
      <c r="T222" s="4347"/>
      <c r="U222" s="4347"/>
      <c r="V222" s="4347"/>
      <c r="W222" s="4347"/>
      <c r="X222" s="4376"/>
    </row>
    <row r="223" spans="2:25" ht="31.5">
      <c r="B223" s="4355">
        <v>46076</v>
      </c>
      <c r="C223" s="3165" t="s">
        <v>478</v>
      </c>
      <c r="D223" s="3165" t="s">
        <v>498</v>
      </c>
      <c r="E223" s="4162" t="s">
        <v>499</v>
      </c>
      <c r="F223" s="4162" t="s">
        <v>500</v>
      </c>
      <c r="G223" s="4162"/>
      <c r="H223" s="4162"/>
      <c r="I223" s="4162">
        <v>712</v>
      </c>
      <c r="J223" s="4162" t="s">
        <v>206</v>
      </c>
      <c r="K223" s="4464" t="s">
        <v>29</v>
      </c>
      <c r="L223" s="4347" t="s">
        <v>37</v>
      </c>
      <c r="M223" s="4347"/>
      <c r="N223" s="4347"/>
      <c r="O223" s="4347"/>
      <c r="S223" s="4347"/>
      <c r="T223" s="4347"/>
      <c r="U223" s="4347"/>
      <c r="V223" s="4347"/>
      <c r="W223" s="4347"/>
      <c r="X223" s="4376"/>
    </row>
    <row r="224" spans="2:25" ht="31.5">
      <c r="B224" s="4355">
        <v>46076</v>
      </c>
      <c r="C224" s="3165" t="s">
        <v>478</v>
      </c>
      <c r="D224" s="3165" t="s">
        <v>501</v>
      </c>
      <c r="E224" s="4991" t="s">
        <v>502</v>
      </c>
      <c r="F224" s="4991" t="s">
        <v>503</v>
      </c>
      <c r="G224" s="4991"/>
      <c r="H224" s="4991"/>
      <c r="I224" s="4162">
        <v>707</v>
      </c>
      <c r="J224" s="4162" t="s">
        <v>504</v>
      </c>
      <c r="K224" s="4464" t="s">
        <v>174</v>
      </c>
      <c r="L224" s="4347" t="s">
        <v>37</v>
      </c>
      <c r="M224" s="4367"/>
      <c r="N224" s="4347"/>
      <c r="O224" s="4347"/>
      <c r="S224" s="4347"/>
      <c r="T224" s="4347"/>
      <c r="U224" s="4347"/>
      <c r="V224" s="4347"/>
      <c r="W224" s="4347"/>
      <c r="X224" s="4376"/>
    </row>
    <row r="225" spans="2:24" ht="31.5">
      <c r="B225" s="4355">
        <v>46076</v>
      </c>
      <c r="C225" s="3165" t="s">
        <v>478</v>
      </c>
      <c r="D225" s="3165" t="s">
        <v>501</v>
      </c>
      <c r="E225" s="4991" t="s">
        <v>505</v>
      </c>
      <c r="F225" s="4991" t="s">
        <v>142</v>
      </c>
      <c r="G225" s="4991"/>
      <c r="H225" s="4991"/>
      <c r="I225" s="4162">
        <v>707</v>
      </c>
      <c r="J225" s="4162" t="s">
        <v>506</v>
      </c>
      <c r="K225" s="4162"/>
      <c r="L225" s="4347" t="s">
        <v>37</v>
      </c>
      <c r="M225" s="4367"/>
      <c r="N225" s="4347"/>
      <c r="O225" s="4347"/>
      <c r="S225" s="4347"/>
      <c r="T225" s="4347"/>
      <c r="U225" s="4347"/>
      <c r="V225" s="4347"/>
      <c r="W225" s="4347"/>
      <c r="X225" s="4376"/>
    </row>
    <row r="226" spans="2:24" ht="57">
      <c r="B226" s="4355">
        <v>46076</v>
      </c>
      <c r="C226" s="3165" t="s">
        <v>478</v>
      </c>
      <c r="D226" s="3165" t="s">
        <v>507</v>
      </c>
      <c r="E226" s="4992" t="s">
        <v>60</v>
      </c>
      <c r="F226" s="4992" t="s">
        <v>44</v>
      </c>
      <c r="G226" s="4992"/>
      <c r="H226" s="4992"/>
      <c r="I226" s="4280">
        <v>705</v>
      </c>
      <c r="J226" s="4280" t="s">
        <v>508</v>
      </c>
      <c r="K226" s="4993"/>
      <c r="L226" s="4347" t="s">
        <v>37</v>
      </c>
      <c r="M226" s="4367"/>
      <c r="N226" s="4347"/>
      <c r="O226" s="4347" t="s">
        <v>37</v>
      </c>
      <c r="S226" s="4347"/>
      <c r="T226" s="4347"/>
      <c r="U226" s="4347"/>
      <c r="V226" s="4347"/>
      <c r="W226" s="4347"/>
      <c r="X226" s="4376" t="s">
        <v>509</v>
      </c>
    </row>
    <row r="227" spans="2:24" ht="31.5">
      <c r="B227" s="4355">
        <v>46076</v>
      </c>
      <c r="C227" s="3165" t="s">
        <v>478</v>
      </c>
      <c r="D227" s="3165" t="s">
        <v>507</v>
      </c>
      <c r="E227" s="4992" t="s">
        <v>171</v>
      </c>
      <c r="F227" s="4992" t="s">
        <v>195</v>
      </c>
      <c r="G227" s="4992"/>
      <c r="H227" s="4992"/>
      <c r="I227" s="4280">
        <v>705</v>
      </c>
      <c r="J227" s="4280" t="s">
        <v>510</v>
      </c>
      <c r="K227" s="4993"/>
      <c r="L227" s="4347" t="s">
        <v>37</v>
      </c>
      <c r="M227" s="4367"/>
      <c r="N227" s="4347"/>
      <c r="O227" s="4347"/>
      <c r="S227" s="4347"/>
      <c r="T227" s="4347"/>
      <c r="U227" s="4347"/>
      <c r="V227" s="4347"/>
      <c r="W227" s="4347"/>
      <c r="X227" s="4376"/>
    </row>
    <row r="228" spans="2:24" ht="31.5">
      <c r="B228" s="4355">
        <v>46077</v>
      </c>
      <c r="C228" s="3165" t="s">
        <v>478</v>
      </c>
      <c r="D228" s="3165" t="s">
        <v>480</v>
      </c>
      <c r="E228" s="4307" t="s">
        <v>169</v>
      </c>
      <c r="F228" s="4307" t="s">
        <v>61</v>
      </c>
      <c r="G228" s="4307"/>
      <c r="H228" s="4307"/>
      <c r="I228" s="4162">
        <v>707</v>
      </c>
      <c r="J228" s="4162">
        <v>60000</v>
      </c>
      <c r="K228" s="4464" t="s">
        <v>84</v>
      </c>
      <c r="L228" s="4347"/>
      <c r="M228" s="4347" t="s">
        <v>37</v>
      </c>
      <c r="N228" s="4347" t="s">
        <v>37</v>
      </c>
      <c r="O228" s="4347"/>
      <c r="P228" s="21" t="s">
        <v>71</v>
      </c>
      <c r="Q228" s="21" t="s">
        <v>138</v>
      </c>
      <c r="R228" s="21" t="s">
        <v>324</v>
      </c>
      <c r="S228" s="4347"/>
      <c r="T228" s="4347" t="s">
        <v>37</v>
      </c>
      <c r="U228" s="4347"/>
      <c r="V228" s="4347"/>
      <c r="W228" s="4347"/>
      <c r="X228" s="4376" t="s">
        <v>511</v>
      </c>
    </row>
    <row r="229" spans="2:24" ht="31.5">
      <c r="B229" s="4355">
        <v>46077</v>
      </c>
      <c r="C229" s="3165" t="s">
        <v>478</v>
      </c>
      <c r="D229" s="3165" t="s">
        <v>486</v>
      </c>
      <c r="E229" s="4312" t="s">
        <v>169</v>
      </c>
      <c r="F229" s="4312" t="s">
        <v>512</v>
      </c>
      <c r="G229" s="4312"/>
      <c r="H229" s="4312"/>
      <c r="I229" s="4162">
        <v>707</v>
      </c>
      <c r="J229" s="4162" t="s">
        <v>513</v>
      </c>
      <c r="K229" s="4465"/>
      <c r="L229" s="4347" t="s">
        <v>37</v>
      </c>
      <c r="M229" s="4347"/>
      <c r="N229" s="4347"/>
      <c r="O229" s="4347"/>
      <c r="S229" s="4347"/>
      <c r="T229" s="4347"/>
      <c r="U229" s="4347"/>
      <c r="V229" s="4347"/>
      <c r="W229" s="4347"/>
      <c r="X229" s="4376"/>
    </row>
    <row r="230" spans="2:24" ht="31.5">
      <c r="B230" s="4355">
        <v>46077</v>
      </c>
      <c r="C230" s="3165" t="s">
        <v>478</v>
      </c>
      <c r="D230" s="3165" t="s">
        <v>496</v>
      </c>
      <c r="E230" s="4191" t="s">
        <v>491</v>
      </c>
      <c r="F230" s="4191" t="s">
        <v>514</v>
      </c>
      <c r="G230" s="4191"/>
      <c r="H230" s="4191"/>
      <c r="I230" s="4162">
        <v>705</v>
      </c>
      <c r="J230" s="4162" t="s">
        <v>151</v>
      </c>
      <c r="K230" s="4465"/>
      <c r="L230" s="4347" t="s">
        <v>37</v>
      </c>
      <c r="M230" s="4347"/>
      <c r="N230" s="4347"/>
      <c r="O230" s="4347"/>
      <c r="S230" s="4347"/>
      <c r="T230" s="4347"/>
      <c r="U230" s="4347" t="s">
        <v>37</v>
      </c>
      <c r="V230" s="4347"/>
      <c r="W230" s="4347"/>
      <c r="X230" s="4376"/>
    </row>
    <row r="231" spans="2:24" ht="31.5">
      <c r="B231" s="4355">
        <v>46077</v>
      </c>
      <c r="C231" s="3165" t="s">
        <v>478</v>
      </c>
      <c r="D231" s="3165" t="s">
        <v>515</v>
      </c>
      <c r="E231" s="4240" t="s">
        <v>204</v>
      </c>
      <c r="F231" s="4240" t="s">
        <v>516</v>
      </c>
      <c r="G231" s="4240"/>
      <c r="H231" s="4240"/>
      <c r="I231" s="4162">
        <v>707</v>
      </c>
      <c r="J231" s="4162">
        <v>60093</v>
      </c>
      <c r="K231" s="4465"/>
      <c r="L231" s="4347" t="s">
        <v>37</v>
      </c>
      <c r="M231" s="4347"/>
      <c r="N231" s="4347"/>
      <c r="O231" s="4347"/>
      <c r="S231" s="4347"/>
      <c r="T231" s="4347"/>
      <c r="U231" s="4347"/>
      <c r="V231" s="4347"/>
      <c r="W231" s="4347"/>
      <c r="X231" s="4376"/>
    </row>
    <row r="232" spans="2:24" ht="31.5">
      <c r="B232" s="4355">
        <v>46077</v>
      </c>
      <c r="C232" s="3165" t="s">
        <v>478</v>
      </c>
      <c r="D232" s="3165" t="s">
        <v>515</v>
      </c>
      <c r="E232" s="4240" t="s">
        <v>517</v>
      </c>
      <c r="F232" s="4240" t="s">
        <v>518</v>
      </c>
      <c r="G232" s="4240"/>
      <c r="H232" s="4240"/>
      <c r="I232" s="4162">
        <v>707</v>
      </c>
      <c r="J232" s="4162" t="s">
        <v>519</v>
      </c>
      <c r="K232" s="4465"/>
      <c r="L232" s="4347" t="s">
        <v>37</v>
      </c>
      <c r="M232" s="4347"/>
      <c r="N232" s="4347"/>
      <c r="O232" s="4347"/>
      <c r="S232" s="4347"/>
      <c r="T232" s="4347"/>
      <c r="U232" s="4347"/>
      <c r="V232" s="4347"/>
      <c r="W232" s="4347"/>
      <c r="X232" s="4376"/>
    </row>
    <row r="233" spans="2:24" ht="31.5">
      <c r="B233" s="4355">
        <v>46077</v>
      </c>
      <c r="C233" s="3165" t="s">
        <v>478</v>
      </c>
      <c r="D233" s="3165" t="s">
        <v>520</v>
      </c>
      <c r="E233" s="4581" t="s">
        <v>48</v>
      </c>
      <c r="F233" s="4581" t="s">
        <v>521</v>
      </c>
      <c r="G233" s="4581"/>
      <c r="H233" s="4581"/>
      <c r="I233" s="4280">
        <v>705</v>
      </c>
      <c r="J233" s="4280" t="s">
        <v>522</v>
      </c>
      <c r="K233" s="4464" t="s">
        <v>310</v>
      </c>
      <c r="L233" s="4759" t="s">
        <v>37</v>
      </c>
      <c r="M233" s="4347"/>
      <c r="N233" s="4347"/>
      <c r="O233" s="4347"/>
      <c r="S233" s="4347"/>
      <c r="T233" s="4347"/>
      <c r="U233" s="4347"/>
      <c r="V233" s="4347"/>
      <c r="W233" s="4347"/>
      <c r="X233" s="4376"/>
    </row>
    <row r="234" spans="2:24" ht="114">
      <c r="B234" s="4355">
        <v>46077</v>
      </c>
      <c r="C234" s="3165" t="s">
        <v>478</v>
      </c>
      <c r="D234" s="3165" t="s">
        <v>520</v>
      </c>
      <c r="E234" s="4581" t="s">
        <v>523</v>
      </c>
      <c r="F234" s="4581" t="s">
        <v>524</v>
      </c>
      <c r="G234" s="4581"/>
      <c r="H234" s="4581"/>
      <c r="I234" s="4280">
        <v>705</v>
      </c>
      <c r="J234" s="4280" t="s">
        <v>525</v>
      </c>
      <c r="K234" s="4464" t="s">
        <v>310</v>
      </c>
      <c r="L234" s="4759"/>
      <c r="M234" s="4347" t="s">
        <v>30</v>
      </c>
      <c r="N234" s="4347"/>
      <c r="O234" s="4347" t="s">
        <v>37</v>
      </c>
      <c r="P234" s="21" t="s">
        <v>0</v>
      </c>
      <c r="Q234" s="21" t="s">
        <v>526</v>
      </c>
      <c r="R234" s="21" t="s">
        <v>160</v>
      </c>
      <c r="S234" s="4347"/>
      <c r="T234" s="4347"/>
      <c r="U234" s="4347"/>
      <c r="V234" s="4347"/>
      <c r="W234" s="4347"/>
      <c r="X234" s="4995" t="s">
        <v>527</v>
      </c>
    </row>
    <row r="235" spans="2:24" ht="31.5">
      <c r="B235" s="4355">
        <v>46077</v>
      </c>
      <c r="C235" s="3165" t="s">
        <v>478</v>
      </c>
      <c r="D235" s="3165" t="s">
        <v>528</v>
      </c>
      <c r="E235" s="4280" t="s">
        <v>491</v>
      </c>
      <c r="F235" s="4280" t="s">
        <v>79</v>
      </c>
      <c r="G235" s="4280"/>
      <c r="H235" s="4280"/>
      <c r="I235" s="4280">
        <v>705</v>
      </c>
      <c r="J235" s="4280" t="s">
        <v>529</v>
      </c>
      <c r="K235" s="4994"/>
      <c r="L235" s="4759" t="s">
        <v>37</v>
      </c>
      <c r="M235" s="4347"/>
      <c r="N235" s="4347"/>
      <c r="O235" s="4347"/>
      <c r="S235" s="4347"/>
      <c r="T235" s="4347"/>
      <c r="U235" s="4347"/>
      <c r="V235" s="4347" t="s">
        <v>37</v>
      </c>
      <c r="W235" s="4347"/>
      <c r="X235" s="4376"/>
    </row>
    <row r="236" spans="2:24" ht="31.5">
      <c r="B236" s="4355">
        <v>46078</v>
      </c>
      <c r="C236" s="3165" t="s">
        <v>478</v>
      </c>
      <c r="D236" s="3165" t="s">
        <v>480</v>
      </c>
      <c r="E236" s="4307" t="s">
        <v>115</v>
      </c>
      <c r="F236" s="4307" t="s">
        <v>61</v>
      </c>
      <c r="G236" s="4307"/>
      <c r="H236" s="4307"/>
      <c r="I236" s="4162">
        <v>707</v>
      </c>
      <c r="J236" s="4162">
        <v>60000</v>
      </c>
      <c r="K236" s="4464" t="s">
        <v>84</v>
      </c>
      <c r="L236" s="4347" t="s">
        <v>37</v>
      </c>
      <c r="M236" s="4347"/>
      <c r="N236" s="4347"/>
      <c r="O236" s="4347"/>
      <c r="S236" s="4347"/>
      <c r="T236" s="4347" t="s">
        <v>37</v>
      </c>
      <c r="U236" s="4347"/>
      <c r="V236" s="4347"/>
      <c r="W236" s="4347"/>
      <c r="X236" s="4376"/>
    </row>
    <row r="237" spans="2:24" ht="31.5">
      <c r="B237" s="4355">
        <v>46078</v>
      </c>
      <c r="C237" s="3165" t="s">
        <v>478</v>
      </c>
      <c r="D237" s="3165" t="s">
        <v>520</v>
      </c>
      <c r="E237" s="4581" t="s">
        <v>530</v>
      </c>
      <c r="F237" s="4581" t="s">
        <v>531</v>
      </c>
      <c r="G237" s="4581"/>
      <c r="H237" s="4581"/>
      <c r="I237" s="4280">
        <v>705</v>
      </c>
      <c r="J237" s="4280" t="s">
        <v>532</v>
      </c>
      <c r="K237" s="4464" t="s">
        <v>310</v>
      </c>
      <c r="L237" s="4759"/>
      <c r="M237" s="4347"/>
      <c r="N237" s="4347" t="s">
        <v>30</v>
      </c>
      <c r="O237" s="4347"/>
      <c r="S237" s="4347"/>
      <c r="T237" s="4347"/>
      <c r="U237" s="4347"/>
      <c r="V237" s="4347"/>
      <c r="W237" s="4347"/>
      <c r="X237" s="4376"/>
    </row>
    <row r="238" spans="2:24" ht="31.5">
      <c r="B238" s="4355">
        <v>46078</v>
      </c>
      <c r="C238" s="3165" t="s">
        <v>478</v>
      </c>
      <c r="D238" s="3165" t="s">
        <v>520</v>
      </c>
      <c r="E238" s="4581" t="s">
        <v>533</v>
      </c>
      <c r="F238" s="4581" t="s">
        <v>534</v>
      </c>
      <c r="G238" s="4581"/>
      <c r="H238" s="4581"/>
      <c r="I238" s="4280">
        <v>705</v>
      </c>
      <c r="J238" s="4280" t="s">
        <v>522</v>
      </c>
      <c r="K238" s="4464" t="s">
        <v>310</v>
      </c>
      <c r="L238" s="4759"/>
      <c r="M238" s="4347"/>
      <c r="N238" s="4347" t="s">
        <v>30</v>
      </c>
      <c r="O238" s="4347"/>
      <c r="S238" s="4347"/>
      <c r="T238" s="4347"/>
      <c r="U238" s="4347"/>
      <c r="V238" s="4347"/>
      <c r="W238" s="4347"/>
      <c r="X238" s="4376"/>
    </row>
    <row r="239" spans="2:24" ht="31.5">
      <c r="B239" s="4355">
        <v>46078</v>
      </c>
      <c r="C239" s="3165" t="s">
        <v>478</v>
      </c>
      <c r="D239" s="3165" t="s">
        <v>528</v>
      </c>
      <c r="E239" s="4162" t="s">
        <v>517</v>
      </c>
      <c r="F239" s="4162" t="s">
        <v>89</v>
      </c>
      <c r="G239" s="4162"/>
      <c r="H239" s="4162"/>
      <c r="I239" s="4162">
        <v>712</v>
      </c>
      <c r="J239" s="4162" t="s">
        <v>445</v>
      </c>
      <c r="K239" s="4464" t="s">
        <v>84</v>
      </c>
      <c r="L239" s="4347" t="s">
        <v>30</v>
      </c>
      <c r="M239" s="4347"/>
      <c r="N239" s="4347"/>
      <c r="O239" s="4347"/>
      <c r="S239" s="4347"/>
      <c r="T239" s="4347"/>
      <c r="U239" s="4347"/>
      <c r="V239" s="4347"/>
      <c r="W239" s="4347"/>
      <c r="X239" s="4376"/>
    </row>
    <row r="240" spans="2:24" ht="31.5">
      <c r="B240" s="4355">
        <v>46078</v>
      </c>
      <c r="C240" s="3165" t="s">
        <v>478</v>
      </c>
      <c r="D240" s="3165" t="s">
        <v>515</v>
      </c>
      <c r="E240" s="4240" t="s">
        <v>148</v>
      </c>
      <c r="F240" s="4240" t="s">
        <v>535</v>
      </c>
      <c r="G240" s="4240"/>
      <c r="H240" s="4240"/>
      <c r="I240" s="4162">
        <v>707</v>
      </c>
      <c r="J240" s="4162" t="s">
        <v>519</v>
      </c>
      <c r="K240" s="4465"/>
      <c r="L240" s="4347" t="s">
        <v>37</v>
      </c>
      <c r="M240" s="4347"/>
      <c r="N240" s="4347"/>
      <c r="O240" s="4347"/>
      <c r="S240" s="4347"/>
      <c r="T240" s="4347"/>
      <c r="U240" s="4347"/>
      <c r="V240" s="4347"/>
      <c r="W240" s="4347"/>
      <c r="X240" s="4376"/>
    </row>
    <row r="241" spans="2:24" ht="31.5">
      <c r="B241" s="4355">
        <v>46078</v>
      </c>
      <c r="C241" s="3165" t="s">
        <v>478</v>
      </c>
      <c r="D241" s="3165" t="s">
        <v>536</v>
      </c>
      <c r="E241" s="4162" t="s">
        <v>268</v>
      </c>
      <c r="F241" s="4162" t="s">
        <v>537</v>
      </c>
      <c r="G241" s="4162"/>
      <c r="H241" s="4162"/>
      <c r="I241" s="4162">
        <v>707</v>
      </c>
      <c r="J241" s="4162" t="s">
        <v>221</v>
      </c>
      <c r="K241" s="4465"/>
      <c r="L241" s="4347" t="s">
        <v>37</v>
      </c>
      <c r="M241" s="4347"/>
      <c r="N241" s="4347"/>
      <c r="O241" s="4347"/>
      <c r="S241" s="4347"/>
      <c r="T241" s="4347"/>
      <c r="U241" s="4347"/>
      <c r="V241" s="4347"/>
      <c r="W241" s="4347"/>
      <c r="X241" s="4376"/>
    </row>
    <row r="242" spans="2:24" ht="31.5">
      <c r="B242" s="4355">
        <v>46079</v>
      </c>
      <c r="C242" s="3165" t="s">
        <v>478</v>
      </c>
      <c r="D242" s="3165" t="s">
        <v>538</v>
      </c>
      <c r="E242" s="4162" t="s">
        <v>79</v>
      </c>
      <c r="F242" s="4162" t="s">
        <v>282</v>
      </c>
      <c r="G242" s="4162"/>
      <c r="H242" s="4162"/>
      <c r="I242" s="4162">
        <v>705</v>
      </c>
      <c r="J242" s="4162" t="s">
        <v>539</v>
      </c>
      <c r="K242" s="4465"/>
      <c r="L242" s="4347" t="s">
        <v>30</v>
      </c>
      <c r="M242" s="4347"/>
      <c r="N242" s="4347"/>
      <c r="O242" s="4347"/>
      <c r="S242" s="4347"/>
      <c r="T242" s="4347" t="s">
        <v>37</v>
      </c>
      <c r="U242" s="4347"/>
      <c r="V242" s="4347"/>
      <c r="W242" s="4347"/>
      <c r="X242" s="4376"/>
    </row>
    <row r="243" spans="2:24" ht="31.5">
      <c r="B243" s="4355">
        <v>46079</v>
      </c>
      <c r="C243" s="3165" t="s">
        <v>478</v>
      </c>
      <c r="D243" s="3165" t="s">
        <v>540</v>
      </c>
      <c r="E243" s="4288" t="s">
        <v>273</v>
      </c>
      <c r="F243" s="4288" t="s">
        <v>497</v>
      </c>
      <c r="G243" s="4288"/>
      <c r="H243" s="4288"/>
      <c r="I243" s="4162">
        <v>707</v>
      </c>
      <c r="J243" s="4162" t="s">
        <v>541</v>
      </c>
      <c r="K243" s="4465"/>
      <c r="L243" s="4347"/>
      <c r="M243" s="4347" t="s">
        <v>37</v>
      </c>
      <c r="N243" s="4347"/>
      <c r="O243" s="4347"/>
      <c r="P243" s="21" t="s">
        <v>0</v>
      </c>
      <c r="Q243" s="21" t="s">
        <v>110</v>
      </c>
      <c r="R243" s="21" t="s">
        <v>324</v>
      </c>
      <c r="S243" s="4347"/>
      <c r="T243" s="4347"/>
      <c r="U243" s="4347"/>
      <c r="V243" s="4347"/>
      <c r="W243" s="4347"/>
      <c r="X243" s="4376" t="s">
        <v>542</v>
      </c>
    </row>
    <row r="244" spans="2:24" ht="31.5">
      <c r="B244" s="4355">
        <v>46079</v>
      </c>
      <c r="C244" s="3165" t="s">
        <v>478</v>
      </c>
      <c r="D244" s="3165" t="s">
        <v>543</v>
      </c>
      <c r="E244" s="4162" t="s">
        <v>80</v>
      </c>
      <c r="F244" s="4162" t="s">
        <v>544</v>
      </c>
      <c r="G244" s="4162"/>
      <c r="H244" s="4162"/>
      <c r="I244" s="4162">
        <v>707</v>
      </c>
      <c r="J244" s="4162">
        <v>60020</v>
      </c>
      <c r="K244" s="4465"/>
      <c r="L244" s="4347" t="s">
        <v>30</v>
      </c>
      <c r="M244" s="4347"/>
      <c r="N244" s="4347"/>
      <c r="O244" s="4347"/>
      <c r="S244" s="4347"/>
      <c r="T244" s="4347"/>
      <c r="U244" s="4347"/>
      <c r="V244" s="4347"/>
      <c r="W244" s="4347"/>
      <c r="X244" s="4376" t="s">
        <v>545</v>
      </c>
    </row>
    <row r="245" spans="2:24" ht="31.5">
      <c r="B245" s="4355">
        <v>46079</v>
      </c>
      <c r="C245" s="3165" t="s">
        <v>478</v>
      </c>
      <c r="D245" s="3165" t="s">
        <v>546</v>
      </c>
      <c r="E245" s="4162" t="s">
        <v>204</v>
      </c>
      <c r="F245" s="4162" t="s">
        <v>263</v>
      </c>
      <c r="G245" s="4162"/>
      <c r="H245" s="4162"/>
      <c r="I245" s="4162">
        <v>707</v>
      </c>
      <c r="J245" s="4162">
        <v>60072</v>
      </c>
      <c r="K245" s="4465"/>
      <c r="L245" s="4347"/>
      <c r="M245" s="4347" t="s">
        <v>30</v>
      </c>
      <c r="N245" s="4347"/>
      <c r="O245" s="4347"/>
      <c r="P245" s="21" t="s">
        <v>71</v>
      </c>
      <c r="Q245" s="21" t="s">
        <v>138</v>
      </c>
      <c r="R245" s="21" t="s">
        <v>324</v>
      </c>
      <c r="S245" s="4347"/>
      <c r="T245" s="4347"/>
      <c r="U245" s="4347"/>
      <c r="V245" s="4347"/>
      <c r="W245" s="4347"/>
      <c r="X245" s="4376" t="s">
        <v>547</v>
      </c>
    </row>
    <row r="246" spans="2:24" ht="31.5">
      <c r="B246" s="4355">
        <v>46079</v>
      </c>
      <c r="C246" s="3165" t="s">
        <v>478</v>
      </c>
      <c r="D246" s="3165" t="s">
        <v>546</v>
      </c>
      <c r="E246" s="4162" t="s">
        <v>148</v>
      </c>
      <c r="F246" s="4162" t="s">
        <v>548</v>
      </c>
      <c r="G246" s="4162"/>
      <c r="H246" s="4162"/>
      <c r="I246" s="4162">
        <v>707</v>
      </c>
      <c r="J246" s="4162">
        <v>60072</v>
      </c>
      <c r="K246" s="4465"/>
      <c r="L246" s="4347" t="s">
        <v>30</v>
      </c>
      <c r="M246" s="4347"/>
      <c r="N246" s="4347"/>
      <c r="O246" s="4347"/>
      <c r="S246" s="4347"/>
      <c r="T246" s="4347"/>
      <c r="U246" s="4347" t="s">
        <v>30</v>
      </c>
      <c r="V246" s="4347"/>
      <c r="W246" s="4347"/>
      <c r="X246" s="4376"/>
    </row>
    <row r="247" spans="2:24" ht="31.5">
      <c r="B247" s="4355">
        <v>46079</v>
      </c>
      <c r="C247" s="3165" t="s">
        <v>478</v>
      </c>
      <c r="D247" s="3165" t="s">
        <v>549</v>
      </c>
      <c r="E247" s="4162" t="s">
        <v>500</v>
      </c>
      <c r="F247" s="4162" t="s">
        <v>499</v>
      </c>
      <c r="G247" s="4162"/>
      <c r="H247" s="4162"/>
      <c r="I247" s="4162">
        <v>712</v>
      </c>
      <c r="J247" s="4162" t="s">
        <v>550</v>
      </c>
      <c r="K247" s="4464" t="s">
        <v>29</v>
      </c>
      <c r="L247" s="4347" t="s">
        <v>37</v>
      </c>
      <c r="M247" s="4347"/>
      <c r="N247" s="4347"/>
      <c r="O247" s="4347"/>
      <c r="S247" s="4347"/>
      <c r="T247" s="4347"/>
      <c r="U247" s="4347"/>
      <c r="V247" s="4347"/>
      <c r="W247" s="4347"/>
      <c r="X247" s="4376"/>
    </row>
    <row r="248" spans="2:24" ht="57">
      <c r="B248" s="4355">
        <v>46079</v>
      </c>
      <c r="C248" s="3165" t="s">
        <v>478</v>
      </c>
      <c r="D248" s="3165" t="s">
        <v>551</v>
      </c>
      <c r="E248" s="4162" t="s">
        <v>169</v>
      </c>
      <c r="F248" s="4162" t="s">
        <v>285</v>
      </c>
      <c r="G248" s="4162"/>
      <c r="H248" s="4162"/>
      <c r="I248" s="4162">
        <v>707</v>
      </c>
      <c r="J248" s="4162" t="s">
        <v>552</v>
      </c>
      <c r="K248" s="4465"/>
      <c r="L248" s="4347"/>
      <c r="M248" s="4347" t="s">
        <v>37</v>
      </c>
      <c r="N248" s="4347"/>
      <c r="O248" s="4347"/>
      <c r="P248" s="21" t="s">
        <v>0</v>
      </c>
      <c r="Q248" s="21" t="s">
        <v>110</v>
      </c>
      <c r="R248" s="21" t="s">
        <v>160</v>
      </c>
      <c r="S248" s="4347"/>
      <c r="T248" s="4347"/>
      <c r="U248" s="4347"/>
      <c r="V248" s="4347"/>
      <c r="W248" s="4347"/>
      <c r="X248" s="4376" t="s">
        <v>553</v>
      </c>
    </row>
    <row r="249" spans="2:24" ht="31.5">
      <c r="B249" s="4355">
        <v>46080</v>
      </c>
      <c r="C249" s="3165" t="s">
        <v>478</v>
      </c>
      <c r="D249" s="3165" t="s">
        <v>540</v>
      </c>
      <c r="E249" s="4288" t="s">
        <v>491</v>
      </c>
      <c r="F249" s="4288" t="s">
        <v>548</v>
      </c>
      <c r="G249" s="4288"/>
      <c r="H249" s="4288"/>
      <c r="I249" s="4162">
        <v>707</v>
      </c>
      <c r="J249" s="4162" t="s">
        <v>554</v>
      </c>
      <c r="K249" s="4465"/>
      <c r="L249" s="4347"/>
      <c r="M249" s="4347"/>
      <c r="N249" s="4347" t="s">
        <v>30</v>
      </c>
      <c r="O249" s="4347"/>
      <c r="S249" s="4347"/>
      <c r="T249" s="4347"/>
      <c r="U249" s="4347"/>
      <c r="V249" s="4347"/>
      <c r="W249" s="4347"/>
      <c r="X249" s="4376"/>
    </row>
    <row r="250" spans="2:24" ht="31.5">
      <c r="B250" s="4355">
        <v>46080</v>
      </c>
      <c r="C250" s="3165" t="s">
        <v>478</v>
      </c>
      <c r="D250" s="3165" t="s">
        <v>555</v>
      </c>
      <c r="E250" s="3377" t="s">
        <v>204</v>
      </c>
      <c r="F250" s="3377" t="s">
        <v>169</v>
      </c>
      <c r="G250" s="3377"/>
      <c r="H250" s="3377"/>
      <c r="I250" s="4162">
        <v>707</v>
      </c>
      <c r="J250" s="4162">
        <v>60072</v>
      </c>
      <c r="K250" s="4465"/>
      <c r="L250" s="4347" t="s">
        <v>30</v>
      </c>
      <c r="M250" s="4347"/>
      <c r="N250" s="4347"/>
      <c r="O250" s="4347"/>
      <c r="S250" s="4347"/>
      <c r="T250" s="4347"/>
      <c r="U250" s="4347" t="s">
        <v>30</v>
      </c>
      <c r="V250" s="4347"/>
      <c r="W250" s="4347"/>
      <c r="X250" s="4376"/>
    </row>
    <row r="251" spans="2:24" ht="31.5">
      <c r="B251" s="4355">
        <v>46080</v>
      </c>
      <c r="C251" s="3165" t="s">
        <v>478</v>
      </c>
      <c r="D251" s="3165" t="s">
        <v>556</v>
      </c>
      <c r="E251" s="3377" t="s">
        <v>169</v>
      </c>
      <c r="F251" s="3377" t="s">
        <v>537</v>
      </c>
      <c r="G251" s="3377"/>
      <c r="H251" s="3377"/>
      <c r="I251" s="4162">
        <v>707</v>
      </c>
      <c r="J251" s="4162" t="s">
        <v>557</v>
      </c>
      <c r="K251" s="4464" t="s">
        <v>84</v>
      </c>
      <c r="L251" s="4347" t="s">
        <v>30</v>
      </c>
      <c r="M251" s="4347"/>
      <c r="N251" s="4347"/>
      <c r="O251" s="4347"/>
      <c r="S251" s="4347"/>
      <c r="T251" s="4347"/>
      <c r="U251" s="4347" t="s">
        <v>30</v>
      </c>
      <c r="V251" s="4347"/>
      <c r="W251" s="4347"/>
      <c r="X251" s="4376"/>
    </row>
    <row r="252" spans="2:24" ht="31.5">
      <c r="B252" s="4355">
        <v>46080</v>
      </c>
      <c r="C252" s="3165" t="s">
        <v>478</v>
      </c>
      <c r="D252" s="3165" t="s">
        <v>558</v>
      </c>
      <c r="E252" s="3377" t="s">
        <v>60</v>
      </c>
      <c r="F252" s="3377" t="s">
        <v>491</v>
      </c>
      <c r="G252" s="3377"/>
      <c r="H252" s="3377"/>
      <c r="I252" s="4162">
        <v>707</v>
      </c>
      <c r="J252" s="4162" t="s">
        <v>559</v>
      </c>
      <c r="K252" s="4465"/>
      <c r="L252" s="4347" t="s">
        <v>30</v>
      </c>
      <c r="M252" s="4347"/>
      <c r="N252" s="4347"/>
      <c r="O252" s="4347"/>
      <c r="S252" s="4347"/>
      <c r="T252" s="4347"/>
      <c r="U252" s="4347"/>
      <c r="V252" s="4347"/>
      <c r="W252" s="4347"/>
      <c r="X252" s="4376"/>
    </row>
    <row r="253" spans="2:24" ht="31.5">
      <c r="B253" s="4355">
        <v>46080</v>
      </c>
      <c r="C253" s="3165" t="s">
        <v>478</v>
      </c>
      <c r="D253" s="3165" t="s">
        <v>560</v>
      </c>
      <c r="E253" s="3377" t="s">
        <v>60</v>
      </c>
      <c r="F253" s="3377" t="s">
        <v>204</v>
      </c>
      <c r="G253" s="3377"/>
      <c r="H253" s="3377"/>
      <c r="I253" s="4162">
        <v>701</v>
      </c>
      <c r="J253" s="4162" t="s">
        <v>561</v>
      </c>
      <c r="K253" s="4465"/>
      <c r="L253" s="4347" t="s">
        <v>30</v>
      </c>
      <c r="M253" s="4347"/>
      <c r="N253" s="4347"/>
      <c r="O253" s="4347"/>
      <c r="S253" s="4347"/>
      <c r="T253" s="4347"/>
      <c r="U253" s="4347"/>
      <c r="V253" s="4347"/>
      <c r="W253" s="4347"/>
      <c r="X253" s="4376"/>
    </row>
    <row r="254" spans="2:24" ht="31.5">
      <c r="B254" s="4355">
        <v>46080</v>
      </c>
      <c r="C254" s="3165" t="s">
        <v>478</v>
      </c>
      <c r="D254" s="3165" t="s">
        <v>562</v>
      </c>
      <c r="E254" s="4162" t="s">
        <v>79</v>
      </c>
      <c r="F254" s="4162" t="s">
        <v>282</v>
      </c>
      <c r="G254" s="4162"/>
      <c r="H254" s="4162"/>
      <c r="I254" s="4162">
        <v>705</v>
      </c>
      <c r="J254" s="4162" t="s">
        <v>563</v>
      </c>
      <c r="K254" s="4465"/>
      <c r="L254" s="4347"/>
      <c r="M254" s="4347" t="s">
        <v>37</v>
      </c>
      <c r="N254" s="4347"/>
      <c r="O254" s="4347"/>
      <c r="P254" s="21" t="s">
        <v>0</v>
      </c>
      <c r="Q254" s="21" t="s">
        <v>187</v>
      </c>
      <c r="R254" s="21" t="s">
        <v>160</v>
      </c>
      <c r="S254" s="4347"/>
      <c r="T254" s="4347"/>
      <c r="U254" s="4347"/>
      <c r="V254" s="4347" t="s">
        <v>37</v>
      </c>
      <c r="W254" s="4347"/>
      <c r="X254" s="4376" t="s">
        <v>564</v>
      </c>
    </row>
    <row r="255" spans="2:24" ht="31.5">
      <c r="B255" s="4355">
        <v>46080</v>
      </c>
      <c r="C255" s="3165" t="s">
        <v>478</v>
      </c>
      <c r="D255" s="3165" t="s">
        <v>565</v>
      </c>
      <c r="E255" s="3377" t="s">
        <v>60</v>
      </c>
      <c r="F255" s="3377" t="s">
        <v>447</v>
      </c>
      <c r="G255" s="3377"/>
      <c r="H255" s="3377"/>
      <c r="I255" s="4162">
        <v>707</v>
      </c>
      <c r="J255" s="4162" t="s">
        <v>566</v>
      </c>
      <c r="K255" s="4465"/>
      <c r="L255" s="4347"/>
      <c r="M255" s="4347" t="s">
        <v>37</v>
      </c>
      <c r="N255" s="4347"/>
      <c r="O255" s="4347"/>
      <c r="P255" s="21" t="s">
        <v>0</v>
      </c>
      <c r="Q255" s="21" t="s">
        <v>187</v>
      </c>
      <c r="R255" s="21" t="s">
        <v>324</v>
      </c>
      <c r="S255" s="4347"/>
      <c r="T255" s="4347"/>
      <c r="U255" s="4347"/>
      <c r="V255" s="4347"/>
      <c r="W255" s="4347"/>
      <c r="X255" s="4376" t="s">
        <v>564</v>
      </c>
    </row>
    <row r="256" spans="2:24" ht="31.5">
      <c r="B256" s="4355">
        <v>46080</v>
      </c>
      <c r="C256" s="3165" t="s">
        <v>478</v>
      </c>
      <c r="D256" s="3165" t="s">
        <v>567</v>
      </c>
      <c r="E256" s="3377" t="s">
        <v>421</v>
      </c>
      <c r="F256" s="3377" t="s">
        <v>79</v>
      </c>
      <c r="G256" s="3377"/>
      <c r="H256" s="3377"/>
      <c r="I256" s="4162">
        <v>705</v>
      </c>
      <c r="J256" s="4162" t="s">
        <v>422</v>
      </c>
      <c r="K256" s="4465"/>
      <c r="L256" s="4347"/>
      <c r="M256" s="4347" t="s">
        <v>37</v>
      </c>
      <c r="N256" s="4347"/>
      <c r="O256" s="4347"/>
      <c r="P256" s="21" t="s">
        <v>0</v>
      </c>
      <c r="Q256" s="21" t="s">
        <v>187</v>
      </c>
      <c r="R256" s="21" t="s">
        <v>160</v>
      </c>
      <c r="S256" s="4347"/>
      <c r="T256" s="4347"/>
      <c r="U256" s="4347"/>
      <c r="V256" s="4347"/>
      <c r="W256" s="4347"/>
      <c r="X256" s="4376" t="s">
        <v>564</v>
      </c>
    </row>
    <row r="257" spans="2:24" ht="31.5">
      <c r="B257" s="4355">
        <v>46081</v>
      </c>
      <c r="C257" s="3165" t="s">
        <v>478</v>
      </c>
      <c r="D257" s="3165" t="s">
        <v>568</v>
      </c>
      <c r="E257" s="3377" t="s">
        <v>60</v>
      </c>
      <c r="F257" s="3377" t="s">
        <v>282</v>
      </c>
      <c r="G257" s="3377"/>
      <c r="H257" s="3377"/>
      <c r="I257" s="4162">
        <v>705</v>
      </c>
      <c r="J257" s="4162" t="s">
        <v>477</v>
      </c>
      <c r="K257" s="4162"/>
      <c r="L257" s="49"/>
      <c r="M257" s="4367" t="s">
        <v>30</v>
      </c>
      <c r="N257" s="4347"/>
      <c r="O257" s="4347"/>
      <c r="P257" s="21" t="s">
        <v>0</v>
      </c>
      <c r="Q257" s="21" t="s">
        <v>187</v>
      </c>
      <c r="R257" s="21" t="s">
        <v>160</v>
      </c>
      <c r="S257" s="4347"/>
      <c r="T257" s="4347"/>
      <c r="U257" s="4347"/>
      <c r="V257" s="4347"/>
      <c r="W257" s="4347"/>
      <c r="X257" s="4376"/>
    </row>
    <row r="258" spans="2:24" ht="31.5">
      <c r="B258" s="4355">
        <v>46083</v>
      </c>
      <c r="C258" s="3165" t="s">
        <v>569</v>
      </c>
      <c r="D258" s="3165" t="s">
        <v>570</v>
      </c>
      <c r="E258" s="5083" t="s">
        <v>169</v>
      </c>
      <c r="F258" s="4287" t="s">
        <v>497</v>
      </c>
      <c r="G258" s="4287"/>
      <c r="H258" s="4287"/>
      <c r="I258" s="4162">
        <v>707</v>
      </c>
      <c r="J258" s="3408">
        <v>60072</v>
      </c>
      <c r="K258" s="924"/>
      <c r="L258" s="4367" t="s">
        <v>30</v>
      </c>
      <c r="M258" s="1227"/>
      <c r="N258" s="47"/>
      <c r="O258" s="47"/>
      <c r="X258" s="924"/>
    </row>
    <row r="259" spans="2:24" ht="31.5">
      <c r="B259" s="4355">
        <v>46083</v>
      </c>
      <c r="C259" s="3165" t="s">
        <v>569</v>
      </c>
      <c r="D259" s="3165" t="s">
        <v>570</v>
      </c>
      <c r="E259" s="4287" t="s">
        <v>491</v>
      </c>
      <c r="F259" s="4287" t="s">
        <v>571</v>
      </c>
      <c r="G259" s="4287"/>
      <c r="H259" s="4287"/>
      <c r="I259" s="4162">
        <v>707</v>
      </c>
      <c r="J259" s="4162" t="s">
        <v>572</v>
      </c>
      <c r="K259" s="4162"/>
      <c r="L259" s="4367" t="s">
        <v>30</v>
      </c>
      <c r="M259" s="4367"/>
      <c r="N259" s="4347"/>
      <c r="O259" s="4347"/>
      <c r="X259" s="4376"/>
    </row>
    <row r="260" spans="2:24" ht="31.5">
      <c r="B260" s="4355">
        <v>46083</v>
      </c>
      <c r="C260" s="3165" t="s">
        <v>569</v>
      </c>
      <c r="D260" s="3165" t="s">
        <v>573</v>
      </c>
      <c r="E260" s="4179" t="s">
        <v>79</v>
      </c>
      <c r="F260" s="4179" t="s">
        <v>574</v>
      </c>
      <c r="G260" s="4179"/>
      <c r="H260" s="4179"/>
      <c r="I260" s="4162">
        <v>712</v>
      </c>
      <c r="J260" s="4162">
        <v>1122</v>
      </c>
      <c r="K260" s="4464" t="s">
        <v>84</v>
      </c>
      <c r="L260" s="4367" t="s">
        <v>30</v>
      </c>
      <c r="M260" s="4367"/>
      <c r="N260" s="4347"/>
      <c r="O260" s="4347"/>
      <c r="X260" s="4376"/>
    </row>
    <row r="261" spans="2:24" ht="31.5">
      <c r="B261" s="4355">
        <v>46083</v>
      </c>
      <c r="C261" s="3165" t="s">
        <v>569</v>
      </c>
      <c r="D261" s="3165" t="s">
        <v>575</v>
      </c>
      <c r="E261" s="3377" t="s">
        <v>204</v>
      </c>
      <c r="F261" s="3377" t="s">
        <v>204</v>
      </c>
      <c r="G261" s="3377"/>
      <c r="H261" s="3377"/>
      <c r="I261" s="4162">
        <v>703</v>
      </c>
      <c r="J261" s="4162" t="s">
        <v>576</v>
      </c>
      <c r="K261" s="4162"/>
      <c r="L261" s="4367" t="s">
        <v>30</v>
      </c>
      <c r="M261" s="4367"/>
      <c r="N261" s="4347"/>
      <c r="O261" s="4347"/>
      <c r="X261" s="4376"/>
    </row>
    <row r="262" spans="2:24" ht="31.5">
      <c r="B262" s="4355">
        <v>46083</v>
      </c>
      <c r="C262" s="3165" t="s">
        <v>569</v>
      </c>
      <c r="D262" s="3165" t="s">
        <v>575</v>
      </c>
      <c r="E262" s="3377" t="s">
        <v>204</v>
      </c>
      <c r="F262" s="3377" t="s">
        <v>577</v>
      </c>
      <c r="G262" s="3377"/>
      <c r="H262" s="3377"/>
      <c r="I262" s="4162">
        <v>703</v>
      </c>
      <c r="J262" s="4162" t="s">
        <v>578</v>
      </c>
      <c r="K262" s="4162"/>
      <c r="L262" s="4367" t="s">
        <v>30</v>
      </c>
      <c r="M262" s="4367"/>
      <c r="N262" s="4347"/>
      <c r="O262" s="4347"/>
      <c r="X262" s="4376"/>
    </row>
    <row r="263" spans="2:24" ht="31.5">
      <c r="B263" s="4355">
        <v>46083</v>
      </c>
      <c r="C263" s="3165" t="s">
        <v>569</v>
      </c>
      <c r="D263" s="3165" t="s">
        <v>579</v>
      </c>
      <c r="E263" s="3377" t="s">
        <v>273</v>
      </c>
      <c r="F263" s="3377" t="s">
        <v>48</v>
      </c>
      <c r="G263" s="3377"/>
      <c r="H263" s="3377"/>
      <c r="I263" s="4162">
        <v>705</v>
      </c>
      <c r="J263" s="4162" t="s">
        <v>580</v>
      </c>
      <c r="K263" s="4162"/>
      <c r="L263" s="4367" t="s">
        <v>30</v>
      </c>
      <c r="M263" s="4367"/>
      <c r="N263" s="4347"/>
      <c r="O263" s="4347"/>
      <c r="X263" s="4376"/>
    </row>
    <row r="264" spans="2:24" ht="31.5">
      <c r="B264" s="4355">
        <v>46083</v>
      </c>
      <c r="C264" s="3165" t="s">
        <v>569</v>
      </c>
      <c r="D264" s="3165" t="s">
        <v>581</v>
      </c>
      <c r="E264" s="3377" t="s">
        <v>79</v>
      </c>
      <c r="F264" s="3377" t="s">
        <v>273</v>
      </c>
      <c r="G264" s="3377"/>
      <c r="H264" s="3377"/>
      <c r="I264" s="4162">
        <v>707</v>
      </c>
      <c r="J264" s="4162" t="s">
        <v>566</v>
      </c>
      <c r="K264" s="4162"/>
      <c r="L264" s="4367" t="s">
        <v>30</v>
      </c>
      <c r="M264" s="4367"/>
      <c r="N264" s="4347"/>
      <c r="O264" s="4347"/>
      <c r="X264" s="4376"/>
    </row>
    <row r="265" spans="2:24" ht="31.5">
      <c r="B265" s="4355">
        <v>46084</v>
      </c>
      <c r="C265" s="3165" t="s">
        <v>569</v>
      </c>
      <c r="D265" s="3165" t="s">
        <v>573</v>
      </c>
      <c r="E265" s="4179" t="s">
        <v>264</v>
      </c>
      <c r="F265" s="4179" t="s">
        <v>518</v>
      </c>
      <c r="G265" s="4179"/>
      <c r="H265" s="4179"/>
      <c r="I265" s="4162">
        <v>712</v>
      </c>
      <c r="J265" s="4162" t="s">
        <v>582</v>
      </c>
      <c r="K265" s="4162"/>
      <c r="L265" s="4367" t="s">
        <v>30</v>
      </c>
      <c r="M265" s="4367"/>
      <c r="N265" s="4347"/>
      <c r="O265" s="4347"/>
      <c r="X265" s="4376"/>
    </row>
    <row r="266" spans="2:24" ht="31.5">
      <c r="B266" s="4355">
        <v>46084</v>
      </c>
      <c r="C266" s="3165" t="s">
        <v>569</v>
      </c>
      <c r="D266" s="3165" t="s">
        <v>573</v>
      </c>
      <c r="E266" s="4179" t="s">
        <v>148</v>
      </c>
      <c r="F266" s="4179" t="s">
        <v>517</v>
      </c>
      <c r="G266" s="4179"/>
      <c r="H266" s="4179"/>
      <c r="I266" s="4162">
        <v>703</v>
      </c>
      <c r="J266" s="4162" t="s">
        <v>582</v>
      </c>
      <c r="K266" s="4162"/>
      <c r="L266" s="4367" t="s">
        <v>30</v>
      </c>
      <c r="M266" s="4367"/>
      <c r="N266" s="4347"/>
      <c r="O266" s="4347"/>
      <c r="X266" s="4376"/>
    </row>
    <row r="267" spans="2:24" ht="31.5">
      <c r="B267" s="4355">
        <v>46084</v>
      </c>
      <c r="C267" s="3165" t="s">
        <v>569</v>
      </c>
      <c r="D267" s="3165" t="s">
        <v>583</v>
      </c>
      <c r="E267" s="4996" t="s">
        <v>273</v>
      </c>
      <c r="F267" s="4996" t="s">
        <v>584</v>
      </c>
      <c r="G267" s="4996"/>
      <c r="H267" s="4996"/>
      <c r="I267" s="4162">
        <v>703</v>
      </c>
      <c r="J267" s="4162" t="s">
        <v>585</v>
      </c>
      <c r="K267" s="4162"/>
      <c r="L267" s="4367" t="s">
        <v>30</v>
      </c>
      <c r="M267" s="4367"/>
      <c r="N267" s="4347"/>
      <c r="O267" s="4347"/>
      <c r="X267" s="4376"/>
    </row>
    <row r="268" spans="2:24" ht="31.5">
      <c r="B268" s="4355">
        <v>46084</v>
      </c>
      <c r="C268" s="3165" t="s">
        <v>569</v>
      </c>
      <c r="D268" s="3165" t="s">
        <v>583</v>
      </c>
      <c r="E268" s="4996" t="s">
        <v>586</v>
      </c>
      <c r="F268" s="4996" t="s">
        <v>389</v>
      </c>
      <c r="G268" s="4996"/>
      <c r="H268" s="4996"/>
      <c r="I268" s="4162">
        <v>703</v>
      </c>
      <c r="J268" s="4162" t="s">
        <v>585</v>
      </c>
      <c r="K268" s="4162"/>
      <c r="L268" s="4367" t="s">
        <v>30</v>
      </c>
      <c r="M268" s="4367"/>
      <c r="N268" s="4347"/>
      <c r="O268" s="4347"/>
      <c r="X268" s="4376"/>
    </row>
    <row r="269" spans="2:24" ht="31.5">
      <c r="B269" s="4355">
        <v>46084</v>
      </c>
      <c r="C269" s="3165" t="s">
        <v>569</v>
      </c>
      <c r="D269" s="3165" t="s">
        <v>587</v>
      </c>
      <c r="E269" s="4167" t="s">
        <v>273</v>
      </c>
      <c r="F269" s="4167" t="s">
        <v>588</v>
      </c>
      <c r="G269" s="4167"/>
      <c r="H269" s="4167"/>
      <c r="I269" s="4162">
        <v>703</v>
      </c>
      <c r="J269" s="4162" t="s">
        <v>589</v>
      </c>
      <c r="K269" s="4162"/>
      <c r="L269" s="4367" t="s">
        <v>30</v>
      </c>
      <c r="M269" s="4367"/>
      <c r="N269" s="4347"/>
      <c r="O269" s="4347"/>
      <c r="X269" s="4376"/>
    </row>
    <row r="270" spans="2:24" ht="31.5">
      <c r="B270" s="4355">
        <v>46085</v>
      </c>
      <c r="C270" s="3165" t="s">
        <v>569</v>
      </c>
      <c r="D270" s="3165" t="s">
        <v>573</v>
      </c>
      <c r="E270" s="4179" t="s">
        <v>517</v>
      </c>
      <c r="F270" s="4180" t="s">
        <v>590</v>
      </c>
      <c r="G270" s="4180"/>
      <c r="H270" s="4180"/>
      <c r="I270" s="4162">
        <v>712</v>
      </c>
      <c r="J270" s="4162" t="s">
        <v>582</v>
      </c>
      <c r="K270" s="4162"/>
      <c r="L270" s="4367" t="s">
        <v>30</v>
      </c>
      <c r="M270" s="4367"/>
      <c r="N270" s="4347"/>
      <c r="O270" s="4347"/>
      <c r="X270" s="4376"/>
    </row>
    <row r="271" spans="2:24" ht="31.5">
      <c r="B271" s="4355">
        <v>46085</v>
      </c>
      <c r="C271" s="3165" t="s">
        <v>569</v>
      </c>
      <c r="D271" s="3165" t="s">
        <v>591</v>
      </c>
      <c r="E271" s="4195" t="s">
        <v>592</v>
      </c>
      <c r="F271" s="4195" t="s">
        <v>593</v>
      </c>
      <c r="G271" s="4195"/>
      <c r="H271" s="4195"/>
      <c r="I271" s="4162">
        <v>701</v>
      </c>
      <c r="J271" s="4162" t="s">
        <v>594</v>
      </c>
      <c r="K271" s="4162"/>
      <c r="L271" s="4367" t="s">
        <v>30</v>
      </c>
      <c r="M271" s="4367"/>
      <c r="N271" s="4347"/>
      <c r="O271" s="4347"/>
      <c r="X271" s="4376"/>
    </row>
    <row r="272" spans="2:24" ht="31.5">
      <c r="B272" s="4355">
        <v>46085</v>
      </c>
      <c r="C272" s="3165" t="s">
        <v>569</v>
      </c>
      <c r="D272" s="3165" t="s">
        <v>595</v>
      </c>
      <c r="E272" s="3377" t="s">
        <v>596</v>
      </c>
      <c r="F272" s="3377" t="s">
        <v>360</v>
      </c>
      <c r="G272" s="3377"/>
      <c r="H272" s="3377"/>
      <c r="I272" s="4162">
        <v>707</v>
      </c>
      <c r="J272" s="4162" t="s">
        <v>597</v>
      </c>
      <c r="K272" s="4162"/>
      <c r="L272" s="4367" t="s">
        <v>30</v>
      </c>
      <c r="M272" s="4367"/>
      <c r="N272" s="4347"/>
      <c r="O272" s="4347"/>
      <c r="X272" s="4376"/>
    </row>
    <row r="273" spans="2:24" ht="31.5">
      <c r="B273" s="4355">
        <v>46085</v>
      </c>
      <c r="C273" s="3165" t="s">
        <v>569</v>
      </c>
      <c r="D273" s="3165" t="s">
        <v>598</v>
      </c>
      <c r="E273" s="4997" t="s">
        <v>599</v>
      </c>
      <c r="F273" s="4997" t="s">
        <v>153</v>
      </c>
      <c r="G273" s="4997"/>
      <c r="H273" s="4997"/>
      <c r="I273" s="4162">
        <v>707</v>
      </c>
      <c r="J273" s="4162" t="s">
        <v>600</v>
      </c>
      <c r="K273" s="4162"/>
      <c r="L273" s="4367" t="s">
        <v>30</v>
      </c>
      <c r="M273" s="4367"/>
      <c r="N273" s="4347"/>
      <c r="O273" s="4347"/>
      <c r="X273" s="4376"/>
    </row>
    <row r="274" spans="2:24" ht="31.5">
      <c r="B274" s="4355">
        <v>46085</v>
      </c>
      <c r="C274" s="3165" t="s">
        <v>569</v>
      </c>
      <c r="D274" s="3165" t="s">
        <v>601</v>
      </c>
      <c r="E274" s="3377" t="s">
        <v>79</v>
      </c>
      <c r="F274" s="3377" t="s">
        <v>282</v>
      </c>
      <c r="G274" s="3377"/>
      <c r="H274" s="3377"/>
      <c r="I274" s="4162">
        <v>705</v>
      </c>
      <c r="J274" s="4162" t="s">
        <v>602</v>
      </c>
      <c r="K274" s="4162"/>
      <c r="L274" s="49"/>
      <c r="M274" s="4367" t="s">
        <v>30</v>
      </c>
      <c r="N274" s="4347"/>
      <c r="O274" s="4347"/>
      <c r="P274" s="21" t="s">
        <v>0</v>
      </c>
      <c r="Q274" s="21" t="s">
        <v>187</v>
      </c>
      <c r="R274" s="21" t="s">
        <v>160</v>
      </c>
      <c r="X274" s="4376" t="s">
        <v>350</v>
      </c>
    </row>
    <row r="275" spans="2:24" ht="31.5">
      <c r="B275" s="4355">
        <v>46085</v>
      </c>
      <c r="C275" s="3165" t="s">
        <v>569</v>
      </c>
      <c r="D275" s="3165" t="s">
        <v>603</v>
      </c>
      <c r="E275" s="4491" t="s">
        <v>604</v>
      </c>
      <c r="F275" s="4491" t="s">
        <v>497</v>
      </c>
      <c r="G275" s="4491"/>
      <c r="H275" s="4491"/>
      <c r="I275" s="4162">
        <v>703</v>
      </c>
      <c r="J275" s="4162" t="s">
        <v>605</v>
      </c>
      <c r="K275" s="4162"/>
      <c r="L275" s="4367" t="s">
        <v>30</v>
      </c>
      <c r="M275" s="4367"/>
      <c r="N275" s="4347"/>
      <c r="O275" s="4367" t="s">
        <v>30</v>
      </c>
      <c r="X275" s="4376" t="s">
        <v>606</v>
      </c>
    </row>
    <row r="276" spans="2:24" ht="31.5">
      <c r="B276" s="4355">
        <v>46085</v>
      </c>
      <c r="C276" s="3165" t="s">
        <v>569</v>
      </c>
      <c r="D276" s="3165" t="s">
        <v>607</v>
      </c>
      <c r="E276" s="4162" t="s">
        <v>273</v>
      </c>
      <c r="F276" s="4162" t="s">
        <v>599</v>
      </c>
      <c r="G276" s="4162"/>
      <c r="H276" s="4162"/>
      <c r="I276" s="4162">
        <v>707</v>
      </c>
      <c r="J276" s="4162" t="s">
        <v>585</v>
      </c>
      <c r="K276" s="4464" t="s">
        <v>84</v>
      </c>
      <c r="L276" s="4367" t="s">
        <v>30</v>
      </c>
      <c r="M276" s="4367"/>
      <c r="N276" s="4347"/>
      <c r="O276" s="4347"/>
      <c r="X276" s="4376"/>
    </row>
    <row r="277" spans="2:24" ht="57">
      <c r="B277" s="4355">
        <v>46085</v>
      </c>
      <c r="C277" s="3165" t="s">
        <v>569</v>
      </c>
      <c r="D277" s="3165" t="s">
        <v>608</v>
      </c>
      <c r="E277" s="4280" t="s">
        <v>458</v>
      </c>
      <c r="F277" s="4280" t="s">
        <v>609</v>
      </c>
      <c r="G277" s="4280"/>
      <c r="H277" s="4280"/>
      <c r="I277" s="4280">
        <v>712</v>
      </c>
      <c r="J277" s="4280" t="s">
        <v>356</v>
      </c>
      <c r="K277" s="4464" t="s">
        <v>84</v>
      </c>
      <c r="L277" s="51"/>
      <c r="M277" s="4367" t="s">
        <v>30</v>
      </c>
      <c r="N277" s="4347"/>
      <c r="O277" s="4347"/>
      <c r="P277" s="21" t="s">
        <v>109</v>
      </c>
      <c r="Q277" s="21" t="s">
        <v>610</v>
      </c>
      <c r="R277" s="21" t="s">
        <v>32</v>
      </c>
      <c r="X277" s="4376" t="s">
        <v>611</v>
      </c>
    </row>
    <row r="278" spans="2:24" ht="31.5">
      <c r="B278" s="4355">
        <v>46086</v>
      </c>
      <c r="C278" s="3165" t="s">
        <v>569</v>
      </c>
      <c r="D278" s="3165" t="s">
        <v>608</v>
      </c>
      <c r="E278" s="4280" t="s">
        <v>612</v>
      </c>
      <c r="F278" s="4280" t="s">
        <v>609</v>
      </c>
      <c r="G278" s="4280"/>
      <c r="H278" s="4280"/>
      <c r="I278" s="4280">
        <v>712</v>
      </c>
      <c r="J278" s="4280" t="s">
        <v>356</v>
      </c>
      <c r="K278" s="4464" t="s">
        <v>84</v>
      </c>
      <c r="L278" s="4998" t="s">
        <v>30</v>
      </c>
      <c r="M278" s="4367"/>
      <c r="N278" s="4347"/>
      <c r="O278" s="4347"/>
      <c r="X278" s="4376"/>
    </row>
    <row r="279" spans="2:24" ht="31.5">
      <c r="B279" s="4355">
        <v>46086</v>
      </c>
      <c r="C279" s="3165" t="s">
        <v>569</v>
      </c>
      <c r="D279" s="3165" t="s">
        <v>603</v>
      </c>
      <c r="E279" s="4491" t="s">
        <v>491</v>
      </c>
      <c r="F279" s="4491" t="s">
        <v>613</v>
      </c>
      <c r="G279" s="4491"/>
      <c r="H279" s="4491"/>
      <c r="I279" s="4162">
        <v>707</v>
      </c>
      <c r="J279" s="4162" t="s">
        <v>605</v>
      </c>
      <c r="K279" s="4162"/>
      <c r="L279" s="3391" t="s">
        <v>30</v>
      </c>
      <c r="M279" s="4367"/>
      <c r="N279" s="4347"/>
      <c r="O279" s="4347"/>
      <c r="X279" s="4376"/>
    </row>
    <row r="280" spans="2:24" ht="31.5">
      <c r="B280" s="4355">
        <v>46086</v>
      </c>
      <c r="C280" s="3165" t="s">
        <v>569</v>
      </c>
      <c r="D280" s="3165" t="s">
        <v>598</v>
      </c>
      <c r="E280" s="4997" t="s">
        <v>175</v>
      </c>
      <c r="F280" s="4997" t="s">
        <v>614</v>
      </c>
      <c r="G280" s="4997"/>
      <c r="H280" s="4997"/>
      <c r="I280" s="4162">
        <v>707</v>
      </c>
      <c r="J280" s="4162" t="s">
        <v>600</v>
      </c>
      <c r="K280" s="4162"/>
      <c r="L280" s="3391" t="s">
        <v>30</v>
      </c>
      <c r="M280" s="4367"/>
      <c r="N280" s="4347"/>
      <c r="O280" s="4347"/>
      <c r="X280" s="4376"/>
    </row>
    <row r="281" spans="2:24" ht="31.5">
      <c r="B281" s="4355">
        <v>46086</v>
      </c>
      <c r="C281" s="3165" t="s">
        <v>569</v>
      </c>
      <c r="D281" s="3165" t="s">
        <v>587</v>
      </c>
      <c r="E281" s="4307" t="s">
        <v>405</v>
      </c>
      <c r="F281" s="4307" t="s">
        <v>615</v>
      </c>
      <c r="G281" s="4307"/>
      <c r="H281" s="4307"/>
      <c r="I281" s="4162">
        <v>712</v>
      </c>
      <c r="J281" s="4162" t="s">
        <v>589</v>
      </c>
      <c r="K281" s="4162"/>
      <c r="L281" s="3391"/>
      <c r="M281" s="4367" t="s">
        <v>30</v>
      </c>
      <c r="N281" s="4347"/>
      <c r="O281" s="4347"/>
      <c r="P281" s="21" t="s">
        <v>0</v>
      </c>
      <c r="Q281" s="21" t="s">
        <v>31</v>
      </c>
      <c r="R281" s="21" t="s">
        <v>46</v>
      </c>
      <c r="X281" s="4376" t="s">
        <v>616</v>
      </c>
    </row>
    <row r="282" spans="2:24" ht="31.5">
      <c r="B282" s="4355">
        <v>46086</v>
      </c>
      <c r="C282" s="3165" t="s">
        <v>569</v>
      </c>
      <c r="D282" s="3165" t="s">
        <v>617</v>
      </c>
      <c r="E282" s="4307" t="s">
        <v>43</v>
      </c>
      <c r="F282" s="4307" t="s">
        <v>148</v>
      </c>
      <c r="G282" s="4307"/>
      <c r="H282" s="4307"/>
      <c r="I282" s="4162">
        <v>707</v>
      </c>
      <c r="J282" s="4162" t="s">
        <v>618</v>
      </c>
      <c r="K282" s="4162"/>
      <c r="L282" s="3391" t="s">
        <v>30</v>
      </c>
      <c r="M282" s="4367"/>
      <c r="N282" s="4347"/>
      <c r="O282" s="4347"/>
      <c r="U282" s="3160" t="s">
        <v>37</v>
      </c>
      <c r="X282" s="4376"/>
    </row>
    <row r="283" spans="2:24" ht="31.5">
      <c r="B283" s="4355">
        <v>46086</v>
      </c>
      <c r="C283" s="3165" t="s">
        <v>569</v>
      </c>
      <c r="D283" s="3165" t="s">
        <v>591</v>
      </c>
      <c r="E283" s="4195" t="s">
        <v>619</v>
      </c>
      <c r="F283" s="4195" t="s">
        <v>620</v>
      </c>
      <c r="G283" s="4195"/>
      <c r="H283" s="4195"/>
      <c r="I283" s="4162">
        <v>701</v>
      </c>
      <c r="J283" s="4162" t="s">
        <v>621</v>
      </c>
      <c r="K283" s="4162"/>
      <c r="L283" s="3391" t="s">
        <v>30</v>
      </c>
      <c r="M283" s="4367"/>
      <c r="N283" s="4347"/>
      <c r="O283" s="4347"/>
      <c r="X283" s="4376"/>
    </row>
    <row r="284" spans="2:24" ht="31.5">
      <c r="B284" s="4355">
        <v>46086</v>
      </c>
      <c r="C284" s="3165" t="s">
        <v>569</v>
      </c>
      <c r="D284" s="3165" t="s">
        <v>622</v>
      </c>
      <c r="E284" s="3377" t="s">
        <v>79</v>
      </c>
      <c r="F284" s="3377" t="s">
        <v>282</v>
      </c>
      <c r="G284" s="3377"/>
      <c r="H284" s="3377"/>
      <c r="I284" s="4162">
        <v>705</v>
      </c>
      <c r="J284" s="4162" t="s">
        <v>602</v>
      </c>
      <c r="K284" s="4162"/>
      <c r="L284" s="3391"/>
      <c r="M284" s="4367" t="s">
        <v>30</v>
      </c>
      <c r="N284" s="4347"/>
      <c r="O284" s="4347"/>
      <c r="P284" s="21" t="s">
        <v>0</v>
      </c>
      <c r="Q284" s="21" t="s">
        <v>187</v>
      </c>
      <c r="R284" s="21" t="s">
        <v>160</v>
      </c>
      <c r="X284" s="4376" t="s">
        <v>623</v>
      </c>
    </row>
    <row r="285" spans="2:24" ht="31.5">
      <c r="B285" s="4355">
        <v>46086</v>
      </c>
      <c r="C285" s="3165" t="s">
        <v>569</v>
      </c>
      <c r="D285" s="3165" t="s">
        <v>624</v>
      </c>
      <c r="E285" s="4162" t="s">
        <v>625</v>
      </c>
      <c r="F285" s="4162" t="s">
        <v>537</v>
      </c>
      <c r="G285" s="4162"/>
      <c r="H285" s="4162"/>
      <c r="I285" s="4162">
        <v>707</v>
      </c>
      <c r="J285" s="4162" t="s">
        <v>626</v>
      </c>
      <c r="K285" s="4464" t="s">
        <v>627</v>
      </c>
      <c r="L285" s="3391" t="s">
        <v>30</v>
      </c>
      <c r="M285" s="4367"/>
      <c r="N285" s="4347"/>
      <c r="O285" s="4347"/>
      <c r="X285" s="4376"/>
    </row>
    <row r="286" spans="2:24" ht="31.5">
      <c r="B286" s="4355">
        <v>46086</v>
      </c>
      <c r="C286" s="3165" t="s">
        <v>569</v>
      </c>
      <c r="D286" s="3165" t="s">
        <v>628</v>
      </c>
      <c r="E286" s="4162" t="s">
        <v>273</v>
      </c>
      <c r="F286" s="4162" t="s">
        <v>629</v>
      </c>
      <c r="G286" s="4162"/>
      <c r="H286" s="4162"/>
      <c r="I286" s="4162">
        <v>707</v>
      </c>
      <c r="J286" s="4162" t="s">
        <v>630</v>
      </c>
      <c r="K286" s="4162"/>
      <c r="L286" s="3391" t="s">
        <v>30</v>
      </c>
      <c r="M286" s="4367"/>
      <c r="N286" s="4347"/>
      <c r="O286" s="4347"/>
      <c r="X286" s="4376"/>
    </row>
    <row r="287" spans="2:24" ht="31.5">
      <c r="B287" s="4355">
        <v>46086</v>
      </c>
      <c r="C287" s="3165" t="s">
        <v>569</v>
      </c>
      <c r="D287" s="3165" t="s">
        <v>631</v>
      </c>
      <c r="E287" s="4996" t="s">
        <v>273</v>
      </c>
      <c r="F287" s="4996" t="s">
        <v>584</v>
      </c>
      <c r="G287" s="4996"/>
      <c r="H287" s="4996"/>
      <c r="I287" s="4162">
        <v>703</v>
      </c>
      <c r="J287" s="4162" t="s">
        <v>340</v>
      </c>
      <c r="K287" s="4162"/>
      <c r="L287" s="3391" t="s">
        <v>30</v>
      </c>
      <c r="M287" s="4367"/>
      <c r="N287" s="4347"/>
      <c r="O287" s="4347"/>
      <c r="X287" s="4376"/>
    </row>
    <row r="288" spans="2:24" ht="31.5">
      <c r="B288" s="4355">
        <v>46086</v>
      </c>
      <c r="C288" s="3165" t="s">
        <v>569</v>
      </c>
      <c r="D288" s="3165" t="s">
        <v>631</v>
      </c>
      <c r="E288" s="4996" t="s">
        <v>586</v>
      </c>
      <c r="F288" s="4996" t="s">
        <v>389</v>
      </c>
      <c r="G288" s="4996"/>
      <c r="H288" s="4996"/>
      <c r="I288" s="4162">
        <v>703</v>
      </c>
      <c r="J288" s="4162" t="s">
        <v>340</v>
      </c>
      <c r="K288" s="4162"/>
      <c r="L288" s="3391" t="s">
        <v>30</v>
      </c>
      <c r="M288" s="4367"/>
      <c r="N288" s="4347"/>
      <c r="O288" s="4347"/>
      <c r="X288" s="4376"/>
    </row>
    <row r="289" spans="2:24" ht="31.5">
      <c r="B289" s="4355">
        <v>46087</v>
      </c>
      <c r="C289" s="3165" t="s">
        <v>569</v>
      </c>
      <c r="D289" s="3165" t="s">
        <v>587</v>
      </c>
      <c r="E289" s="4167" t="s">
        <v>615</v>
      </c>
      <c r="F289" s="4167" t="s">
        <v>632</v>
      </c>
      <c r="G289" s="4167"/>
      <c r="H289" s="4167"/>
      <c r="I289" s="4162">
        <v>703</v>
      </c>
      <c r="J289" s="4162" t="s">
        <v>633</v>
      </c>
      <c r="K289" s="4464" t="s">
        <v>627</v>
      </c>
      <c r="L289" s="3391" t="s">
        <v>30</v>
      </c>
      <c r="M289" s="4367"/>
      <c r="N289" s="4347"/>
      <c r="O289" s="4347"/>
      <c r="X289" s="4376"/>
    </row>
    <row r="290" spans="2:24" ht="31.5">
      <c r="B290" s="4355">
        <v>46087</v>
      </c>
      <c r="C290" s="3165" t="s">
        <v>569</v>
      </c>
      <c r="D290" s="3165" t="s">
        <v>634</v>
      </c>
      <c r="E290" s="4195" t="s">
        <v>592</v>
      </c>
      <c r="F290" s="4195" t="s">
        <v>635</v>
      </c>
      <c r="G290" s="4195"/>
      <c r="H290" s="4195"/>
      <c r="I290" s="4162">
        <v>701</v>
      </c>
      <c r="J290" s="4162" t="s">
        <v>594</v>
      </c>
      <c r="K290" s="4162"/>
      <c r="L290" s="3391" t="s">
        <v>30</v>
      </c>
      <c r="M290" s="4367"/>
      <c r="N290" s="4347"/>
      <c r="O290" s="4347"/>
      <c r="X290" s="4376"/>
    </row>
    <row r="291" spans="2:24" ht="31.5">
      <c r="B291" s="4355">
        <v>46087</v>
      </c>
      <c r="C291" s="3165" t="s">
        <v>569</v>
      </c>
      <c r="D291" s="3165" t="s">
        <v>634</v>
      </c>
      <c r="E291" s="4195" t="s">
        <v>619</v>
      </c>
      <c r="F291" s="4195" t="s">
        <v>620</v>
      </c>
      <c r="G291" s="4195"/>
      <c r="H291" s="4195"/>
      <c r="I291" s="4162">
        <v>701</v>
      </c>
      <c r="J291" s="4162" t="s">
        <v>621</v>
      </c>
      <c r="K291" s="4162"/>
      <c r="L291" s="3391" t="s">
        <v>30</v>
      </c>
      <c r="M291" s="4367"/>
      <c r="N291" s="4347"/>
      <c r="O291" s="4347"/>
      <c r="X291" s="4376"/>
    </row>
    <row r="292" spans="2:24" ht="31.5">
      <c r="B292" s="4355">
        <v>46087</v>
      </c>
      <c r="C292" s="3165" t="s">
        <v>569</v>
      </c>
      <c r="D292" s="3165" t="s">
        <v>636</v>
      </c>
      <c r="E292" s="4162" t="s">
        <v>637</v>
      </c>
      <c r="F292" s="4162" t="s">
        <v>638</v>
      </c>
      <c r="G292" s="4162"/>
      <c r="H292" s="4162"/>
      <c r="I292" s="4162">
        <v>707</v>
      </c>
      <c r="J292" s="4162" t="s">
        <v>639</v>
      </c>
      <c r="K292" s="4162"/>
      <c r="L292" s="3391" t="s">
        <v>30</v>
      </c>
      <c r="M292" s="4367"/>
      <c r="N292" s="4347"/>
      <c r="O292" s="4347"/>
      <c r="X292" s="4376"/>
    </row>
    <row r="293" spans="2:24" ht="31.5">
      <c r="B293" s="4355">
        <v>46087</v>
      </c>
      <c r="C293" s="3165" t="s">
        <v>569</v>
      </c>
      <c r="D293" s="3165" t="s">
        <v>640</v>
      </c>
      <c r="E293" s="4162" t="s">
        <v>79</v>
      </c>
      <c r="F293" s="4162" t="s">
        <v>282</v>
      </c>
      <c r="G293" s="4162"/>
      <c r="H293" s="4162"/>
      <c r="I293" s="4162">
        <v>705</v>
      </c>
      <c r="J293" s="3160" t="s">
        <v>641</v>
      </c>
      <c r="K293" s="4162"/>
      <c r="L293" s="3391" t="s">
        <v>30</v>
      </c>
      <c r="M293" s="4367"/>
      <c r="N293" s="4347"/>
      <c r="O293" s="4347"/>
      <c r="P293" s="21"/>
      <c r="Q293" s="21"/>
      <c r="R293" s="21"/>
      <c r="X293" s="4376"/>
    </row>
    <row r="294" spans="2:24" ht="31.5">
      <c r="B294" s="4355">
        <v>46087</v>
      </c>
      <c r="C294" s="3165" t="s">
        <v>569</v>
      </c>
      <c r="D294" s="3165" t="s">
        <v>642</v>
      </c>
      <c r="E294" s="4162" t="s">
        <v>643</v>
      </c>
      <c r="F294" s="4162" t="s">
        <v>360</v>
      </c>
      <c r="G294" s="4162"/>
      <c r="H294" s="4162"/>
      <c r="I294" s="4162">
        <v>712</v>
      </c>
      <c r="J294" s="4162" t="s">
        <v>495</v>
      </c>
      <c r="K294" s="4162"/>
      <c r="L294" s="3391" t="s">
        <v>30</v>
      </c>
      <c r="M294" s="4367"/>
      <c r="N294" s="4347"/>
      <c r="O294" s="4347"/>
      <c r="X294" s="4376"/>
    </row>
    <row r="295" spans="2:24" ht="31.5">
      <c r="B295" s="4355">
        <v>46087</v>
      </c>
      <c r="C295" s="3165" t="s">
        <v>569</v>
      </c>
      <c r="D295" s="3165" t="s">
        <v>644</v>
      </c>
      <c r="E295" s="4162" t="s">
        <v>89</v>
      </c>
      <c r="F295" s="4162" t="s">
        <v>615</v>
      </c>
      <c r="G295" s="4162"/>
      <c r="H295" s="4162"/>
      <c r="I295" s="4162">
        <v>703</v>
      </c>
      <c r="J295" s="4162" t="s">
        <v>645</v>
      </c>
      <c r="K295" s="4162"/>
      <c r="L295" s="3391" t="s">
        <v>30</v>
      </c>
      <c r="M295" s="4367"/>
      <c r="N295" s="4347"/>
      <c r="O295" s="4347"/>
      <c r="U295" s="3160" t="s">
        <v>37</v>
      </c>
      <c r="X295" s="4376"/>
    </row>
    <row r="296" spans="2:24" ht="31.5">
      <c r="B296" s="4355">
        <v>46088</v>
      </c>
      <c r="C296" s="3165" t="s">
        <v>569</v>
      </c>
      <c r="D296" s="3165" t="s">
        <v>646</v>
      </c>
      <c r="E296" s="4162" t="s">
        <v>79</v>
      </c>
      <c r="F296" s="4162" t="s">
        <v>282</v>
      </c>
      <c r="G296" s="4162"/>
      <c r="H296" s="4162"/>
      <c r="I296" s="4162">
        <v>705</v>
      </c>
      <c r="J296" s="3160" t="s">
        <v>647</v>
      </c>
      <c r="K296" s="4162"/>
      <c r="L296" s="3391" t="s">
        <v>30</v>
      </c>
      <c r="M296" s="4367"/>
      <c r="N296" s="4347"/>
      <c r="O296" s="4347"/>
      <c r="X296" s="4376"/>
    </row>
    <row r="297" spans="2:24" ht="31.5">
      <c r="B297" s="4355">
        <v>46090</v>
      </c>
      <c r="C297" s="3165" t="s">
        <v>648</v>
      </c>
      <c r="D297" s="3165" t="s">
        <v>649</v>
      </c>
      <c r="E297" s="5001" t="s">
        <v>360</v>
      </c>
      <c r="F297" s="4460" t="s">
        <v>650</v>
      </c>
      <c r="G297" s="4460"/>
      <c r="H297" s="4460"/>
      <c r="I297" s="4162">
        <v>712</v>
      </c>
      <c r="J297" s="3408" t="s">
        <v>495</v>
      </c>
      <c r="K297" s="924"/>
      <c r="L297" s="923" t="s">
        <v>37</v>
      </c>
      <c r="M297" s="1227"/>
      <c r="U297" s="924"/>
      <c r="X297" s="924"/>
    </row>
    <row r="298" spans="2:24" ht="31.5">
      <c r="B298" s="4355">
        <v>46090</v>
      </c>
      <c r="C298" s="3165" t="s">
        <v>648</v>
      </c>
      <c r="D298" s="3165" t="s">
        <v>649</v>
      </c>
      <c r="E298" s="5001" t="s">
        <v>405</v>
      </c>
      <c r="F298" s="4460" t="s">
        <v>651</v>
      </c>
      <c r="G298" s="4460"/>
      <c r="H298" s="4460"/>
      <c r="I298" s="4162">
        <v>712</v>
      </c>
      <c r="J298" s="3408" t="s">
        <v>495</v>
      </c>
      <c r="K298" s="924"/>
      <c r="L298" s="923" t="s">
        <v>37</v>
      </c>
      <c r="M298" s="1227"/>
      <c r="U298" s="924"/>
      <c r="X298" s="924"/>
    </row>
    <row r="299" spans="2:24" ht="31.5">
      <c r="B299" s="4355">
        <v>46090</v>
      </c>
      <c r="C299" s="3165" t="s">
        <v>648</v>
      </c>
      <c r="D299" s="3165" t="s">
        <v>652</v>
      </c>
      <c r="E299" s="4368" t="s">
        <v>48</v>
      </c>
      <c r="F299" s="4162" t="s">
        <v>79</v>
      </c>
      <c r="G299" s="4162"/>
      <c r="H299" s="4162"/>
      <c r="I299" s="4162">
        <v>705</v>
      </c>
      <c r="J299" s="3408" t="s">
        <v>653</v>
      </c>
      <c r="K299" s="924"/>
      <c r="L299" s="923" t="s">
        <v>37</v>
      </c>
      <c r="M299" s="1227"/>
      <c r="U299" s="924"/>
      <c r="V299" s="3160" t="s">
        <v>37</v>
      </c>
      <c r="X299" s="924"/>
    </row>
    <row r="300" spans="2:24" ht="31.5">
      <c r="B300" s="4355">
        <v>46090</v>
      </c>
      <c r="C300" s="3165" t="s">
        <v>648</v>
      </c>
      <c r="D300" s="3165" t="s">
        <v>654</v>
      </c>
      <c r="E300" s="5002" t="s">
        <v>655</v>
      </c>
      <c r="F300" s="4976" t="s">
        <v>656</v>
      </c>
      <c r="G300" s="4976"/>
      <c r="H300" s="4976"/>
      <c r="I300" s="4162">
        <v>705</v>
      </c>
      <c r="J300" s="3409" t="s">
        <v>657</v>
      </c>
      <c r="K300" s="4464" t="s">
        <v>310</v>
      </c>
      <c r="L300" s="923" t="s">
        <v>37</v>
      </c>
      <c r="M300" s="1227"/>
      <c r="U300" s="924"/>
      <c r="X300" s="924"/>
    </row>
    <row r="301" spans="2:24" ht="31.5">
      <c r="B301" s="4355">
        <v>46090</v>
      </c>
      <c r="C301" s="3165" t="s">
        <v>648</v>
      </c>
      <c r="D301" s="3165" t="s">
        <v>658</v>
      </c>
      <c r="E301" s="5003" t="s">
        <v>282</v>
      </c>
      <c r="F301" s="4239" t="s">
        <v>659</v>
      </c>
      <c r="G301" s="4239"/>
      <c r="H301" s="4239"/>
      <c r="I301" s="4162">
        <v>705</v>
      </c>
      <c r="J301" s="3408" t="s">
        <v>660</v>
      </c>
      <c r="K301" s="924"/>
      <c r="L301" s="923" t="s">
        <v>37</v>
      </c>
      <c r="M301" s="1227"/>
      <c r="U301" s="924"/>
      <c r="X301" s="924"/>
    </row>
    <row r="302" spans="2:24" ht="31.5">
      <c r="B302" s="4355">
        <v>46091</v>
      </c>
      <c r="C302" s="3165" t="s">
        <v>648</v>
      </c>
      <c r="D302" s="3165" t="s">
        <v>658</v>
      </c>
      <c r="E302" s="5003" t="s">
        <v>450</v>
      </c>
      <c r="F302" s="4239" t="s">
        <v>661</v>
      </c>
      <c r="G302" s="4239"/>
      <c r="H302" s="4239"/>
      <c r="I302" s="4162">
        <v>705</v>
      </c>
      <c r="J302" s="3408" t="s">
        <v>660</v>
      </c>
      <c r="K302" s="924"/>
      <c r="L302" s="923" t="s">
        <v>37</v>
      </c>
      <c r="M302" s="1227"/>
      <c r="U302" s="924"/>
      <c r="X302" s="924"/>
    </row>
    <row r="303" spans="2:24" ht="31.5">
      <c r="B303" s="4355">
        <v>46091</v>
      </c>
      <c r="C303" s="3165" t="s">
        <v>648</v>
      </c>
      <c r="D303" s="3165" t="s">
        <v>662</v>
      </c>
      <c r="E303" s="5004" t="s">
        <v>663</v>
      </c>
      <c r="F303" s="4165" t="s">
        <v>183</v>
      </c>
      <c r="G303" s="4165"/>
      <c r="H303" s="4165"/>
      <c r="I303" s="4162">
        <v>705</v>
      </c>
      <c r="J303" s="3408" t="s">
        <v>664</v>
      </c>
      <c r="K303" s="924"/>
      <c r="L303" s="923" t="s">
        <v>37</v>
      </c>
      <c r="M303" s="1227"/>
      <c r="U303" s="924"/>
      <c r="X303" s="924"/>
    </row>
    <row r="304" spans="2:24" ht="31.5">
      <c r="B304" s="4355">
        <v>46091</v>
      </c>
      <c r="C304" s="3165" t="s">
        <v>648</v>
      </c>
      <c r="D304" s="3165" t="s">
        <v>665</v>
      </c>
      <c r="E304" s="5002" t="s">
        <v>666</v>
      </c>
      <c r="F304" s="4976" t="s">
        <v>282</v>
      </c>
      <c r="G304" s="4976"/>
      <c r="H304" s="4976"/>
      <c r="I304" s="4162">
        <v>705</v>
      </c>
      <c r="J304" s="3409" t="s">
        <v>667</v>
      </c>
      <c r="K304" s="4464" t="s">
        <v>84</v>
      </c>
      <c r="L304" s="923" t="s">
        <v>37</v>
      </c>
      <c r="M304" s="1227"/>
      <c r="U304" s="924" t="s">
        <v>30</v>
      </c>
      <c r="V304" s="3160" t="s">
        <v>37</v>
      </c>
      <c r="X304" s="924"/>
    </row>
    <row r="305" spans="2:24" ht="31.5">
      <c r="B305" s="4355">
        <v>46092</v>
      </c>
      <c r="C305" s="3165" t="s">
        <v>648</v>
      </c>
      <c r="D305" s="3165" t="s">
        <v>668</v>
      </c>
      <c r="E305" s="4368" t="s">
        <v>156</v>
      </c>
      <c r="F305" s="4162" t="s">
        <v>669</v>
      </c>
      <c r="G305" s="4162"/>
      <c r="H305" s="4162"/>
      <c r="I305" s="4162">
        <v>705</v>
      </c>
      <c r="J305" s="3408" t="s">
        <v>670</v>
      </c>
      <c r="K305" s="924"/>
      <c r="L305" s="923" t="s">
        <v>37</v>
      </c>
      <c r="M305" s="1227"/>
      <c r="U305" s="924"/>
      <c r="X305" s="924"/>
    </row>
    <row r="306" spans="2:24" ht="31.5">
      <c r="B306" s="4355">
        <v>46091</v>
      </c>
      <c r="C306" s="3165" t="s">
        <v>648</v>
      </c>
      <c r="D306" s="3165" t="s">
        <v>654</v>
      </c>
      <c r="E306" s="5002" t="s">
        <v>671</v>
      </c>
      <c r="F306" s="4976" t="s">
        <v>672</v>
      </c>
      <c r="G306" s="4976"/>
      <c r="H306" s="4976"/>
      <c r="I306" s="4162">
        <v>705</v>
      </c>
      <c r="J306" s="3409" t="s">
        <v>673</v>
      </c>
      <c r="K306" s="4464" t="s">
        <v>310</v>
      </c>
      <c r="L306" s="923"/>
      <c r="M306" s="1227"/>
      <c r="U306" s="924"/>
      <c r="V306" s="3160" t="s">
        <v>37</v>
      </c>
      <c r="X306" s="924"/>
    </row>
    <row r="307" spans="2:24" ht="31.5">
      <c r="B307" s="4355">
        <v>46091</v>
      </c>
      <c r="C307" s="3165" t="s">
        <v>648</v>
      </c>
      <c r="D307" s="3165" t="s">
        <v>674</v>
      </c>
      <c r="E307" s="5005" t="s">
        <v>675</v>
      </c>
      <c r="F307" s="4346" t="s">
        <v>263</v>
      </c>
      <c r="G307" s="4346"/>
      <c r="H307" s="4346"/>
      <c r="I307" s="4162">
        <v>705</v>
      </c>
      <c r="J307" s="3408" t="s">
        <v>676</v>
      </c>
      <c r="K307" s="924"/>
      <c r="L307" s="923" t="s">
        <v>37</v>
      </c>
      <c r="M307" s="1227"/>
      <c r="U307" s="924"/>
      <c r="X307" s="924"/>
    </row>
    <row r="308" spans="2:24" ht="31.5">
      <c r="B308" s="4355">
        <v>46092</v>
      </c>
      <c r="C308" s="3165" t="s">
        <v>648</v>
      </c>
      <c r="D308" s="3165" t="s">
        <v>677</v>
      </c>
      <c r="E308" s="4195" t="s">
        <v>592</v>
      </c>
      <c r="F308" s="4195" t="s">
        <v>635</v>
      </c>
      <c r="G308" s="4195"/>
      <c r="H308" s="4195"/>
      <c r="I308" s="4162">
        <v>701</v>
      </c>
      <c r="J308" s="4162" t="s">
        <v>594</v>
      </c>
      <c r="K308" s="4162"/>
      <c r="L308" s="923" t="s">
        <v>37</v>
      </c>
      <c r="M308" s="4367"/>
      <c r="U308" s="4347"/>
      <c r="X308" s="4376"/>
    </row>
    <row r="309" spans="2:24" ht="31.5">
      <c r="B309" s="4355">
        <v>46092</v>
      </c>
      <c r="C309" s="3165" t="s">
        <v>648</v>
      </c>
      <c r="D309" s="3165" t="s">
        <v>677</v>
      </c>
      <c r="E309" s="4195" t="s">
        <v>619</v>
      </c>
      <c r="F309" s="4195" t="s">
        <v>620</v>
      </c>
      <c r="G309" s="4195"/>
      <c r="H309" s="4195"/>
      <c r="I309" s="4162">
        <v>701</v>
      </c>
      <c r="J309" s="4162" t="s">
        <v>621</v>
      </c>
      <c r="K309" s="4162"/>
      <c r="L309" s="923" t="s">
        <v>37</v>
      </c>
      <c r="M309" s="4367"/>
      <c r="U309" s="4347"/>
      <c r="X309" s="4376"/>
    </row>
    <row r="310" spans="2:24" ht="31.5">
      <c r="B310" s="4355">
        <v>46092</v>
      </c>
      <c r="C310" s="3165" t="s">
        <v>648</v>
      </c>
      <c r="D310" s="3165" t="s">
        <v>654</v>
      </c>
      <c r="E310" s="5002" t="s">
        <v>533</v>
      </c>
      <c r="F310" s="4976" t="s">
        <v>678</v>
      </c>
      <c r="G310" s="4976"/>
      <c r="H310" s="4976"/>
      <c r="I310" s="4162">
        <v>705</v>
      </c>
      <c r="J310" s="3409" t="s">
        <v>657</v>
      </c>
      <c r="K310" s="4464" t="s">
        <v>310</v>
      </c>
      <c r="L310" s="923"/>
      <c r="M310" s="1227" t="s">
        <v>30</v>
      </c>
      <c r="P310" s="21" t="s">
        <v>0</v>
      </c>
      <c r="Q310" s="21" t="s">
        <v>110</v>
      </c>
      <c r="R310" s="21" t="s">
        <v>160</v>
      </c>
      <c r="U310" s="924"/>
      <c r="X310" s="924" t="s">
        <v>679</v>
      </c>
    </row>
    <row r="311" spans="2:24" ht="31.5">
      <c r="B311" s="4355">
        <v>46092</v>
      </c>
      <c r="C311" s="3165" t="s">
        <v>648</v>
      </c>
      <c r="D311" s="3165" t="s">
        <v>680</v>
      </c>
      <c r="E311" s="4368" t="s">
        <v>156</v>
      </c>
      <c r="F311" s="4162" t="s">
        <v>669</v>
      </c>
      <c r="G311" s="4162"/>
      <c r="H311" s="4162"/>
      <c r="I311" s="4162">
        <v>705</v>
      </c>
      <c r="J311" s="3408" t="s">
        <v>681</v>
      </c>
      <c r="K311" s="924"/>
      <c r="L311" s="923"/>
      <c r="M311" s="923" t="s">
        <v>37</v>
      </c>
      <c r="P311" s="21" t="s">
        <v>0</v>
      </c>
      <c r="Q311" s="21" t="s">
        <v>187</v>
      </c>
      <c r="R311" s="21" t="s">
        <v>160</v>
      </c>
      <c r="U311" s="924"/>
      <c r="V311" s="3160" t="s">
        <v>37</v>
      </c>
      <c r="X311" s="924" t="s">
        <v>682</v>
      </c>
    </row>
    <row r="312" spans="2:24" ht="31.5">
      <c r="B312" s="4355">
        <v>46092</v>
      </c>
      <c r="C312" s="3165" t="s">
        <v>648</v>
      </c>
      <c r="D312" s="3165" t="s">
        <v>683</v>
      </c>
      <c r="E312" s="5006" t="s">
        <v>80</v>
      </c>
      <c r="F312" s="4244" t="s">
        <v>684</v>
      </c>
      <c r="G312" s="4244"/>
      <c r="H312" s="4244"/>
      <c r="I312" s="4162">
        <v>705</v>
      </c>
      <c r="J312" s="3408">
        <v>60020</v>
      </c>
      <c r="K312" s="924"/>
      <c r="L312" s="923" t="s">
        <v>37</v>
      </c>
      <c r="M312" s="1227"/>
      <c r="U312" s="924"/>
      <c r="X312" s="924"/>
    </row>
    <row r="313" spans="2:24" ht="31.5">
      <c r="B313" s="4355">
        <v>46092</v>
      </c>
      <c r="C313" s="3165" t="s">
        <v>648</v>
      </c>
      <c r="D313" s="3165" t="s">
        <v>683</v>
      </c>
      <c r="E313" s="5006" t="s">
        <v>392</v>
      </c>
      <c r="F313" s="4244" t="s">
        <v>373</v>
      </c>
      <c r="G313" s="4244"/>
      <c r="H313" s="4244"/>
      <c r="I313" s="4162">
        <v>705</v>
      </c>
      <c r="J313" s="3408">
        <v>60020</v>
      </c>
      <c r="K313" s="924"/>
      <c r="L313" s="923" t="s">
        <v>37</v>
      </c>
      <c r="M313" s="1227"/>
      <c r="U313" s="924"/>
      <c r="X313" s="924"/>
    </row>
    <row r="314" spans="2:24" ht="31.5">
      <c r="B314" s="4355">
        <v>46092</v>
      </c>
      <c r="C314" s="3165" t="s">
        <v>648</v>
      </c>
      <c r="D314" s="3165" t="s">
        <v>674</v>
      </c>
      <c r="E314" s="5005" t="s">
        <v>148</v>
      </c>
      <c r="F314" s="4346" t="s">
        <v>685</v>
      </c>
      <c r="G314" s="4346"/>
      <c r="H314" s="4346"/>
      <c r="I314" s="4162">
        <v>705</v>
      </c>
      <c r="J314" s="3408" t="s">
        <v>676</v>
      </c>
      <c r="K314" s="4464" t="s">
        <v>84</v>
      </c>
      <c r="L314" s="923" t="s">
        <v>37</v>
      </c>
      <c r="M314" s="1227"/>
      <c r="U314" s="924"/>
      <c r="X314" s="924"/>
    </row>
    <row r="315" spans="2:24" ht="31.5">
      <c r="B315" s="4355">
        <v>46092</v>
      </c>
      <c r="C315" s="3165" t="s">
        <v>648</v>
      </c>
      <c r="D315" s="3165" t="s">
        <v>654</v>
      </c>
      <c r="E315" s="5002" t="s">
        <v>671</v>
      </c>
      <c r="F315" s="4976" t="s">
        <v>672</v>
      </c>
      <c r="G315" s="4976"/>
      <c r="H315" s="4976"/>
      <c r="I315" s="4162">
        <v>705</v>
      </c>
      <c r="J315" s="3409" t="s">
        <v>673</v>
      </c>
      <c r="K315" s="4464" t="s">
        <v>310</v>
      </c>
      <c r="L315" s="923" t="s">
        <v>37</v>
      </c>
      <c r="M315" s="1227"/>
      <c r="U315" s="924"/>
      <c r="X315" s="924"/>
    </row>
    <row r="316" spans="2:24" ht="31.5">
      <c r="B316" s="4355">
        <v>46093</v>
      </c>
      <c r="C316" s="3165" t="s">
        <v>648</v>
      </c>
      <c r="D316" s="3165" t="s">
        <v>662</v>
      </c>
      <c r="E316" s="5004" t="s">
        <v>169</v>
      </c>
      <c r="F316" s="4165" t="s">
        <v>686</v>
      </c>
      <c r="G316" s="4165"/>
      <c r="H316" s="4165"/>
      <c r="I316" s="4162">
        <v>705</v>
      </c>
      <c r="J316" s="3408" t="s">
        <v>664</v>
      </c>
      <c r="K316" s="924"/>
      <c r="L316" s="923" t="s">
        <v>37</v>
      </c>
      <c r="M316" s="1227"/>
      <c r="U316" s="924"/>
      <c r="V316" s="3160" t="s">
        <v>37</v>
      </c>
      <c r="X316" s="924"/>
    </row>
    <row r="317" spans="2:24" ht="31.5">
      <c r="B317" s="4355">
        <v>46093</v>
      </c>
      <c r="C317" s="3165" t="s">
        <v>648</v>
      </c>
      <c r="D317" s="3165" t="s">
        <v>687</v>
      </c>
      <c r="E317" s="4195" t="s">
        <v>592</v>
      </c>
      <c r="F317" s="4195" t="s">
        <v>635</v>
      </c>
      <c r="G317" s="4195"/>
      <c r="H317" s="4195"/>
      <c r="I317" s="4162">
        <v>701</v>
      </c>
      <c r="J317" s="4162" t="s">
        <v>594</v>
      </c>
      <c r="K317" s="4162"/>
      <c r="L317" s="923" t="s">
        <v>37</v>
      </c>
      <c r="M317" s="4367"/>
      <c r="U317" s="4347"/>
      <c r="X317" s="4376"/>
    </row>
    <row r="318" spans="2:24" ht="31.5">
      <c r="B318" s="5000">
        <v>46093</v>
      </c>
      <c r="C318" s="3165" t="s">
        <v>648</v>
      </c>
      <c r="D318" s="3165" t="s">
        <v>687</v>
      </c>
      <c r="E318" s="5007" t="s">
        <v>619</v>
      </c>
      <c r="F318" s="5007" t="s">
        <v>620</v>
      </c>
      <c r="G318" s="5007"/>
      <c r="H318" s="5007"/>
      <c r="I318" s="4280">
        <v>701</v>
      </c>
      <c r="J318" s="4280" t="s">
        <v>621</v>
      </c>
      <c r="K318" s="4280"/>
      <c r="L318" s="923" t="s">
        <v>37</v>
      </c>
      <c r="M318" s="5008"/>
      <c r="U318" s="4759"/>
      <c r="X318" s="5009"/>
    </row>
    <row r="319" spans="2:24" ht="31.5">
      <c r="B319" s="4355">
        <v>46093</v>
      </c>
      <c r="C319" s="3165" t="s">
        <v>648</v>
      </c>
      <c r="D319" s="3165" t="s">
        <v>688</v>
      </c>
      <c r="E319" s="4368" t="s">
        <v>156</v>
      </c>
      <c r="F319" s="4162" t="s">
        <v>669</v>
      </c>
      <c r="G319" s="4162"/>
      <c r="H319" s="4162"/>
      <c r="I319" s="4162">
        <v>705</v>
      </c>
      <c r="J319" s="3408" t="s">
        <v>689</v>
      </c>
      <c r="K319" s="924"/>
      <c r="L319" s="923" t="s">
        <v>37</v>
      </c>
      <c r="M319" s="1227"/>
      <c r="U319" s="924"/>
      <c r="X319" s="924"/>
    </row>
    <row r="320" spans="2:24" ht="31.5">
      <c r="B320" s="4355">
        <v>46093</v>
      </c>
      <c r="C320" s="3165" t="s">
        <v>648</v>
      </c>
      <c r="D320" s="3165" t="s">
        <v>690</v>
      </c>
      <c r="E320" s="4368" t="s">
        <v>156</v>
      </c>
      <c r="F320" s="4368" t="s">
        <v>691</v>
      </c>
      <c r="G320" s="4368"/>
      <c r="H320" s="4368"/>
      <c r="I320" s="4162">
        <v>705</v>
      </c>
      <c r="J320" s="3408" t="s">
        <v>692</v>
      </c>
      <c r="K320" s="49"/>
      <c r="L320" s="923" t="s">
        <v>37</v>
      </c>
      <c r="M320" s="49"/>
      <c r="U320" s="49"/>
      <c r="X320" s="49"/>
    </row>
    <row r="321" spans="2:25" ht="31.5">
      <c r="B321" s="4355">
        <v>46093</v>
      </c>
      <c r="C321" s="3165" t="s">
        <v>648</v>
      </c>
      <c r="D321" s="3165" t="s">
        <v>693</v>
      </c>
      <c r="E321" s="4368" t="s">
        <v>258</v>
      </c>
      <c r="F321" s="4368" t="s">
        <v>663</v>
      </c>
      <c r="G321" s="4368"/>
      <c r="H321" s="4368"/>
      <c r="I321" s="4162">
        <v>705</v>
      </c>
      <c r="J321" s="3408">
        <v>60020</v>
      </c>
      <c r="K321" s="49"/>
      <c r="L321" s="923" t="s">
        <v>37</v>
      </c>
      <c r="M321" s="49"/>
      <c r="U321" s="49"/>
      <c r="X321" s="49"/>
    </row>
    <row r="322" spans="2:25" ht="31.5">
      <c r="B322" s="4355">
        <v>46093</v>
      </c>
      <c r="C322" s="3165" t="s">
        <v>648</v>
      </c>
      <c r="D322" s="3165" t="s">
        <v>694</v>
      </c>
      <c r="E322" s="4368" t="s">
        <v>666</v>
      </c>
      <c r="F322" s="4162" t="s">
        <v>282</v>
      </c>
      <c r="G322" s="4162"/>
      <c r="H322" s="4162"/>
      <c r="I322" s="4162">
        <v>705</v>
      </c>
      <c r="J322" s="3409" t="s">
        <v>695</v>
      </c>
      <c r="K322" s="49"/>
      <c r="L322" s="923" t="s">
        <v>37</v>
      </c>
      <c r="M322" s="1227"/>
      <c r="U322" s="924" t="s">
        <v>30</v>
      </c>
      <c r="V322" s="3160" t="s">
        <v>37</v>
      </c>
      <c r="X322" s="924"/>
    </row>
    <row r="323" spans="2:25" ht="31.5">
      <c r="B323" s="4355">
        <v>46093</v>
      </c>
      <c r="C323" s="3165" t="s">
        <v>648</v>
      </c>
      <c r="D323" s="3165" t="s">
        <v>654</v>
      </c>
      <c r="E323" s="5002" t="s">
        <v>533</v>
      </c>
      <c r="F323" s="4976" t="s">
        <v>678</v>
      </c>
      <c r="G323" s="4976"/>
      <c r="H323" s="4976"/>
      <c r="I323" s="4162">
        <v>705</v>
      </c>
      <c r="J323" s="3409" t="s">
        <v>657</v>
      </c>
      <c r="K323" s="4464" t="s">
        <v>310</v>
      </c>
      <c r="L323" s="923" t="s">
        <v>37</v>
      </c>
      <c r="M323" s="1227"/>
      <c r="U323" s="924"/>
      <c r="X323" s="924"/>
    </row>
    <row r="324" spans="2:25" ht="31.5">
      <c r="B324" s="4355">
        <v>46094</v>
      </c>
      <c r="C324" s="3165" t="s">
        <v>648</v>
      </c>
      <c r="D324" s="3165" t="s">
        <v>696</v>
      </c>
      <c r="E324" s="4195" t="s">
        <v>592</v>
      </c>
      <c r="F324" s="4195" t="s">
        <v>635</v>
      </c>
      <c r="G324" s="4195"/>
      <c r="H324" s="4195"/>
      <c r="I324" s="4162">
        <v>701</v>
      </c>
      <c r="J324" s="4162" t="s">
        <v>594</v>
      </c>
      <c r="K324" s="4162"/>
      <c r="L324" s="923" t="s">
        <v>37</v>
      </c>
      <c r="M324" s="4367"/>
      <c r="U324" s="4347"/>
      <c r="X324" s="4376"/>
    </row>
    <row r="325" spans="2:25" ht="31.5">
      <c r="B325" s="4355">
        <v>46094</v>
      </c>
      <c r="C325" s="3165" t="s">
        <v>648</v>
      </c>
      <c r="D325" s="3165" t="s">
        <v>696</v>
      </c>
      <c r="E325" s="4195" t="s">
        <v>619</v>
      </c>
      <c r="F325" s="4195" t="s">
        <v>620</v>
      </c>
      <c r="G325" s="4195"/>
      <c r="H325" s="4195"/>
      <c r="I325" s="4162">
        <v>701</v>
      </c>
      <c r="J325" s="4162" t="s">
        <v>621</v>
      </c>
      <c r="K325" s="4162"/>
      <c r="L325" s="923" t="s">
        <v>37</v>
      </c>
      <c r="M325" s="4367"/>
      <c r="U325" s="4347"/>
      <c r="X325" s="4376"/>
    </row>
    <row r="326" spans="2:25" ht="117" customHeight="1">
      <c r="B326" s="4355">
        <v>46094</v>
      </c>
      <c r="C326" s="3165" t="s">
        <v>648</v>
      </c>
      <c r="D326" s="3165" t="s">
        <v>697</v>
      </c>
      <c r="E326" s="4280" t="s">
        <v>97</v>
      </c>
      <c r="F326" s="4280" t="s">
        <v>312</v>
      </c>
      <c r="G326" s="4280"/>
      <c r="H326" s="4280"/>
      <c r="I326" s="4162">
        <v>712</v>
      </c>
      <c r="J326" s="4280" t="s">
        <v>495</v>
      </c>
      <c r="K326" s="4280"/>
      <c r="L326" s="51"/>
      <c r="M326" s="923" t="s">
        <v>37</v>
      </c>
      <c r="P326" s="21" t="s">
        <v>0</v>
      </c>
      <c r="Q326" s="21" t="s">
        <v>110</v>
      </c>
      <c r="R326" s="21" t="s">
        <v>32</v>
      </c>
      <c r="U326" s="4347"/>
      <c r="W326" s="3160" t="s">
        <v>30</v>
      </c>
      <c r="X326" s="4376" t="s">
        <v>698</v>
      </c>
    </row>
    <row r="327" spans="2:25" ht="31.5">
      <c r="B327" s="4355">
        <v>46094</v>
      </c>
      <c r="C327" s="3165" t="s">
        <v>648</v>
      </c>
      <c r="D327" s="3165" t="s">
        <v>699</v>
      </c>
      <c r="E327" s="4280" t="s">
        <v>360</v>
      </c>
      <c r="F327" s="4280" t="s">
        <v>348</v>
      </c>
      <c r="G327" s="4280"/>
      <c r="H327" s="4280"/>
      <c r="I327" s="4162">
        <v>703</v>
      </c>
      <c r="J327" s="4280">
        <v>60105</v>
      </c>
      <c r="K327" s="4280"/>
      <c r="L327" s="923" t="s">
        <v>37</v>
      </c>
      <c r="M327" s="4367"/>
      <c r="U327" s="4347"/>
      <c r="X327" s="4376" t="s">
        <v>700</v>
      </c>
    </row>
    <row r="328" spans="2:25" ht="31.5">
      <c r="B328" s="4355">
        <v>46094</v>
      </c>
      <c r="C328" s="3165" t="s">
        <v>648</v>
      </c>
      <c r="D328" s="3165" t="s">
        <v>701</v>
      </c>
      <c r="E328" s="4368" t="s">
        <v>156</v>
      </c>
      <c r="F328" s="4162" t="s">
        <v>669</v>
      </c>
      <c r="G328" s="4162"/>
      <c r="H328" s="4162"/>
      <c r="I328" s="4162">
        <v>705</v>
      </c>
      <c r="J328" s="3408" t="s">
        <v>702</v>
      </c>
      <c r="K328" s="924"/>
      <c r="L328" s="923" t="s">
        <v>37</v>
      </c>
      <c r="M328" s="923"/>
      <c r="U328" s="923" t="s">
        <v>37</v>
      </c>
      <c r="X328" s="924"/>
    </row>
    <row r="329" spans="2:25" ht="31.5">
      <c r="B329" s="4355">
        <v>46094</v>
      </c>
      <c r="C329" s="3165" t="s">
        <v>648</v>
      </c>
      <c r="D329" s="3165" t="s">
        <v>703</v>
      </c>
      <c r="E329" s="4162" t="s">
        <v>669</v>
      </c>
      <c r="F329" s="4368" t="s">
        <v>156</v>
      </c>
      <c r="G329" s="4368"/>
      <c r="H329" s="4368"/>
      <c r="I329" s="4162">
        <v>705</v>
      </c>
      <c r="J329" s="3408" t="s">
        <v>397</v>
      </c>
      <c r="K329" s="924"/>
      <c r="L329" s="923" t="s">
        <v>37</v>
      </c>
      <c r="M329" s="923"/>
      <c r="U329" s="923" t="s">
        <v>37</v>
      </c>
      <c r="X329" s="924"/>
    </row>
    <row r="330" spans="2:25" ht="31.5">
      <c r="B330" s="4355">
        <v>46095</v>
      </c>
      <c r="C330" s="3165" t="s">
        <v>648</v>
      </c>
      <c r="D330" s="3165" t="s">
        <v>704</v>
      </c>
      <c r="E330" s="4368" t="s">
        <v>705</v>
      </c>
      <c r="F330" s="4162" t="s">
        <v>264</v>
      </c>
      <c r="G330" s="4162"/>
      <c r="H330" s="4162"/>
      <c r="I330" s="4162">
        <v>705</v>
      </c>
      <c r="J330" s="3408" t="s">
        <v>706</v>
      </c>
      <c r="K330" s="4464" t="s">
        <v>84</v>
      </c>
      <c r="L330" s="923" t="s">
        <v>37</v>
      </c>
      <c r="M330" s="923"/>
      <c r="U330" s="923" t="s">
        <v>37</v>
      </c>
      <c r="V330" s="3160" t="s">
        <v>37</v>
      </c>
      <c r="X330" s="924"/>
    </row>
    <row r="331" spans="2:25" ht="31.5">
      <c r="B331" s="4355">
        <v>46096</v>
      </c>
      <c r="C331" s="3165" t="s">
        <v>648</v>
      </c>
      <c r="D331" s="3165" t="s">
        <v>707</v>
      </c>
      <c r="E331" s="4368" t="s">
        <v>264</v>
      </c>
      <c r="F331" s="4163" t="s">
        <v>169</v>
      </c>
      <c r="G331" s="5132"/>
      <c r="H331" s="5132"/>
      <c r="I331" s="4979">
        <v>705</v>
      </c>
      <c r="J331" s="3408" t="s">
        <v>708</v>
      </c>
      <c r="K331" s="924"/>
      <c r="L331" s="923" t="s">
        <v>37</v>
      </c>
      <c r="M331" s="923"/>
      <c r="U331" s="923" t="s">
        <v>37</v>
      </c>
      <c r="V331" s="3160" t="s">
        <v>37</v>
      </c>
      <c r="X331" s="924"/>
    </row>
    <row r="332" spans="2:25" ht="31.5">
      <c r="B332" s="4355">
        <v>46097</v>
      </c>
      <c r="C332" s="3165" t="s">
        <v>709</v>
      </c>
      <c r="D332" s="3165" t="s">
        <v>710</v>
      </c>
      <c r="E332" s="4990" t="s">
        <v>169</v>
      </c>
      <c r="F332" s="4280" t="s">
        <v>711</v>
      </c>
      <c r="G332" s="4280"/>
      <c r="H332" s="4280"/>
      <c r="I332" s="4280">
        <v>705</v>
      </c>
      <c r="J332" s="5029" t="s">
        <v>712</v>
      </c>
      <c r="K332" s="1002"/>
      <c r="L332" s="1001" t="s">
        <v>37</v>
      </c>
      <c r="M332" s="1227"/>
      <c r="N332" s="47"/>
      <c r="O332" s="47"/>
      <c r="S332" s="924"/>
      <c r="T332" s="924"/>
      <c r="U332" s="924"/>
      <c r="V332" s="3160" t="s">
        <v>37</v>
      </c>
      <c r="X332" s="924"/>
    </row>
    <row r="333" spans="2:25" ht="31.5">
      <c r="B333" s="4355">
        <v>46097</v>
      </c>
      <c r="C333" s="3165" t="s">
        <v>709</v>
      </c>
      <c r="D333" s="3165" t="s">
        <v>713</v>
      </c>
      <c r="E333" s="4990" t="s">
        <v>638</v>
      </c>
      <c r="F333" s="4280" t="s">
        <v>714</v>
      </c>
      <c r="G333" s="4280"/>
      <c r="H333" s="4280"/>
      <c r="I333" s="4280">
        <v>705</v>
      </c>
      <c r="J333" s="5029" t="s">
        <v>715</v>
      </c>
      <c r="K333" s="1002"/>
      <c r="L333" s="1001" t="s">
        <v>37</v>
      </c>
      <c r="M333" s="1227"/>
      <c r="N333" s="47"/>
      <c r="O333" s="47"/>
      <c r="S333" s="924"/>
      <c r="T333" s="924"/>
      <c r="U333" s="924"/>
      <c r="V333" s="3160" t="s">
        <v>37</v>
      </c>
      <c r="X333" s="924"/>
    </row>
    <row r="334" spans="2:25" ht="31.5">
      <c r="B334" s="4355">
        <v>46097</v>
      </c>
      <c r="C334" s="3165" t="s">
        <v>709</v>
      </c>
      <c r="D334" s="3165" t="s">
        <v>716</v>
      </c>
      <c r="E334" s="5010" t="s">
        <v>304</v>
      </c>
      <c r="F334" s="5011" t="s">
        <v>275</v>
      </c>
      <c r="G334" s="5011"/>
      <c r="H334" s="5011"/>
      <c r="I334" s="4280">
        <v>705</v>
      </c>
      <c r="J334" s="5029" t="s">
        <v>717</v>
      </c>
      <c r="K334" s="1002"/>
      <c r="L334" s="1001" t="s">
        <v>37</v>
      </c>
      <c r="M334" s="1227"/>
      <c r="N334" s="47"/>
      <c r="O334" s="47"/>
      <c r="S334" s="924"/>
      <c r="T334" s="924"/>
      <c r="U334" s="924"/>
      <c r="X334" s="924"/>
    </row>
    <row r="335" spans="2:25" ht="31.5">
      <c r="B335" s="4355">
        <v>46097</v>
      </c>
      <c r="C335" s="3165" t="s">
        <v>709</v>
      </c>
      <c r="D335" s="3165" t="s">
        <v>718</v>
      </c>
      <c r="E335" s="4280" t="s">
        <v>711</v>
      </c>
      <c r="F335" s="4280" t="s">
        <v>711</v>
      </c>
      <c r="G335" s="4280"/>
      <c r="H335" s="4280"/>
      <c r="I335" s="4280">
        <v>705</v>
      </c>
      <c r="J335" s="5029" t="s">
        <v>719</v>
      </c>
      <c r="K335" s="1002"/>
      <c r="L335" s="1001"/>
      <c r="M335" s="1227" t="s">
        <v>37</v>
      </c>
      <c r="N335" s="47"/>
      <c r="O335" s="47"/>
      <c r="P335" s="21" t="s">
        <v>71</v>
      </c>
      <c r="Q335" s="21" t="s">
        <v>720</v>
      </c>
      <c r="R335" s="21" t="s">
        <v>160</v>
      </c>
      <c r="S335" s="924" t="s">
        <v>37</v>
      </c>
      <c r="T335" s="924"/>
      <c r="U335" s="924"/>
      <c r="V335" s="3160" t="s">
        <v>37</v>
      </c>
      <c r="X335" s="924" t="s">
        <v>721</v>
      </c>
      <c r="Y335" s="3160" t="s">
        <v>722</v>
      </c>
    </row>
    <row r="336" spans="2:25" ht="31.5">
      <c r="B336" s="4355">
        <v>46097</v>
      </c>
      <c r="C336" s="3165" t="s">
        <v>709</v>
      </c>
      <c r="D336" s="3165" t="s">
        <v>723</v>
      </c>
      <c r="E336" s="4990" t="s">
        <v>148</v>
      </c>
      <c r="F336" s="4280" t="s">
        <v>724</v>
      </c>
      <c r="G336" s="4280"/>
      <c r="H336" s="4280"/>
      <c r="I336" s="4280">
        <v>705</v>
      </c>
      <c r="J336" s="5029" t="s">
        <v>725</v>
      </c>
      <c r="K336" s="1002"/>
      <c r="L336" s="1001" t="s">
        <v>37</v>
      </c>
      <c r="M336" s="1227"/>
      <c r="N336" s="47"/>
      <c r="O336" s="47"/>
      <c r="S336" s="924"/>
      <c r="T336" s="924"/>
      <c r="U336" s="924"/>
      <c r="X336" s="924"/>
    </row>
    <row r="337" spans="2:24" ht="96" customHeight="1">
      <c r="B337" s="3164">
        <v>46098</v>
      </c>
      <c r="C337" s="3165" t="s">
        <v>709</v>
      </c>
      <c r="D337" s="3165" t="s">
        <v>716</v>
      </c>
      <c r="E337" s="5010" t="s">
        <v>282</v>
      </c>
      <c r="F337" s="5011" t="s">
        <v>195</v>
      </c>
      <c r="G337" s="5011"/>
      <c r="H337" s="5011"/>
      <c r="I337" s="4280">
        <v>705</v>
      </c>
      <c r="J337" s="5029" t="s">
        <v>717</v>
      </c>
      <c r="K337" s="1002"/>
      <c r="L337" s="1001"/>
      <c r="M337" s="924" t="s">
        <v>37</v>
      </c>
      <c r="N337" s="47"/>
      <c r="O337" s="47"/>
      <c r="P337" s="21" t="s">
        <v>0</v>
      </c>
      <c r="Q337" s="21" t="s">
        <v>31</v>
      </c>
      <c r="R337" s="21" t="s">
        <v>160</v>
      </c>
      <c r="S337" s="924"/>
      <c r="T337" s="924"/>
      <c r="U337" s="924"/>
      <c r="X337" s="924" t="s">
        <v>726</v>
      </c>
    </row>
    <row r="338" spans="2:24" ht="52.5">
      <c r="B338" s="3164">
        <v>46098</v>
      </c>
      <c r="C338" s="3165" t="s">
        <v>709</v>
      </c>
      <c r="D338" s="3165" t="s">
        <v>716</v>
      </c>
      <c r="E338" s="5010" t="s">
        <v>282</v>
      </c>
      <c r="F338" s="5011" t="s">
        <v>195</v>
      </c>
      <c r="G338" s="5011"/>
      <c r="H338" s="5011"/>
      <c r="I338" s="4280">
        <v>705</v>
      </c>
      <c r="J338" s="5029" t="s">
        <v>717</v>
      </c>
      <c r="K338" s="1002"/>
      <c r="L338" s="1001" t="s">
        <v>37</v>
      </c>
      <c r="M338" s="924"/>
      <c r="N338" s="47"/>
      <c r="O338" s="47"/>
      <c r="S338" s="924"/>
      <c r="T338" s="924" t="s">
        <v>37</v>
      </c>
      <c r="U338" s="924"/>
      <c r="X338" s="924" t="s">
        <v>726</v>
      </c>
    </row>
    <row r="339" spans="2:24" ht="31.5">
      <c r="B339" s="3164">
        <v>46098</v>
      </c>
      <c r="C339" s="3165" t="s">
        <v>709</v>
      </c>
      <c r="D339" s="3165" t="s">
        <v>727</v>
      </c>
      <c r="E339" s="5012" t="s">
        <v>43</v>
      </c>
      <c r="F339" s="4289" t="s">
        <v>728</v>
      </c>
      <c r="G339" s="4289"/>
      <c r="H339" s="4289"/>
      <c r="I339" s="4280">
        <v>707</v>
      </c>
      <c r="J339" s="5029">
        <v>60093</v>
      </c>
      <c r="K339" s="1002"/>
      <c r="L339" s="1001" t="s">
        <v>37</v>
      </c>
      <c r="M339" s="1227"/>
      <c r="N339" s="47"/>
      <c r="O339" s="47"/>
      <c r="S339" s="924"/>
      <c r="T339" s="924"/>
      <c r="U339" s="924"/>
      <c r="X339" s="924"/>
    </row>
    <row r="340" spans="2:24" ht="31.5">
      <c r="B340" s="3164">
        <v>46098</v>
      </c>
      <c r="C340" s="3165" t="s">
        <v>709</v>
      </c>
      <c r="D340" s="3165" t="s">
        <v>727</v>
      </c>
      <c r="E340" s="5012" t="s">
        <v>79</v>
      </c>
      <c r="F340" s="4289" t="s">
        <v>518</v>
      </c>
      <c r="G340" s="4289"/>
      <c r="H340" s="4289"/>
      <c r="I340" s="4280">
        <v>707</v>
      </c>
      <c r="J340" s="5029" t="s">
        <v>729</v>
      </c>
      <c r="K340" s="1002"/>
      <c r="L340" s="1001" t="s">
        <v>37</v>
      </c>
      <c r="M340" s="1227"/>
      <c r="N340" s="47"/>
      <c r="O340" s="47"/>
      <c r="S340" s="924"/>
      <c r="T340" s="924"/>
      <c r="U340" s="924"/>
      <c r="X340" s="924"/>
    </row>
    <row r="341" spans="2:24" ht="31.5">
      <c r="B341" s="3164">
        <v>46098</v>
      </c>
      <c r="C341" s="3165" t="s">
        <v>709</v>
      </c>
      <c r="D341" s="3165" t="s">
        <v>730</v>
      </c>
      <c r="E341" s="5013" t="s">
        <v>273</v>
      </c>
      <c r="F341" s="5014" t="s">
        <v>731</v>
      </c>
      <c r="G341" s="5014"/>
      <c r="H341" s="5014"/>
      <c r="I341" s="4280">
        <v>703</v>
      </c>
      <c r="J341" s="5029" t="s">
        <v>732</v>
      </c>
      <c r="K341" s="1002"/>
      <c r="L341" s="1001"/>
      <c r="M341" s="1227" t="s">
        <v>37</v>
      </c>
      <c r="N341" s="47"/>
      <c r="O341" s="47"/>
      <c r="P341" s="21" t="s">
        <v>0</v>
      </c>
      <c r="Q341" s="21" t="s">
        <v>187</v>
      </c>
      <c r="R341" s="21" t="s">
        <v>46</v>
      </c>
      <c r="S341" s="924"/>
      <c r="T341" s="924"/>
      <c r="U341" s="924"/>
      <c r="X341" s="924" t="s">
        <v>564</v>
      </c>
    </row>
    <row r="342" spans="2:24" ht="31.5">
      <c r="B342" s="3164">
        <v>46098</v>
      </c>
      <c r="C342" s="3165" t="s">
        <v>709</v>
      </c>
      <c r="D342" s="3165" t="s">
        <v>730</v>
      </c>
      <c r="E342" s="5013" t="s">
        <v>273</v>
      </c>
      <c r="F342" s="5014" t="s">
        <v>49</v>
      </c>
      <c r="G342" s="5014"/>
      <c r="H342" s="5014"/>
      <c r="I342" s="4280">
        <v>703</v>
      </c>
      <c r="J342" s="5029" t="s">
        <v>732</v>
      </c>
      <c r="K342" s="1002"/>
      <c r="L342" s="1001"/>
      <c r="M342" s="1227" t="s">
        <v>37</v>
      </c>
      <c r="N342" s="47"/>
      <c r="O342" s="47"/>
      <c r="P342" s="21" t="s">
        <v>0</v>
      </c>
      <c r="Q342" s="21" t="s">
        <v>187</v>
      </c>
      <c r="R342" s="21" t="s">
        <v>46</v>
      </c>
      <c r="S342" s="924"/>
      <c r="T342" s="924"/>
      <c r="U342" s="924"/>
      <c r="X342" s="924" t="s">
        <v>564</v>
      </c>
    </row>
    <row r="343" spans="2:24" ht="31.5">
      <c r="B343" s="3164">
        <v>46098</v>
      </c>
      <c r="C343" s="3165" t="s">
        <v>709</v>
      </c>
      <c r="D343" s="3165" t="s">
        <v>733</v>
      </c>
      <c r="E343" s="5015" t="s">
        <v>711</v>
      </c>
      <c r="F343" s="5016" t="s">
        <v>734</v>
      </c>
      <c r="G343" s="5016"/>
      <c r="H343" s="5016"/>
      <c r="I343" s="4280">
        <v>705</v>
      </c>
      <c r="J343" s="5029" t="s">
        <v>735</v>
      </c>
      <c r="K343" s="1002"/>
      <c r="L343" s="1001"/>
      <c r="M343" s="1227" t="s">
        <v>37</v>
      </c>
      <c r="N343" s="47"/>
      <c r="O343" s="47"/>
      <c r="P343" s="21" t="s">
        <v>0</v>
      </c>
      <c r="Q343" s="21" t="s">
        <v>736</v>
      </c>
      <c r="R343" s="21" t="s">
        <v>160</v>
      </c>
      <c r="S343" s="924"/>
      <c r="T343" s="924"/>
      <c r="U343" s="924"/>
      <c r="V343" s="3160" t="s">
        <v>37</v>
      </c>
      <c r="X343" s="924" t="s">
        <v>737</v>
      </c>
    </row>
    <row r="344" spans="2:24" ht="31.5">
      <c r="B344" s="3164">
        <v>46098</v>
      </c>
      <c r="C344" s="3165" t="s">
        <v>709</v>
      </c>
      <c r="D344" s="3165" t="s">
        <v>738</v>
      </c>
      <c r="E344" s="4990" t="s">
        <v>739</v>
      </c>
      <c r="F344" s="4280" t="s">
        <v>273</v>
      </c>
      <c r="G344" s="4280"/>
      <c r="H344" s="4280"/>
      <c r="I344" s="4280">
        <v>707</v>
      </c>
      <c r="J344" s="5030" t="s">
        <v>740</v>
      </c>
      <c r="K344" s="4464" t="s">
        <v>84</v>
      </c>
      <c r="L344" s="1001" t="s">
        <v>37</v>
      </c>
      <c r="M344" s="1227"/>
      <c r="N344" s="47"/>
      <c r="O344" s="47"/>
      <c r="S344" s="924"/>
      <c r="T344" s="924"/>
      <c r="U344" s="924"/>
      <c r="X344" s="924"/>
    </row>
    <row r="345" spans="2:24" ht="31.5">
      <c r="B345" s="3164">
        <v>46098</v>
      </c>
      <c r="C345" s="3165" t="s">
        <v>709</v>
      </c>
      <c r="D345" s="3165" t="s">
        <v>741</v>
      </c>
      <c r="E345" s="4759" t="s">
        <v>282</v>
      </c>
      <c r="F345" s="3383" t="s">
        <v>742</v>
      </c>
      <c r="G345" s="3383"/>
      <c r="H345" s="3383"/>
      <c r="I345" s="4280">
        <v>705</v>
      </c>
      <c r="J345" s="5029" t="s">
        <v>743</v>
      </c>
      <c r="K345" s="4464" t="s">
        <v>84</v>
      </c>
      <c r="L345" s="1001" t="s">
        <v>37</v>
      </c>
      <c r="M345" s="1227"/>
      <c r="N345" s="47"/>
      <c r="O345" s="47"/>
      <c r="S345" s="924"/>
      <c r="T345" s="924"/>
      <c r="U345" s="924"/>
      <c r="X345" s="924"/>
    </row>
    <row r="346" spans="2:24" ht="31.5">
      <c r="B346" s="3164">
        <v>46099</v>
      </c>
      <c r="C346" s="3165" t="s">
        <v>709</v>
      </c>
      <c r="D346" s="3165" t="s">
        <v>727</v>
      </c>
      <c r="E346" s="5012" t="s">
        <v>148</v>
      </c>
      <c r="F346" s="4289" t="s">
        <v>744</v>
      </c>
      <c r="G346" s="4289"/>
      <c r="H346" s="4289"/>
      <c r="I346" s="4280">
        <v>707</v>
      </c>
      <c r="J346" s="3415" t="s">
        <v>729</v>
      </c>
      <c r="K346" s="4994"/>
      <c r="L346" s="1001" t="s">
        <v>37</v>
      </c>
      <c r="M346" s="1227"/>
      <c r="N346" s="47"/>
      <c r="O346" s="47"/>
      <c r="S346" s="924"/>
      <c r="T346" s="924"/>
      <c r="U346" s="924"/>
      <c r="X346" s="924"/>
    </row>
    <row r="347" spans="2:24" ht="31.5">
      <c r="B347" s="3164">
        <v>46099</v>
      </c>
      <c r="C347" s="3165" t="s">
        <v>709</v>
      </c>
      <c r="D347" s="3165" t="s">
        <v>745</v>
      </c>
      <c r="E347" s="4195" t="s">
        <v>592</v>
      </c>
      <c r="F347" s="4195" t="s">
        <v>635</v>
      </c>
      <c r="G347" s="4195"/>
      <c r="H347" s="4195"/>
      <c r="I347" s="4162">
        <v>701</v>
      </c>
      <c r="J347" s="4162" t="s">
        <v>594</v>
      </c>
      <c r="K347" s="4994"/>
      <c r="L347" s="1001" t="s">
        <v>37</v>
      </c>
      <c r="M347" s="1227"/>
      <c r="N347" s="47"/>
      <c r="O347" s="47"/>
      <c r="S347" s="924"/>
      <c r="T347" s="924"/>
      <c r="U347" s="924"/>
      <c r="X347" s="924"/>
    </row>
    <row r="348" spans="2:24" ht="31.5">
      <c r="B348" s="3164">
        <v>46099</v>
      </c>
      <c r="C348" s="3165" t="s">
        <v>709</v>
      </c>
      <c r="D348" s="3165" t="s">
        <v>745</v>
      </c>
      <c r="E348" s="5007" t="s">
        <v>619</v>
      </c>
      <c r="F348" s="5007" t="s">
        <v>620</v>
      </c>
      <c r="G348" s="5007"/>
      <c r="H348" s="5007"/>
      <c r="I348" s="4280">
        <v>701</v>
      </c>
      <c r="J348" s="4280" t="s">
        <v>621</v>
      </c>
      <c r="K348" s="4994"/>
      <c r="L348" s="1001" t="s">
        <v>37</v>
      </c>
      <c r="M348" s="1227"/>
      <c r="N348" s="47"/>
      <c r="O348" s="47"/>
      <c r="S348" s="924"/>
      <c r="T348" s="924"/>
      <c r="U348" s="924"/>
      <c r="X348" s="924"/>
    </row>
    <row r="349" spans="2:24" ht="31.5">
      <c r="B349" s="3164">
        <v>46099</v>
      </c>
      <c r="C349" s="3165" t="s">
        <v>709</v>
      </c>
      <c r="D349" s="3165" t="s">
        <v>746</v>
      </c>
      <c r="E349" s="5018" t="s">
        <v>79</v>
      </c>
      <c r="F349" s="5017" t="s">
        <v>747</v>
      </c>
      <c r="G349" s="5017"/>
      <c r="H349" s="5017"/>
      <c r="I349" s="4280">
        <v>705</v>
      </c>
      <c r="J349" s="4280" t="s">
        <v>748</v>
      </c>
      <c r="K349" s="4994"/>
      <c r="L349" s="1001" t="s">
        <v>37</v>
      </c>
      <c r="M349" s="1227"/>
      <c r="N349" s="47"/>
      <c r="O349" s="47"/>
      <c r="S349" s="924"/>
      <c r="T349" s="924"/>
      <c r="U349" s="924"/>
      <c r="V349" s="3160" t="s">
        <v>37</v>
      </c>
      <c r="X349" s="924"/>
    </row>
    <row r="350" spans="2:24" ht="31.5">
      <c r="B350" s="3164">
        <v>46099</v>
      </c>
      <c r="C350" s="3165" t="s">
        <v>709</v>
      </c>
      <c r="D350" s="3165" t="s">
        <v>746</v>
      </c>
      <c r="E350" s="5018" t="s">
        <v>747</v>
      </c>
      <c r="F350" s="5017" t="s">
        <v>195</v>
      </c>
      <c r="G350" s="5017"/>
      <c r="H350" s="5017"/>
      <c r="I350" s="4280">
        <v>705</v>
      </c>
      <c r="J350" s="4280" t="s">
        <v>748</v>
      </c>
      <c r="K350" s="4994"/>
      <c r="L350" s="1001" t="s">
        <v>37</v>
      </c>
      <c r="M350" s="1227"/>
      <c r="N350" s="47"/>
      <c r="O350" s="47"/>
      <c r="S350" s="924"/>
      <c r="T350" s="924"/>
      <c r="U350" s="924"/>
      <c r="V350" s="3160" t="s">
        <v>37</v>
      </c>
      <c r="X350" s="924"/>
    </row>
    <row r="351" spans="2:24" ht="31.5">
      <c r="B351" s="3164">
        <v>46099</v>
      </c>
      <c r="C351" s="3165" t="s">
        <v>709</v>
      </c>
      <c r="D351" s="3165" t="s">
        <v>749</v>
      </c>
      <c r="E351" s="5019" t="s">
        <v>79</v>
      </c>
      <c r="F351" s="5020" t="s">
        <v>750</v>
      </c>
      <c r="G351" s="5020"/>
      <c r="H351" s="5020"/>
      <c r="I351" s="4280">
        <v>705</v>
      </c>
      <c r="J351" s="3415" t="s">
        <v>751</v>
      </c>
      <c r="K351" s="4994"/>
      <c r="L351" s="1001" t="s">
        <v>37</v>
      </c>
      <c r="M351" s="1227"/>
      <c r="N351" s="47"/>
      <c r="O351" s="47" t="s">
        <v>37</v>
      </c>
      <c r="S351" s="924"/>
      <c r="T351" s="924"/>
      <c r="U351" s="924"/>
      <c r="X351" s="924" t="s">
        <v>752</v>
      </c>
    </row>
    <row r="352" spans="2:24" ht="31.5">
      <c r="B352" s="3164">
        <v>46099</v>
      </c>
      <c r="C352" s="3165" t="s">
        <v>709</v>
      </c>
      <c r="D352" s="3165" t="s">
        <v>749</v>
      </c>
      <c r="E352" s="5019" t="s">
        <v>436</v>
      </c>
      <c r="F352" s="5020" t="s">
        <v>195</v>
      </c>
      <c r="G352" s="5020"/>
      <c r="H352" s="5020"/>
      <c r="I352" s="4280">
        <v>705</v>
      </c>
      <c r="J352" s="3415" t="s">
        <v>753</v>
      </c>
      <c r="K352" s="4994"/>
      <c r="L352" s="1001" t="s">
        <v>37</v>
      </c>
      <c r="M352" s="1227"/>
      <c r="N352" s="47"/>
      <c r="O352" s="47" t="s">
        <v>37</v>
      </c>
      <c r="S352" s="924"/>
      <c r="T352" s="924"/>
      <c r="U352" s="924"/>
      <c r="X352" s="924"/>
    </row>
    <row r="353" spans="2:25" ht="78.75">
      <c r="B353" s="3164">
        <v>46099</v>
      </c>
      <c r="C353" s="3165" t="s">
        <v>709</v>
      </c>
      <c r="D353" s="3165" t="s">
        <v>754</v>
      </c>
      <c r="E353" s="4990" t="s">
        <v>711</v>
      </c>
      <c r="F353" s="4280" t="s">
        <v>755</v>
      </c>
      <c r="G353" s="4280"/>
      <c r="H353" s="4280"/>
      <c r="I353" s="4280">
        <v>705</v>
      </c>
      <c r="J353" s="3415" t="s">
        <v>756</v>
      </c>
      <c r="K353" s="4994"/>
      <c r="L353" s="1001"/>
      <c r="M353" s="1227" t="s">
        <v>37</v>
      </c>
      <c r="N353" s="47"/>
      <c r="O353" s="47" t="s">
        <v>37</v>
      </c>
      <c r="P353" s="21" t="s">
        <v>0</v>
      </c>
      <c r="Q353" s="21" t="s">
        <v>757</v>
      </c>
      <c r="R353" s="21" t="s">
        <v>160</v>
      </c>
      <c r="S353" s="924"/>
      <c r="T353" s="924"/>
      <c r="U353" s="924"/>
      <c r="X353" s="924" t="s">
        <v>758</v>
      </c>
      <c r="Y353" s="3160" t="s">
        <v>759</v>
      </c>
    </row>
    <row r="354" spans="2:25" ht="31.5">
      <c r="B354" s="3164">
        <v>46099</v>
      </c>
      <c r="C354" s="3165" t="s">
        <v>709</v>
      </c>
      <c r="D354" s="3165" t="s">
        <v>754</v>
      </c>
      <c r="E354" s="4990" t="s">
        <v>285</v>
      </c>
      <c r="F354" s="4581" t="s">
        <v>195</v>
      </c>
      <c r="G354" s="4581"/>
      <c r="H354" s="4581"/>
      <c r="I354" s="4280">
        <v>705</v>
      </c>
      <c r="J354" s="3415" t="s">
        <v>760</v>
      </c>
      <c r="K354" s="4994"/>
      <c r="L354" s="1001"/>
      <c r="M354" s="1227"/>
      <c r="N354" s="47" t="s">
        <v>37</v>
      </c>
      <c r="O354" s="47"/>
      <c r="S354" s="924"/>
      <c r="T354" s="924"/>
      <c r="U354" s="924"/>
      <c r="X354" s="924" t="s">
        <v>761</v>
      </c>
    </row>
    <row r="355" spans="2:25" ht="31.5">
      <c r="B355" s="3164">
        <v>46099</v>
      </c>
      <c r="C355" s="3165" t="s">
        <v>709</v>
      </c>
      <c r="D355" s="3165" t="s">
        <v>762</v>
      </c>
      <c r="E355" s="4990" t="s">
        <v>285</v>
      </c>
      <c r="F355" s="4581" t="s">
        <v>763</v>
      </c>
      <c r="G355" s="4581"/>
      <c r="H355" s="4581"/>
      <c r="I355" s="4280">
        <v>705</v>
      </c>
      <c r="J355" s="3415" t="s">
        <v>764</v>
      </c>
      <c r="K355" s="4994"/>
      <c r="L355" s="1001" t="s">
        <v>37</v>
      </c>
      <c r="M355" s="1227"/>
      <c r="N355" s="47"/>
      <c r="O355" s="47"/>
      <c r="S355" s="924"/>
      <c r="T355" s="924"/>
      <c r="U355" s="924" t="s">
        <v>37</v>
      </c>
      <c r="X355" s="924"/>
    </row>
    <row r="356" spans="2:25" ht="31.5">
      <c r="B356" s="3164">
        <v>46099</v>
      </c>
      <c r="C356" s="3165" t="s">
        <v>709</v>
      </c>
      <c r="D356" s="3165" t="s">
        <v>765</v>
      </c>
      <c r="E356" s="4759" t="s">
        <v>360</v>
      </c>
      <c r="F356" s="3383" t="s">
        <v>766</v>
      </c>
      <c r="G356" s="3383"/>
      <c r="H356" s="3383"/>
      <c r="I356" s="4280">
        <v>707</v>
      </c>
      <c r="J356" s="5029" t="s">
        <v>767</v>
      </c>
      <c r="K356" s="4464" t="s">
        <v>84</v>
      </c>
      <c r="L356" s="1001" t="s">
        <v>37</v>
      </c>
      <c r="M356" s="1227"/>
      <c r="N356" s="47"/>
      <c r="O356" s="47"/>
      <c r="S356" s="924"/>
      <c r="T356" s="924"/>
      <c r="U356" s="924"/>
      <c r="X356" s="924"/>
    </row>
    <row r="357" spans="2:25" ht="31.5">
      <c r="B357" s="3164">
        <v>46100</v>
      </c>
      <c r="C357" s="3165" t="s">
        <v>709</v>
      </c>
      <c r="D357" s="3165" t="s">
        <v>765</v>
      </c>
      <c r="E357" s="4759" t="s">
        <v>768</v>
      </c>
      <c r="F357" s="3383" t="s">
        <v>769</v>
      </c>
      <c r="G357" s="3383"/>
      <c r="H357" s="3383"/>
      <c r="I357" s="4280">
        <v>707</v>
      </c>
      <c r="J357" s="5029" t="s">
        <v>767</v>
      </c>
      <c r="K357" s="4464" t="s">
        <v>84</v>
      </c>
      <c r="L357" s="1001" t="s">
        <v>37</v>
      </c>
      <c r="M357" s="1227"/>
      <c r="N357" s="47"/>
      <c r="O357" s="47"/>
      <c r="S357" s="924"/>
      <c r="T357" s="924"/>
      <c r="U357" s="924"/>
      <c r="X357" s="924"/>
    </row>
    <row r="358" spans="2:25" ht="31.5">
      <c r="B358" s="3164">
        <v>46100</v>
      </c>
      <c r="C358" s="3165" t="s">
        <v>709</v>
      </c>
      <c r="D358" s="3165" t="s">
        <v>770</v>
      </c>
      <c r="E358" s="4195" t="s">
        <v>592</v>
      </c>
      <c r="F358" s="4195" t="s">
        <v>635</v>
      </c>
      <c r="G358" s="4195"/>
      <c r="H358" s="4195"/>
      <c r="I358" s="4162">
        <v>701</v>
      </c>
      <c r="J358" s="4162" t="s">
        <v>594</v>
      </c>
      <c r="K358" s="4162"/>
      <c r="L358" s="1001" t="s">
        <v>37</v>
      </c>
      <c r="M358" s="4367"/>
      <c r="N358" s="4347"/>
      <c r="O358" s="4347"/>
      <c r="S358" s="4347"/>
      <c r="T358" s="4347"/>
      <c r="U358" s="4347"/>
      <c r="X358" s="4376"/>
    </row>
    <row r="359" spans="2:25" ht="31.5">
      <c r="B359" s="3164">
        <v>46100</v>
      </c>
      <c r="C359" s="3165" t="s">
        <v>709</v>
      </c>
      <c r="D359" s="3165" t="s">
        <v>770</v>
      </c>
      <c r="E359" s="5007" t="s">
        <v>619</v>
      </c>
      <c r="F359" s="5007" t="s">
        <v>620</v>
      </c>
      <c r="G359" s="5007"/>
      <c r="H359" s="5007"/>
      <c r="I359" s="4280">
        <v>701</v>
      </c>
      <c r="J359" s="4280" t="s">
        <v>621</v>
      </c>
      <c r="K359" s="4280"/>
      <c r="L359" s="1001" t="s">
        <v>37</v>
      </c>
      <c r="M359" s="5008"/>
      <c r="N359" s="4759"/>
      <c r="O359" s="4759"/>
      <c r="S359" s="4759"/>
      <c r="T359" s="4759"/>
      <c r="U359" s="4759"/>
      <c r="X359" s="5009"/>
    </row>
    <row r="360" spans="2:25" ht="31.5">
      <c r="B360" s="3164">
        <v>46100</v>
      </c>
      <c r="C360" s="3165" t="s">
        <v>709</v>
      </c>
      <c r="D360" s="3165" t="s">
        <v>771</v>
      </c>
      <c r="E360" s="3383" t="s">
        <v>360</v>
      </c>
      <c r="F360" s="3383" t="s">
        <v>148</v>
      </c>
      <c r="G360" s="3383"/>
      <c r="H360" s="3383"/>
      <c r="I360" s="4280">
        <v>707</v>
      </c>
      <c r="J360" s="4280">
        <v>60105</v>
      </c>
      <c r="K360" s="4280"/>
      <c r="L360" s="1001" t="s">
        <v>37</v>
      </c>
      <c r="M360" s="5008"/>
      <c r="N360" s="4759"/>
      <c r="O360" s="4759"/>
      <c r="S360" s="4759"/>
      <c r="T360" s="4759"/>
      <c r="U360" s="4759"/>
      <c r="X360" s="5009"/>
    </row>
    <row r="361" spans="2:25" ht="52.5">
      <c r="B361" s="3164">
        <v>46100</v>
      </c>
      <c r="C361" s="3165" t="s">
        <v>709</v>
      </c>
      <c r="D361" s="3165" t="s">
        <v>772</v>
      </c>
      <c r="E361" s="4990" t="s">
        <v>60</v>
      </c>
      <c r="F361" s="4280" t="s">
        <v>742</v>
      </c>
      <c r="G361" s="4280"/>
      <c r="H361" s="4280"/>
      <c r="I361" s="4280">
        <v>705</v>
      </c>
      <c r="J361" s="5029" t="s">
        <v>773</v>
      </c>
      <c r="K361" s="1002"/>
      <c r="L361" s="1001"/>
      <c r="M361" s="1227"/>
      <c r="N361" s="47" t="s">
        <v>37</v>
      </c>
      <c r="O361" s="47"/>
      <c r="P361" s="21" t="s">
        <v>0</v>
      </c>
      <c r="Q361" s="21" t="s">
        <v>110</v>
      </c>
      <c r="R361" s="21" t="s">
        <v>160</v>
      </c>
      <c r="S361" s="924"/>
      <c r="T361" s="924"/>
      <c r="U361" s="924"/>
      <c r="V361" s="3160" t="s">
        <v>37</v>
      </c>
      <c r="X361" s="924" t="s">
        <v>774</v>
      </c>
      <c r="Y361" s="3160" t="s">
        <v>775</v>
      </c>
    </row>
    <row r="362" spans="2:25" ht="31.5">
      <c r="B362" s="3164">
        <v>46100</v>
      </c>
      <c r="C362" s="3165" t="s">
        <v>709</v>
      </c>
      <c r="D362" s="3165" t="s">
        <v>776</v>
      </c>
      <c r="E362" s="5021" t="s">
        <v>60</v>
      </c>
      <c r="F362" s="5022" t="s">
        <v>747</v>
      </c>
      <c r="G362" s="5025"/>
      <c r="H362" s="5025"/>
      <c r="I362" s="4280">
        <v>705</v>
      </c>
      <c r="J362" s="5031" t="s">
        <v>777</v>
      </c>
      <c r="K362" s="924"/>
      <c r="L362" s="923" t="s">
        <v>37</v>
      </c>
      <c r="M362" s="1227"/>
      <c r="N362" s="47"/>
      <c r="O362" s="47"/>
      <c r="S362" s="924"/>
      <c r="T362" s="924"/>
      <c r="U362" s="924"/>
      <c r="V362" s="3160" t="s">
        <v>37</v>
      </c>
      <c r="X362" s="924"/>
    </row>
    <row r="363" spans="2:25" ht="31.5">
      <c r="B363" s="3164">
        <v>46100</v>
      </c>
      <c r="C363" s="3165" t="s">
        <v>709</v>
      </c>
      <c r="D363" s="3165" t="s">
        <v>776</v>
      </c>
      <c r="E363" s="5021" t="s">
        <v>747</v>
      </c>
      <c r="F363" s="5023" t="s">
        <v>60</v>
      </c>
      <c r="G363" s="5025"/>
      <c r="H363" s="5025"/>
      <c r="I363" s="4280">
        <v>705</v>
      </c>
      <c r="J363" s="5032" t="s">
        <v>777</v>
      </c>
      <c r="K363" s="4465"/>
      <c r="L363" s="923" t="s">
        <v>37</v>
      </c>
      <c r="M363" s="5034"/>
      <c r="N363" s="1045"/>
      <c r="O363" s="1045"/>
      <c r="S363" s="1005"/>
      <c r="T363" s="1005"/>
      <c r="U363" s="1005"/>
      <c r="V363" s="3160" t="s">
        <v>37</v>
      </c>
      <c r="X363" s="1005"/>
    </row>
    <row r="364" spans="2:25" ht="31.5">
      <c r="B364" s="3164">
        <v>46100</v>
      </c>
      <c r="C364" s="3165" t="s">
        <v>709</v>
      </c>
      <c r="D364" s="3165" t="s">
        <v>778</v>
      </c>
      <c r="E364" s="5024" t="s">
        <v>711</v>
      </c>
      <c r="F364" s="5025" t="s">
        <v>779</v>
      </c>
      <c r="G364" s="5025"/>
      <c r="H364" s="5025"/>
      <c r="I364" s="4280">
        <v>707</v>
      </c>
      <c r="J364" s="5033" t="s">
        <v>780</v>
      </c>
      <c r="K364" s="4465"/>
      <c r="L364" s="923" t="s">
        <v>37</v>
      </c>
      <c r="M364" s="5034"/>
      <c r="N364" s="1045"/>
      <c r="O364" s="1045"/>
      <c r="S364" s="1005"/>
      <c r="T364" s="1005"/>
      <c r="U364" s="1005"/>
      <c r="X364" s="1005"/>
    </row>
    <row r="365" spans="2:25" ht="52.5">
      <c r="B365" s="3164">
        <v>46100</v>
      </c>
      <c r="C365" s="3165" t="s">
        <v>709</v>
      </c>
      <c r="D365" s="3165" t="s">
        <v>781</v>
      </c>
      <c r="E365" s="4990" t="s">
        <v>711</v>
      </c>
      <c r="F365" s="4280" t="s">
        <v>755</v>
      </c>
      <c r="G365" s="4280"/>
      <c r="H365" s="4280"/>
      <c r="I365" s="4280">
        <v>705</v>
      </c>
      <c r="J365" s="3415" t="s">
        <v>756</v>
      </c>
      <c r="K365" s="4994"/>
      <c r="L365" s="1001"/>
      <c r="M365" s="1227" t="s">
        <v>37</v>
      </c>
      <c r="N365" s="47"/>
      <c r="O365" s="47"/>
      <c r="P365" s="21" t="s">
        <v>0</v>
      </c>
      <c r="Q365" s="21" t="s">
        <v>782</v>
      </c>
      <c r="R365" s="21" t="s">
        <v>160</v>
      </c>
      <c r="S365" s="924"/>
      <c r="T365" s="924" t="s">
        <v>30</v>
      </c>
      <c r="U365" s="924"/>
      <c r="V365" s="3160" t="s">
        <v>37</v>
      </c>
      <c r="X365" s="1005" t="s">
        <v>783</v>
      </c>
      <c r="Y365" s="3166" t="s">
        <v>784</v>
      </c>
    </row>
    <row r="366" spans="2:25" ht="31.5">
      <c r="B366" s="3164">
        <v>46100</v>
      </c>
      <c r="C366" s="3165" t="s">
        <v>709</v>
      </c>
      <c r="D366" s="3165" t="s">
        <v>785</v>
      </c>
      <c r="E366" s="4990" t="s">
        <v>285</v>
      </c>
      <c r="F366" s="4280" t="s">
        <v>258</v>
      </c>
      <c r="G366" s="4280"/>
      <c r="H366" s="4280"/>
      <c r="I366" s="4280">
        <v>705</v>
      </c>
      <c r="J366" s="3415" t="s">
        <v>786</v>
      </c>
      <c r="K366" s="4994"/>
      <c r="L366" s="1001"/>
      <c r="M366" s="1227"/>
      <c r="N366" s="47" t="s">
        <v>37</v>
      </c>
      <c r="O366" s="47"/>
      <c r="P366" s="21" t="s">
        <v>0</v>
      </c>
      <c r="Q366" s="21" t="s">
        <v>782</v>
      </c>
      <c r="R366" s="21" t="s">
        <v>160</v>
      </c>
      <c r="S366" s="924"/>
      <c r="T366" s="924" t="s">
        <v>30</v>
      </c>
      <c r="U366" s="924"/>
      <c r="V366" s="3160" t="s">
        <v>37</v>
      </c>
      <c r="X366" s="924" t="s">
        <v>787</v>
      </c>
      <c r="Y366" s="3160" t="s">
        <v>788</v>
      </c>
    </row>
    <row r="367" spans="2:25" ht="31.5">
      <c r="B367" s="3164">
        <v>46101</v>
      </c>
      <c r="C367" s="3165" t="s">
        <v>709</v>
      </c>
      <c r="D367" s="3165" t="s">
        <v>789</v>
      </c>
      <c r="E367" s="4195" t="s">
        <v>592</v>
      </c>
      <c r="F367" s="4195" t="s">
        <v>635</v>
      </c>
      <c r="G367" s="4195"/>
      <c r="H367" s="4195"/>
      <c r="I367" s="4162">
        <v>701</v>
      </c>
      <c r="J367" s="4162" t="s">
        <v>594</v>
      </c>
      <c r="K367" s="4280"/>
      <c r="L367" s="51"/>
      <c r="M367" s="4367" t="s">
        <v>37</v>
      </c>
      <c r="N367" s="4347"/>
      <c r="O367" s="4347"/>
      <c r="P367" s="21" t="s">
        <v>122</v>
      </c>
      <c r="Q367" s="21" t="s">
        <v>126</v>
      </c>
      <c r="R367" s="21" t="s">
        <v>790</v>
      </c>
      <c r="S367" s="4347"/>
      <c r="T367" s="4347"/>
      <c r="U367" s="4347"/>
      <c r="X367" s="4376" t="s">
        <v>791</v>
      </c>
    </row>
    <row r="368" spans="2:25" ht="31.5">
      <c r="B368" s="3164">
        <v>46101</v>
      </c>
      <c r="C368" s="3165" t="s">
        <v>709</v>
      </c>
      <c r="D368" s="3165" t="s">
        <v>789</v>
      </c>
      <c r="E368" s="5007" t="s">
        <v>619</v>
      </c>
      <c r="F368" s="5007" t="s">
        <v>620</v>
      </c>
      <c r="G368" s="5007"/>
      <c r="H368" s="5007"/>
      <c r="I368" s="4280">
        <v>701</v>
      </c>
      <c r="J368" s="4280" t="s">
        <v>621</v>
      </c>
      <c r="K368" s="1002"/>
      <c r="L368" s="1001" t="s">
        <v>37</v>
      </c>
      <c r="M368" s="1227"/>
      <c r="N368" s="47"/>
      <c r="O368" s="47" t="s">
        <v>37</v>
      </c>
      <c r="S368" s="924"/>
      <c r="T368" s="924"/>
      <c r="U368" s="924"/>
      <c r="X368" s="924" t="s">
        <v>792</v>
      </c>
    </row>
    <row r="369" spans="2:25" ht="52.5">
      <c r="B369" s="3164">
        <v>46101</v>
      </c>
      <c r="C369" s="3165" t="s">
        <v>709</v>
      </c>
      <c r="D369" s="3165" t="s">
        <v>793</v>
      </c>
      <c r="E369" s="4990" t="s">
        <v>711</v>
      </c>
      <c r="F369" s="4280" t="s">
        <v>755</v>
      </c>
      <c r="G369" s="4280"/>
      <c r="H369" s="4280"/>
      <c r="I369" s="4280">
        <v>705</v>
      </c>
      <c r="J369" s="3415" t="s">
        <v>756</v>
      </c>
      <c r="K369" s="4994"/>
      <c r="L369" s="1001"/>
      <c r="M369" s="1227" t="s">
        <v>37</v>
      </c>
      <c r="N369" s="47"/>
      <c r="O369" s="47"/>
      <c r="P369" s="21" t="s">
        <v>109</v>
      </c>
      <c r="Q369" s="21" t="s">
        <v>794</v>
      </c>
      <c r="R369" s="21" t="s">
        <v>160</v>
      </c>
      <c r="S369" s="924" t="s">
        <v>30</v>
      </c>
      <c r="T369" s="924" t="s">
        <v>30</v>
      </c>
      <c r="U369" s="924"/>
      <c r="V369" s="3160" t="s">
        <v>37</v>
      </c>
      <c r="X369" s="924" t="s">
        <v>795</v>
      </c>
      <c r="Y369" s="3160" t="s">
        <v>796</v>
      </c>
    </row>
    <row r="370" spans="2:25" ht="31.5">
      <c r="B370" s="3164">
        <v>46101</v>
      </c>
      <c r="C370" s="3165" t="s">
        <v>709</v>
      </c>
      <c r="D370" s="3165" t="s">
        <v>793</v>
      </c>
      <c r="E370" s="4990" t="s">
        <v>711</v>
      </c>
      <c r="F370" s="4280" t="s">
        <v>258</v>
      </c>
      <c r="G370" s="4280"/>
      <c r="H370" s="4280"/>
      <c r="I370" s="4280">
        <v>705</v>
      </c>
      <c r="J370" s="3415" t="s">
        <v>756</v>
      </c>
      <c r="K370" s="4994"/>
      <c r="L370" s="1001" t="s">
        <v>30</v>
      </c>
      <c r="M370" s="1227"/>
      <c r="N370" s="47"/>
      <c r="O370" s="47"/>
      <c r="P370" s="21"/>
      <c r="Q370" s="21"/>
      <c r="R370" s="21"/>
      <c r="S370" s="924"/>
      <c r="T370" s="924" t="s">
        <v>30</v>
      </c>
      <c r="U370" s="924"/>
      <c r="X370" s="924" t="s">
        <v>797</v>
      </c>
    </row>
    <row r="371" spans="2:25" ht="31.5">
      <c r="B371" s="3164">
        <v>46101</v>
      </c>
      <c r="C371" s="3165" t="s">
        <v>709</v>
      </c>
      <c r="D371" s="3165" t="s">
        <v>798</v>
      </c>
      <c r="E371" s="4990" t="s">
        <v>799</v>
      </c>
      <c r="F371" s="4280" t="s">
        <v>779</v>
      </c>
      <c r="G371" s="4280"/>
      <c r="H371" s="4280"/>
      <c r="I371" s="4280">
        <v>705</v>
      </c>
      <c r="J371" s="5029" t="s">
        <v>800</v>
      </c>
      <c r="K371" s="1002"/>
      <c r="L371" s="1001" t="s">
        <v>37</v>
      </c>
      <c r="M371" s="1227"/>
      <c r="N371" s="47"/>
      <c r="O371" s="47"/>
      <c r="S371" s="924"/>
      <c r="T371" s="924"/>
      <c r="U371" s="924" t="s">
        <v>37</v>
      </c>
      <c r="V371" s="3160" t="s">
        <v>37</v>
      </c>
      <c r="X371" s="924"/>
    </row>
    <row r="372" spans="2:25" ht="31.5">
      <c r="B372" s="3164">
        <v>46101</v>
      </c>
      <c r="C372" s="3165" t="s">
        <v>709</v>
      </c>
      <c r="D372" s="3165" t="s">
        <v>801</v>
      </c>
      <c r="E372" s="5026" t="s">
        <v>79</v>
      </c>
      <c r="F372" s="5027" t="s">
        <v>731</v>
      </c>
      <c r="G372" s="5027"/>
      <c r="H372" s="5027"/>
      <c r="I372" s="4280">
        <v>705</v>
      </c>
      <c r="J372" s="5029" t="s">
        <v>802</v>
      </c>
      <c r="K372" s="1002"/>
      <c r="L372" s="1001"/>
      <c r="M372" s="1227" t="s">
        <v>30</v>
      </c>
      <c r="N372" s="47"/>
      <c r="O372" s="47"/>
      <c r="P372" s="21" t="s">
        <v>0</v>
      </c>
      <c r="Q372" s="21" t="s">
        <v>110</v>
      </c>
      <c r="R372" s="21" t="s">
        <v>160</v>
      </c>
      <c r="S372" s="924"/>
      <c r="T372" s="924"/>
      <c r="U372" s="924"/>
      <c r="V372" s="3160" t="s">
        <v>37</v>
      </c>
      <c r="X372" s="924" t="s">
        <v>803</v>
      </c>
    </row>
    <row r="373" spans="2:25" ht="31.5">
      <c r="B373" s="3164">
        <v>46101</v>
      </c>
      <c r="C373" s="3165" t="s">
        <v>709</v>
      </c>
      <c r="D373" s="3165" t="s">
        <v>801</v>
      </c>
      <c r="E373" s="5028" t="s">
        <v>273</v>
      </c>
      <c r="F373" s="5028" t="s">
        <v>804</v>
      </c>
      <c r="G373" s="5028"/>
      <c r="H373" s="5028"/>
      <c r="I373" s="4280">
        <v>705</v>
      </c>
      <c r="J373" s="5029" t="s">
        <v>802</v>
      </c>
      <c r="K373" s="1002"/>
      <c r="L373" s="1001"/>
      <c r="M373" s="1227" t="s">
        <v>30</v>
      </c>
      <c r="N373" s="47"/>
      <c r="O373" s="47"/>
      <c r="P373" s="21" t="s">
        <v>0</v>
      </c>
      <c r="Q373" s="21" t="s">
        <v>110</v>
      </c>
      <c r="R373" s="21" t="s">
        <v>160</v>
      </c>
      <c r="S373" s="924"/>
      <c r="T373" s="924"/>
      <c r="U373" s="924"/>
      <c r="V373" s="3160" t="s">
        <v>37</v>
      </c>
      <c r="X373" s="924"/>
    </row>
    <row r="374" spans="2:25" ht="31.5">
      <c r="B374" s="3164">
        <v>46101</v>
      </c>
      <c r="C374" s="3165" t="s">
        <v>709</v>
      </c>
      <c r="D374" s="3165" t="s">
        <v>805</v>
      </c>
      <c r="E374" s="5026" t="s">
        <v>499</v>
      </c>
      <c r="F374" s="4581" t="s">
        <v>806</v>
      </c>
      <c r="G374" s="4581"/>
      <c r="H374" s="4581"/>
      <c r="I374" s="4280">
        <v>712</v>
      </c>
      <c r="J374" s="5029" t="s">
        <v>807</v>
      </c>
      <c r="K374" s="4464" t="s">
        <v>310</v>
      </c>
      <c r="L374" s="1001" t="s">
        <v>37</v>
      </c>
      <c r="M374" s="1227"/>
      <c r="N374" s="47"/>
      <c r="O374" s="47"/>
      <c r="S374" s="924"/>
      <c r="T374" s="924"/>
      <c r="U374" s="924"/>
      <c r="X374" s="924"/>
    </row>
    <row r="375" spans="2:25" ht="31.5">
      <c r="B375" s="3164">
        <v>46102</v>
      </c>
      <c r="C375" s="3165" t="s">
        <v>709</v>
      </c>
      <c r="D375" s="3165" t="s">
        <v>805</v>
      </c>
      <c r="E375" s="4581" t="s">
        <v>671</v>
      </c>
      <c r="F375" s="4581" t="s">
        <v>808</v>
      </c>
      <c r="G375" s="4581"/>
      <c r="H375" s="4581"/>
      <c r="I375" s="4280">
        <v>712</v>
      </c>
      <c r="J375" s="4280" t="s">
        <v>807</v>
      </c>
      <c r="K375" s="4464" t="s">
        <v>310</v>
      </c>
      <c r="L375" s="1001" t="s">
        <v>37</v>
      </c>
      <c r="M375" s="4367"/>
      <c r="N375" s="4347"/>
      <c r="O375" s="4347"/>
      <c r="S375" s="4347"/>
      <c r="T375" s="4347"/>
      <c r="U375" s="4347"/>
      <c r="X375" s="4376"/>
    </row>
    <row r="376" spans="2:25" ht="31.5">
      <c r="B376" s="3164">
        <v>46102</v>
      </c>
      <c r="C376" s="3165" t="s">
        <v>709</v>
      </c>
      <c r="D376" s="3165" t="s">
        <v>809</v>
      </c>
      <c r="E376" s="4368" t="s">
        <v>60</v>
      </c>
      <c r="F376" s="4163" t="s">
        <v>711</v>
      </c>
      <c r="G376" s="4163"/>
      <c r="H376" s="4163"/>
      <c r="I376" s="4162">
        <v>705</v>
      </c>
      <c r="J376" s="3408" t="s">
        <v>810</v>
      </c>
      <c r="K376" s="1002"/>
      <c r="L376" s="923" t="s">
        <v>37</v>
      </c>
      <c r="M376" s="923"/>
      <c r="N376" s="47"/>
      <c r="O376" s="47"/>
      <c r="S376" s="924"/>
      <c r="T376" s="924"/>
      <c r="U376" s="923"/>
      <c r="X376" s="924" t="s">
        <v>811</v>
      </c>
    </row>
    <row r="377" spans="2:25" ht="31.5">
      <c r="B377" s="3164">
        <v>46102</v>
      </c>
      <c r="C377" s="3165" t="s">
        <v>709</v>
      </c>
      <c r="D377" s="3165" t="s">
        <v>812</v>
      </c>
      <c r="E377" s="4368" t="s">
        <v>175</v>
      </c>
      <c r="F377" s="4163" t="s">
        <v>638</v>
      </c>
      <c r="G377" s="4163"/>
      <c r="H377" s="4163"/>
      <c r="I377" s="4162">
        <v>707</v>
      </c>
      <c r="J377" s="3408" t="s">
        <v>813</v>
      </c>
      <c r="K377" s="4464" t="s">
        <v>84</v>
      </c>
      <c r="L377" s="923" t="s">
        <v>37</v>
      </c>
      <c r="M377" s="923"/>
      <c r="N377" s="47"/>
      <c r="O377" s="47"/>
      <c r="S377" s="924"/>
      <c r="T377" s="924"/>
      <c r="U377" s="923" t="s">
        <v>37</v>
      </c>
      <c r="X377" s="924"/>
    </row>
    <row r="378" spans="2:25" ht="31.5">
      <c r="B378" s="5035">
        <v>46104</v>
      </c>
      <c r="C378" s="3165" t="s">
        <v>814</v>
      </c>
      <c r="D378" s="3165" t="s">
        <v>815</v>
      </c>
      <c r="E378" s="4195" t="s">
        <v>592</v>
      </c>
      <c r="F378" s="4195" t="s">
        <v>816</v>
      </c>
      <c r="G378" s="5007"/>
      <c r="H378" s="5007"/>
      <c r="I378" s="4280">
        <v>701</v>
      </c>
      <c r="J378" s="4162" t="s">
        <v>594</v>
      </c>
      <c r="K378" s="924"/>
      <c r="L378" s="923" t="s">
        <v>30</v>
      </c>
      <c r="M378" s="924"/>
      <c r="N378" s="47"/>
      <c r="O378" s="47"/>
      <c r="S378" s="924"/>
      <c r="T378" s="924"/>
      <c r="U378" s="924"/>
      <c r="X378" s="924"/>
    </row>
    <row r="379" spans="2:25" ht="78.75">
      <c r="B379" s="5035">
        <v>46104</v>
      </c>
      <c r="C379" s="3165" t="s">
        <v>814</v>
      </c>
      <c r="D379" s="3165" t="s">
        <v>817</v>
      </c>
      <c r="E379" s="4280" t="s">
        <v>258</v>
      </c>
      <c r="F379" s="4280" t="s">
        <v>285</v>
      </c>
      <c r="G379" s="4280"/>
      <c r="H379" s="4280"/>
      <c r="I379" s="4280">
        <v>705</v>
      </c>
      <c r="J379" s="4280" t="s">
        <v>818</v>
      </c>
      <c r="K379" s="1002"/>
      <c r="L379" s="1001"/>
      <c r="M379" s="1227" t="s">
        <v>37</v>
      </c>
      <c r="N379" s="47"/>
      <c r="O379" s="47"/>
      <c r="P379" s="21" t="s">
        <v>0</v>
      </c>
      <c r="Q379" s="21" t="s">
        <v>526</v>
      </c>
      <c r="R379" s="21" t="s">
        <v>160</v>
      </c>
      <c r="S379" s="924"/>
      <c r="T379" s="924"/>
      <c r="U379" s="924"/>
      <c r="W379" s="3160" t="s">
        <v>30</v>
      </c>
      <c r="X379" s="924" t="s">
        <v>819</v>
      </c>
    </row>
    <row r="380" spans="2:25" ht="31.5">
      <c r="B380" s="5035">
        <v>46104</v>
      </c>
      <c r="C380" s="3165" t="s">
        <v>814</v>
      </c>
      <c r="D380" s="3165" t="s">
        <v>820</v>
      </c>
      <c r="E380" s="4990" t="s">
        <v>779</v>
      </c>
      <c r="F380" s="4280" t="s">
        <v>517</v>
      </c>
      <c r="G380" s="4280"/>
      <c r="H380" s="4280"/>
      <c r="I380" s="4280">
        <v>707</v>
      </c>
      <c r="J380" s="3415" t="s">
        <v>732</v>
      </c>
      <c r="K380" s="1002"/>
      <c r="L380" s="1001" t="s">
        <v>30</v>
      </c>
      <c r="M380" s="1227"/>
      <c r="N380" s="47"/>
      <c r="O380" s="47"/>
      <c r="S380" s="924"/>
      <c r="T380" s="924"/>
      <c r="U380" s="924"/>
      <c r="X380" s="924"/>
    </row>
    <row r="381" spans="2:25" ht="31.5">
      <c r="B381" s="5035">
        <v>46104</v>
      </c>
      <c r="C381" s="3165" t="s">
        <v>814</v>
      </c>
      <c r="D381" s="3165" t="s">
        <v>821</v>
      </c>
      <c r="E381" s="4990" t="s">
        <v>638</v>
      </c>
      <c r="F381" s="4280" t="s">
        <v>175</v>
      </c>
      <c r="G381" s="4280"/>
      <c r="H381" s="4280"/>
      <c r="I381" s="4280">
        <v>707</v>
      </c>
      <c r="J381" s="3415" t="s">
        <v>813</v>
      </c>
      <c r="K381" s="1002"/>
      <c r="L381" s="1001" t="s">
        <v>30</v>
      </c>
      <c r="M381" s="1227"/>
      <c r="N381" s="47"/>
      <c r="O381" s="47"/>
      <c r="S381" s="924"/>
      <c r="T381" s="924"/>
      <c r="U381" s="924"/>
      <c r="X381" s="924"/>
    </row>
    <row r="382" spans="2:25" ht="31.5">
      <c r="B382" s="5035">
        <v>46104</v>
      </c>
      <c r="C382" s="3165" t="s">
        <v>814</v>
      </c>
      <c r="D382" s="3165" t="s">
        <v>822</v>
      </c>
      <c r="E382" s="5036" t="s">
        <v>148</v>
      </c>
      <c r="F382" s="5037" t="s">
        <v>516</v>
      </c>
      <c r="G382" s="5037"/>
      <c r="H382" s="5037"/>
      <c r="I382" s="4280">
        <v>712</v>
      </c>
      <c r="J382" s="3415" t="s">
        <v>823</v>
      </c>
      <c r="K382" s="1002"/>
      <c r="L382" s="1001" t="s">
        <v>30</v>
      </c>
      <c r="M382" s="1227"/>
      <c r="N382" s="47"/>
      <c r="O382" s="47"/>
      <c r="S382" s="924"/>
      <c r="T382" s="924"/>
      <c r="U382" s="924"/>
      <c r="X382" s="924"/>
    </row>
    <row r="383" spans="2:25" ht="31.5">
      <c r="B383" s="5035">
        <v>46104</v>
      </c>
      <c r="C383" s="3165" t="s">
        <v>814</v>
      </c>
      <c r="D383" s="3165" t="s">
        <v>822</v>
      </c>
      <c r="E383" s="5036" t="s">
        <v>517</v>
      </c>
      <c r="F383" s="5037" t="s">
        <v>314</v>
      </c>
      <c r="G383" s="5037"/>
      <c r="H383" s="5037"/>
      <c r="I383" s="4280">
        <v>712</v>
      </c>
      <c r="J383" s="3415" t="s">
        <v>824</v>
      </c>
      <c r="K383" s="1002"/>
      <c r="L383" s="1001" t="s">
        <v>30</v>
      </c>
      <c r="M383" s="1227"/>
      <c r="N383" s="47"/>
      <c r="O383" s="47"/>
      <c r="S383" s="924"/>
      <c r="T383" s="924"/>
      <c r="U383" s="924"/>
      <c r="X383" s="924"/>
    </row>
    <row r="384" spans="2:25" ht="31.5">
      <c r="B384" s="5035">
        <v>46105</v>
      </c>
      <c r="C384" s="3165" t="s">
        <v>814</v>
      </c>
      <c r="D384" s="3165" t="s">
        <v>815</v>
      </c>
      <c r="E384" s="5007" t="s">
        <v>619</v>
      </c>
      <c r="F384" s="5007" t="s">
        <v>620</v>
      </c>
      <c r="G384" s="5007"/>
      <c r="H384" s="5007"/>
      <c r="I384" s="4280">
        <v>701</v>
      </c>
      <c r="J384" s="4280" t="s">
        <v>621</v>
      </c>
      <c r="K384" s="924"/>
      <c r="L384" s="923" t="s">
        <v>37</v>
      </c>
      <c r="M384" s="924"/>
      <c r="N384" s="47"/>
      <c r="O384" s="47"/>
      <c r="S384" s="924"/>
      <c r="T384" s="924"/>
      <c r="U384" s="924"/>
      <c r="X384" s="924"/>
    </row>
    <row r="385" spans="2:24" ht="31.5">
      <c r="B385" s="5035">
        <v>46105</v>
      </c>
      <c r="C385" s="3165" t="s">
        <v>814</v>
      </c>
      <c r="D385" s="3165" t="s">
        <v>822</v>
      </c>
      <c r="E385" s="5036" t="s">
        <v>204</v>
      </c>
      <c r="F385" s="5037" t="s">
        <v>590</v>
      </c>
      <c r="G385" s="5037"/>
      <c r="H385" s="5037"/>
      <c r="I385" s="4280">
        <v>712</v>
      </c>
      <c r="J385" s="3409" t="s">
        <v>824</v>
      </c>
      <c r="K385" s="4464" t="s">
        <v>825</v>
      </c>
      <c r="L385" s="1001" t="s">
        <v>37</v>
      </c>
      <c r="M385" s="1227"/>
      <c r="N385" s="47"/>
      <c r="O385" s="47"/>
      <c r="S385" s="924"/>
      <c r="T385" s="924"/>
      <c r="U385" s="924"/>
      <c r="X385" s="924"/>
    </row>
    <row r="386" spans="2:24" ht="52.5">
      <c r="B386" s="5035">
        <v>46105</v>
      </c>
      <c r="C386" s="3165" t="s">
        <v>814</v>
      </c>
      <c r="D386" s="3165" t="s">
        <v>826</v>
      </c>
      <c r="E386" s="5038" t="s">
        <v>285</v>
      </c>
      <c r="F386" s="5039" t="s">
        <v>827</v>
      </c>
      <c r="G386" s="5039"/>
      <c r="H386" s="5039"/>
      <c r="I386" s="4280">
        <v>705</v>
      </c>
      <c r="J386" s="3377" t="s">
        <v>828</v>
      </c>
      <c r="K386" s="1002"/>
      <c r="L386" s="1001"/>
      <c r="M386" s="1227"/>
      <c r="N386" s="47" t="s">
        <v>37</v>
      </c>
      <c r="O386" s="47"/>
      <c r="P386" s="21"/>
      <c r="Q386" s="21"/>
      <c r="R386" s="21"/>
      <c r="S386" s="924"/>
      <c r="T386" s="924"/>
      <c r="U386" s="924"/>
      <c r="X386" s="924" t="s">
        <v>829</v>
      </c>
    </row>
    <row r="387" spans="2:24" ht="52.5">
      <c r="B387" s="5035">
        <v>46105</v>
      </c>
      <c r="C387" s="3165" t="s">
        <v>814</v>
      </c>
      <c r="D387" s="3165" t="s">
        <v>826</v>
      </c>
      <c r="E387" s="5038" t="s">
        <v>742</v>
      </c>
      <c r="F387" s="5039" t="s">
        <v>830</v>
      </c>
      <c r="G387" s="5039"/>
      <c r="H387" s="5039"/>
      <c r="I387" s="4280">
        <v>705</v>
      </c>
      <c r="J387" s="3377" t="s">
        <v>828</v>
      </c>
      <c r="K387" s="4464" t="s">
        <v>114</v>
      </c>
      <c r="L387" s="1001"/>
      <c r="M387" s="1227"/>
      <c r="N387" s="47" t="s">
        <v>37</v>
      </c>
      <c r="O387" s="47"/>
      <c r="P387" s="21"/>
      <c r="Q387" s="21"/>
      <c r="R387" s="21"/>
      <c r="S387" s="924"/>
      <c r="T387" s="924"/>
      <c r="U387" s="924"/>
      <c r="X387" s="924" t="s">
        <v>829</v>
      </c>
    </row>
    <row r="388" spans="2:24" ht="31.5">
      <c r="B388" s="5035">
        <v>46105</v>
      </c>
      <c r="C388" s="3165" t="s">
        <v>814</v>
      </c>
      <c r="D388" s="3165" t="s">
        <v>831</v>
      </c>
      <c r="E388" s="5038" t="s">
        <v>285</v>
      </c>
      <c r="F388" s="5039" t="s">
        <v>285</v>
      </c>
      <c r="G388" s="5039"/>
      <c r="H388" s="5039"/>
      <c r="I388" s="4280">
        <v>705</v>
      </c>
      <c r="J388" s="3377" t="s">
        <v>828</v>
      </c>
      <c r="K388" s="5047"/>
      <c r="L388" s="1001" t="s">
        <v>37</v>
      </c>
      <c r="M388" s="1227"/>
      <c r="N388" s="47"/>
      <c r="O388" s="47"/>
      <c r="S388" s="924"/>
      <c r="T388" s="924"/>
      <c r="U388" s="924" t="s">
        <v>37</v>
      </c>
      <c r="X388" s="924" t="s">
        <v>832</v>
      </c>
    </row>
    <row r="389" spans="2:24" ht="31.5">
      <c r="B389" s="5035">
        <v>46106</v>
      </c>
      <c r="C389" s="3165" t="s">
        <v>814</v>
      </c>
      <c r="D389" s="3165" t="s">
        <v>833</v>
      </c>
      <c r="E389" s="4280" t="s">
        <v>273</v>
      </c>
      <c r="F389" s="4280" t="s">
        <v>282</v>
      </c>
      <c r="G389" s="4280"/>
      <c r="H389" s="4280"/>
      <c r="I389" s="4280">
        <v>705</v>
      </c>
      <c r="J389" s="3415" t="s">
        <v>834</v>
      </c>
      <c r="K389" s="1002"/>
      <c r="L389" s="1001"/>
      <c r="M389" s="1227"/>
      <c r="N389" s="47" t="s">
        <v>37</v>
      </c>
      <c r="O389" s="47"/>
      <c r="P389" s="21"/>
      <c r="Q389" s="21"/>
      <c r="R389" s="21"/>
      <c r="S389" s="924"/>
      <c r="T389" s="924"/>
      <c r="U389" s="924"/>
      <c r="X389" s="924" t="s">
        <v>835</v>
      </c>
    </row>
    <row r="390" spans="2:24" ht="31.5">
      <c r="B390" s="5035">
        <v>46106</v>
      </c>
      <c r="C390" s="3165" t="s">
        <v>814</v>
      </c>
      <c r="D390" s="3165" t="s">
        <v>836</v>
      </c>
      <c r="E390" s="4990" t="s">
        <v>285</v>
      </c>
      <c r="F390" s="4280" t="s">
        <v>742</v>
      </c>
      <c r="G390" s="4280"/>
      <c r="H390" s="4280"/>
      <c r="I390" s="4280">
        <v>705</v>
      </c>
      <c r="J390" s="3415" t="s">
        <v>837</v>
      </c>
      <c r="K390" s="1002"/>
      <c r="L390" s="1001" t="s">
        <v>37</v>
      </c>
      <c r="M390" s="1227"/>
      <c r="N390" s="47"/>
      <c r="O390" s="47" t="s">
        <v>37</v>
      </c>
      <c r="S390" s="924"/>
      <c r="T390" s="924"/>
      <c r="U390" s="924"/>
      <c r="X390" s="924" t="s">
        <v>838</v>
      </c>
    </row>
    <row r="391" spans="2:24" ht="31.5">
      <c r="B391" s="5035">
        <v>46106</v>
      </c>
      <c r="C391" s="3165" t="s">
        <v>814</v>
      </c>
      <c r="D391" s="3165" t="s">
        <v>839</v>
      </c>
      <c r="E391" s="5040" t="s">
        <v>840</v>
      </c>
      <c r="F391" s="5041" t="s">
        <v>841</v>
      </c>
      <c r="G391" s="5041"/>
      <c r="H391" s="5041"/>
      <c r="I391" s="4280">
        <v>702</v>
      </c>
      <c r="J391" s="3415" t="s">
        <v>842</v>
      </c>
      <c r="K391" s="1002"/>
      <c r="L391" s="1001" t="s">
        <v>37</v>
      </c>
      <c r="M391" s="1227"/>
      <c r="N391" s="47"/>
      <c r="O391" s="47"/>
      <c r="S391" s="924"/>
      <c r="T391" s="924"/>
      <c r="U391" s="924"/>
      <c r="X391" s="924"/>
    </row>
    <row r="392" spans="2:24" ht="31.5">
      <c r="B392" s="5035">
        <v>46106</v>
      </c>
      <c r="C392" s="3165" t="s">
        <v>814</v>
      </c>
      <c r="D392" s="3165" t="s">
        <v>843</v>
      </c>
      <c r="E392" s="5012" t="s">
        <v>79</v>
      </c>
      <c r="F392" s="4289" t="s">
        <v>711</v>
      </c>
      <c r="G392" s="4289"/>
      <c r="H392" s="4289"/>
      <c r="I392" s="4280">
        <v>705</v>
      </c>
      <c r="J392" s="3415" t="s">
        <v>844</v>
      </c>
      <c r="K392" s="1002"/>
      <c r="L392" s="1001" t="s">
        <v>37</v>
      </c>
      <c r="M392" s="1227"/>
      <c r="N392" s="47"/>
      <c r="O392" s="47" t="s">
        <v>37</v>
      </c>
      <c r="S392" s="924"/>
      <c r="T392" s="924"/>
      <c r="U392" s="924"/>
      <c r="X392" s="924" t="s">
        <v>845</v>
      </c>
    </row>
    <row r="393" spans="2:24" ht="31.5">
      <c r="B393" s="5035">
        <v>46106</v>
      </c>
      <c r="C393" s="3165" t="s">
        <v>814</v>
      </c>
      <c r="D393" s="3165" t="s">
        <v>846</v>
      </c>
      <c r="E393" s="4280" t="s">
        <v>847</v>
      </c>
      <c r="F393" s="4280" t="s">
        <v>285</v>
      </c>
      <c r="G393" s="4280"/>
      <c r="H393" s="4280"/>
      <c r="I393" s="4280">
        <v>705</v>
      </c>
      <c r="J393" s="3415" t="s">
        <v>848</v>
      </c>
      <c r="K393" s="1002"/>
      <c r="L393" s="1001" t="s">
        <v>37</v>
      </c>
      <c r="M393" s="1227"/>
      <c r="N393" s="47"/>
      <c r="O393" s="47"/>
      <c r="S393" s="924"/>
      <c r="T393" s="924"/>
      <c r="U393" s="924"/>
      <c r="V393" s="3160" t="s">
        <v>37</v>
      </c>
      <c r="X393" s="924"/>
    </row>
    <row r="394" spans="2:24" ht="31.5">
      <c r="B394" s="5035">
        <v>46106</v>
      </c>
      <c r="C394" s="3165" t="s">
        <v>814</v>
      </c>
      <c r="D394" s="3165" t="s">
        <v>849</v>
      </c>
      <c r="E394" s="5018" t="s">
        <v>89</v>
      </c>
      <c r="F394" s="5017" t="s">
        <v>850</v>
      </c>
      <c r="G394" s="5017"/>
      <c r="H394" s="5017"/>
      <c r="I394" s="4280">
        <v>712</v>
      </c>
      <c r="J394" s="3415" t="s">
        <v>851</v>
      </c>
      <c r="K394" s="1002"/>
      <c r="L394" s="1001" t="s">
        <v>37</v>
      </c>
      <c r="M394" s="1227"/>
      <c r="N394" s="47"/>
      <c r="O394" s="47"/>
      <c r="S394" s="924"/>
      <c r="T394" s="924"/>
      <c r="U394" s="924"/>
      <c r="X394" s="924"/>
    </row>
    <row r="395" spans="2:24" ht="31.5">
      <c r="B395" s="5035">
        <v>46106</v>
      </c>
      <c r="C395" s="3165" t="s">
        <v>814</v>
      </c>
      <c r="D395" s="3165" t="s">
        <v>852</v>
      </c>
      <c r="E395" s="4759" t="s">
        <v>282</v>
      </c>
      <c r="F395" s="3383" t="s">
        <v>742</v>
      </c>
      <c r="G395" s="3383"/>
      <c r="H395" s="3383"/>
      <c r="I395" s="4280">
        <v>705</v>
      </c>
      <c r="J395" s="3415" t="s">
        <v>853</v>
      </c>
      <c r="K395" s="4464" t="s">
        <v>114</v>
      </c>
      <c r="L395" s="1001" t="s">
        <v>37</v>
      </c>
      <c r="M395" s="1227"/>
      <c r="N395" s="47"/>
      <c r="O395" s="47"/>
      <c r="S395" s="924"/>
      <c r="T395" s="924"/>
      <c r="U395" s="924" t="s">
        <v>30</v>
      </c>
      <c r="V395" s="3160" t="s">
        <v>37</v>
      </c>
      <c r="X395" s="924"/>
    </row>
    <row r="396" spans="2:24" ht="31.5">
      <c r="B396" s="5035">
        <v>46107</v>
      </c>
      <c r="C396" s="3165" t="s">
        <v>814</v>
      </c>
      <c r="D396" s="3165" t="s">
        <v>854</v>
      </c>
      <c r="E396" s="4195" t="s">
        <v>592</v>
      </c>
      <c r="F396" s="4195" t="s">
        <v>635</v>
      </c>
      <c r="G396" s="4195"/>
      <c r="H396" s="4195"/>
      <c r="I396" s="4162">
        <v>701</v>
      </c>
      <c r="J396" s="4162" t="s">
        <v>594</v>
      </c>
      <c r="K396" s="924"/>
      <c r="L396" s="923" t="s">
        <v>30</v>
      </c>
      <c r="M396" s="924"/>
      <c r="N396" s="47"/>
      <c r="O396" s="47"/>
      <c r="S396" s="924"/>
      <c r="T396" s="924"/>
      <c r="U396" s="924"/>
      <c r="X396" s="924"/>
    </row>
    <row r="397" spans="2:24" ht="31.5">
      <c r="B397" s="5035">
        <v>46107</v>
      </c>
      <c r="C397" s="3165" t="s">
        <v>814</v>
      </c>
      <c r="D397" s="3165" t="s">
        <v>854</v>
      </c>
      <c r="E397" s="5007" t="s">
        <v>619</v>
      </c>
      <c r="F397" s="5007" t="s">
        <v>620</v>
      </c>
      <c r="G397" s="5007"/>
      <c r="H397" s="5007"/>
      <c r="I397" s="4280">
        <v>701</v>
      </c>
      <c r="J397" s="4280" t="s">
        <v>621</v>
      </c>
      <c r="K397" s="1002"/>
      <c r="L397" s="1001" t="s">
        <v>30</v>
      </c>
      <c r="M397" s="1227"/>
      <c r="N397" s="47"/>
      <c r="O397" s="47"/>
      <c r="S397" s="924"/>
      <c r="T397" s="924"/>
      <c r="U397" s="924"/>
      <c r="X397" s="924"/>
    </row>
    <row r="398" spans="2:24" ht="31.5">
      <c r="B398" s="5035">
        <v>46107</v>
      </c>
      <c r="C398" s="3165" t="s">
        <v>814</v>
      </c>
      <c r="D398" s="3165" t="s">
        <v>839</v>
      </c>
      <c r="E398" s="5040" t="s">
        <v>436</v>
      </c>
      <c r="F398" s="5041" t="s">
        <v>855</v>
      </c>
      <c r="G398" s="5041"/>
      <c r="H398" s="5041"/>
      <c r="I398" s="4280">
        <v>702</v>
      </c>
      <c r="J398" s="3415" t="s">
        <v>856</v>
      </c>
      <c r="K398" s="1002"/>
      <c r="L398" s="1001" t="s">
        <v>30</v>
      </c>
      <c r="M398" s="1227"/>
      <c r="N398" s="47"/>
      <c r="O398" s="47"/>
      <c r="S398" s="924"/>
      <c r="T398" s="924"/>
      <c r="U398" s="924"/>
      <c r="X398" s="924"/>
    </row>
    <row r="399" spans="2:24" ht="31.5">
      <c r="B399" s="5035">
        <v>46107</v>
      </c>
      <c r="C399" s="3165" t="s">
        <v>814</v>
      </c>
      <c r="D399" s="3165" t="s">
        <v>839</v>
      </c>
      <c r="E399" s="5040" t="s">
        <v>857</v>
      </c>
      <c r="F399" s="5041" t="s">
        <v>858</v>
      </c>
      <c r="G399" s="5041"/>
      <c r="H399" s="5041"/>
      <c r="I399" s="4280">
        <v>702</v>
      </c>
      <c r="J399" s="3415" t="s">
        <v>842</v>
      </c>
      <c r="K399" s="1002"/>
      <c r="L399" s="1001" t="s">
        <v>30</v>
      </c>
      <c r="M399" s="1227"/>
      <c r="N399" s="47"/>
      <c r="O399" s="47"/>
      <c r="S399" s="924"/>
      <c r="T399" s="924"/>
      <c r="U399" s="924"/>
      <c r="X399" s="924"/>
    </row>
    <row r="400" spans="2:24" ht="31.5">
      <c r="B400" s="5035">
        <v>46107</v>
      </c>
      <c r="C400" s="3165" t="s">
        <v>814</v>
      </c>
      <c r="D400" s="3165" t="s">
        <v>849</v>
      </c>
      <c r="E400" s="5018" t="s">
        <v>68</v>
      </c>
      <c r="F400" s="5017" t="s">
        <v>217</v>
      </c>
      <c r="G400" s="5017"/>
      <c r="H400" s="5017"/>
      <c r="I400" s="4280">
        <v>712</v>
      </c>
      <c r="J400" s="3415" t="s">
        <v>851</v>
      </c>
      <c r="K400" s="1002"/>
      <c r="L400" s="1001" t="s">
        <v>30</v>
      </c>
      <c r="M400" s="1227"/>
      <c r="N400" s="47"/>
      <c r="O400" s="47"/>
      <c r="S400" s="924"/>
      <c r="T400" s="924"/>
      <c r="U400" s="924"/>
      <c r="X400" s="924"/>
    </row>
    <row r="401" spans="2:24" ht="31.5">
      <c r="B401" s="5035">
        <v>46107</v>
      </c>
      <c r="C401" s="3165" t="s">
        <v>814</v>
      </c>
      <c r="D401" s="3165" t="s">
        <v>859</v>
      </c>
      <c r="E401" s="4280" t="s">
        <v>517</v>
      </c>
      <c r="F401" s="4280" t="s">
        <v>860</v>
      </c>
      <c r="G401" s="4280"/>
      <c r="H401" s="4280"/>
      <c r="I401" s="4280">
        <v>707</v>
      </c>
      <c r="J401" s="3415" t="s">
        <v>861</v>
      </c>
      <c r="K401" s="1002"/>
      <c r="L401" s="1001" t="s">
        <v>30</v>
      </c>
      <c r="M401" s="1227"/>
      <c r="N401" s="47"/>
      <c r="O401" s="47"/>
      <c r="S401" s="924"/>
      <c r="T401" s="924"/>
      <c r="U401" s="924"/>
      <c r="X401" s="924"/>
    </row>
    <row r="402" spans="2:24" ht="31.5">
      <c r="B402" s="5035">
        <v>46108</v>
      </c>
      <c r="C402" s="3165" t="s">
        <v>814</v>
      </c>
      <c r="D402" s="3165" t="s">
        <v>862</v>
      </c>
      <c r="E402" s="5042" t="s">
        <v>282</v>
      </c>
      <c r="F402" s="5043" t="s">
        <v>863</v>
      </c>
      <c r="G402" s="5043"/>
      <c r="H402" s="5043"/>
      <c r="I402" s="4280">
        <v>705</v>
      </c>
      <c r="J402" s="3415" t="s">
        <v>864</v>
      </c>
      <c r="K402" s="1002"/>
      <c r="L402" s="1001" t="s">
        <v>30</v>
      </c>
      <c r="M402" s="1227"/>
      <c r="N402" s="47"/>
      <c r="O402" s="47"/>
      <c r="S402" s="924"/>
      <c r="T402" s="924"/>
      <c r="U402" s="924" t="s">
        <v>37</v>
      </c>
      <c r="X402" s="924"/>
    </row>
    <row r="403" spans="2:24" ht="52.5">
      <c r="B403" s="5035">
        <v>46107</v>
      </c>
      <c r="C403" s="3165" t="s">
        <v>814</v>
      </c>
      <c r="D403" s="3165" t="s">
        <v>865</v>
      </c>
      <c r="E403" s="5038" t="s">
        <v>742</v>
      </c>
      <c r="F403" s="5039" t="s">
        <v>830</v>
      </c>
      <c r="G403" s="5039"/>
      <c r="H403" s="5039"/>
      <c r="I403" s="4280">
        <v>705</v>
      </c>
      <c r="J403" s="3377" t="s">
        <v>828</v>
      </c>
      <c r="K403" s="4464" t="s">
        <v>114</v>
      </c>
      <c r="L403" s="1001"/>
      <c r="M403" s="1227" t="s">
        <v>37</v>
      </c>
      <c r="N403" s="47"/>
      <c r="O403" s="47"/>
      <c r="P403" s="21" t="s">
        <v>71</v>
      </c>
      <c r="Q403" s="21" t="s">
        <v>138</v>
      </c>
      <c r="R403" s="21" t="s">
        <v>160</v>
      </c>
      <c r="S403" s="924"/>
      <c r="T403" s="924"/>
      <c r="U403" s="924"/>
      <c r="X403" s="924" t="s">
        <v>866</v>
      </c>
    </row>
    <row r="404" spans="2:24" ht="31.5">
      <c r="B404" s="5035">
        <v>46107</v>
      </c>
      <c r="C404" s="3165" t="s">
        <v>814</v>
      </c>
      <c r="D404" s="3165" t="s">
        <v>867</v>
      </c>
      <c r="E404" s="4280" t="s">
        <v>517</v>
      </c>
      <c r="F404" s="4280" t="s">
        <v>615</v>
      </c>
      <c r="G404" s="4280"/>
      <c r="H404" s="4280"/>
      <c r="I404" s="4280">
        <v>707</v>
      </c>
      <c r="J404" s="3415" t="s">
        <v>868</v>
      </c>
      <c r="K404" s="1002"/>
      <c r="L404" s="1001" t="s">
        <v>30</v>
      </c>
      <c r="M404" s="1227"/>
      <c r="N404" s="47"/>
      <c r="O404" s="47"/>
      <c r="S404" s="924"/>
      <c r="T404" s="924"/>
      <c r="U404" s="924"/>
      <c r="X404" s="924"/>
    </row>
    <row r="405" spans="2:24" ht="31.5">
      <c r="B405" s="5035">
        <v>46108</v>
      </c>
      <c r="C405" s="3165" t="s">
        <v>814</v>
      </c>
      <c r="D405" s="3165" t="s">
        <v>869</v>
      </c>
      <c r="E405" s="4162" t="s">
        <v>870</v>
      </c>
      <c r="F405" s="4162" t="s">
        <v>871</v>
      </c>
      <c r="G405" s="4162"/>
      <c r="H405" s="4162"/>
      <c r="I405" s="4162">
        <v>707</v>
      </c>
      <c r="J405" s="4162" t="s">
        <v>732</v>
      </c>
      <c r="K405" s="924"/>
      <c r="L405" s="923" t="s">
        <v>37</v>
      </c>
      <c r="M405" s="924"/>
      <c r="N405" s="47"/>
      <c r="O405" s="47"/>
      <c r="S405" s="924"/>
      <c r="T405" s="924"/>
      <c r="U405" s="924"/>
      <c r="X405" s="924"/>
    </row>
    <row r="406" spans="2:24" ht="31.5">
      <c r="B406" s="5035">
        <v>46108</v>
      </c>
      <c r="C406" s="3165" t="s">
        <v>814</v>
      </c>
      <c r="D406" s="3165" t="s">
        <v>872</v>
      </c>
      <c r="E406" s="4195" t="s">
        <v>592</v>
      </c>
      <c r="F406" s="4195" t="s">
        <v>635</v>
      </c>
      <c r="G406" s="4195"/>
      <c r="H406" s="4195"/>
      <c r="I406" s="4162">
        <v>701</v>
      </c>
      <c r="J406" s="4162" t="s">
        <v>594</v>
      </c>
      <c r="K406" s="924"/>
      <c r="L406" s="923"/>
      <c r="M406" s="924" t="s">
        <v>37</v>
      </c>
      <c r="N406" s="47"/>
      <c r="O406" s="47"/>
      <c r="P406" s="21" t="s">
        <v>0</v>
      </c>
      <c r="Q406" s="21" t="s">
        <v>187</v>
      </c>
      <c r="R406" s="21" t="s">
        <v>790</v>
      </c>
      <c r="S406" s="924"/>
      <c r="T406" s="924"/>
      <c r="U406" s="924"/>
      <c r="X406" s="924" t="s">
        <v>873</v>
      </c>
    </row>
    <row r="407" spans="2:24" ht="31.5">
      <c r="B407" s="5035">
        <v>46108</v>
      </c>
      <c r="C407" s="3165" t="s">
        <v>814</v>
      </c>
      <c r="D407" s="3165" t="s">
        <v>872</v>
      </c>
      <c r="E407" s="5007" t="s">
        <v>619</v>
      </c>
      <c r="F407" s="5007" t="s">
        <v>620</v>
      </c>
      <c r="G407" s="5007"/>
      <c r="H407" s="5007"/>
      <c r="I407" s="4280">
        <v>701</v>
      </c>
      <c r="J407" s="4280" t="s">
        <v>621</v>
      </c>
      <c r="K407" s="1002"/>
      <c r="L407" s="1001"/>
      <c r="M407" s="1227" t="s">
        <v>37</v>
      </c>
      <c r="N407" s="47"/>
      <c r="O407" s="47"/>
      <c r="P407" s="21" t="s">
        <v>0</v>
      </c>
      <c r="Q407" s="21" t="s">
        <v>187</v>
      </c>
      <c r="R407" s="21" t="s">
        <v>790</v>
      </c>
      <c r="S407" s="924"/>
      <c r="T407" s="924"/>
      <c r="U407" s="924"/>
      <c r="X407" s="924" t="s">
        <v>873</v>
      </c>
    </row>
    <row r="408" spans="2:24" ht="31.5">
      <c r="B408" s="5035">
        <v>46108</v>
      </c>
      <c r="C408" s="3165" t="s">
        <v>814</v>
      </c>
      <c r="D408" s="3165" t="s">
        <v>862</v>
      </c>
      <c r="E408" s="5042" t="s">
        <v>43</v>
      </c>
      <c r="F408" s="5043" t="s">
        <v>874</v>
      </c>
      <c r="G408" s="5043"/>
      <c r="H408" s="5043"/>
      <c r="I408" s="4280">
        <v>705</v>
      </c>
      <c r="J408" s="3415" t="s">
        <v>875</v>
      </c>
      <c r="K408" s="1002"/>
      <c r="L408" s="1001" t="s">
        <v>37</v>
      </c>
      <c r="M408" s="1227"/>
      <c r="N408" s="47"/>
      <c r="O408" s="47"/>
      <c r="S408" s="924"/>
      <c r="T408" s="924"/>
      <c r="U408" s="924"/>
      <c r="X408" s="924"/>
    </row>
    <row r="409" spans="2:24" ht="31.5">
      <c r="B409" s="5035">
        <v>46108</v>
      </c>
      <c r="C409" s="3165" t="s">
        <v>814</v>
      </c>
      <c r="D409" s="3165" t="s">
        <v>839</v>
      </c>
      <c r="E409" s="5040" t="s">
        <v>857</v>
      </c>
      <c r="F409" s="5041" t="s">
        <v>858</v>
      </c>
      <c r="G409" s="5041"/>
      <c r="H409" s="5041"/>
      <c r="I409" s="4280">
        <v>702</v>
      </c>
      <c r="J409" s="3415" t="s">
        <v>876</v>
      </c>
      <c r="K409" s="1002"/>
      <c r="L409" s="1001" t="s">
        <v>37</v>
      </c>
      <c r="M409" s="1227"/>
      <c r="N409" s="47"/>
      <c r="O409" s="47"/>
      <c r="S409" s="924"/>
      <c r="T409" s="924" t="s">
        <v>37</v>
      </c>
      <c r="U409" s="924"/>
      <c r="X409" s="924"/>
    </row>
    <row r="410" spans="2:24" ht="31.5">
      <c r="B410" s="5035">
        <v>46108</v>
      </c>
      <c r="C410" s="3165" t="s">
        <v>814</v>
      </c>
      <c r="D410" s="3165" t="s">
        <v>839</v>
      </c>
      <c r="E410" s="5040" t="s">
        <v>877</v>
      </c>
      <c r="F410" s="5041" t="s">
        <v>878</v>
      </c>
      <c r="G410" s="5041"/>
      <c r="H410" s="5041"/>
      <c r="I410" s="4280"/>
      <c r="J410" s="3415" t="s">
        <v>842</v>
      </c>
      <c r="K410" s="1002"/>
      <c r="L410" s="1001" t="s">
        <v>37</v>
      </c>
      <c r="M410" s="1227"/>
      <c r="N410" s="47"/>
      <c r="O410" s="47"/>
      <c r="S410" s="924"/>
      <c r="T410" s="924"/>
      <c r="U410" s="924"/>
      <c r="X410" s="924"/>
    </row>
    <row r="411" spans="2:24" ht="31.5">
      <c r="B411" s="5035">
        <v>46108</v>
      </c>
      <c r="C411" s="3165" t="s">
        <v>814</v>
      </c>
      <c r="D411" s="3165" t="s">
        <v>865</v>
      </c>
      <c r="E411" s="4759" t="s">
        <v>879</v>
      </c>
      <c r="F411" s="3383" t="s">
        <v>273</v>
      </c>
      <c r="G411" s="3383"/>
      <c r="H411" s="3383"/>
      <c r="I411" s="4280"/>
      <c r="J411" s="3415" t="s">
        <v>880</v>
      </c>
      <c r="K411" s="4464" t="s">
        <v>114</v>
      </c>
      <c r="L411" s="1001" t="s">
        <v>37</v>
      </c>
      <c r="M411" s="1227"/>
      <c r="N411" s="47"/>
      <c r="O411" s="47"/>
      <c r="S411" s="924"/>
      <c r="T411" s="924" t="s">
        <v>37</v>
      </c>
      <c r="U411" s="924"/>
      <c r="X411" s="924"/>
    </row>
    <row r="412" spans="2:24" ht="31.5">
      <c r="B412" s="5035">
        <v>46108</v>
      </c>
      <c r="C412" s="3165" t="s">
        <v>814</v>
      </c>
      <c r="D412" s="3165" t="s">
        <v>867</v>
      </c>
      <c r="E412" s="5044" t="s">
        <v>742</v>
      </c>
      <c r="F412" s="4992" t="s">
        <v>183</v>
      </c>
      <c r="G412" s="4992"/>
      <c r="H412" s="4992"/>
      <c r="I412" s="4280">
        <v>705</v>
      </c>
      <c r="J412" s="3415" t="s">
        <v>853</v>
      </c>
      <c r="K412" s="4464" t="s">
        <v>114</v>
      </c>
      <c r="L412" s="1001" t="s">
        <v>37</v>
      </c>
      <c r="M412" s="1227"/>
      <c r="N412" s="47"/>
      <c r="O412" s="47"/>
      <c r="S412" s="924"/>
      <c r="T412" s="924"/>
      <c r="U412" s="924" t="s">
        <v>30</v>
      </c>
      <c r="V412" s="3160" t="s">
        <v>37</v>
      </c>
      <c r="X412" s="924"/>
    </row>
    <row r="413" spans="2:24" ht="31.5">
      <c r="B413" s="5035">
        <v>46108</v>
      </c>
      <c r="C413" s="3165" t="s">
        <v>814</v>
      </c>
      <c r="D413" s="3165" t="s">
        <v>869</v>
      </c>
      <c r="E413" s="4759" t="s">
        <v>43</v>
      </c>
      <c r="F413" s="3383" t="s">
        <v>711</v>
      </c>
      <c r="G413" s="3383"/>
      <c r="H413" s="3383"/>
      <c r="I413" s="4280">
        <v>705</v>
      </c>
      <c r="J413" s="3415" t="s">
        <v>881</v>
      </c>
      <c r="K413" s="4464" t="s">
        <v>114</v>
      </c>
      <c r="L413" s="1001" t="s">
        <v>37</v>
      </c>
      <c r="M413" s="1227"/>
      <c r="N413" s="47"/>
      <c r="O413" s="47"/>
      <c r="S413" s="924"/>
      <c r="T413" s="924"/>
      <c r="U413" s="924" t="s">
        <v>30</v>
      </c>
      <c r="X413" s="924"/>
    </row>
    <row r="414" spans="2:24" ht="31.5">
      <c r="B414" s="5035">
        <v>46109</v>
      </c>
      <c r="C414" s="3165" t="s">
        <v>814</v>
      </c>
      <c r="D414" s="3165" t="s">
        <v>872</v>
      </c>
      <c r="E414" s="5044" t="s">
        <v>169</v>
      </c>
      <c r="F414" s="5045" t="s">
        <v>49</v>
      </c>
      <c r="G414" s="5137"/>
      <c r="H414" s="5137"/>
      <c r="I414" s="5046">
        <v>705</v>
      </c>
      <c r="J414" s="3415" t="s">
        <v>853</v>
      </c>
      <c r="K414" s="4464" t="s">
        <v>114</v>
      </c>
      <c r="L414" s="1001" t="s">
        <v>37</v>
      </c>
      <c r="M414" s="1227"/>
      <c r="N414" s="47"/>
      <c r="O414" s="47"/>
      <c r="S414" s="924"/>
      <c r="T414" s="924"/>
      <c r="U414" s="924" t="s">
        <v>30</v>
      </c>
      <c r="V414" s="3160" t="s">
        <v>37</v>
      </c>
      <c r="X414" s="924"/>
    </row>
    <row r="415" spans="2:24" ht="31.5">
      <c r="B415" s="5035">
        <v>46111</v>
      </c>
      <c r="C415" s="3165" t="s">
        <v>882</v>
      </c>
      <c r="D415" s="3165" t="s">
        <v>883</v>
      </c>
      <c r="E415" s="4195" t="s">
        <v>592</v>
      </c>
      <c r="F415" s="4195" t="s">
        <v>635</v>
      </c>
      <c r="G415" s="5007"/>
      <c r="H415" s="5007"/>
      <c r="I415" s="4280">
        <v>701</v>
      </c>
      <c r="J415" s="4162" t="s">
        <v>594</v>
      </c>
      <c r="K415" s="1002"/>
      <c r="L415" s="1001" t="s">
        <v>37</v>
      </c>
      <c r="M415" s="924"/>
      <c r="N415" s="47"/>
      <c r="O415" s="47"/>
      <c r="S415" s="924"/>
      <c r="T415" s="924"/>
      <c r="U415" s="924"/>
      <c r="V415"/>
      <c r="W415" s="924"/>
      <c r="X415" s="924"/>
    </row>
    <row r="416" spans="2:24" ht="31.5">
      <c r="B416" s="5035">
        <v>46111</v>
      </c>
      <c r="C416" s="3165" t="s">
        <v>882</v>
      </c>
      <c r="D416" s="3165" t="s">
        <v>884</v>
      </c>
      <c r="E416" s="5007" t="s">
        <v>619</v>
      </c>
      <c r="F416" s="5007" t="s">
        <v>620</v>
      </c>
      <c r="G416" s="5007"/>
      <c r="H416" s="5007"/>
      <c r="I416" s="4280">
        <v>701</v>
      </c>
      <c r="J416" s="4280" t="s">
        <v>621</v>
      </c>
      <c r="K416" s="1002"/>
      <c r="L416" s="1001" t="s">
        <v>37</v>
      </c>
      <c r="M416" s="924"/>
      <c r="N416" s="47"/>
      <c r="O416" s="47"/>
      <c r="S416" s="924"/>
      <c r="T416" s="924"/>
      <c r="U416" s="924"/>
      <c r="V416" s="924" t="s">
        <v>30</v>
      </c>
      <c r="W416" s="924"/>
      <c r="X416" s="924"/>
    </row>
    <row r="417" spans="2:25" ht="31.5">
      <c r="B417" s="5035">
        <v>46111</v>
      </c>
      <c r="C417" s="3165" t="s">
        <v>882</v>
      </c>
      <c r="D417" s="3165" t="s">
        <v>885</v>
      </c>
      <c r="E417" s="4280" t="s">
        <v>282</v>
      </c>
      <c r="F417" s="4280" t="s">
        <v>414</v>
      </c>
      <c r="G417" s="4280"/>
      <c r="H417" s="4280"/>
      <c r="I417" s="4280">
        <v>712</v>
      </c>
      <c r="J417" s="4280" t="s">
        <v>886</v>
      </c>
      <c r="K417" s="1002"/>
      <c r="L417" s="1001" t="s">
        <v>37</v>
      </c>
      <c r="M417" s="924"/>
      <c r="N417" s="47"/>
      <c r="O417" s="47"/>
      <c r="S417" s="924"/>
      <c r="T417" s="924"/>
      <c r="U417" s="924"/>
      <c r="V417" s="924" t="s">
        <v>30</v>
      </c>
      <c r="W417" s="924"/>
      <c r="X417" s="924"/>
    </row>
    <row r="418" spans="2:25" ht="52.5">
      <c r="B418" s="5035">
        <v>46111</v>
      </c>
      <c r="C418" s="3165" t="s">
        <v>882</v>
      </c>
      <c r="D418" s="3165" t="s">
        <v>887</v>
      </c>
      <c r="E418" s="5017" t="s">
        <v>888</v>
      </c>
      <c r="F418" s="5017" t="s">
        <v>889</v>
      </c>
      <c r="G418" s="5017"/>
      <c r="H418" s="5017"/>
      <c r="I418" s="4280">
        <v>712</v>
      </c>
      <c r="J418" s="4280" t="s">
        <v>890</v>
      </c>
      <c r="K418" s="1002"/>
      <c r="L418" s="1001"/>
      <c r="M418" s="924" t="s">
        <v>37</v>
      </c>
      <c r="N418" s="47"/>
      <c r="O418" s="47"/>
      <c r="P418" s="21" t="s">
        <v>0</v>
      </c>
      <c r="Q418" s="21" t="s">
        <v>891</v>
      </c>
      <c r="R418" s="21" t="s">
        <v>160</v>
      </c>
      <c r="S418" s="924"/>
      <c r="T418" s="924"/>
      <c r="U418" s="924"/>
      <c r="V418" s="924"/>
      <c r="W418" s="924" t="s">
        <v>37</v>
      </c>
      <c r="X418" s="924" t="s">
        <v>892</v>
      </c>
      <c r="Y418" s="3160" t="s">
        <v>893</v>
      </c>
    </row>
    <row r="419" spans="2:25" ht="31.5">
      <c r="B419" s="5035">
        <v>46111</v>
      </c>
      <c r="C419" s="3165" t="s">
        <v>882</v>
      </c>
      <c r="D419" s="3165" t="s">
        <v>894</v>
      </c>
      <c r="E419" s="5020" t="s">
        <v>169</v>
      </c>
      <c r="F419" s="5020" t="s">
        <v>895</v>
      </c>
      <c r="G419" s="5020"/>
      <c r="H419" s="5020"/>
      <c r="I419" s="4280">
        <v>712</v>
      </c>
      <c r="J419" s="4280" t="s">
        <v>896</v>
      </c>
      <c r="K419" s="1002"/>
      <c r="L419" s="1001" t="s">
        <v>37</v>
      </c>
      <c r="M419" s="924"/>
      <c r="N419" s="47"/>
      <c r="O419" s="47"/>
      <c r="S419" s="924"/>
      <c r="T419" s="924"/>
      <c r="U419" s="924"/>
      <c r="V419"/>
      <c r="W419" s="924"/>
      <c r="X419" s="924"/>
    </row>
    <row r="420" spans="2:25" ht="31.5">
      <c r="B420" s="5035">
        <v>46111</v>
      </c>
      <c r="C420" s="3165" t="s">
        <v>882</v>
      </c>
      <c r="D420" s="3165" t="s">
        <v>897</v>
      </c>
      <c r="E420" s="5020" t="s">
        <v>360</v>
      </c>
      <c r="F420" s="5020" t="s">
        <v>488</v>
      </c>
      <c r="G420" s="5020"/>
      <c r="H420" s="5020"/>
      <c r="I420" s="4280">
        <v>712</v>
      </c>
      <c r="J420" s="4280" t="s">
        <v>898</v>
      </c>
      <c r="K420" s="1002"/>
      <c r="L420" s="1001" t="s">
        <v>37</v>
      </c>
      <c r="M420" s="924"/>
      <c r="N420" s="47"/>
      <c r="O420" s="47"/>
      <c r="S420" s="924"/>
      <c r="T420" s="924"/>
      <c r="U420" s="924"/>
      <c r="V420" s="924"/>
      <c r="W420" s="924"/>
      <c r="X420" s="924"/>
    </row>
    <row r="421" spans="2:25" ht="31.5">
      <c r="B421" s="5035">
        <v>46111</v>
      </c>
      <c r="C421" s="3165" t="s">
        <v>882</v>
      </c>
      <c r="D421" s="3165" t="s">
        <v>899</v>
      </c>
      <c r="E421" s="4214" t="s">
        <v>282</v>
      </c>
      <c r="F421" s="4214" t="s">
        <v>56</v>
      </c>
      <c r="G421" s="4214"/>
      <c r="H421" s="4214"/>
      <c r="I421" s="4280">
        <v>712</v>
      </c>
      <c r="J421" s="4280" t="s">
        <v>890</v>
      </c>
      <c r="K421" s="1002"/>
      <c r="L421" s="1001" t="s">
        <v>37</v>
      </c>
      <c r="M421" s="924"/>
      <c r="N421" s="47"/>
      <c r="O421" s="47"/>
      <c r="S421" s="924"/>
      <c r="T421" s="924"/>
      <c r="U421" s="924"/>
      <c r="V421"/>
      <c r="W421" s="924"/>
      <c r="X421" s="924"/>
    </row>
    <row r="422" spans="2:25" ht="31.5">
      <c r="B422" s="5035">
        <v>46111</v>
      </c>
      <c r="C422" s="3165" t="s">
        <v>882</v>
      </c>
      <c r="D422" s="3165" t="s">
        <v>900</v>
      </c>
      <c r="E422" s="4214" t="s">
        <v>79</v>
      </c>
      <c r="F422" s="4214" t="s">
        <v>49</v>
      </c>
      <c r="G422" s="4214"/>
      <c r="H422" s="4214"/>
      <c r="I422" s="4280">
        <v>712</v>
      </c>
      <c r="J422" s="4280" t="s">
        <v>890</v>
      </c>
      <c r="K422" s="1002"/>
      <c r="L422" s="1001" t="s">
        <v>37</v>
      </c>
      <c r="M422" s="924"/>
      <c r="N422" s="47"/>
      <c r="O422" s="47"/>
      <c r="S422" s="924"/>
      <c r="T422" s="924"/>
      <c r="U422" s="924"/>
      <c r="V422" s="924" t="s">
        <v>30</v>
      </c>
      <c r="W422" s="924"/>
      <c r="X422" s="924"/>
    </row>
    <row r="423" spans="2:25" ht="31.5">
      <c r="B423" s="5035">
        <v>46111</v>
      </c>
      <c r="C423" s="3165" t="s">
        <v>882</v>
      </c>
      <c r="D423" s="3165" t="s">
        <v>901</v>
      </c>
      <c r="E423" s="5049" t="s">
        <v>273</v>
      </c>
      <c r="F423" s="5049" t="s">
        <v>337</v>
      </c>
      <c r="G423" s="5049"/>
      <c r="H423" s="5049"/>
      <c r="I423" s="4280">
        <v>712</v>
      </c>
      <c r="J423" s="4280" t="s">
        <v>902</v>
      </c>
      <c r="K423" s="4464" t="s">
        <v>627</v>
      </c>
      <c r="L423" s="1001" t="s">
        <v>37</v>
      </c>
      <c r="M423" s="924"/>
      <c r="N423" s="47"/>
      <c r="O423" s="47"/>
      <c r="S423" s="924"/>
      <c r="T423" s="924"/>
      <c r="U423" s="924"/>
      <c r="V423" s="924"/>
      <c r="W423" s="924"/>
      <c r="X423" s="924"/>
    </row>
    <row r="424" spans="2:25" ht="31.5">
      <c r="B424" s="5035">
        <v>46112</v>
      </c>
      <c r="C424" s="3165" t="s">
        <v>882</v>
      </c>
      <c r="D424" s="3165" t="s">
        <v>903</v>
      </c>
      <c r="E424" s="5017" t="s">
        <v>258</v>
      </c>
      <c r="F424" s="5017" t="s">
        <v>904</v>
      </c>
      <c r="G424" s="5017"/>
      <c r="H424" s="5017"/>
      <c r="I424" s="4280">
        <v>712</v>
      </c>
      <c r="J424" s="4280" t="s">
        <v>905</v>
      </c>
      <c r="K424" s="1002"/>
      <c r="L424" s="1001" t="s">
        <v>37</v>
      </c>
      <c r="M424" s="924"/>
      <c r="N424" s="47"/>
      <c r="O424" s="47"/>
      <c r="S424" s="924"/>
      <c r="T424" s="924"/>
      <c r="U424" s="924"/>
      <c r="V424" s="924" t="s">
        <v>30</v>
      </c>
      <c r="W424" s="924"/>
      <c r="X424" s="924"/>
    </row>
    <row r="425" spans="2:25" ht="31.5">
      <c r="B425" s="5035">
        <v>46112</v>
      </c>
      <c r="C425" s="3165" t="s">
        <v>882</v>
      </c>
      <c r="D425" s="3165" t="s">
        <v>906</v>
      </c>
      <c r="E425" s="5017" t="s">
        <v>392</v>
      </c>
      <c r="F425" s="5017" t="s">
        <v>907</v>
      </c>
      <c r="G425" s="5017"/>
      <c r="H425" s="5017"/>
      <c r="I425" s="4280">
        <v>712</v>
      </c>
      <c r="J425" s="4280" t="s">
        <v>908</v>
      </c>
      <c r="K425" s="1002"/>
      <c r="L425" s="1001" t="s">
        <v>37</v>
      </c>
      <c r="M425" s="924"/>
      <c r="N425" s="47"/>
      <c r="O425" s="47"/>
      <c r="S425" s="924"/>
      <c r="T425" s="924"/>
      <c r="U425" s="924"/>
      <c r="V425" s="924"/>
      <c r="W425" s="924"/>
      <c r="X425" s="924"/>
    </row>
    <row r="426" spans="2:25" ht="31.5">
      <c r="B426" s="5035">
        <v>46112</v>
      </c>
      <c r="C426" s="3165" t="s">
        <v>882</v>
      </c>
      <c r="D426" s="3165" t="s">
        <v>909</v>
      </c>
      <c r="E426" s="4195" t="s">
        <v>592</v>
      </c>
      <c r="F426" s="4195" t="s">
        <v>635</v>
      </c>
      <c r="G426" s="5007"/>
      <c r="H426" s="5007"/>
      <c r="I426" s="4280">
        <v>701</v>
      </c>
      <c r="J426" s="4162" t="s">
        <v>594</v>
      </c>
      <c r="K426" s="1002"/>
      <c r="L426" s="1001" t="s">
        <v>37</v>
      </c>
      <c r="M426" s="924"/>
      <c r="N426" s="47"/>
      <c r="O426" s="47"/>
      <c r="S426" s="924"/>
      <c r="T426" s="924"/>
      <c r="U426" s="924"/>
      <c r="V426" s="924"/>
      <c r="W426" s="924"/>
      <c r="X426" s="924"/>
    </row>
    <row r="427" spans="2:25" ht="31.5">
      <c r="B427" s="5035">
        <v>46112</v>
      </c>
      <c r="C427" s="3165" t="s">
        <v>882</v>
      </c>
      <c r="D427" s="3165" t="s">
        <v>910</v>
      </c>
      <c r="E427" s="5007" t="s">
        <v>619</v>
      </c>
      <c r="F427" s="5007" t="s">
        <v>620</v>
      </c>
      <c r="G427" s="5007"/>
      <c r="H427" s="5007"/>
      <c r="I427" s="4280">
        <v>701</v>
      </c>
      <c r="J427" s="4280" t="s">
        <v>621</v>
      </c>
      <c r="K427" s="1002"/>
      <c r="L427" s="1001" t="s">
        <v>37</v>
      </c>
      <c r="M427" s="924"/>
      <c r="N427" s="47"/>
      <c r="O427" s="47"/>
      <c r="S427" s="924"/>
      <c r="T427" s="924"/>
      <c r="U427" s="924"/>
      <c r="V427" s="924"/>
      <c r="W427" s="924"/>
      <c r="X427" s="924"/>
    </row>
    <row r="428" spans="2:25" ht="31.5">
      <c r="B428" s="5035">
        <v>46112</v>
      </c>
      <c r="C428" s="3165" t="s">
        <v>882</v>
      </c>
      <c r="D428" s="3165" t="s">
        <v>911</v>
      </c>
      <c r="E428" s="4581" t="s">
        <v>273</v>
      </c>
      <c r="F428" s="4581" t="s">
        <v>169</v>
      </c>
      <c r="G428" s="4581"/>
      <c r="H428" s="4581"/>
      <c r="I428" s="4280">
        <v>712</v>
      </c>
      <c r="J428" s="4280" t="s">
        <v>912</v>
      </c>
      <c r="K428" s="4464" t="s">
        <v>84</v>
      </c>
      <c r="L428" s="1001" t="s">
        <v>37</v>
      </c>
      <c r="M428" s="924"/>
      <c r="N428" s="47"/>
      <c r="O428" s="47"/>
      <c r="S428" s="924"/>
      <c r="T428" s="924"/>
      <c r="U428" s="924"/>
      <c r="V428" s="924"/>
      <c r="W428" s="924"/>
      <c r="X428" s="924"/>
    </row>
    <row r="429" spans="2:25" ht="31.5">
      <c r="B429" s="5035">
        <v>46112</v>
      </c>
      <c r="C429" s="3165" t="s">
        <v>882</v>
      </c>
      <c r="D429" s="3165" t="s">
        <v>913</v>
      </c>
      <c r="E429" s="4581" t="s">
        <v>169</v>
      </c>
      <c r="F429" s="4581" t="s">
        <v>914</v>
      </c>
      <c r="G429" s="4581"/>
      <c r="H429" s="4581"/>
      <c r="I429" s="4280">
        <v>712</v>
      </c>
      <c r="J429" s="4280" t="s">
        <v>915</v>
      </c>
      <c r="K429" s="4464" t="s">
        <v>84</v>
      </c>
      <c r="L429" s="1001" t="s">
        <v>37</v>
      </c>
      <c r="M429" s="924"/>
      <c r="N429" s="47"/>
      <c r="O429" s="47"/>
      <c r="S429" s="924"/>
      <c r="T429" s="924"/>
      <c r="U429" s="924"/>
      <c r="V429" s="924"/>
      <c r="W429" s="924"/>
      <c r="X429" s="924"/>
    </row>
    <row r="430" spans="2:25" ht="31.5">
      <c r="B430" s="5035">
        <v>46112</v>
      </c>
      <c r="C430" s="3165" t="s">
        <v>882</v>
      </c>
      <c r="D430" s="3165" t="s">
        <v>916</v>
      </c>
      <c r="E430" s="4581" t="s">
        <v>517</v>
      </c>
      <c r="F430" s="4581" t="s">
        <v>917</v>
      </c>
      <c r="G430" s="4581"/>
      <c r="H430" s="4581"/>
      <c r="I430" s="4280"/>
      <c r="J430" s="4280" t="s">
        <v>915</v>
      </c>
      <c r="K430" s="1002"/>
      <c r="L430" s="1001" t="s">
        <v>30</v>
      </c>
      <c r="M430" s="924"/>
      <c r="N430" s="47"/>
      <c r="O430" s="47"/>
      <c r="S430" s="924"/>
      <c r="T430" s="924"/>
      <c r="U430" s="924"/>
      <c r="V430" s="924"/>
      <c r="W430" s="924"/>
      <c r="X430" s="924"/>
    </row>
    <row r="431" spans="2:25" ht="31.5">
      <c r="B431" s="5035">
        <v>46112</v>
      </c>
      <c r="C431" s="3165" t="s">
        <v>882</v>
      </c>
      <c r="D431" s="3165" t="s">
        <v>918</v>
      </c>
      <c r="E431" s="5050" t="s">
        <v>182</v>
      </c>
      <c r="F431" s="5050" t="s">
        <v>659</v>
      </c>
      <c r="G431" s="5050"/>
      <c r="H431" s="5050"/>
      <c r="I431" s="4280">
        <v>705</v>
      </c>
      <c r="J431" s="4280" t="s">
        <v>660</v>
      </c>
      <c r="K431" s="1002"/>
      <c r="L431" s="1001" t="s">
        <v>30</v>
      </c>
      <c r="M431" s="924"/>
      <c r="N431" s="47"/>
      <c r="O431" s="47"/>
      <c r="S431" s="924"/>
      <c r="T431" s="924"/>
      <c r="U431" s="924"/>
      <c r="V431" s="924"/>
      <c r="W431" s="924"/>
      <c r="X431" s="924"/>
    </row>
    <row r="432" spans="2:25" ht="31.5">
      <c r="B432" s="5035">
        <v>46112</v>
      </c>
      <c r="C432" s="3165" t="s">
        <v>882</v>
      </c>
      <c r="D432" s="3165" t="s">
        <v>919</v>
      </c>
      <c r="E432" s="4843" t="s">
        <v>920</v>
      </c>
      <c r="F432" s="4843" t="s">
        <v>921</v>
      </c>
      <c r="G432" s="4843"/>
      <c r="H432" s="4843"/>
      <c r="I432" s="4280"/>
      <c r="J432" s="4280" t="s">
        <v>922</v>
      </c>
      <c r="K432" s="1002"/>
      <c r="L432" s="1001" t="s">
        <v>37</v>
      </c>
      <c r="M432" s="924"/>
      <c r="N432" s="47"/>
      <c r="O432" s="47"/>
      <c r="S432" s="924"/>
      <c r="T432" s="924"/>
      <c r="U432" s="924"/>
      <c r="V432" s="924"/>
      <c r="W432" s="924"/>
      <c r="X432" s="924"/>
    </row>
    <row r="433" spans="2:24" ht="31.5">
      <c r="B433" s="5035">
        <v>46112</v>
      </c>
      <c r="C433" s="3165" t="s">
        <v>882</v>
      </c>
      <c r="D433" s="3165" t="s">
        <v>923</v>
      </c>
      <c r="E433" s="5027" t="s">
        <v>924</v>
      </c>
      <c r="F433" s="5027" t="s">
        <v>925</v>
      </c>
      <c r="G433" s="5027"/>
      <c r="H433" s="5027"/>
      <c r="I433" s="4280">
        <v>705</v>
      </c>
      <c r="J433" s="4280" t="s">
        <v>926</v>
      </c>
      <c r="K433" s="4464" t="s">
        <v>627</v>
      </c>
      <c r="L433" s="1001" t="s">
        <v>37</v>
      </c>
      <c r="M433" s="924"/>
      <c r="N433" s="47"/>
      <c r="O433" s="47"/>
      <c r="S433" s="924"/>
      <c r="T433" s="924"/>
      <c r="U433" s="924"/>
      <c r="V433" s="924"/>
      <c r="W433" s="924"/>
      <c r="X433" s="924"/>
    </row>
    <row r="434" spans="2:24" ht="31.5">
      <c r="B434" s="5035">
        <v>46113</v>
      </c>
      <c r="C434" s="3165" t="s">
        <v>882</v>
      </c>
      <c r="D434" s="3165" t="s">
        <v>927</v>
      </c>
      <c r="E434" s="4581" t="s">
        <v>615</v>
      </c>
      <c r="F434" s="4581" t="s">
        <v>928</v>
      </c>
      <c r="G434" s="4581"/>
      <c r="H434" s="4581"/>
      <c r="I434" s="4280">
        <v>712</v>
      </c>
      <c r="J434" s="4280" t="s">
        <v>912</v>
      </c>
      <c r="K434" s="1002"/>
      <c r="L434" s="1001" t="s">
        <v>30</v>
      </c>
      <c r="M434" s="924"/>
      <c r="N434" s="47"/>
      <c r="O434" s="47"/>
      <c r="S434" s="924"/>
      <c r="T434" s="924"/>
      <c r="U434" s="924"/>
      <c r="V434" s="924"/>
      <c r="W434" s="924"/>
      <c r="X434" s="924"/>
    </row>
    <row r="435" spans="2:24" ht="31.5">
      <c r="B435" s="5035">
        <v>46113</v>
      </c>
      <c r="C435" s="3165" t="s">
        <v>882</v>
      </c>
      <c r="D435" s="3165" t="s">
        <v>929</v>
      </c>
      <c r="E435" s="5050" t="s">
        <v>450</v>
      </c>
      <c r="F435" s="5050" t="s">
        <v>49</v>
      </c>
      <c r="G435" s="5050"/>
      <c r="H435" s="5050"/>
      <c r="I435" s="4280">
        <v>705</v>
      </c>
      <c r="J435" s="4280" t="s">
        <v>660</v>
      </c>
      <c r="K435" s="1002"/>
      <c r="L435" s="1001" t="s">
        <v>30</v>
      </c>
      <c r="M435" s="924"/>
      <c r="N435" s="47"/>
      <c r="O435" s="47"/>
      <c r="S435" s="924"/>
      <c r="T435" s="924"/>
      <c r="U435" s="924"/>
      <c r="V435" s="924"/>
      <c r="W435" s="924"/>
      <c r="X435" s="924"/>
    </row>
    <row r="436" spans="2:24" ht="31.5">
      <c r="B436" s="5035">
        <v>46113</v>
      </c>
      <c r="C436" s="3165" t="s">
        <v>882</v>
      </c>
      <c r="D436" s="3165" t="s">
        <v>930</v>
      </c>
      <c r="E436" s="5027" t="s">
        <v>931</v>
      </c>
      <c r="F436" s="5027" t="s">
        <v>932</v>
      </c>
      <c r="G436" s="5027"/>
      <c r="H436" s="5027"/>
      <c r="I436" s="4280">
        <v>705</v>
      </c>
      <c r="J436" s="4280" t="s">
        <v>933</v>
      </c>
      <c r="K436" s="4464" t="s">
        <v>84</v>
      </c>
      <c r="L436" s="1001" t="s">
        <v>30</v>
      </c>
      <c r="M436" s="924"/>
      <c r="N436" s="47"/>
      <c r="O436" s="47"/>
      <c r="S436" s="924"/>
      <c r="T436" s="924"/>
      <c r="U436" s="924"/>
      <c r="V436" s="924" t="s">
        <v>37</v>
      </c>
      <c r="W436" s="924"/>
      <c r="X436" s="924"/>
    </row>
    <row r="437" spans="2:24" ht="31.5">
      <c r="B437" s="5035">
        <v>46113</v>
      </c>
      <c r="C437" s="3165" t="s">
        <v>882</v>
      </c>
      <c r="D437" s="3165" t="s">
        <v>934</v>
      </c>
      <c r="E437" s="4195" t="s">
        <v>592</v>
      </c>
      <c r="F437" s="4195" t="s">
        <v>635</v>
      </c>
      <c r="G437" s="5007"/>
      <c r="H437" s="5007"/>
      <c r="I437" s="4280">
        <v>701</v>
      </c>
      <c r="J437" s="4162" t="s">
        <v>594</v>
      </c>
      <c r="K437" s="1002"/>
      <c r="L437" s="1001" t="s">
        <v>30</v>
      </c>
      <c r="M437" s="924"/>
      <c r="N437" s="47"/>
      <c r="O437" s="47"/>
      <c r="S437" s="924"/>
      <c r="T437" s="924"/>
      <c r="U437" s="924"/>
      <c r="V437" s="924"/>
      <c r="W437" s="924"/>
      <c r="X437" s="924"/>
    </row>
    <row r="438" spans="2:24" ht="31.5">
      <c r="B438" s="5035">
        <v>46113</v>
      </c>
      <c r="C438" s="3165" t="s">
        <v>882</v>
      </c>
      <c r="D438" s="3165" t="s">
        <v>935</v>
      </c>
      <c r="E438" s="5007" t="s">
        <v>619</v>
      </c>
      <c r="F438" s="5007" t="s">
        <v>620</v>
      </c>
      <c r="G438" s="5007"/>
      <c r="H438" s="5007"/>
      <c r="I438" s="4280">
        <v>701</v>
      </c>
      <c r="J438" s="4280" t="s">
        <v>621</v>
      </c>
      <c r="K438" s="1002"/>
      <c r="L438" s="1001" t="s">
        <v>30</v>
      </c>
      <c r="M438" s="924"/>
      <c r="N438" s="47"/>
      <c r="O438" s="47"/>
      <c r="S438" s="924"/>
      <c r="T438" s="924"/>
      <c r="U438" s="924"/>
      <c r="V438" s="924"/>
      <c r="W438" s="924"/>
      <c r="X438" s="924"/>
    </row>
    <row r="439" spans="2:24" ht="31.5">
      <c r="B439" s="5035">
        <v>46114</v>
      </c>
      <c r="C439" s="3165" t="s">
        <v>882</v>
      </c>
      <c r="D439" s="3165" t="s">
        <v>936</v>
      </c>
      <c r="E439" s="5027" t="s">
        <v>169</v>
      </c>
      <c r="F439" s="5027" t="s">
        <v>937</v>
      </c>
      <c r="G439" s="5027"/>
      <c r="H439" s="5027"/>
      <c r="I439" s="4280"/>
      <c r="J439" s="4280" t="s">
        <v>933</v>
      </c>
      <c r="K439" s="4464" t="s">
        <v>84</v>
      </c>
      <c r="L439" s="1001" t="s">
        <v>37</v>
      </c>
      <c r="M439" s="924"/>
      <c r="N439" s="47"/>
      <c r="O439" s="47"/>
      <c r="S439" s="924"/>
      <c r="T439" s="924"/>
      <c r="U439" s="924"/>
      <c r="V439" s="924"/>
      <c r="W439" s="924"/>
      <c r="X439" s="924"/>
    </row>
    <row r="440" spans="2:24" ht="31.5">
      <c r="B440" s="5035">
        <v>46114</v>
      </c>
      <c r="C440" s="3165" t="s">
        <v>882</v>
      </c>
      <c r="D440" s="3165" t="s">
        <v>938</v>
      </c>
      <c r="E440" s="4280" t="s">
        <v>285</v>
      </c>
      <c r="F440" s="4280" t="s">
        <v>939</v>
      </c>
      <c r="G440" s="4280"/>
      <c r="H440" s="4280"/>
      <c r="I440" s="4280">
        <v>707</v>
      </c>
      <c r="J440" s="4280" t="s">
        <v>780</v>
      </c>
      <c r="K440" s="1002"/>
      <c r="L440" s="1001" t="s">
        <v>37</v>
      </c>
      <c r="M440" s="924"/>
      <c r="N440" s="47"/>
      <c r="O440" s="47"/>
      <c r="S440" s="924"/>
      <c r="T440" s="924"/>
      <c r="U440" s="924"/>
      <c r="V440" s="924" t="s">
        <v>30</v>
      </c>
      <c r="W440" s="924"/>
      <c r="X440" s="924"/>
    </row>
    <row r="441" spans="2:24" ht="31.5">
      <c r="B441" s="5035">
        <v>46114</v>
      </c>
      <c r="C441" s="3165" t="s">
        <v>882</v>
      </c>
      <c r="D441" s="3165" t="s">
        <v>940</v>
      </c>
      <c r="E441" s="4280" t="s">
        <v>148</v>
      </c>
      <c r="F441" s="4280" t="s">
        <v>941</v>
      </c>
      <c r="G441" s="4280"/>
      <c r="H441" s="4280"/>
      <c r="I441" s="4280">
        <v>707</v>
      </c>
      <c r="J441" s="4280" t="s">
        <v>861</v>
      </c>
      <c r="K441" s="1002"/>
      <c r="L441" s="1001" t="s">
        <v>37</v>
      </c>
      <c r="M441" s="924"/>
      <c r="N441" s="47"/>
      <c r="O441" s="47"/>
      <c r="S441" s="924"/>
      <c r="T441" s="924"/>
      <c r="U441" s="924"/>
      <c r="V441" s="924" t="s">
        <v>30</v>
      </c>
      <c r="W441" s="924"/>
      <c r="X441" s="924"/>
    </row>
    <row r="442" spans="2:24" ht="31.5">
      <c r="B442" s="5035">
        <v>46115</v>
      </c>
      <c r="C442" s="3165" t="s">
        <v>882</v>
      </c>
      <c r="D442" s="3165" t="s">
        <v>942</v>
      </c>
      <c r="E442" s="3383" t="s">
        <v>920</v>
      </c>
      <c r="F442" s="3383" t="s">
        <v>943</v>
      </c>
      <c r="G442" s="3383"/>
      <c r="H442" s="3383"/>
      <c r="I442" s="4280">
        <v>705</v>
      </c>
      <c r="J442" s="4280" t="s">
        <v>944</v>
      </c>
      <c r="K442" s="1002"/>
      <c r="L442" s="1001" t="s">
        <v>37</v>
      </c>
      <c r="M442" s="924"/>
      <c r="N442" s="47"/>
      <c r="O442" s="47"/>
      <c r="S442" s="924"/>
      <c r="T442" s="924"/>
      <c r="U442" s="924"/>
      <c r="V442" s="924" t="s">
        <v>37</v>
      </c>
      <c r="W442" s="924"/>
      <c r="X442" s="924"/>
    </row>
    <row r="443" spans="2:24" ht="31.5">
      <c r="B443" s="5035">
        <v>46115</v>
      </c>
      <c r="C443" s="3165" t="s">
        <v>882</v>
      </c>
      <c r="D443" s="3165" t="s">
        <v>945</v>
      </c>
      <c r="E443" s="4280" t="s">
        <v>392</v>
      </c>
      <c r="F443" s="4280" t="s">
        <v>946</v>
      </c>
      <c r="G443" s="4280"/>
      <c r="H443" s="4280"/>
      <c r="I443" s="4280">
        <v>707</v>
      </c>
      <c r="J443" s="4280" t="s">
        <v>947</v>
      </c>
      <c r="K443" s="1002"/>
      <c r="L443" s="1001" t="s">
        <v>37</v>
      </c>
      <c r="M443" s="924"/>
      <c r="N443" s="47"/>
      <c r="O443" s="47"/>
      <c r="S443" s="924"/>
      <c r="T443" s="924"/>
      <c r="U443" s="924" t="s">
        <v>37</v>
      </c>
      <c r="V443" s="924"/>
      <c r="W443" s="924"/>
      <c r="X443" s="924"/>
    </row>
    <row r="444" spans="2:24" ht="31.5">
      <c r="B444" s="5035">
        <v>46115</v>
      </c>
      <c r="C444" s="3165" t="s">
        <v>882</v>
      </c>
      <c r="D444" s="3165" t="s">
        <v>948</v>
      </c>
      <c r="E444" s="4280" t="s">
        <v>537</v>
      </c>
      <c r="F444" s="4280" t="s">
        <v>80</v>
      </c>
      <c r="G444" s="4280"/>
      <c r="H444" s="4280"/>
      <c r="I444" s="4280">
        <v>707</v>
      </c>
      <c r="J444" s="4280">
        <v>60015</v>
      </c>
      <c r="K444" s="1002"/>
      <c r="L444" s="1001" t="s">
        <v>37</v>
      </c>
      <c r="M444" s="924"/>
      <c r="N444" s="47"/>
      <c r="O444" s="47"/>
      <c r="S444" s="924"/>
      <c r="T444" s="924"/>
      <c r="U444" s="924"/>
      <c r="V444" s="924"/>
      <c r="W444" s="924"/>
      <c r="X444" s="924"/>
    </row>
    <row r="445" spans="2:24" ht="31.5">
      <c r="B445" s="5035">
        <v>46115</v>
      </c>
      <c r="C445" s="3165" t="s">
        <v>882</v>
      </c>
      <c r="D445" s="3165" t="s">
        <v>949</v>
      </c>
      <c r="E445" s="5027" t="s">
        <v>879</v>
      </c>
      <c r="F445" s="5027" t="s">
        <v>950</v>
      </c>
      <c r="G445" s="5027"/>
      <c r="H445" s="5027"/>
      <c r="I445" s="4280">
        <v>705</v>
      </c>
      <c r="J445" s="4280" t="s">
        <v>951</v>
      </c>
      <c r="K445" s="4464" t="s">
        <v>84</v>
      </c>
      <c r="L445" s="1001" t="s">
        <v>37</v>
      </c>
      <c r="M445" s="924"/>
      <c r="N445" s="47"/>
      <c r="O445" s="47"/>
      <c r="S445" s="924"/>
      <c r="T445" s="924"/>
      <c r="U445" s="924"/>
      <c r="V445" s="924"/>
      <c r="W445" s="924"/>
      <c r="X445" s="924"/>
    </row>
    <row r="446" spans="2:24" ht="31.5">
      <c r="B446" s="5051">
        <v>46118</v>
      </c>
      <c r="C446" s="3165" t="s">
        <v>952</v>
      </c>
      <c r="D446" s="3165" t="s">
        <v>953</v>
      </c>
      <c r="E446" s="4471" t="s">
        <v>943</v>
      </c>
      <c r="F446" s="4471" t="s">
        <v>79</v>
      </c>
      <c r="G446" s="4558"/>
      <c r="H446" s="4558"/>
      <c r="I446" s="4558">
        <v>705</v>
      </c>
      <c r="J446" s="4471" t="s">
        <v>954</v>
      </c>
      <c r="K446" s="33"/>
      <c r="L446" s="5065" t="s">
        <v>37</v>
      </c>
      <c r="M446" s="71"/>
      <c r="N446" s="5066"/>
      <c r="O446" s="5066"/>
      <c r="S446" s="71"/>
      <c r="T446" s="71"/>
      <c r="U446" s="71"/>
      <c r="V446" s="71"/>
      <c r="W446" s="71"/>
      <c r="X446" s="71"/>
    </row>
    <row r="447" spans="2:24" ht="31.5">
      <c r="B447" s="5051">
        <v>46118</v>
      </c>
      <c r="C447" s="3165" t="s">
        <v>952</v>
      </c>
      <c r="D447" s="3165" t="s">
        <v>955</v>
      </c>
      <c r="E447" s="4471" t="s">
        <v>204</v>
      </c>
      <c r="F447" s="4471" t="s">
        <v>258</v>
      </c>
      <c r="G447" s="4558"/>
      <c r="H447" s="4558"/>
      <c r="I447" s="4558">
        <v>705</v>
      </c>
      <c r="J447" s="4471">
        <v>60020</v>
      </c>
      <c r="K447" s="33"/>
      <c r="L447" s="5065" t="s">
        <v>37</v>
      </c>
      <c r="M447" s="71"/>
      <c r="N447" s="5066"/>
      <c r="O447" s="5066"/>
      <c r="S447" s="71"/>
      <c r="T447" s="71"/>
      <c r="U447" s="71"/>
      <c r="V447" s="71"/>
      <c r="W447" s="71"/>
      <c r="X447" s="71"/>
    </row>
    <row r="448" spans="2:24" ht="31.5">
      <c r="B448" s="5051">
        <v>46118</v>
      </c>
      <c r="C448" s="3165" t="s">
        <v>952</v>
      </c>
      <c r="D448" s="3165" t="s">
        <v>956</v>
      </c>
      <c r="E448" s="4471" t="s">
        <v>742</v>
      </c>
      <c r="F448" s="4471" t="s">
        <v>537</v>
      </c>
      <c r="G448" s="4558"/>
      <c r="H448" s="4558"/>
      <c r="I448" s="4558">
        <v>705</v>
      </c>
      <c r="J448" s="4471">
        <v>60072</v>
      </c>
      <c r="K448" s="33"/>
      <c r="L448" s="5065" t="s">
        <v>37</v>
      </c>
      <c r="M448" s="71"/>
      <c r="N448" s="5066"/>
      <c r="O448" s="5066"/>
      <c r="S448" s="71"/>
      <c r="T448" s="71"/>
      <c r="U448" s="71"/>
      <c r="V448" s="71"/>
      <c r="W448" s="71"/>
      <c r="X448" s="71"/>
    </row>
    <row r="449" spans="2:24" ht="31.5">
      <c r="B449" s="5051">
        <v>46118</v>
      </c>
      <c r="C449" s="3165" t="s">
        <v>952</v>
      </c>
      <c r="D449" s="3165" t="s">
        <v>957</v>
      </c>
      <c r="E449" s="4471" t="s">
        <v>285</v>
      </c>
      <c r="F449" s="4471" t="s">
        <v>282</v>
      </c>
      <c r="G449" s="4558"/>
      <c r="H449" s="4558"/>
      <c r="I449" s="4558">
        <v>705</v>
      </c>
      <c r="J449" s="4471" t="s">
        <v>958</v>
      </c>
      <c r="K449" s="33"/>
      <c r="L449" s="5065"/>
      <c r="M449" s="71" t="s">
        <v>37</v>
      </c>
      <c r="N449" s="5066"/>
      <c r="O449" s="5066"/>
      <c r="P449" s="21" t="s">
        <v>0</v>
      </c>
      <c r="Q449" s="21" t="s">
        <v>343</v>
      </c>
      <c r="R449" s="21" t="s">
        <v>160</v>
      </c>
      <c r="S449" s="71" t="s">
        <v>37</v>
      </c>
      <c r="T449" s="71"/>
      <c r="U449" s="71"/>
      <c r="V449" s="71"/>
      <c r="W449" s="71"/>
      <c r="X449" s="71" t="s">
        <v>959</v>
      </c>
    </row>
    <row r="450" spans="2:24" ht="31.5">
      <c r="B450" s="5051">
        <v>46119</v>
      </c>
      <c r="C450" s="3165" t="s">
        <v>952</v>
      </c>
      <c r="D450" s="3165" t="s">
        <v>960</v>
      </c>
      <c r="E450" s="4471" t="s">
        <v>961</v>
      </c>
      <c r="F450" s="4471" t="s">
        <v>282</v>
      </c>
      <c r="G450" s="4558"/>
      <c r="H450" s="4558"/>
      <c r="I450" s="4558">
        <v>705</v>
      </c>
      <c r="J450" s="4471" t="s">
        <v>958</v>
      </c>
      <c r="K450" s="71"/>
      <c r="L450" s="5052" t="s">
        <v>37</v>
      </c>
      <c r="M450" s="71"/>
      <c r="N450" s="5066"/>
      <c r="O450" s="5066"/>
      <c r="S450" s="71"/>
      <c r="T450" s="71" t="s">
        <v>37</v>
      </c>
      <c r="U450" s="71"/>
      <c r="V450" s="71"/>
      <c r="W450" s="71"/>
      <c r="X450" s="71"/>
    </row>
    <row r="451" spans="2:24" ht="31.5">
      <c r="B451" s="5051">
        <v>46119</v>
      </c>
      <c r="C451" s="3165" t="s">
        <v>952</v>
      </c>
      <c r="D451" s="3165" t="s">
        <v>962</v>
      </c>
      <c r="E451" s="4471" t="s">
        <v>273</v>
      </c>
      <c r="F451" s="4471" t="s">
        <v>169</v>
      </c>
      <c r="G451" s="4471"/>
      <c r="H451" s="4471"/>
      <c r="I451" s="4471">
        <v>707</v>
      </c>
      <c r="J451" s="4471" t="s">
        <v>566</v>
      </c>
      <c r="K451" s="71"/>
      <c r="L451" s="5052" t="s">
        <v>37</v>
      </c>
      <c r="M451" s="71"/>
      <c r="N451" s="5066"/>
      <c r="O451" s="5066"/>
      <c r="S451" s="71"/>
      <c r="T451" s="71"/>
      <c r="U451" s="71"/>
      <c r="V451" s="71"/>
      <c r="W451" s="71"/>
      <c r="X451" s="71"/>
    </row>
    <row r="452" spans="2:24" ht="31.5">
      <c r="B452" s="5051">
        <v>46119</v>
      </c>
      <c r="C452" s="3165" t="s">
        <v>952</v>
      </c>
      <c r="D452" s="3165" t="s">
        <v>963</v>
      </c>
      <c r="E452" s="4479" t="s">
        <v>282</v>
      </c>
      <c r="F452" s="4479" t="s">
        <v>48</v>
      </c>
      <c r="G452" s="4479"/>
      <c r="H452" s="4479"/>
      <c r="I452" s="4471">
        <v>707</v>
      </c>
      <c r="J452" s="4471" t="s">
        <v>964</v>
      </c>
      <c r="K452" s="71"/>
      <c r="L452" s="5052" t="s">
        <v>37</v>
      </c>
      <c r="M452" s="71"/>
      <c r="N452" s="5066"/>
      <c r="O452" s="5066"/>
      <c r="S452" s="71"/>
      <c r="T452" s="71"/>
      <c r="U452" s="71"/>
      <c r="V452" s="71"/>
      <c r="W452" s="71"/>
      <c r="X452" s="71"/>
    </row>
    <row r="453" spans="2:24" ht="52.5">
      <c r="B453" s="5051">
        <v>46119</v>
      </c>
      <c r="C453" s="3165" t="s">
        <v>952</v>
      </c>
      <c r="D453" s="3165" t="s">
        <v>965</v>
      </c>
      <c r="E453" s="4479" t="s">
        <v>48</v>
      </c>
      <c r="F453" s="4479" t="s">
        <v>282</v>
      </c>
      <c r="G453" s="4479"/>
      <c r="H453" s="4479"/>
      <c r="I453" s="4471">
        <v>705</v>
      </c>
      <c r="J453" s="4471" t="s">
        <v>966</v>
      </c>
      <c r="K453" s="71"/>
      <c r="L453" s="5052"/>
      <c r="M453" s="71" t="s">
        <v>37</v>
      </c>
      <c r="N453" s="5066"/>
      <c r="O453" s="5066"/>
      <c r="P453" s="21" t="s">
        <v>0</v>
      </c>
      <c r="Q453" s="21" t="s">
        <v>782</v>
      </c>
      <c r="R453" s="21" t="s">
        <v>160</v>
      </c>
      <c r="S453" s="71"/>
      <c r="T453" s="71"/>
      <c r="U453" s="71"/>
      <c r="V453" s="71"/>
      <c r="W453" s="71"/>
      <c r="X453" s="71" t="s">
        <v>967</v>
      </c>
    </row>
    <row r="454" spans="2:24" ht="31.5">
      <c r="B454" s="5051">
        <v>46119</v>
      </c>
      <c r="C454" s="3165" t="s">
        <v>952</v>
      </c>
      <c r="D454" s="3165" t="s">
        <v>968</v>
      </c>
      <c r="E454" s="5053" t="s">
        <v>920</v>
      </c>
      <c r="F454" s="5054" t="s">
        <v>258</v>
      </c>
      <c r="G454" s="5138"/>
      <c r="H454" s="5138"/>
      <c r="I454" s="4471">
        <v>705</v>
      </c>
      <c r="J454" s="4471" t="s">
        <v>969</v>
      </c>
      <c r="K454" s="71"/>
      <c r="L454" s="5052" t="s">
        <v>37</v>
      </c>
      <c r="M454" s="71"/>
      <c r="N454" s="5066"/>
      <c r="O454" s="5066"/>
      <c r="S454" s="71"/>
      <c r="T454" s="71"/>
      <c r="U454" s="71"/>
      <c r="V454" s="71" t="s">
        <v>37</v>
      </c>
      <c r="W454" s="71"/>
      <c r="X454" s="71"/>
    </row>
    <row r="455" spans="2:24" ht="31.5">
      <c r="B455" s="5051">
        <v>46119</v>
      </c>
      <c r="C455" s="3165" t="s">
        <v>952</v>
      </c>
      <c r="D455" s="3165" t="s">
        <v>970</v>
      </c>
      <c r="E455" s="5053" t="s">
        <v>879</v>
      </c>
      <c r="F455" s="5054" t="s">
        <v>392</v>
      </c>
      <c r="G455" s="5138"/>
      <c r="H455" s="5138"/>
      <c r="I455" s="4471">
        <v>705</v>
      </c>
      <c r="J455" s="4471" t="s">
        <v>969</v>
      </c>
      <c r="K455" s="71"/>
      <c r="L455" s="5052"/>
      <c r="M455" s="71" t="s">
        <v>37</v>
      </c>
      <c r="N455" s="5066"/>
      <c r="O455" s="5066"/>
      <c r="P455" s="21" t="s">
        <v>71</v>
      </c>
      <c r="Q455" s="21" t="s">
        <v>720</v>
      </c>
      <c r="R455" s="21" t="s">
        <v>160</v>
      </c>
      <c r="S455" s="71"/>
      <c r="T455" s="71"/>
      <c r="U455" s="71"/>
      <c r="V455" s="71" t="s">
        <v>37</v>
      </c>
      <c r="W455" s="71"/>
      <c r="X455" s="71" t="s">
        <v>971</v>
      </c>
    </row>
    <row r="456" spans="2:24" ht="105">
      <c r="B456" s="5051">
        <v>46119</v>
      </c>
      <c r="C456" s="3165" t="s">
        <v>952</v>
      </c>
      <c r="D456" s="3165" t="s">
        <v>972</v>
      </c>
      <c r="E456" s="3166" t="s">
        <v>973</v>
      </c>
      <c r="I456" s="4471">
        <v>705</v>
      </c>
      <c r="J456" s="4471" t="s">
        <v>974</v>
      </c>
      <c r="K456" s="71"/>
      <c r="L456" s="5052" t="s">
        <v>37</v>
      </c>
      <c r="M456" s="71"/>
      <c r="N456" s="5066"/>
      <c r="O456" s="5066"/>
      <c r="S456" s="71"/>
      <c r="T456" s="71"/>
      <c r="U456" s="71"/>
      <c r="V456" s="71" t="s">
        <v>37</v>
      </c>
      <c r="W456" s="71"/>
      <c r="X456" s="71"/>
    </row>
    <row r="457" spans="2:24" ht="31.5">
      <c r="B457" s="5051">
        <v>46120</v>
      </c>
      <c r="C457" s="3165" t="s">
        <v>952</v>
      </c>
      <c r="D457" s="3165" t="s">
        <v>975</v>
      </c>
      <c r="E457" s="5055" t="s">
        <v>592</v>
      </c>
      <c r="F457" s="5055" t="s">
        <v>635</v>
      </c>
      <c r="G457" s="5056"/>
      <c r="H457" s="5056"/>
      <c r="I457" s="4558">
        <v>701</v>
      </c>
      <c r="J457" s="4471" t="s">
        <v>594</v>
      </c>
      <c r="K457" s="4485"/>
      <c r="L457" s="5052" t="s">
        <v>37</v>
      </c>
      <c r="M457" s="4485"/>
      <c r="N457" s="4485"/>
      <c r="O457" s="4485"/>
      <c r="S457" s="4485"/>
      <c r="T457" s="4485"/>
      <c r="U457" s="4485"/>
      <c r="V457" s="4485"/>
      <c r="W457" s="4485"/>
      <c r="X457" s="4485"/>
    </row>
    <row r="458" spans="2:24" ht="31.5">
      <c r="B458" s="5051">
        <v>46120</v>
      </c>
      <c r="C458" s="3165" t="s">
        <v>952</v>
      </c>
      <c r="D458" s="3165" t="s">
        <v>976</v>
      </c>
      <c r="E458" s="5056" t="s">
        <v>619</v>
      </c>
      <c r="F458" s="5056" t="s">
        <v>620</v>
      </c>
      <c r="G458" s="5056"/>
      <c r="H458" s="5056"/>
      <c r="I458" s="4558">
        <v>701</v>
      </c>
      <c r="J458" s="4558" t="s">
        <v>621</v>
      </c>
      <c r="K458" s="4485"/>
      <c r="L458" s="5052" t="s">
        <v>37</v>
      </c>
      <c r="M458" s="4485"/>
      <c r="N458" s="4485"/>
      <c r="O458" s="5052" t="s">
        <v>37</v>
      </c>
      <c r="S458" s="4485"/>
      <c r="T458" s="4485"/>
      <c r="U458" s="4485"/>
      <c r="V458" s="4485"/>
      <c r="W458" s="4485"/>
      <c r="X458" s="5069" t="s">
        <v>977</v>
      </c>
    </row>
    <row r="459" spans="2:24" ht="31.5">
      <c r="B459" s="5051">
        <v>46120</v>
      </c>
      <c r="C459" s="3165" t="s">
        <v>952</v>
      </c>
      <c r="D459" s="3165" t="s">
        <v>978</v>
      </c>
      <c r="E459" s="5053" t="s">
        <v>879</v>
      </c>
      <c r="F459" s="5054" t="s">
        <v>392</v>
      </c>
      <c r="G459" s="5138"/>
      <c r="H459" s="5138"/>
      <c r="I459" s="4471">
        <v>705</v>
      </c>
      <c r="J459" s="4471" t="s">
        <v>979</v>
      </c>
      <c r="K459" s="71"/>
      <c r="L459" s="5052" t="s">
        <v>37</v>
      </c>
      <c r="M459" s="71"/>
      <c r="N459" s="5066"/>
      <c r="O459" s="5066"/>
      <c r="S459" s="71"/>
      <c r="T459" s="71" t="s">
        <v>37</v>
      </c>
      <c r="U459" s="71"/>
      <c r="V459" s="71" t="s">
        <v>37</v>
      </c>
      <c r="W459" s="71"/>
      <c r="X459" s="4485"/>
    </row>
    <row r="460" spans="2:24" ht="31.5">
      <c r="B460" s="5051">
        <v>46120</v>
      </c>
      <c r="C460" s="3165" t="s">
        <v>952</v>
      </c>
      <c r="D460" s="3165" t="s">
        <v>980</v>
      </c>
      <c r="E460" s="4479" t="s">
        <v>282</v>
      </c>
      <c r="F460" s="4479" t="s">
        <v>48</v>
      </c>
      <c r="G460" s="4479"/>
      <c r="H460" s="4479"/>
      <c r="I460" s="4471">
        <v>707</v>
      </c>
      <c r="J460" s="4471" t="s">
        <v>964</v>
      </c>
      <c r="K460" s="71"/>
      <c r="L460" s="5052"/>
      <c r="M460" s="71"/>
      <c r="N460" s="5066" t="s">
        <v>37</v>
      </c>
      <c r="O460" s="5066"/>
      <c r="S460" s="71"/>
      <c r="T460" s="71"/>
      <c r="U460" s="71"/>
      <c r="V460" s="71"/>
      <c r="W460" s="71"/>
      <c r="X460" s="71"/>
    </row>
    <row r="461" spans="2:24" ht="31.5">
      <c r="B461" s="5051">
        <v>46120</v>
      </c>
      <c r="C461" s="3165" t="s">
        <v>952</v>
      </c>
      <c r="D461" s="3165" t="s">
        <v>981</v>
      </c>
      <c r="E461" s="4479" t="s">
        <v>48</v>
      </c>
      <c r="F461" s="4479" t="s">
        <v>282</v>
      </c>
      <c r="G461" s="4479"/>
      <c r="H461" s="4479"/>
      <c r="I461" s="4471">
        <v>705</v>
      </c>
      <c r="J461" s="4471" t="s">
        <v>966</v>
      </c>
      <c r="K461" s="71"/>
      <c r="L461" s="5052" t="s">
        <v>37</v>
      </c>
      <c r="M461" s="71"/>
      <c r="N461" s="5066"/>
      <c r="O461" s="5066"/>
      <c r="S461" s="71"/>
      <c r="T461" s="71"/>
      <c r="U461" s="71"/>
      <c r="V461" s="71"/>
      <c r="W461" s="71"/>
      <c r="X461" s="71"/>
    </row>
    <row r="462" spans="2:24" ht="31.5">
      <c r="B462" s="5051">
        <v>46120</v>
      </c>
      <c r="C462" s="3165" t="s">
        <v>952</v>
      </c>
      <c r="D462" s="3165" t="s">
        <v>982</v>
      </c>
      <c r="E462" s="4479" t="s">
        <v>983</v>
      </c>
      <c r="F462" s="4479" t="s">
        <v>169</v>
      </c>
      <c r="G462" s="4479"/>
      <c r="H462" s="4479"/>
      <c r="I462" s="4471">
        <v>705</v>
      </c>
      <c r="J462" s="4471" t="s">
        <v>984</v>
      </c>
      <c r="K462" s="71"/>
      <c r="L462" s="71" t="s">
        <v>37</v>
      </c>
      <c r="M462" s="71"/>
      <c r="N462" s="5066"/>
      <c r="O462" s="5066"/>
      <c r="S462" s="71"/>
      <c r="T462" s="71" t="s">
        <v>30</v>
      </c>
      <c r="U462" s="71"/>
      <c r="V462" s="71"/>
      <c r="W462" s="71"/>
      <c r="X462" s="71"/>
    </row>
    <row r="463" spans="2:24" ht="31.5">
      <c r="B463" s="5051">
        <v>46120</v>
      </c>
      <c r="C463" s="3165" t="s">
        <v>952</v>
      </c>
      <c r="D463" s="3165" t="s">
        <v>985</v>
      </c>
      <c r="E463" s="5057" t="s">
        <v>615</v>
      </c>
      <c r="F463" s="5057" t="s">
        <v>516</v>
      </c>
      <c r="G463" s="5057"/>
      <c r="H463" s="5057"/>
      <c r="I463" s="4471">
        <v>707</v>
      </c>
      <c r="J463" s="4471" t="s">
        <v>986</v>
      </c>
      <c r="K463" s="71"/>
      <c r="L463" s="5052" t="s">
        <v>37</v>
      </c>
      <c r="M463" s="71"/>
      <c r="N463" s="5066"/>
      <c r="O463" s="5066"/>
      <c r="S463" s="71"/>
      <c r="T463" s="71"/>
      <c r="U463" s="71"/>
      <c r="V463" s="71"/>
      <c r="W463" s="71"/>
      <c r="X463" s="71"/>
    </row>
    <row r="464" spans="2:24" ht="31.5">
      <c r="B464" s="5051">
        <v>46121</v>
      </c>
      <c r="C464" s="3165" t="s">
        <v>952</v>
      </c>
      <c r="D464" s="3165" t="s">
        <v>987</v>
      </c>
      <c r="E464" s="5055" t="s">
        <v>592</v>
      </c>
      <c r="F464" s="5055" t="s">
        <v>635</v>
      </c>
      <c r="G464" s="5056"/>
      <c r="H464" s="5056"/>
      <c r="I464" s="4558">
        <v>701</v>
      </c>
      <c r="J464" s="4471" t="s">
        <v>594</v>
      </c>
      <c r="K464" s="4485"/>
      <c r="L464" s="5052" t="s">
        <v>37</v>
      </c>
      <c r="M464" s="4485"/>
      <c r="N464" s="4485"/>
      <c r="O464" s="4485"/>
      <c r="S464" s="4485"/>
      <c r="T464" s="4485"/>
      <c r="U464" s="4485"/>
      <c r="V464" s="4485"/>
      <c r="W464" s="4485"/>
      <c r="X464" s="4485"/>
    </row>
    <row r="465" spans="2:24" ht="31.5">
      <c r="B465" s="5051">
        <v>46121</v>
      </c>
      <c r="C465" s="3165" t="s">
        <v>952</v>
      </c>
      <c r="D465" s="3165" t="s">
        <v>988</v>
      </c>
      <c r="E465" s="5056" t="s">
        <v>619</v>
      </c>
      <c r="F465" s="5056" t="s">
        <v>620</v>
      </c>
      <c r="G465" s="5056"/>
      <c r="H465" s="5056"/>
      <c r="I465" s="4558">
        <v>701</v>
      </c>
      <c r="J465" s="4558" t="s">
        <v>621</v>
      </c>
      <c r="K465" s="4485"/>
      <c r="L465" s="5052" t="s">
        <v>37</v>
      </c>
      <c r="M465" s="4485"/>
      <c r="N465" s="4485"/>
      <c r="O465" s="4485"/>
      <c r="S465" s="4485"/>
      <c r="T465" s="4485"/>
      <c r="U465" s="4485"/>
      <c r="V465" s="4485"/>
      <c r="W465" s="4485"/>
      <c r="X465" s="4485"/>
    </row>
    <row r="466" spans="2:24" ht="31.5">
      <c r="B466" s="5051">
        <v>46121</v>
      </c>
      <c r="C466" s="3165" t="s">
        <v>952</v>
      </c>
      <c r="D466" s="3165" t="s">
        <v>989</v>
      </c>
      <c r="E466" s="5058" t="s">
        <v>98</v>
      </c>
      <c r="F466" s="5058" t="s">
        <v>990</v>
      </c>
      <c r="G466" s="5139"/>
      <c r="H466" s="5139"/>
      <c r="I466" s="4558">
        <v>712</v>
      </c>
      <c r="J466" s="5063" t="s">
        <v>912</v>
      </c>
      <c r="K466" s="4483" t="s">
        <v>84</v>
      </c>
      <c r="L466" s="5052" t="s">
        <v>37</v>
      </c>
      <c r="M466" s="4485"/>
      <c r="N466" s="4485"/>
      <c r="O466" s="4485"/>
      <c r="S466" s="4485"/>
      <c r="T466" s="4485"/>
      <c r="U466" s="4485"/>
      <c r="V466" s="71" t="s">
        <v>37</v>
      </c>
      <c r="W466" s="4485"/>
      <c r="X466" s="4485"/>
    </row>
    <row r="467" spans="2:24" ht="31.5">
      <c r="B467" s="5051">
        <v>46121</v>
      </c>
      <c r="C467" s="3165" t="s">
        <v>952</v>
      </c>
      <c r="D467" s="3165" t="s">
        <v>991</v>
      </c>
      <c r="E467" s="5059" t="s">
        <v>517</v>
      </c>
      <c r="F467" s="5059" t="s">
        <v>992</v>
      </c>
      <c r="G467" s="5059"/>
      <c r="H467" s="5059"/>
      <c r="I467" s="4471">
        <v>707</v>
      </c>
      <c r="J467" s="4471" t="s">
        <v>986</v>
      </c>
      <c r="K467" s="4485"/>
      <c r="L467" s="5052" t="s">
        <v>37</v>
      </c>
      <c r="M467" s="4485"/>
      <c r="N467" s="4485"/>
      <c r="O467" s="4485"/>
      <c r="S467" s="4485"/>
      <c r="T467" s="4485"/>
      <c r="U467" s="4485"/>
      <c r="V467" s="4485"/>
      <c r="W467" s="4485"/>
      <c r="X467" s="4485"/>
    </row>
    <row r="468" spans="2:24" ht="31.5">
      <c r="B468" s="5052"/>
      <c r="C468" s="3165" t="s">
        <v>952</v>
      </c>
      <c r="D468" s="3165" t="s">
        <v>993</v>
      </c>
      <c r="E468" s="5059" t="s">
        <v>169</v>
      </c>
      <c r="F468" s="5059" t="s">
        <v>426</v>
      </c>
      <c r="G468" s="5059"/>
      <c r="H468" s="5059"/>
      <c r="I468" s="4471">
        <v>707</v>
      </c>
      <c r="J468" s="4471" t="s">
        <v>994</v>
      </c>
      <c r="K468" s="4485"/>
      <c r="L468" s="5052" t="s">
        <v>37</v>
      </c>
      <c r="M468" s="4485"/>
      <c r="N468" s="4485"/>
      <c r="O468" s="4485"/>
      <c r="S468" s="4485"/>
      <c r="T468" s="4485"/>
      <c r="U468" s="4485"/>
      <c r="V468" s="4485"/>
      <c r="W468" s="4485"/>
      <c r="X468" s="4485"/>
    </row>
    <row r="469" spans="2:24" ht="46.5">
      <c r="B469" s="5051">
        <v>46121</v>
      </c>
      <c r="C469" s="3165" t="s">
        <v>952</v>
      </c>
      <c r="D469" s="3165" t="s">
        <v>995</v>
      </c>
      <c r="E469" s="5060" t="s">
        <v>79</v>
      </c>
      <c r="F469" s="5060" t="s">
        <v>282</v>
      </c>
      <c r="G469" s="5060"/>
      <c r="H469" s="5060"/>
      <c r="I469" s="4471">
        <v>705</v>
      </c>
      <c r="J469" s="4471" t="s">
        <v>996</v>
      </c>
      <c r="K469" s="4485"/>
      <c r="L469" s="4485"/>
      <c r="M469" s="5067" t="s">
        <v>37</v>
      </c>
      <c r="N469" s="5067"/>
      <c r="O469" s="5067"/>
      <c r="P469" s="21" t="s">
        <v>0</v>
      </c>
      <c r="Q469" s="21" t="s">
        <v>782</v>
      </c>
      <c r="R469" s="21" t="s">
        <v>160</v>
      </c>
      <c r="S469" s="5067" t="s">
        <v>37</v>
      </c>
      <c r="T469" s="5067"/>
      <c r="U469" s="5067"/>
      <c r="V469" s="5068"/>
      <c r="W469" s="5067"/>
      <c r="X469" s="5070" t="s">
        <v>997</v>
      </c>
    </row>
    <row r="470" spans="2:24" ht="31.5">
      <c r="B470" s="5051">
        <v>46121</v>
      </c>
      <c r="C470" s="3165" t="s">
        <v>952</v>
      </c>
      <c r="D470" s="3165" t="s">
        <v>998</v>
      </c>
      <c r="E470" s="5061" t="s">
        <v>148</v>
      </c>
      <c r="F470" s="5061" t="s">
        <v>731</v>
      </c>
      <c r="G470" s="5061"/>
      <c r="H470" s="5061"/>
      <c r="I470" s="4471">
        <v>705</v>
      </c>
      <c r="J470" s="5063">
        <v>60105</v>
      </c>
      <c r="K470" s="4485"/>
      <c r="L470" s="71" t="s">
        <v>37</v>
      </c>
      <c r="M470" s="4485"/>
      <c r="N470" s="4485"/>
      <c r="O470" s="4485"/>
      <c r="S470" s="4485"/>
      <c r="T470" s="4485"/>
      <c r="U470" s="4485"/>
      <c r="V470" s="4485"/>
      <c r="W470" s="4485"/>
      <c r="X470" s="71"/>
    </row>
    <row r="471" spans="2:24" ht="31.5">
      <c r="B471" s="5051">
        <v>46121</v>
      </c>
      <c r="C471" s="3165" t="s">
        <v>952</v>
      </c>
      <c r="D471" s="3165" t="s">
        <v>999</v>
      </c>
      <c r="E471" s="5060" t="s">
        <v>282</v>
      </c>
      <c r="F471" s="5060" t="s">
        <v>264</v>
      </c>
      <c r="G471" s="5060"/>
      <c r="H471" s="5060"/>
      <c r="I471" s="4471">
        <v>705</v>
      </c>
      <c r="J471" s="5063" t="s">
        <v>1000</v>
      </c>
      <c r="K471" s="4483" t="s">
        <v>627</v>
      </c>
      <c r="L471" s="4485"/>
      <c r="M471" s="71" t="s">
        <v>37</v>
      </c>
      <c r="N471" s="71"/>
      <c r="O471" s="4485"/>
      <c r="P471" s="21" t="s">
        <v>0</v>
      </c>
      <c r="Q471" s="21" t="s">
        <v>187</v>
      </c>
      <c r="R471" s="21" t="s">
        <v>160</v>
      </c>
      <c r="S471" s="4485"/>
      <c r="T471" s="4485"/>
      <c r="U471" s="4485"/>
      <c r="V471" s="4485"/>
      <c r="W471" s="4485"/>
      <c r="X471" s="71" t="s">
        <v>1001</v>
      </c>
    </row>
    <row r="472" spans="2:24" ht="31.5">
      <c r="B472" s="5051">
        <v>46122</v>
      </c>
      <c r="C472" s="3165" t="s">
        <v>952</v>
      </c>
      <c r="D472" s="3165" t="s">
        <v>1002</v>
      </c>
      <c r="E472" s="5055" t="s">
        <v>592</v>
      </c>
      <c r="F472" s="5055" t="s">
        <v>635</v>
      </c>
      <c r="G472" s="5056"/>
      <c r="H472" s="5056"/>
      <c r="I472" s="4558">
        <v>701</v>
      </c>
      <c r="J472" s="4471" t="s">
        <v>594</v>
      </c>
      <c r="K472" s="4485"/>
      <c r="L472" s="5052" t="s">
        <v>37</v>
      </c>
      <c r="M472" s="4485"/>
      <c r="N472" s="4485"/>
      <c r="O472" s="4485"/>
      <c r="S472" s="4485"/>
      <c r="T472" s="4485"/>
      <c r="U472" s="4485"/>
      <c r="V472" s="4485"/>
      <c r="W472" s="4485"/>
      <c r="X472" s="4485"/>
    </row>
    <row r="473" spans="2:24" ht="31.5">
      <c r="B473" s="5051">
        <v>46122</v>
      </c>
      <c r="C473" s="3165" t="s">
        <v>952</v>
      </c>
      <c r="D473" s="3165" t="s">
        <v>1003</v>
      </c>
      <c r="E473" s="5056" t="s">
        <v>619</v>
      </c>
      <c r="F473" s="5056" t="s">
        <v>620</v>
      </c>
      <c r="G473" s="5056"/>
      <c r="H473" s="5056"/>
      <c r="I473" s="4558">
        <v>701</v>
      </c>
      <c r="J473" s="4558" t="s">
        <v>621</v>
      </c>
      <c r="K473" s="4485"/>
      <c r="L473" s="5052" t="s">
        <v>37</v>
      </c>
      <c r="M473" s="4485"/>
      <c r="N473" s="4485"/>
      <c r="O473" s="4485"/>
      <c r="S473" s="4485"/>
      <c r="T473" s="4485"/>
      <c r="U473" s="4485"/>
      <c r="V473" s="4485"/>
      <c r="W473" s="4485"/>
      <c r="X473" s="4485"/>
    </row>
    <row r="474" spans="2:24" ht="31.5">
      <c r="B474" s="5051">
        <v>46122</v>
      </c>
      <c r="C474" s="3165" t="s">
        <v>952</v>
      </c>
      <c r="D474" s="3165" t="s">
        <v>1004</v>
      </c>
      <c r="E474" s="5058" t="s">
        <v>392</v>
      </c>
      <c r="F474" s="5058" t="s">
        <v>1005</v>
      </c>
      <c r="G474" s="5058"/>
      <c r="H474" s="5058"/>
      <c r="I474" s="5063">
        <v>712</v>
      </c>
      <c r="J474" s="5063" t="s">
        <v>1006</v>
      </c>
      <c r="K474" s="4485"/>
      <c r="L474" s="5052" t="s">
        <v>37</v>
      </c>
      <c r="M474" s="4485"/>
      <c r="N474" s="4485"/>
      <c r="O474" s="4485"/>
      <c r="S474" s="4485"/>
      <c r="T474" s="4485"/>
      <c r="U474" s="924" t="s">
        <v>37</v>
      </c>
      <c r="V474" s="71"/>
      <c r="W474" s="4485"/>
      <c r="X474" s="4485"/>
    </row>
    <row r="475" spans="2:24" ht="31.5">
      <c r="B475" s="5051">
        <v>46122</v>
      </c>
      <c r="C475" s="3165" t="s">
        <v>952</v>
      </c>
      <c r="D475" s="3165" t="s">
        <v>1007</v>
      </c>
      <c r="E475" s="5058" t="s">
        <v>282</v>
      </c>
      <c r="F475" s="5058" t="s">
        <v>1008</v>
      </c>
      <c r="G475" s="5058"/>
      <c r="H475" s="5058"/>
      <c r="I475" s="5063">
        <v>712</v>
      </c>
      <c r="J475" s="5063" t="s">
        <v>1009</v>
      </c>
      <c r="K475" s="4483" t="s">
        <v>627</v>
      </c>
      <c r="L475" s="5052" t="s">
        <v>37</v>
      </c>
      <c r="M475" s="4485"/>
      <c r="N475" s="4485"/>
      <c r="O475" s="4485"/>
      <c r="S475" s="4485"/>
      <c r="T475" s="4485"/>
      <c r="U475" s="924" t="s">
        <v>37</v>
      </c>
      <c r="V475" s="71"/>
      <c r="W475" s="4485"/>
      <c r="X475" s="4485"/>
    </row>
    <row r="476" spans="2:24" ht="31.5">
      <c r="B476" s="5051">
        <v>46122</v>
      </c>
      <c r="C476" s="3165" t="s">
        <v>952</v>
      </c>
      <c r="D476" s="3165" t="s">
        <v>1010</v>
      </c>
      <c r="E476" s="5058" t="s">
        <v>1011</v>
      </c>
      <c r="F476" s="5058" t="s">
        <v>1012</v>
      </c>
      <c r="G476" s="5058"/>
      <c r="H476" s="5058"/>
      <c r="I476" s="5063">
        <v>712</v>
      </c>
      <c r="J476" s="5063" t="s">
        <v>912</v>
      </c>
      <c r="K476" s="4483" t="s">
        <v>84</v>
      </c>
      <c r="L476" s="5052" t="s">
        <v>37</v>
      </c>
      <c r="M476" s="4485"/>
      <c r="N476" s="4485"/>
      <c r="O476" s="4485"/>
      <c r="S476" s="4485"/>
      <c r="T476" s="4485"/>
      <c r="U476" s="4485"/>
      <c r="V476" s="71" t="s">
        <v>37</v>
      </c>
      <c r="W476" s="4485"/>
      <c r="X476" s="4485"/>
    </row>
    <row r="477" spans="2:24" ht="31.5">
      <c r="B477" s="5051">
        <v>46122</v>
      </c>
      <c r="C477" s="3165" t="s">
        <v>952</v>
      </c>
      <c r="D477" s="3165" t="s">
        <v>1013</v>
      </c>
      <c r="E477" s="5058" t="s">
        <v>1014</v>
      </c>
      <c r="F477" s="5058" t="s">
        <v>1015</v>
      </c>
      <c r="G477" s="5058"/>
      <c r="H477" s="5058"/>
      <c r="I477" s="5063">
        <v>712</v>
      </c>
      <c r="J477" s="5063" t="s">
        <v>912</v>
      </c>
      <c r="K477" s="4483" t="s">
        <v>84</v>
      </c>
      <c r="L477" s="5052" t="s">
        <v>37</v>
      </c>
      <c r="M477" s="4485"/>
      <c r="N477" s="4485"/>
      <c r="O477" s="4485"/>
      <c r="S477" s="4485"/>
      <c r="T477" s="4485"/>
      <c r="U477" s="4485"/>
      <c r="V477" s="71" t="s">
        <v>37</v>
      </c>
      <c r="W477" s="4485"/>
      <c r="X477" s="4485"/>
    </row>
    <row r="478" spans="2:24" ht="57.75">
      <c r="B478" s="5051">
        <v>46122</v>
      </c>
      <c r="C478" s="3165" t="s">
        <v>952</v>
      </c>
      <c r="D478" s="3165" t="s">
        <v>1016</v>
      </c>
      <c r="E478" s="5061" t="s">
        <v>273</v>
      </c>
      <c r="F478" s="5061" t="s">
        <v>1017</v>
      </c>
      <c r="G478" s="5061"/>
      <c r="H478" s="5061"/>
      <c r="I478" s="4471">
        <v>705</v>
      </c>
      <c r="J478" s="4471" t="s">
        <v>1018</v>
      </c>
      <c r="K478" s="4485"/>
      <c r="L478" s="5052"/>
      <c r="M478" s="5072" t="s">
        <v>37</v>
      </c>
      <c r="N478" s="4485"/>
      <c r="O478" s="4485"/>
      <c r="P478" s="21" t="s">
        <v>109</v>
      </c>
      <c r="Q478" s="21" t="s">
        <v>1019</v>
      </c>
      <c r="R478" s="21" t="s">
        <v>160</v>
      </c>
      <c r="S478" s="4485"/>
      <c r="T478" s="4485"/>
      <c r="U478" s="4485"/>
      <c r="V478" s="71"/>
      <c r="W478" s="5072" t="s">
        <v>37</v>
      </c>
      <c r="X478" s="5071" t="s">
        <v>1020</v>
      </c>
    </row>
    <row r="479" spans="2:24" ht="31.5">
      <c r="B479" s="5051">
        <v>46122</v>
      </c>
      <c r="C479" s="3165" t="s">
        <v>952</v>
      </c>
      <c r="D479" s="3165" t="s">
        <v>1021</v>
      </c>
      <c r="E479" s="5060" t="s">
        <v>392</v>
      </c>
      <c r="F479" s="5060" t="s">
        <v>491</v>
      </c>
      <c r="G479" s="5060"/>
      <c r="H479" s="5060"/>
      <c r="I479" s="4471">
        <v>705</v>
      </c>
      <c r="J479" s="4471" t="s">
        <v>969</v>
      </c>
      <c r="K479" s="4485"/>
      <c r="L479" s="5052" t="s">
        <v>37</v>
      </c>
      <c r="M479" s="4485"/>
      <c r="N479" s="4485"/>
      <c r="O479" s="4485"/>
      <c r="S479" s="4485"/>
      <c r="T479" s="4485"/>
      <c r="U479" s="4485"/>
      <c r="V479" s="71" t="s">
        <v>37</v>
      </c>
      <c r="W479" s="4485"/>
      <c r="X479" s="4485"/>
    </row>
    <row r="480" spans="2:24" ht="31.5">
      <c r="B480" s="5051">
        <v>46122</v>
      </c>
      <c r="C480" s="3165" t="s">
        <v>952</v>
      </c>
      <c r="D480" s="3165" t="s">
        <v>1022</v>
      </c>
      <c r="E480" s="5060" t="s">
        <v>258</v>
      </c>
      <c r="F480" s="5060" t="s">
        <v>392</v>
      </c>
      <c r="G480" s="5060"/>
      <c r="H480" s="5060"/>
      <c r="I480" s="4471">
        <v>705</v>
      </c>
      <c r="J480" s="4471" t="s">
        <v>994</v>
      </c>
      <c r="K480" s="4485"/>
      <c r="L480" s="5052" t="s">
        <v>37</v>
      </c>
      <c r="M480" s="4485"/>
      <c r="N480" s="4485"/>
      <c r="O480" s="4485"/>
      <c r="S480" s="4485"/>
      <c r="T480" s="4485"/>
      <c r="U480" s="4485"/>
      <c r="V480" s="4485"/>
      <c r="W480" s="4485"/>
      <c r="X480" s="4485"/>
    </row>
    <row r="481" spans="2:24" ht="31.5">
      <c r="B481" s="5051">
        <v>46122</v>
      </c>
      <c r="C481" s="3165" t="s">
        <v>952</v>
      </c>
      <c r="D481" s="3165" t="s">
        <v>1023</v>
      </c>
      <c r="E481" s="5060" t="s">
        <v>491</v>
      </c>
      <c r="F481" s="5060" t="s">
        <v>273</v>
      </c>
      <c r="G481" s="5060"/>
      <c r="H481" s="5060"/>
      <c r="I481" s="4471">
        <v>705</v>
      </c>
      <c r="J481" s="4471" t="s">
        <v>1024</v>
      </c>
      <c r="K481" s="4485"/>
      <c r="L481" s="5052" t="s">
        <v>37</v>
      </c>
      <c r="M481" s="4485"/>
      <c r="N481" s="4485"/>
      <c r="O481" s="4485"/>
      <c r="S481" s="4485"/>
      <c r="T481" s="4485"/>
      <c r="U481" s="4485"/>
      <c r="V481" s="4485" t="s">
        <v>37</v>
      </c>
      <c r="W481" s="4485"/>
      <c r="X481" s="4485"/>
    </row>
    <row r="482" spans="2:24" ht="31.5">
      <c r="B482" s="5051">
        <v>46122</v>
      </c>
      <c r="C482" s="3165" t="s">
        <v>952</v>
      </c>
      <c r="D482" s="3165" t="s">
        <v>1025</v>
      </c>
      <c r="E482" s="5062" t="s">
        <v>1026</v>
      </c>
      <c r="F482" s="5062" t="s">
        <v>1027</v>
      </c>
      <c r="G482" s="5062"/>
      <c r="H482" s="5062"/>
      <c r="I482" s="4471">
        <v>705</v>
      </c>
      <c r="J482" s="5063">
        <v>60093</v>
      </c>
      <c r="K482" s="4485"/>
      <c r="L482" s="5052" t="s">
        <v>37</v>
      </c>
      <c r="M482" s="4485"/>
      <c r="N482" s="4485"/>
      <c r="O482" s="4485"/>
      <c r="S482" s="4485"/>
      <c r="T482" s="4485"/>
      <c r="U482" s="4485"/>
      <c r="V482" s="4485"/>
      <c r="W482" s="4485"/>
      <c r="X482" s="4485"/>
    </row>
    <row r="483" spans="2:24" ht="31.5">
      <c r="B483" s="5051">
        <v>46122</v>
      </c>
      <c r="C483" s="3165" t="s">
        <v>952</v>
      </c>
      <c r="D483" s="3165" t="s">
        <v>1028</v>
      </c>
      <c r="E483" s="5062" t="s">
        <v>1029</v>
      </c>
      <c r="F483" s="5062" t="s">
        <v>220</v>
      </c>
      <c r="G483" s="5062"/>
      <c r="H483" s="5062"/>
      <c r="I483" s="4471">
        <v>705</v>
      </c>
      <c r="J483" s="4471" t="s">
        <v>1030</v>
      </c>
      <c r="K483" s="4485"/>
      <c r="L483" s="5052" t="s">
        <v>37</v>
      </c>
      <c r="M483" s="4485"/>
      <c r="N483" s="4485"/>
      <c r="O483" s="4485"/>
      <c r="S483" s="4485"/>
      <c r="T483" s="4485"/>
      <c r="U483" s="4485"/>
      <c r="V483" s="4485"/>
      <c r="W483" s="4485"/>
      <c r="X483" s="4485"/>
    </row>
    <row r="484" spans="2:24" ht="31.5">
      <c r="B484" s="5051">
        <v>46122</v>
      </c>
      <c r="C484" s="3165" t="s">
        <v>952</v>
      </c>
      <c r="D484" s="3165" t="s">
        <v>1031</v>
      </c>
      <c r="E484" s="5062" t="s">
        <v>169</v>
      </c>
      <c r="F484" s="5062" t="s">
        <v>1032</v>
      </c>
      <c r="G484" s="5062"/>
      <c r="H484" s="5062"/>
      <c r="I484" s="4471">
        <v>705</v>
      </c>
      <c r="J484" s="5063" t="s">
        <v>1033</v>
      </c>
      <c r="K484" s="4485"/>
      <c r="L484" s="5052" t="s">
        <v>37</v>
      </c>
      <c r="M484" s="4485"/>
      <c r="N484" s="4485"/>
      <c r="O484" s="4485"/>
      <c r="S484" s="4485"/>
      <c r="T484" s="4485"/>
      <c r="U484" s="4485"/>
      <c r="V484" s="4485"/>
      <c r="W484" s="4485"/>
      <c r="X484" s="4485"/>
    </row>
    <row r="485" spans="2:24" ht="31.5">
      <c r="B485" s="5051">
        <v>46122</v>
      </c>
      <c r="C485" s="3165" t="s">
        <v>952</v>
      </c>
      <c r="D485" s="3165" t="s">
        <v>1034</v>
      </c>
      <c r="E485" s="5060" t="s">
        <v>79</v>
      </c>
      <c r="F485" s="5060" t="s">
        <v>282</v>
      </c>
      <c r="G485" s="5060"/>
      <c r="H485" s="5060"/>
      <c r="I485" s="4471">
        <v>705</v>
      </c>
      <c r="J485" s="4471" t="s">
        <v>996</v>
      </c>
      <c r="K485" s="4485"/>
      <c r="L485" s="5052" t="s">
        <v>37</v>
      </c>
      <c r="M485" s="4485"/>
      <c r="N485" s="4485"/>
      <c r="O485" s="4485"/>
      <c r="S485" s="4485"/>
      <c r="T485" s="48" t="s">
        <v>37</v>
      </c>
      <c r="U485" s="4485"/>
      <c r="V485" s="71" t="s">
        <v>37</v>
      </c>
      <c r="W485" s="4485"/>
      <c r="X485" s="4485"/>
    </row>
    <row r="486" spans="2:24" ht="31.5">
      <c r="B486" s="5051">
        <v>46123</v>
      </c>
      <c r="C486" s="3165" t="s">
        <v>952</v>
      </c>
      <c r="D486" s="3165" t="s">
        <v>1035</v>
      </c>
      <c r="E486" s="5063" t="s">
        <v>282</v>
      </c>
      <c r="F486" s="5063" t="s">
        <v>742</v>
      </c>
      <c r="G486" s="5063"/>
      <c r="H486" s="5063"/>
      <c r="I486" s="4471">
        <v>705</v>
      </c>
      <c r="J486" s="5064" t="s">
        <v>1036</v>
      </c>
      <c r="K486" s="4483" t="s">
        <v>84</v>
      </c>
      <c r="L486" s="5052" t="s">
        <v>37</v>
      </c>
      <c r="M486" s="4485"/>
      <c r="N486" s="4485"/>
      <c r="O486" s="4485"/>
      <c r="S486" s="4485"/>
      <c r="T486" s="4485"/>
      <c r="U486" s="4485"/>
      <c r="V486" s="71" t="s">
        <v>37</v>
      </c>
      <c r="W486" s="4485"/>
      <c r="X486" s="4485"/>
    </row>
    <row r="487" spans="2:24" ht="31.5">
      <c r="B487" s="5035">
        <v>46125</v>
      </c>
      <c r="C487" s="3165" t="s">
        <v>1963</v>
      </c>
      <c r="D487" s="3165" t="s">
        <v>1865</v>
      </c>
      <c r="E487" s="4195" t="s">
        <v>592</v>
      </c>
      <c r="F487" s="4195" t="s">
        <v>635</v>
      </c>
      <c r="G487" s="5007"/>
      <c r="H487" s="5007"/>
      <c r="I487" s="4280">
        <v>701</v>
      </c>
      <c r="J487" s="4162" t="s">
        <v>594</v>
      </c>
      <c r="K487" s="1002"/>
      <c r="L487" s="1001" t="s">
        <v>30</v>
      </c>
      <c r="M487" s="924"/>
      <c r="S487" s="924"/>
      <c r="T487" s="924"/>
      <c r="U487" s="924"/>
      <c r="X487" s="924"/>
    </row>
    <row r="488" spans="2:24" ht="31.5">
      <c r="B488" s="5035">
        <v>46125</v>
      </c>
      <c r="C488" s="3165" t="s">
        <v>1963</v>
      </c>
      <c r="D488" s="3165" t="s">
        <v>1865</v>
      </c>
      <c r="E488" s="5007" t="s">
        <v>619</v>
      </c>
      <c r="F488" s="5007" t="s">
        <v>620</v>
      </c>
      <c r="G488" s="5007"/>
      <c r="H488" s="5007"/>
      <c r="I488" s="4280">
        <v>701</v>
      </c>
      <c r="J488" s="4280" t="s">
        <v>621</v>
      </c>
      <c r="K488" s="1002"/>
      <c r="L488" s="1001" t="s">
        <v>30</v>
      </c>
      <c r="M488" s="924"/>
      <c r="S488" s="924"/>
      <c r="T488" s="924"/>
      <c r="U488" s="924"/>
      <c r="X488" s="924"/>
    </row>
    <row r="489" spans="2:24" ht="31.5">
      <c r="B489" s="5035">
        <v>46125</v>
      </c>
      <c r="C489" s="3165" t="s">
        <v>1963</v>
      </c>
      <c r="D489" s="3165" t="s">
        <v>1869</v>
      </c>
      <c r="E489" s="5085" t="s">
        <v>491</v>
      </c>
      <c r="F489" s="5085" t="s">
        <v>80</v>
      </c>
      <c r="G489" s="5140"/>
      <c r="H489" s="5140"/>
      <c r="I489" s="4280">
        <v>705</v>
      </c>
      <c r="J489" s="4280" t="s">
        <v>6085</v>
      </c>
      <c r="K489" s="4464" t="s">
        <v>627</v>
      </c>
      <c r="L489" s="1001" t="s">
        <v>30</v>
      </c>
      <c r="M489" s="924"/>
      <c r="S489" s="924"/>
      <c r="T489" s="924"/>
      <c r="U489" s="924"/>
      <c r="X489" s="924"/>
    </row>
    <row r="490" spans="2:24" ht="31.5">
      <c r="B490" s="5035">
        <v>46125</v>
      </c>
      <c r="C490" s="3165" t="s">
        <v>1963</v>
      </c>
      <c r="D490" s="3165" t="s">
        <v>1872</v>
      </c>
      <c r="E490" s="4288" t="s">
        <v>282</v>
      </c>
      <c r="F490" s="4288" t="s">
        <v>497</v>
      </c>
      <c r="G490" s="4289"/>
      <c r="H490" s="4289"/>
      <c r="I490" s="4280">
        <v>707</v>
      </c>
      <c r="J490" s="4162" t="s">
        <v>6086</v>
      </c>
      <c r="K490" s="1002"/>
      <c r="L490" s="1001" t="s">
        <v>30</v>
      </c>
      <c r="M490" s="924"/>
      <c r="S490" s="924"/>
      <c r="T490" s="924"/>
      <c r="U490" s="924"/>
      <c r="X490" s="924"/>
    </row>
    <row r="491" spans="2:24" ht="31.5">
      <c r="B491" s="5035">
        <v>46125</v>
      </c>
      <c r="C491" s="3165" t="s">
        <v>1963</v>
      </c>
      <c r="D491" s="3165" t="s">
        <v>1876</v>
      </c>
      <c r="E491" s="4162" t="s">
        <v>282</v>
      </c>
      <c r="F491" s="4162" t="s">
        <v>1145</v>
      </c>
      <c r="G491" s="4280"/>
      <c r="H491" s="4280"/>
      <c r="I491" s="4280">
        <v>705</v>
      </c>
      <c r="J491" s="4162" t="s">
        <v>958</v>
      </c>
      <c r="K491" s="4464" t="s">
        <v>627</v>
      </c>
      <c r="L491" s="1001" t="s">
        <v>30</v>
      </c>
      <c r="M491" s="924"/>
      <c r="S491" s="924"/>
      <c r="T491" s="924"/>
      <c r="U491" s="924"/>
      <c r="X491" s="924"/>
    </row>
    <row r="492" spans="2:24" ht="31.5">
      <c r="B492" s="5035">
        <v>46125</v>
      </c>
      <c r="C492" s="3165" t="s">
        <v>1963</v>
      </c>
      <c r="D492" s="3165" t="s">
        <v>1880</v>
      </c>
      <c r="E492" s="4280" t="s">
        <v>4825</v>
      </c>
      <c r="F492" s="4280" t="s">
        <v>6071</v>
      </c>
      <c r="G492" s="4280"/>
      <c r="H492" s="4280"/>
      <c r="I492" s="4280">
        <v>705</v>
      </c>
      <c r="J492" s="4162" t="s">
        <v>6087</v>
      </c>
      <c r="K492" s="1002"/>
      <c r="L492" s="1001" t="s">
        <v>30</v>
      </c>
      <c r="M492" s="924"/>
      <c r="S492" s="924"/>
      <c r="T492" s="924"/>
      <c r="U492" s="924" t="s">
        <v>37</v>
      </c>
      <c r="X492" s="924"/>
    </row>
    <row r="493" spans="2:24" ht="31.5">
      <c r="B493" s="5035">
        <v>46126</v>
      </c>
      <c r="C493" s="3165" t="s">
        <v>1963</v>
      </c>
      <c r="D493" s="3165" t="s">
        <v>1886</v>
      </c>
      <c r="E493" s="4195" t="s">
        <v>592</v>
      </c>
      <c r="F493" s="4195" t="s">
        <v>635</v>
      </c>
      <c r="G493" s="5007"/>
      <c r="H493" s="5007"/>
      <c r="I493" s="4280">
        <v>701</v>
      </c>
      <c r="J493" s="4162" t="s">
        <v>594</v>
      </c>
      <c r="K493" s="924"/>
      <c r="L493" s="923" t="s">
        <v>30</v>
      </c>
      <c r="M493" s="924"/>
      <c r="S493" s="924"/>
      <c r="T493" s="924"/>
      <c r="U493" s="924"/>
      <c r="X493" s="924"/>
    </row>
    <row r="494" spans="2:24" ht="31.5">
      <c r="B494" s="5035">
        <v>46126</v>
      </c>
      <c r="C494" s="3165" t="s">
        <v>1963</v>
      </c>
      <c r="D494" s="3165" t="s">
        <v>1886</v>
      </c>
      <c r="E494" s="5007" t="s">
        <v>619</v>
      </c>
      <c r="F494" s="5007" t="s">
        <v>620</v>
      </c>
      <c r="G494" s="5007"/>
      <c r="H494" s="5007"/>
      <c r="I494" s="4280">
        <v>701</v>
      </c>
      <c r="J494" s="4280" t="s">
        <v>621</v>
      </c>
      <c r="K494" s="924"/>
      <c r="L494" s="923" t="s">
        <v>30</v>
      </c>
      <c r="M494" s="924"/>
      <c r="S494" s="924"/>
      <c r="T494" s="924"/>
      <c r="U494" s="924"/>
      <c r="X494" s="924"/>
    </row>
    <row r="495" spans="2:24" ht="31.5">
      <c r="B495" s="5035">
        <v>46126</v>
      </c>
      <c r="C495" s="3165" t="s">
        <v>1963</v>
      </c>
      <c r="D495" s="3165" t="s">
        <v>1872</v>
      </c>
      <c r="E495" s="4288" t="s">
        <v>491</v>
      </c>
      <c r="F495" s="4288" t="s">
        <v>5069</v>
      </c>
      <c r="G495" s="4288"/>
      <c r="H495" s="4288"/>
      <c r="I495" s="4162">
        <v>707</v>
      </c>
      <c r="J495" s="5093" t="s">
        <v>1206</v>
      </c>
      <c r="K495" s="4464" t="s">
        <v>627</v>
      </c>
      <c r="L495" s="923" t="s">
        <v>30</v>
      </c>
      <c r="M495" s="924"/>
      <c r="S495" s="924"/>
      <c r="T495" s="924"/>
      <c r="U495" s="924"/>
      <c r="X495" s="924"/>
    </row>
    <row r="496" spans="2:24" ht="31.5">
      <c r="B496" s="5035">
        <v>46126</v>
      </c>
      <c r="C496" s="3165" t="s">
        <v>1963</v>
      </c>
      <c r="D496" s="3165" t="s">
        <v>1888</v>
      </c>
      <c r="E496" s="4162" t="s">
        <v>80</v>
      </c>
      <c r="F496" s="4162" t="s">
        <v>447</v>
      </c>
      <c r="G496" s="4162"/>
      <c r="H496" s="4162"/>
      <c r="I496" s="4162">
        <v>705</v>
      </c>
      <c r="J496" s="4162" t="s">
        <v>6088</v>
      </c>
      <c r="K496" s="4464" t="s">
        <v>627</v>
      </c>
      <c r="L496" s="923" t="s">
        <v>30</v>
      </c>
      <c r="M496" s="924"/>
      <c r="S496" s="924"/>
      <c r="T496" s="924"/>
      <c r="U496" s="924"/>
      <c r="X496" s="924"/>
    </row>
    <row r="497" spans="2:24" ht="31.5">
      <c r="B497" s="5035">
        <v>46126</v>
      </c>
      <c r="C497" s="3165" t="s">
        <v>1963</v>
      </c>
      <c r="D497" s="3165" t="s">
        <v>1889</v>
      </c>
      <c r="E497" s="4162" t="s">
        <v>537</v>
      </c>
      <c r="F497" s="4162" t="s">
        <v>599</v>
      </c>
      <c r="G497" s="4162"/>
      <c r="H497" s="4162"/>
      <c r="I497" s="4162">
        <v>707</v>
      </c>
      <c r="J497" s="4162" t="s">
        <v>6089</v>
      </c>
      <c r="K497" s="924"/>
      <c r="L497" s="923" t="s">
        <v>30</v>
      </c>
      <c r="M497" s="924"/>
      <c r="O497" s="5101" t="s">
        <v>6121</v>
      </c>
      <c r="S497" s="924"/>
      <c r="T497" s="924"/>
      <c r="U497" s="924"/>
      <c r="X497" s="924"/>
    </row>
    <row r="498" spans="2:24" ht="31.5">
      <c r="B498" s="5035">
        <v>46126</v>
      </c>
      <c r="C498" s="3165" t="s">
        <v>1963</v>
      </c>
      <c r="D498" s="3165" t="s">
        <v>1893</v>
      </c>
      <c r="E498" s="4162" t="s">
        <v>939</v>
      </c>
      <c r="F498" s="4162" t="s">
        <v>1005</v>
      </c>
      <c r="G498" s="4162"/>
      <c r="H498" s="4162"/>
      <c r="I498" s="4162">
        <v>707</v>
      </c>
      <c r="J498" s="4162" t="s">
        <v>780</v>
      </c>
      <c r="K498" s="924"/>
      <c r="L498" s="923" t="s">
        <v>30</v>
      </c>
      <c r="M498" s="924"/>
      <c r="S498" s="924"/>
      <c r="T498" s="924"/>
      <c r="U498" s="924"/>
      <c r="X498" s="924"/>
    </row>
    <row r="499" spans="2:24" ht="31.5">
      <c r="B499" s="5035">
        <v>46126</v>
      </c>
      <c r="C499" s="3165" t="s">
        <v>1963</v>
      </c>
      <c r="D499" s="3165" t="s">
        <v>1894</v>
      </c>
      <c r="E499" s="4162" t="s">
        <v>273</v>
      </c>
      <c r="F499" s="4162" t="s">
        <v>6072</v>
      </c>
      <c r="G499" s="4162"/>
      <c r="H499" s="4162"/>
      <c r="I499" s="4162">
        <v>703</v>
      </c>
      <c r="J499" s="4162" t="s">
        <v>6090</v>
      </c>
      <c r="K499" s="924"/>
      <c r="L499" s="923" t="s">
        <v>30</v>
      </c>
      <c r="M499" s="924"/>
      <c r="S499" s="924"/>
      <c r="T499" s="924"/>
      <c r="U499" s="924"/>
      <c r="X499" s="924"/>
    </row>
    <row r="500" spans="2:24" ht="48" customHeight="1">
      <c r="B500" s="5035">
        <v>46126</v>
      </c>
      <c r="C500" s="3165" t="s">
        <v>1963</v>
      </c>
      <c r="D500" s="3165" t="s">
        <v>1900</v>
      </c>
      <c r="E500" s="4976" t="s">
        <v>169</v>
      </c>
      <c r="F500" s="4976" t="s">
        <v>497</v>
      </c>
      <c r="G500" s="4976"/>
      <c r="H500" s="4976"/>
      <c r="I500" s="4162">
        <v>705</v>
      </c>
      <c r="J500" s="4162" t="s">
        <v>6132</v>
      </c>
      <c r="K500" s="4464" t="s">
        <v>627</v>
      </c>
      <c r="L500" s="923" t="s">
        <v>30</v>
      </c>
      <c r="M500" s="924"/>
      <c r="Q500" s="3273"/>
      <c r="S500" s="924"/>
      <c r="T500" s="924"/>
      <c r="U500" s="924"/>
      <c r="X500" s="924"/>
    </row>
    <row r="501" spans="2:24" ht="31.5">
      <c r="B501" s="5035">
        <v>46127</v>
      </c>
      <c r="C501" s="3165" t="s">
        <v>1963</v>
      </c>
      <c r="D501" s="3165" t="s">
        <v>1900</v>
      </c>
      <c r="E501" s="4976" t="s">
        <v>491</v>
      </c>
      <c r="F501" s="4976" t="s">
        <v>1017</v>
      </c>
      <c r="G501" s="4976"/>
      <c r="H501" s="4976"/>
      <c r="I501" s="4162">
        <v>705</v>
      </c>
      <c r="J501" s="4162" t="s">
        <v>6132</v>
      </c>
      <c r="K501" s="4464" t="s">
        <v>627</v>
      </c>
      <c r="L501" s="923"/>
      <c r="M501" s="924" t="s">
        <v>37</v>
      </c>
      <c r="P501" s="20" t="s">
        <v>122</v>
      </c>
      <c r="Q501" s="21" t="s">
        <v>123</v>
      </c>
      <c r="R501" s="20" t="s">
        <v>324</v>
      </c>
      <c r="S501" s="924"/>
      <c r="T501" s="924"/>
      <c r="U501" s="924"/>
      <c r="X501" s="924" t="s">
        <v>6113</v>
      </c>
    </row>
    <row r="502" spans="2:24" ht="31.5">
      <c r="B502" s="5035">
        <v>46127</v>
      </c>
      <c r="C502" s="3165" t="s">
        <v>1963</v>
      </c>
      <c r="D502" s="3165" t="s">
        <v>1904</v>
      </c>
      <c r="E502" s="4195" t="s">
        <v>592</v>
      </c>
      <c r="F502" s="4195" t="s">
        <v>635</v>
      </c>
      <c r="G502" s="5007"/>
      <c r="H502" s="5007"/>
      <c r="I502" s="4280">
        <v>701</v>
      </c>
      <c r="J502" s="4162" t="s">
        <v>594</v>
      </c>
      <c r="K502" s="924"/>
      <c r="L502" s="924" t="s">
        <v>37</v>
      </c>
      <c r="M502" s="924"/>
      <c r="Q502" s="3276"/>
      <c r="S502" s="924"/>
      <c r="T502" s="924"/>
      <c r="U502" s="924"/>
      <c r="X502" s="924"/>
    </row>
    <row r="503" spans="2:24" ht="31.5">
      <c r="B503" s="5035">
        <v>46127</v>
      </c>
      <c r="C503" s="3165" t="s">
        <v>1963</v>
      </c>
      <c r="D503" s="3165" t="s">
        <v>1904</v>
      </c>
      <c r="E503" s="5007" t="s">
        <v>619</v>
      </c>
      <c r="F503" s="5007" t="s">
        <v>620</v>
      </c>
      <c r="G503" s="5007"/>
      <c r="H503" s="5007"/>
      <c r="I503" s="4280">
        <v>701</v>
      </c>
      <c r="J503" s="4280" t="s">
        <v>621</v>
      </c>
      <c r="K503" s="49"/>
      <c r="L503" s="924" t="s">
        <v>37</v>
      </c>
      <c r="M503" s="49"/>
      <c r="S503" s="49"/>
      <c r="T503" s="49"/>
      <c r="U503" s="49"/>
      <c r="X503"/>
    </row>
    <row r="504" spans="2:24" ht="33.6" customHeight="1">
      <c r="B504" s="5035">
        <v>46127</v>
      </c>
      <c r="C504" s="3165" t="s">
        <v>1963</v>
      </c>
      <c r="D504" s="3165" t="s">
        <v>1904</v>
      </c>
      <c r="E504" s="4162" t="s">
        <v>273</v>
      </c>
      <c r="F504" s="4162" t="s">
        <v>6072</v>
      </c>
      <c r="G504" s="4162"/>
      <c r="H504" s="4162"/>
      <c r="I504" s="4162">
        <v>703</v>
      </c>
      <c r="J504" s="4162" t="s">
        <v>6091</v>
      </c>
      <c r="K504" s="924"/>
      <c r="L504" s="923" t="s">
        <v>37</v>
      </c>
      <c r="M504" s="924"/>
      <c r="S504" s="924"/>
      <c r="T504" s="924"/>
      <c r="U504" s="924"/>
      <c r="X504" s="49"/>
    </row>
    <row r="505" spans="2:24" ht="31.5">
      <c r="B505" s="5035">
        <v>46127</v>
      </c>
      <c r="C505" s="3165" t="s">
        <v>1963</v>
      </c>
      <c r="D505" s="3165" t="s">
        <v>1914</v>
      </c>
      <c r="E505" s="4162" t="s">
        <v>282</v>
      </c>
      <c r="F505" s="4162" t="s">
        <v>1654</v>
      </c>
      <c r="G505" s="4979"/>
      <c r="H505" s="4979"/>
      <c r="I505" s="4979">
        <v>705</v>
      </c>
      <c r="J505" s="4162" t="s">
        <v>6092</v>
      </c>
      <c r="K505" s="924"/>
      <c r="L505" s="924" t="s">
        <v>37</v>
      </c>
      <c r="M505" s="924"/>
      <c r="S505" s="924" t="s">
        <v>37</v>
      </c>
      <c r="T505" s="924"/>
      <c r="U505" s="924"/>
      <c r="X505" s="924" t="s">
        <v>6103</v>
      </c>
    </row>
    <row r="506" spans="2:24" ht="31.5">
      <c r="B506" s="5035">
        <v>46127</v>
      </c>
      <c r="C506" s="3165" t="s">
        <v>1963</v>
      </c>
      <c r="D506" s="3165" t="s">
        <v>1916</v>
      </c>
      <c r="E506" s="4162" t="s">
        <v>282</v>
      </c>
      <c r="F506" s="4162" t="s">
        <v>282</v>
      </c>
      <c r="G506" s="4979"/>
      <c r="H506" s="4979"/>
      <c r="I506" s="4979">
        <v>705</v>
      </c>
      <c r="J506" s="4162" t="s">
        <v>6093</v>
      </c>
      <c r="K506" s="924"/>
      <c r="L506" s="924" t="s">
        <v>37</v>
      </c>
      <c r="M506" s="924"/>
      <c r="S506" s="924"/>
      <c r="T506" s="924"/>
      <c r="U506" s="924" t="s">
        <v>37</v>
      </c>
      <c r="X506" s="924"/>
    </row>
    <row r="507" spans="2:24" ht="52.5">
      <c r="B507" s="5035">
        <v>46127</v>
      </c>
      <c r="C507" s="3165" t="s">
        <v>1963</v>
      </c>
      <c r="D507" s="3165" t="s">
        <v>1918</v>
      </c>
      <c r="E507" s="4162" t="s">
        <v>392</v>
      </c>
      <c r="F507" s="4162" t="s">
        <v>4825</v>
      </c>
      <c r="G507" s="4979"/>
      <c r="H507" s="4979"/>
      <c r="I507" s="4979">
        <v>705</v>
      </c>
      <c r="J507" s="4162">
        <v>60020</v>
      </c>
      <c r="K507" s="924"/>
      <c r="L507" s="924"/>
      <c r="M507" s="924" t="s">
        <v>37</v>
      </c>
      <c r="P507" s="21" t="s">
        <v>0</v>
      </c>
      <c r="Q507" s="21" t="s">
        <v>187</v>
      </c>
      <c r="R507" s="21" t="s">
        <v>160</v>
      </c>
      <c r="S507" s="924"/>
      <c r="T507" s="924"/>
      <c r="U507" s="924" t="s">
        <v>37</v>
      </c>
      <c r="X507" s="924" t="s">
        <v>6104</v>
      </c>
    </row>
    <row r="508" spans="2:24" ht="31.5">
      <c r="B508" s="5035">
        <v>46127</v>
      </c>
      <c r="C508" s="3165" t="s">
        <v>1963</v>
      </c>
      <c r="D508" s="3165" t="s">
        <v>1919</v>
      </c>
      <c r="E508" s="4162" t="s">
        <v>742</v>
      </c>
      <c r="F508" s="4162" t="s">
        <v>6073</v>
      </c>
      <c r="G508" s="4162"/>
      <c r="H508" s="4162"/>
      <c r="I508" s="4162">
        <v>705</v>
      </c>
      <c r="J508" s="4162" t="s">
        <v>6094</v>
      </c>
      <c r="K508" s="924"/>
      <c r="L508" s="924" t="s">
        <v>37</v>
      </c>
      <c r="M508" s="924"/>
      <c r="S508" s="924"/>
      <c r="T508" s="924"/>
      <c r="U508" s="924" t="s">
        <v>37</v>
      </c>
      <c r="X508" s="924"/>
    </row>
    <row r="509" spans="2:24" ht="31.5">
      <c r="B509" s="5035">
        <v>46127</v>
      </c>
      <c r="C509" s="3165" t="s">
        <v>1963</v>
      </c>
      <c r="D509" s="3165" t="s">
        <v>1921</v>
      </c>
      <c r="E509" s="5086" t="s">
        <v>3308</v>
      </c>
      <c r="F509" s="4290" t="s">
        <v>6074</v>
      </c>
      <c r="G509" s="4290"/>
      <c r="H509" s="4290"/>
      <c r="I509" s="4162">
        <v>712</v>
      </c>
      <c r="J509" s="4162" t="s">
        <v>6095</v>
      </c>
      <c r="K509" s="4464" t="s">
        <v>627</v>
      </c>
      <c r="L509" s="923" t="s">
        <v>37</v>
      </c>
      <c r="M509" s="924"/>
      <c r="S509" s="924"/>
      <c r="T509" s="924"/>
      <c r="U509" s="924"/>
      <c r="X509" s="924"/>
    </row>
    <row r="510" spans="2:24" ht="31.5">
      <c r="B510" s="5035">
        <v>46128</v>
      </c>
      <c r="C510" s="3165" t="s">
        <v>1963</v>
      </c>
      <c r="D510" s="3165" t="s">
        <v>1923</v>
      </c>
      <c r="E510" s="4195" t="s">
        <v>592</v>
      </c>
      <c r="F510" s="4195" t="s">
        <v>6075</v>
      </c>
      <c r="G510" s="5007"/>
      <c r="H510" s="5007"/>
      <c r="I510" s="4280">
        <v>701</v>
      </c>
      <c r="J510" s="4162" t="s">
        <v>594</v>
      </c>
      <c r="K510" s="49"/>
      <c r="L510" s="923" t="s">
        <v>37</v>
      </c>
      <c r="M510" s="49"/>
      <c r="S510" s="49"/>
      <c r="T510" s="49"/>
      <c r="U510" s="49"/>
      <c r="X510" s="49"/>
    </row>
    <row r="511" spans="2:24" ht="48.75">
      <c r="B511" s="5035">
        <v>46128</v>
      </c>
      <c r="C511" s="3165" t="s">
        <v>1963</v>
      </c>
      <c r="D511" s="3165" t="s">
        <v>1927</v>
      </c>
      <c r="E511" s="5087" t="s">
        <v>273</v>
      </c>
      <c r="F511" s="5087" t="s">
        <v>169</v>
      </c>
      <c r="G511" s="5141"/>
      <c r="H511" s="5141"/>
      <c r="I511" s="4280">
        <v>705</v>
      </c>
      <c r="J511" s="3377" t="s">
        <v>6096</v>
      </c>
      <c r="K511" s="4465"/>
      <c r="L511" s="923"/>
      <c r="M511" s="924" t="s">
        <v>37</v>
      </c>
      <c r="P511" s="21" t="s">
        <v>109</v>
      </c>
      <c r="Q511" s="21" t="s">
        <v>484</v>
      </c>
      <c r="R511" s="21" t="s">
        <v>160</v>
      </c>
      <c r="S511" s="49"/>
      <c r="T511" s="49"/>
      <c r="U511" s="49"/>
      <c r="X511" s="5125" t="s">
        <v>6105</v>
      </c>
    </row>
    <row r="512" spans="2:24" ht="31.5">
      <c r="B512" s="5035">
        <v>46128</v>
      </c>
      <c r="C512" s="3165" t="s">
        <v>1963</v>
      </c>
      <c r="D512" s="3165" t="s">
        <v>1930</v>
      </c>
      <c r="E512" s="5087" t="s">
        <v>273</v>
      </c>
      <c r="F512" s="5088" t="s">
        <v>80</v>
      </c>
      <c r="G512" s="5088"/>
      <c r="H512" s="5088"/>
      <c r="I512" s="4162">
        <v>705</v>
      </c>
      <c r="J512" s="4162" t="s">
        <v>6097</v>
      </c>
      <c r="K512" s="1745"/>
      <c r="L512" s="923" t="s">
        <v>37</v>
      </c>
      <c r="M512" s="49"/>
      <c r="S512" s="49"/>
      <c r="T512" s="49"/>
      <c r="U512" s="49"/>
      <c r="X512" s="49"/>
    </row>
    <row r="513" spans="2:25" ht="31.5">
      <c r="B513" s="5035">
        <v>46128</v>
      </c>
      <c r="C513" s="3165" t="s">
        <v>1963</v>
      </c>
      <c r="D513" s="3165" t="s">
        <v>1933</v>
      </c>
      <c r="E513" s="5087" t="s">
        <v>258</v>
      </c>
      <c r="F513" s="5088" t="s">
        <v>742</v>
      </c>
      <c r="G513" s="5088"/>
      <c r="H513" s="5088"/>
      <c r="I513" s="4162">
        <v>705</v>
      </c>
      <c r="J513" s="4162">
        <v>60020</v>
      </c>
      <c r="K513" s="4464" t="s">
        <v>84</v>
      </c>
      <c r="L513" s="923"/>
      <c r="M513" s="49"/>
      <c r="S513" s="49"/>
      <c r="T513" s="49"/>
      <c r="U513" s="924" t="s">
        <v>37</v>
      </c>
      <c r="X513" s="49"/>
    </row>
    <row r="514" spans="2:25" ht="31.5">
      <c r="B514" s="5035">
        <v>46128</v>
      </c>
      <c r="C514" s="3165" t="s">
        <v>1963</v>
      </c>
      <c r="D514" s="3165" t="s">
        <v>1921</v>
      </c>
      <c r="E514" s="5089" t="s">
        <v>6076</v>
      </c>
      <c r="F514" s="5089" t="s">
        <v>6077</v>
      </c>
      <c r="G514" s="5089"/>
      <c r="H514" s="5089"/>
      <c r="I514" s="4162">
        <v>712</v>
      </c>
      <c r="J514" s="5094" t="s">
        <v>6098</v>
      </c>
      <c r="K514" s="1745"/>
      <c r="L514" s="923" t="s">
        <v>37</v>
      </c>
      <c r="M514" s="49"/>
      <c r="S514" s="49"/>
      <c r="T514" s="49"/>
      <c r="U514" s="49"/>
      <c r="X514" s="924"/>
    </row>
    <row r="515" spans="2:25" ht="31.5">
      <c r="B515" s="5035">
        <v>46128</v>
      </c>
      <c r="C515" s="3165" t="s">
        <v>1963</v>
      </c>
      <c r="D515" s="3165" t="s">
        <v>1934</v>
      </c>
      <c r="E515" s="5090" t="s">
        <v>273</v>
      </c>
      <c r="F515" s="5090" t="s">
        <v>6078</v>
      </c>
      <c r="G515" s="5090"/>
      <c r="H515" s="5090"/>
      <c r="I515" s="4162">
        <v>707</v>
      </c>
      <c r="J515" s="5094" t="s">
        <v>6090</v>
      </c>
      <c r="K515" s="4464" t="s">
        <v>627</v>
      </c>
      <c r="L515" s="923" t="s">
        <v>37</v>
      </c>
      <c r="M515" s="49"/>
      <c r="S515" s="49"/>
      <c r="T515" s="49"/>
      <c r="U515" s="49"/>
      <c r="X515" s="924"/>
    </row>
    <row r="516" spans="2:25" ht="31.5">
      <c r="B516" s="5035">
        <v>46128</v>
      </c>
      <c r="C516" s="3165" t="s">
        <v>1963</v>
      </c>
      <c r="D516" s="3165" t="s">
        <v>1950</v>
      </c>
      <c r="E516" s="5087" t="s">
        <v>888</v>
      </c>
      <c r="F516" s="5087" t="s">
        <v>282</v>
      </c>
      <c r="G516" s="5087"/>
      <c r="H516" s="5087"/>
      <c r="I516" s="4162">
        <v>705</v>
      </c>
      <c r="J516" s="5094" t="s">
        <v>717</v>
      </c>
      <c r="K516" s="4464" t="s">
        <v>6099</v>
      </c>
      <c r="L516" s="923"/>
      <c r="M516" s="924" t="s">
        <v>37</v>
      </c>
      <c r="P516" s="21" t="s">
        <v>122</v>
      </c>
      <c r="Q516" s="21" t="s">
        <v>123</v>
      </c>
      <c r="R516" s="21" t="s">
        <v>160</v>
      </c>
      <c r="S516" s="49"/>
      <c r="T516" s="49"/>
      <c r="U516" s="49"/>
      <c r="X516" s="924" t="s">
        <v>6106</v>
      </c>
    </row>
    <row r="517" spans="2:25" ht="31.5">
      <c r="B517" s="5035">
        <v>46128</v>
      </c>
      <c r="C517" s="3165" t="s">
        <v>1963</v>
      </c>
      <c r="D517" s="3165" t="s">
        <v>1951</v>
      </c>
      <c r="E517" s="5091" t="s">
        <v>742</v>
      </c>
      <c r="F517" s="5091" t="s">
        <v>263</v>
      </c>
      <c r="G517" s="5091"/>
      <c r="H517" s="5091"/>
      <c r="I517" s="4162">
        <v>705</v>
      </c>
      <c r="J517" s="5094" t="s">
        <v>6100</v>
      </c>
      <c r="K517" s="4464" t="s">
        <v>627</v>
      </c>
      <c r="L517" s="923" t="s">
        <v>37</v>
      </c>
      <c r="M517" s="49"/>
      <c r="S517" s="49"/>
      <c r="T517" s="49"/>
      <c r="U517" s="49"/>
      <c r="X517" s="924"/>
    </row>
    <row r="518" spans="2:25" ht="31.5">
      <c r="B518" s="5035">
        <v>46129</v>
      </c>
      <c r="C518" s="3165" t="s">
        <v>1963</v>
      </c>
      <c r="D518" s="3165" t="s">
        <v>1923</v>
      </c>
      <c r="E518" s="4195" t="s">
        <v>6079</v>
      </c>
      <c r="F518" s="4195" t="s">
        <v>620</v>
      </c>
      <c r="G518" s="5007"/>
      <c r="H518" s="5007"/>
      <c r="I518" s="4280">
        <v>701</v>
      </c>
      <c r="J518" s="4280" t="s">
        <v>621</v>
      </c>
      <c r="K518" s="49"/>
      <c r="L518" s="923" t="s">
        <v>37</v>
      </c>
      <c r="M518" s="49"/>
      <c r="S518" s="49"/>
      <c r="T518" s="49"/>
      <c r="U518" s="49"/>
      <c r="X518" s="49"/>
    </row>
    <row r="519" spans="2:25" ht="31.5">
      <c r="B519" s="5035">
        <v>46129</v>
      </c>
      <c r="C519" s="3165" t="s">
        <v>1963</v>
      </c>
      <c r="D519" s="3165" t="s">
        <v>1954</v>
      </c>
      <c r="E519" s="4280" t="s">
        <v>282</v>
      </c>
      <c r="F519" s="4280" t="s">
        <v>742</v>
      </c>
      <c r="G519" s="4280"/>
      <c r="H519" s="4280"/>
      <c r="I519" s="4280">
        <v>705</v>
      </c>
      <c r="J519" s="4280" t="s">
        <v>6101</v>
      </c>
      <c r="K519" s="1745"/>
      <c r="L519" s="923" t="s">
        <v>37</v>
      </c>
      <c r="M519" s="49"/>
      <c r="S519" s="49"/>
      <c r="T519" s="49"/>
      <c r="U519" s="49"/>
      <c r="X519" s="49"/>
    </row>
    <row r="520" spans="2:25" ht="52.5">
      <c r="B520" s="5035">
        <v>46128</v>
      </c>
      <c r="C520" s="3165" t="s">
        <v>1963</v>
      </c>
      <c r="D520" s="3165" t="s">
        <v>1957</v>
      </c>
      <c r="E520" s="5087" t="s">
        <v>273</v>
      </c>
      <c r="F520" s="5088" t="s">
        <v>80</v>
      </c>
      <c r="G520" s="5088"/>
      <c r="H520" s="5088"/>
      <c r="I520" s="4162">
        <v>705</v>
      </c>
      <c r="J520" s="4162" t="s">
        <v>6097</v>
      </c>
      <c r="K520" s="1745"/>
      <c r="L520" s="923"/>
      <c r="M520" s="924" t="s">
        <v>37</v>
      </c>
      <c r="P520" s="20" t="s">
        <v>0</v>
      </c>
      <c r="Q520" s="21" t="s">
        <v>110</v>
      </c>
      <c r="R520" s="21" t="s">
        <v>6120</v>
      </c>
      <c r="S520" s="49"/>
      <c r="T520" s="49"/>
      <c r="U520" s="49"/>
      <c r="W520" s="924" t="s">
        <v>37</v>
      </c>
      <c r="X520" s="924" t="s">
        <v>6114</v>
      </c>
      <c r="Y520" s="3166" t="s">
        <v>6115</v>
      </c>
    </row>
    <row r="521" spans="2:25" ht="31.5">
      <c r="B521" s="5035">
        <v>46129</v>
      </c>
      <c r="C521" s="3165" t="s">
        <v>1963</v>
      </c>
      <c r="D521" s="3165" t="s">
        <v>1959</v>
      </c>
      <c r="E521" s="5087" t="s">
        <v>888</v>
      </c>
      <c r="F521" s="5087" t="s">
        <v>282</v>
      </c>
      <c r="G521" s="5087"/>
      <c r="H521" s="5087"/>
      <c r="I521" s="4162">
        <v>705</v>
      </c>
      <c r="J521" s="5094" t="s">
        <v>717</v>
      </c>
      <c r="K521" s="4464" t="s">
        <v>6099</v>
      </c>
      <c r="L521" s="923" t="s">
        <v>37</v>
      </c>
      <c r="M521" s="924"/>
      <c r="S521" s="49"/>
      <c r="T521" s="49" t="s">
        <v>37</v>
      </c>
      <c r="U521" s="49"/>
      <c r="X521" s="924"/>
    </row>
    <row r="522" spans="2:25" ht="31.5">
      <c r="B522" s="5035">
        <v>46129</v>
      </c>
      <c r="C522" s="3165" t="s">
        <v>1963</v>
      </c>
      <c r="D522" s="3165" t="s">
        <v>1964</v>
      </c>
      <c r="E522" s="5087" t="s">
        <v>537</v>
      </c>
      <c r="F522" s="5087" t="s">
        <v>80</v>
      </c>
      <c r="G522" s="5087"/>
      <c r="H522" s="5087"/>
      <c r="I522" s="4162">
        <v>707</v>
      </c>
      <c r="J522" s="4162">
        <v>60072</v>
      </c>
      <c r="K522" s="1745"/>
      <c r="L522" s="923" t="s">
        <v>37</v>
      </c>
      <c r="M522" s="49"/>
      <c r="S522" s="49"/>
      <c r="T522" s="49"/>
      <c r="U522" s="49"/>
      <c r="X522" s="49"/>
    </row>
    <row r="523" spans="2:25" ht="31.5">
      <c r="B523" s="5035">
        <v>46129</v>
      </c>
      <c r="C523" s="3165" t="s">
        <v>1963</v>
      </c>
      <c r="D523" s="3165" t="s">
        <v>1967</v>
      </c>
      <c r="E523" s="5087" t="s">
        <v>6080</v>
      </c>
      <c r="F523" s="5087" t="s">
        <v>6081</v>
      </c>
      <c r="G523" s="5087"/>
      <c r="H523" s="5087"/>
      <c r="I523" s="4162">
        <v>705</v>
      </c>
      <c r="J523" s="4162" t="s">
        <v>6102</v>
      </c>
      <c r="K523" s="1745"/>
      <c r="L523" s="923" t="s">
        <v>37</v>
      </c>
      <c r="M523" s="49"/>
      <c r="S523" s="49"/>
      <c r="T523" s="49"/>
      <c r="U523" s="49"/>
      <c r="X523" s="49"/>
    </row>
    <row r="524" spans="2:25" ht="31.5">
      <c r="B524" s="5035">
        <v>46129</v>
      </c>
      <c r="C524" s="3165" t="s">
        <v>1963</v>
      </c>
      <c r="D524" s="3165" t="s">
        <v>1921</v>
      </c>
      <c r="E524" s="5089" t="s">
        <v>1239</v>
      </c>
      <c r="F524" s="5089" t="s">
        <v>6082</v>
      </c>
      <c r="G524" s="5089"/>
      <c r="H524" s="5089"/>
      <c r="I524" s="4162">
        <v>712</v>
      </c>
      <c r="J524" s="4162" t="s">
        <v>6098</v>
      </c>
      <c r="K524" s="49"/>
      <c r="L524" s="923" t="s">
        <v>37</v>
      </c>
      <c r="M524" s="49"/>
      <c r="S524" s="49"/>
      <c r="T524" s="49"/>
      <c r="U524" s="49"/>
      <c r="X524" s="49"/>
    </row>
    <row r="525" spans="2:25" ht="31.5">
      <c r="B525" s="5035">
        <v>46129</v>
      </c>
      <c r="C525" s="3165" t="s">
        <v>1963</v>
      </c>
      <c r="D525" s="3165" t="s">
        <v>1934</v>
      </c>
      <c r="E525" s="5090" t="s">
        <v>450</v>
      </c>
      <c r="F525" s="5090" t="s">
        <v>6083</v>
      </c>
      <c r="G525" s="5090"/>
      <c r="H525" s="5090"/>
      <c r="I525" s="4162">
        <v>707</v>
      </c>
      <c r="J525" s="5094" t="s">
        <v>6090</v>
      </c>
      <c r="K525" s="4464" t="s">
        <v>627</v>
      </c>
      <c r="L525" s="923" t="s">
        <v>37</v>
      </c>
      <c r="M525" s="49"/>
      <c r="S525" s="49"/>
      <c r="T525" s="49"/>
      <c r="U525" s="49"/>
      <c r="X525" s="49"/>
    </row>
    <row r="526" spans="2:25" ht="31.5">
      <c r="B526" s="5035">
        <v>46129</v>
      </c>
      <c r="C526" s="3165" t="s">
        <v>1963</v>
      </c>
      <c r="D526" s="3165" t="s">
        <v>1951</v>
      </c>
      <c r="E526" s="5091" t="s">
        <v>148</v>
      </c>
      <c r="F526" s="5091" t="s">
        <v>4345</v>
      </c>
      <c r="G526" s="5091"/>
      <c r="H526" s="5091"/>
      <c r="I526" s="4162">
        <v>705</v>
      </c>
      <c r="J526" s="5094" t="s">
        <v>743</v>
      </c>
      <c r="K526" s="4464" t="s">
        <v>627</v>
      </c>
      <c r="L526" s="923" t="s">
        <v>37</v>
      </c>
      <c r="M526" s="49"/>
      <c r="S526" s="49"/>
      <c r="T526" s="49"/>
      <c r="U526" s="49"/>
      <c r="X526" s="49"/>
    </row>
    <row r="527" spans="2:25" ht="31.5">
      <c r="B527" s="5035">
        <v>46130</v>
      </c>
      <c r="C527" s="3165" t="s">
        <v>1963</v>
      </c>
      <c r="D527" s="3165" t="s">
        <v>1969</v>
      </c>
      <c r="E527" s="5043" t="s">
        <v>282</v>
      </c>
      <c r="F527" s="5043" t="s">
        <v>6084</v>
      </c>
      <c r="G527" s="5043"/>
      <c r="H527" s="5043"/>
      <c r="I527" s="4280">
        <v>705</v>
      </c>
      <c r="J527" s="4280" t="s">
        <v>6101</v>
      </c>
      <c r="K527" s="4465"/>
      <c r="L527" s="923" t="s">
        <v>37</v>
      </c>
      <c r="M527" s="49"/>
      <c r="S527" s="49"/>
      <c r="T527" s="49"/>
      <c r="U527" s="49"/>
      <c r="X527" s="49"/>
    </row>
    <row r="528" spans="2:25" ht="31.5">
      <c r="B528" s="5035">
        <v>46130</v>
      </c>
      <c r="C528" s="3165" t="s">
        <v>1963</v>
      </c>
      <c r="D528" s="3165" t="s">
        <v>1969</v>
      </c>
      <c r="E528" s="5043" t="s">
        <v>124</v>
      </c>
      <c r="F528" s="5043" t="s">
        <v>1017</v>
      </c>
      <c r="G528" s="5043"/>
      <c r="H528" s="5043"/>
      <c r="I528" s="4280">
        <v>705</v>
      </c>
      <c r="J528" s="4280" t="s">
        <v>6101</v>
      </c>
      <c r="K528" s="4464" t="s">
        <v>84</v>
      </c>
      <c r="L528" s="923" t="s">
        <v>37</v>
      </c>
      <c r="M528" s="49"/>
      <c r="S528" s="49"/>
      <c r="T528" s="49"/>
      <c r="U528" s="49"/>
      <c r="X528" s="49"/>
    </row>
    <row r="529" spans="2:24" ht="31.5">
      <c r="B529" s="3164">
        <v>46132</v>
      </c>
      <c r="C529" s="3165" t="s">
        <v>2084</v>
      </c>
      <c r="D529" s="3165" t="s">
        <v>1975</v>
      </c>
      <c r="E529" s="4195" t="s">
        <v>592</v>
      </c>
      <c r="F529" s="4195" t="s">
        <v>635</v>
      </c>
      <c r="G529" s="5007"/>
      <c r="H529" s="5007"/>
      <c r="I529" s="4280">
        <v>701</v>
      </c>
      <c r="J529" s="4162" t="s">
        <v>594</v>
      </c>
      <c r="K529" s="1002"/>
      <c r="L529" s="1892" t="s">
        <v>37</v>
      </c>
      <c r="M529" s="924"/>
      <c r="N529" s="47"/>
      <c r="O529" s="47"/>
      <c r="S529" s="5092"/>
      <c r="T529" s="5092"/>
      <c r="U529" s="5092"/>
      <c r="X529" s="5095"/>
    </row>
    <row r="530" spans="2:24" ht="31.5">
      <c r="B530" s="3164">
        <v>46132</v>
      </c>
      <c r="C530" s="3165" t="s">
        <v>2084</v>
      </c>
      <c r="D530" s="3165" t="s">
        <v>1975</v>
      </c>
      <c r="E530" s="5007" t="s">
        <v>619</v>
      </c>
      <c r="F530" s="5007" t="s">
        <v>620</v>
      </c>
      <c r="G530" s="5007"/>
      <c r="H530" s="5007"/>
      <c r="I530" s="4280">
        <v>701</v>
      </c>
      <c r="J530" s="4280" t="s">
        <v>621</v>
      </c>
      <c r="K530" s="1002"/>
      <c r="L530" s="1892" t="s">
        <v>37</v>
      </c>
      <c r="M530" s="924"/>
      <c r="N530" s="47"/>
      <c r="O530" s="47"/>
    </row>
    <row r="531" spans="2:24" ht="31.5">
      <c r="B531" s="3164">
        <v>46132</v>
      </c>
      <c r="C531" s="3165" t="s">
        <v>2084</v>
      </c>
      <c r="D531" s="3165" t="s">
        <v>1979</v>
      </c>
      <c r="E531" s="5102" t="s">
        <v>282</v>
      </c>
      <c r="F531" s="5102" t="s">
        <v>2660</v>
      </c>
      <c r="G531" s="5102"/>
      <c r="H531" s="5102"/>
      <c r="I531" s="4280"/>
      <c r="J531" s="4280" t="s">
        <v>6101</v>
      </c>
      <c r="K531" s="4464" t="s">
        <v>84</v>
      </c>
      <c r="L531" s="1001"/>
      <c r="M531" s="924"/>
      <c r="N531" s="47"/>
      <c r="O531" s="47"/>
    </row>
    <row r="532" spans="2:24" ht="31.5">
      <c r="B532" s="3164">
        <v>46132</v>
      </c>
      <c r="C532" s="3165" t="s">
        <v>2084</v>
      </c>
      <c r="D532" s="3165" t="s">
        <v>1979</v>
      </c>
      <c r="E532" s="5102" t="s">
        <v>2662</v>
      </c>
      <c r="F532" s="5102" t="s">
        <v>742</v>
      </c>
      <c r="G532" s="5102"/>
      <c r="H532" s="5102"/>
      <c r="I532" s="4280"/>
      <c r="J532" s="4280" t="s">
        <v>6101</v>
      </c>
      <c r="K532" s="1002"/>
      <c r="L532" s="1001"/>
      <c r="M532" s="924"/>
      <c r="N532" s="47"/>
      <c r="O532" s="47"/>
    </row>
    <row r="533" spans="2:24" ht="31.5">
      <c r="B533" s="3164">
        <v>46132</v>
      </c>
      <c r="C533" s="3165" t="s">
        <v>2084</v>
      </c>
      <c r="D533" s="3165" t="s">
        <v>1981</v>
      </c>
      <c r="E533" s="4280" t="s">
        <v>169</v>
      </c>
      <c r="F533" s="4280" t="s">
        <v>80</v>
      </c>
      <c r="G533" s="4280"/>
      <c r="H533" s="4280"/>
      <c r="I533" s="4280">
        <v>705</v>
      </c>
      <c r="J533" s="4280" t="s">
        <v>6125</v>
      </c>
      <c r="K533" s="1002"/>
      <c r="L533" s="1892" t="s">
        <v>37</v>
      </c>
      <c r="M533" s="924"/>
      <c r="N533" s="47"/>
      <c r="O533" s="47"/>
    </row>
    <row r="534" spans="2:24" ht="31.5">
      <c r="B534" s="3164">
        <v>46133</v>
      </c>
      <c r="C534" s="3165" t="s">
        <v>2084</v>
      </c>
      <c r="D534" s="3165" t="s">
        <v>1982</v>
      </c>
      <c r="E534" s="4195" t="s">
        <v>592</v>
      </c>
      <c r="F534" s="4195" t="s">
        <v>635</v>
      </c>
      <c r="G534" s="5007"/>
      <c r="H534" s="5007"/>
      <c r="I534" s="4280">
        <v>701</v>
      </c>
      <c r="J534" s="4162" t="s">
        <v>594</v>
      </c>
      <c r="K534" s="924"/>
      <c r="L534" s="1892" t="s">
        <v>37</v>
      </c>
      <c r="M534" s="924"/>
      <c r="N534" s="47"/>
      <c r="O534" s="47"/>
    </row>
    <row r="535" spans="2:24" ht="31.5">
      <c r="B535" s="3164">
        <v>46133</v>
      </c>
      <c r="C535" s="3165" t="s">
        <v>2084</v>
      </c>
      <c r="D535" s="3165" t="s">
        <v>1982</v>
      </c>
      <c r="E535" s="5007" t="s">
        <v>619</v>
      </c>
      <c r="F535" s="5007" t="s">
        <v>620</v>
      </c>
      <c r="G535" s="5007"/>
      <c r="H535" s="5007"/>
      <c r="I535" s="4280">
        <v>701</v>
      </c>
      <c r="J535" s="4280" t="s">
        <v>621</v>
      </c>
      <c r="K535" s="924"/>
      <c r="L535" s="1892" t="s">
        <v>37</v>
      </c>
      <c r="M535" s="924"/>
      <c r="N535" s="47"/>
      <c r="O535" s="47"/>
    </row>
    <row r="536" spans="2:24" ht="31.5">
      <c r="B536" s="3164">
        <v>46133</v>
      </c>
      <c r="C536" s="3165" t="s">
        <v>2084</v>
      </c>
      <c r="D536" s="3165" t="s">
        <v>1992</v>
      </c>
      <c r="E536" s="3383" t="s">
        <v>6122</v>
      </c>
      <c r="F536" s="3383" t="s">
        <v>599</v>
      </c>
      <c r="G536" s="3383"/>
      <c r="H536" s="3383"/>
      <c r="I536" s="3383">
        <v>707</v>
      </c>
      <c r="J536" s="3383" t="s">
        <v>1173</v>
      </c>
      <c r="K536" s="4464" t="s">
        <v>84</v>
      </c>
      <c r="L536" s="1892" t="s">
        <v>37</v>
      </c>
      <c r="M536" s="4759"/>
      <c r="N536" s="4759"/>
      <c r="O536" s="4759"/>
    </row>
    <row r="537" spans="2:24" ht="31.5">
      <c r="B537" s="3164">
        <v>46133</v>
      </c>
      <c r="C537" s="3165" t="s">
        <v>2084</v>
      </c>
      <c r="D537" s="3165" t="s">
        <v>1993</v>
      </c>
      <c r="E537" s="5103" t="s">
        <v>705</v>
      </c>
      <c r="F537" s="5103" t="s">
        <v>106</v>
      </c>
      <c r="G537" s="5103"/>
      <c r="H537" s="5103"/>
      <c r="I537" s="3383">
        <v>712</v>
      </c>
      <c r="J537" s="3383" t="s">
        <v>2171</v>
      </c>
      <c r="K537" s="4759"/>
      <c r="L537" s="1892" t="s">
        <v>37</v>
      </c>
      <c r="M537" s="4759"/>
      <c r="N537" s="4759"/>
      <c r="O537" s="4759"/>
    </row>
    <row r="538" spans="2:24" ht="31.5">
      <c r="B538" s="3164">
        <v>46133</v>
      </c>
      <c r="C538" s="3165" t="s">
        <v>2084</v>
      </c>
      <c r="D538" s="3165" t="s">
        <v>1993</v>
      </c>
      <c r="E538" s="5103" t="s">
        <v>106</v>
      </c>
      <c r="F538" s="5103" t="s">
        <v>4799</v>
      </c>
      <c r="G538" s="5103"/>
      <c r="H538" s="5103"/>
      <c r="I538" s="3383">
        <v>712</v>
      </c>
      <c r="J538" s="3383" t="s">
        <v>2171</v>
      </c>
      <c r="K538" s="4759"/>
      <c r="L538" s="1892" t="s">
        <v>37</v>
      </c>
      <c r="M538" s="4759"/>
      <c r="N538" s="4759"/>
      <c r="O538" s="4759"/>
    </row>
    <row r="539" spans="2:24" ht="31.5">
      <c r="B539" s="3164">
        <v>46134</v>
      </c>
      <c r="C539" s="3165" t="s">
        <v>2084</v>
      </c>
      <c r="D539" s="3165" t="s">
        <v>1996</v>
      </c>
      <c r="E539" s="4195" t="s">
        <v>592</v>
      </c>
      <c r="F539" s="4195" t="s">
        <v>635</v>
      </c>
      <c r="G539" s="5007"/>
      <c r="H539" s="5007"/>
      <c r="I539" s="4280">
        <v>701</v>
      </c>
      <c r="J539" s="4162" t="s">
        <v>594</v>
      </c>
      <c r="K539" s="924"/>
      <c r="L539" s="1892" t="s">
        <v>37</v>
      </c>
      <c r="M539" s="924"/>
      <c r="N539" s="47"/>
      <c r="O539" s="1892" t="s">
        <v>37</v>
      </c>
    </row>
    <row r="540" spans="2:24" ht="31.5">
      <c r="B540" s="3164">
        <v>46134</v>
      </c>
      <c r="C540" s="3165" t="s">
        <v>2084</v>
      </c>
      <c r="D540" s="3165" t="s">
        <v>1996</v>
      </c>
      <c r="E540" s="5007" t="s">
        <v>619</v>
      </c>
      <c r="F540" s="5007" t="s">
        <v>620</v>
      </c>
      <c r="G540" s="5007"/>
      <c r="H540" s="5007"/>
      <c r="I540" s="4280">
        <v>701</v>
      </c>
      <c r="J540" s="4280" t="s">
        <v>621</v>
      </c>
      <c r="K540" s="924"/>
      <c r="L540" s="923" t="s">
        <v>37</v>
      </c>
      <c r="M540" s="924"/>
      <c r="N540" s="47"/>
      <c r="O540" s="47"/>
    </row>
    <row r="541" spans="2:24" ht="31.5">
      <c r="B541" s="3164">
        <v>46134</v>
      </c>
      <c r="C541" s="3165" t="s">
        <v>2084</v>
      </c>
      <c r="D541" s="3165" t="s">
        <v>1993</v>
      </c>
      <c r="E541" s="5103" t="s">
        <v>1239</v>
      </c>
      <c r="F541" s="5103" t="s">
        <v>3494</v>
      </c>
      <c r="G541" s="5103"/>
      <c r="H541" s="5103"/>
      <c r="I541" s="3383">
        <v>712</v>
      </c>
      <c r="J541" s="3383" t="s">
        <v>6098</v>
      </c>
      <c r="K541" s="4759"/>
      <c r="L541" s="4759" t="s">
        <v>37</v>
      </c>
      <c r="M541" s="4759"/>
      <c r="N541" s="4759"/>
      <c r="O541" s="4759"/>
    </row>
    <row r="542" spans="2:24" ht="31.5">
      <c r="B542" s="3164">
        <v>46134</v>
      </c>
      <c r="C542" s="3165" t="s">
        <v>2084</v>
      </c>
      <c r="D542" s="3165" t="s">
        <v>2005</v>
      </c>
      <c r="E542" s="4843" t="s">
        <v>599</v>
      </c>
      <c r="F542" s="4843" t="s">
        <v>183</v>
      </c>
      <c r="G542" s="4843"/>
      <c r="H542" s="4843"/>
      <c r="I542" s="4280">
        <v>707</v>
      </c>
      <c r="J542" s="4280" t="s">
        <v>2105</v>
      </c>
      <c r="K542" s="4464" t="s">
        <v>84</v>
      </c>
      <c r="L542" s="923" t="s">
        <v>37</v>
      </c>
      <c r="M542" s="924"/>
      <c r="N542" s="47"/>
      <c r="O542" s="47"/>
    </row>
    <row r="543" spans="2:24" ht="31.5">
      <c r="B543" s="3164">
        <v>46135</v>
      </c>
      <c r="C543" s="3165" t="s">
        <v>2084</v>
      </c>
      <c r="D543" s="3165" t="s">
        <v>2005</v>
      </c>
      <c r="E543" s="4198" t="s">
        <v>1145</v>
      </c>
      <c r="F543" s="4198" t="s">
        <v>6123</v>
      </c>
      <c r="G543" s="4843"/>
      <c r="H543" s="4843"/>
      <c r="I543" s="4280">
        <v>707</v>
      </c>
      <c r="J543" s="4162" t="s">
        <v>6126</v>
      </c>
      <c r="K543" s="924"/>
      <c r="L543" s="924" t="s">
        <v>37</v>
      </c>
      <c r="M543" s="924"/>
      <c r="N543" s="47"/>
      <c r="O543" s="47"/>
    </row>
    <row r="544" spans="2:24" ht="31.5">
      <c r="B544" s="3164">
        <v>46135</v>
      </c>
      <c r="C544" s="3165" t="s">
        <v>2084</v>
      </c>
      <c r="D544" s="3165" t="s">
        <v>2014</v>
      </c>
      <c r="E544" s="4195" t="s">
        <v>592</v>
      </c>
      <c r="F544" s="4195" t="s">
        <v>6075</v>
      </c>
      <c r="G544" s="5007"/>
      <c r="H544" s="5007"/>
      <c r="I544" s="4280">
        <v>701</v>
      </c>
      <c r="J544" s="4162" t="s">
        <v>594</v>
      </c>
      <c r="K544" s="49"/>
      <c r="L544" s="5106" t="s">
        <v>37</v>
      </c>
      <c r="M544" s="49"/>
      <c r="N544" s="49"/>
      <c r="O544" s="49"/>
    </row>
    <row r="545" spans="2:24" ht="31.5">
      <c r="B545" s="3164">
        <v>46135</v>
      </c>
      <c r="C545" s="3165" t="s">
        <v>2084</v>
      </c>
      <c r="D545" s="3165" t="s">
        <v>2015</v>
      </c>
      <c r="E545" s="3377" t="s">
        <v>705</v>
      </c>
      <c r="F545" s="4323" t="s">
        <v>6124</v>
      </c>
      <c r="G545" s="5142"/>
      <c r="H545" s="5142"/>
      <c r="I545" s="4280">
        <v>712</v>
      </c>
      <c r="J545" s="4162" t="s">
        <v>6127</v>
      </c>
      <c r="K545" s="49"/>
      <c r="L545" s="5106"/>
      <c r="M545" s="5106" t="s">
        <v>37</v>
      </c>
      <c r="N545" s="49"/>
      <c r="O545" s="49"/>
      <c r="P545" s="20" t="s">
        <v>0</v>
      </c>
      <c r="Q545" s="21" t="s">
        <v>110</v>
      </c>
      <c r="R545" s="21" t="s">
        <v>6116</v>
      </c>
      <c r="X545" s="5106" t="s">
        <v>6130</v>
      </c>
    </row>
    <row r="546" spans="2:24" ht="31.5">
      <c r="B546" s="3164">
        <v>46135</v>
      </c>
      <c r="C546" s="3165" t="s">
        <v>2084</v>
      </c>
      <c r="D546" s="3165" t="s">
        <v>2015</v>
      </c>
      <c r="E546" s="3377" t="s">
        <v>491</v>
      </c>
      <c r="F546" s="3377" t="s">
        <v>742</v>
      </c>
      <c r="G546" s="3383"/>
      <c r="H546" s="3383"/>
      <c r="I546" s="4280">
        <v>705</v>
      </c>
      <c r="J546" s="4162" t="s">
        <v>6127</v>
      </c>
      <c r="K546" s="4464" t="s">
        <v>84</v>
      </c>
      <c r="L546" s="5106" t="s">
        <v>37</v>
      </c>
      <c r="M546" s="49"/>
      <c r="N546" s="49"/>
      <c r="O546" s="49"/>
    </row>
    <row r="547" spans="2:24" ht="31.5">
      <c r="B547" s="3164">
        <v>46135</v>
      </c>
      <c r="C547" s="3165" t="s">
        <v>2084</v>
      </c>
      <c r="D547" s="3165" t="s">
        <v>2020</v>
      </c>
      <c r="E547" s="4179" t="s">
        <v>285</v>
      </c>
      <c r="F547" s="4179" t="s">
        <v>1052</v>
      </c>
      <c r="G547" s="4581"/>
      <c r="H547" s="4581"/>
      <c r="I547" s="4280">
        <v>705</v>
      </c>
      <c r="J547" s="4162" t="s">
        <v>6128</v>
      </c>
      <c r="K547" s="49"/>
      <c r="L547" s="5106" t="s">
        <v>37</v>
      </c>
      <c r="M547" s="49" t="s">
        <v>37</v>
      </c>
      <c r="N547" s="49"/>
      <c r="O547" s="49"/>
      <c r="P547" s="5107" t="s">
        <v>71</v>
      </c>
      <c r="Q547" s="5107" t="s">
        <v>138</v>
      </c>
      <c r="R547" s="5107" t="s">
        <v>6120</v>
      </c>
      <c r="W547" s="3160" t="s">
        <v>37</v>
      </c>
      <c r="X547" s="3160" t="s">
        <v>6131</v>
      </c>
    </row>
    <row r="548" spans="2:24" ht="31.5">
      <c r="B548" s="3164">
        <v>46136</v>
      </c>
      <c r="C548" s="3165" t="s">
        <v>2084</v>
      </c>
      <c r="D548" s="3165" t="s">
        <v>2022</v>
      </c>
      <c r="E548" s="4195" t="s">
        <v>6079</v>
      </c>
      <c r="F548" s="4195" t="s">
        <v>620</v>
      </c>
      <c r="G548" s="5007"/>
      <c r="H548" s="5007"/>
      <c r="I548" s="4280">
        <v>701</v>
      </c>
      <c r="J548" s="4280" t="s">
        <v>621</v>
      </c>
      <c r="K548" s="49"/>
      <c r="L548" s="5106" t="s">
        <v>37</v>
      </c>
      <c r="M548" s="49"/>
      <c r="N548" s="49"/>
      <c r="O548" s="49"/>
    </row>
    <row r="549" spans="2:24" ht="31.5">
      <c r="B549" s="3164">
        <v>46136</v>
      </c>
      <c r="C549" s="3165" t="s">
        <v>2084</v>
      </c>
      <c r="D549" s="3165" t="s">
        <v>2024</v>
      </c>
      <c r="E549" s="5050" t="s">
        <v>80</v>
      </c>
      <c r="F549" s="5050" t="s">
        <v>263</v>
      </c>
      <c r="G549" s="5050"/>
      <c r="H549" s="5050"/>
      <c r="I549" s="4280">
        <v>707</v>
      </c>
      <c r="J549" s="4280">
        <v>60015</v>
      </c>
      <c r="K549" s="1745"/>
      <c r="L549" s="5106" t="s">
        <v>37</v>
      </c>
      <c r="M549" s="49"/>
      <c r="N549" s="49"/>
      <c r="O549" s="49"/>
    </row>
    <row r="550" spans="2:24" ht="31.5">
      <c r="B550" s="3164">
        <v>46136</v>
      </c>
      <c r="C550" s="3165" t="s">
        <v>2084</v>
      </c>
      <c r="D550" s="3165" t="s">
        <v>2020</v>
      </c>
      <c r="E550" s="5104" t="s">
        <v>258</v>
      </c>
      <c r="F550" s="5108" t="s">
        <v>4678</v>
      </c>
      <c r="G550" s="5108"/>
      <c r="H550" s="5108"/>
      <c r="I550" s="4280">
        <v>705</v>
      </c>
      <c r="J550" s="4162" t="s">
        <v>6128</v>
      </c>
      <c r="K550" s="1745"/>
      <c r="L550" s="5106" t="s">
        <v>37</v>
      </c>
      <c r="M550" s="49"/>
      <c r="N550" s="49"/>
      <c r="O550" s="49"/>
    </row>
    <row r="551" spans="2:24" ht="31.5">
      <c r="B551" s="3164">
        <v>46136</v>
      </c>
      <c r="C551" s="3165" t="s">
        <v>2084</v>
      </c>
      <c r="D551" s="3165" t="s">
        <v>2025</v>
      </c>
      <c r="E551" s="4282" t="s">
        <v>742</v>
      </c>
      <c r="F551" s="4162" t="s">
        <v>80</v>
      </c>
      <c r="G551" s="5046"/>
      <c r="H551" s="5046"/>
      <c r="I551" s="5046">
        <v>707</v>
      </c>
      <c r="J551" s="4280">
        <v>60105</v>
      </c>
      <c r="K551" s="1745"/>
      <c r="L551" s="5106" t="s">
        <v>37</v>
      </c>
      <c r="M551" s="49"/>
      <c r="N551" s="49"/>
      <c r="O551" s="49"/>
    </row>
    <row r="552" spans="2:24" ht="31.5">
      <c r="B552" s="3164">
        <v>46136</v>
      </c>
      <c r="C552" s="3165" t="s">
        <v>2084</v>
      </c>
      <c r="D552" s="3165" t="s">
        <v>2034</v>
      </c>
      <c r="E552" s="4282" t="s">
        <v>204</v>
      </c>
      <c r="F552" s="4280" t="s">
        <v>3773</v>
      </c>
      <c r="G552" s="5046"/>
      <c r="H552" s="5046"/>
      <c r="I552" s="5046">
        <v>707</v>
      </c>
      <c r="J552" s="4280">
        <v>60093</v>
      </c>
      <c r="K552" s="4464" t="s">
        <v>84</v>
      </c>
      <c r="L552" s="5106" t="s">
        <v>37</v>
      </c>
      <c r="M552" s="49"/>
      <c r="N552" s="49"/>
      <c r="O552" s="49"/>
    </row>
    <row r="553" spans="2:24" ht="31.5">
      <c r="B553" s="3164">
        <v>46137</v>
      </c>
      <c r="C553" s="3165" t="s">
        <v>2084</v>
      </c>
      <c r="D553" s="3165" t="s">
        <v>2039</v>
      </c>
      <c r="E553" s="5105" t="s">
        <v>148</v>
      </c>
      <c r="F553" s="4244" t="s">
        <v>466</v>
      </c>
      <c r="G553" s="5143"/>
      <c r="H553" s="5143"/>
      <c r="I553" s="5046">
        <v>707</v>
      </c>
      <c r="J553" s="4280">
        <v>60015</v>
      </c>
      <c r="K553" s="1745"/>
      <c r="L553" s="5106" t="s">
        <v>37</v>
      </c>
      <c r="M553" s="49"/>
      <c r="N553" s="49"/>
      <c r="O553" s="49"/>
    </row>
    <row r="554" spans="2:24" ht="31.5">
      <c r="B554" s="3164">
        <v>46137</v>
      </c>
      <c r="C554" s="3165" t="s">
        <v>2084</v>
      </c>
      <c r="D554" s="3165" t="s">
        <v>2041</v>
      </c>
      <c r="E554" s="5105" t="s">
        <v>282</v>
      </c>
      <c r="F554" s="4244" t="s">
        <v>124</v>
      </c>
      <c r="G554" s="5143"/>
      <c r="H554" s="5143"/>
      <c r="I554" s="5046">
        <v>705</v>
      </c>
      <c r="J554" s="4280" t="s">
        <v>6129</v>
      </c>
      <c r="K554" s="1745"/>
      <c r="L554" s="5106" t="s">
        <v>37</v>
      </c>
      <c r="M554" s="49"/>
      <c r="N554" s="49"/>
      <c r="O554" s="49"/>
    </row>
    <row r="555" spans="2:24" ht="31.5">
      <c r="B555" s="3164">
        <v>46137</v>
      </c>
      <c r="C555" s="3165" t="s">
        <v>2084</v>
      </c>
      <c r="D555" s="3165" t="s">
        <v>2046</v>
      </c>
      <c r="E555" s="5105" t="s">
        <v>124</v>
      </c>
      <c r="F555" s="4244" t="s">
        <v>742</v>
      </c>
      <c r="G555" s="5143"/>
      <c r="H555" s="5143"/>
      <c r="I555" s="5046">
        <v>705</v>
      </c>
      <c r="J555" s="4280" t="s">
        <v>6129</v>
      </c>
      <c r="K555" s="4464" t="s">
        <v>84</v>
      </c>
      <c r="L555" s="5106" t="s">
        <v>37</v>
      </c>
      <c r="M555" s="49"/>
      <c r="N555" s="49"/>
      <c r="O555" s="49"/>
    </row>
    <row r="556" spans="2:24" ht="31.5">
      <c r="B556" s="5110">
        <v>46139</v>
      </c>
      <c r="C556" s="3165" t="s">
        <v>2198</v>
      </c>
      <c r="D556" s="3165" t="s">
        <v>2050</v>
      </c>
      <c r="E556" s="4195" t="s">
        <v>592</v>
      </c>
      <c r="F556" s="4195" t="s">
        <v>635</v>
      </c>
      <c r="G556" s="5007"/>
      <c r="H556" s="5007"/>
      <c r="I556" s="4280">
        <v>701</v>
      </c>
      <c r="J556" s="4162" t="s">
        <v>594</v>
      </c>
      <c r="K556" s="5111"/>
      <c r="L556" s="5112" t="s">
        <v>37</v>
      </c>
      <c r="M556" s="5113"/>
      <c r="N556" s="5114"/>
      <c r="O556" s="5114"/>
      <c r="S556" s="5113"/>
      <c r="T556" s="5113"/>
      <c r="U556" s="5113"/>
      <c r="X556" s="5113"/>
    </row>
    <row r="557" spans="2:24" ht="31.5">
      <c r="B557" s="5110">
        <v>46139</v>
      </c>
      <c r="C557" s="3165" t="s">
        <v>2198</v>
      </c>
      <c r="D557" s="3165" t="s">
        <v>2050</v>
      </c>
      <c r="E557" s="5007" t="s">
        <v>619</v>
      </c>
      <c r="F557" s="5007" t="s">
        <v>620</v>
      </c>
      <c r="G557" s="5007"/>
      <c r="H557" s="5007"/>
      <c r="I557" s="4280">
        <v>701</v>
      </c>
      <c r="J557" s="4280" t="s">
        <v>621</v>
      </c>
      <c r="K557" s="5111"/>
      <c r="L557" s="5112" t="s">
        <v>37</v>
      </c>
      <c r="M557" s="5113"/>
      <c r="N557" s="5114"/>
      <c r="O557" s="5114"/>
      <c r="S557" s="5113"/>
      <c r="T557" s="5113"/>
      <c r="U557" s="5113"/>
      <c r="X557" s="5113"/>
    </row>
    <row r="558" spans="2:24" ht="31.5">
      <c r="B558" s="5110">
        <v>46139</v>
      </c>
      <c r="C558" s="3165" t="s">
        <v>2198</v>
      </c>
      <c r="D558" s="3165" t="s">
        <v>2051</v>
      </c>
      <c r="E558" s="5102" t="s">
        <v>163</v>
      </c>
      <c r="F558" s="5102" t="s">
        <v>6133</v>
      </c>
      <c r="G558" s="5102"/>
      <c r="H558" s="5102"/>
      <c r="I558" s="4280">
        <v>707</v>
      </c>
      <c r="J558" s="4280">
        <v>60072</v>
      </c>
      <c r="K558" s="4280"/>
      <c r="L558" s="5112" t="s">
        <v>37</v>
      </c>
      <c r="M558" s="5113"/>
      <c r="N558" s="5114"/>
      <c r="O558" s="5114"/>
      <c r="S558" s="5113"/>
      <c r="T558" s="5113"/>
      <c r="U558" s="5113"/>
      <c r="X558" s="5113"/>
    </row>
    <row r="559" spans="2:24" ht="36">
      <c r="B559" s="5110">
        <v>46139</v>
      </c>
      <c r="C559" s="3165" t="s">
        <v>2198</v>
      </c>
      <c r="D559" s="3165" t="s">
        <v>2051</v>
      </c>
      <c r="E559" s="5102" t="s">
        <v>6134</v>
      </c>
      <c r="F559" s="5102" t="s">
        <v>220</v>
      </c>
      <c r="G559" s="5102"/>
      <c r="H559" s="5102"/>
      <c r="I559" s="4280">
        <v>707</v>
      </c>
      <c r="J559" s="4280" t="s">
        <v>6142</v>
      </c>
      <c r="K559" s="5111"/>
      <c r="L559" s="5112" t="s">
        <v>37</v>
      </c>
      <c r="M559" s="5113"/>
      <c r="N559" s="5114"/>
      <c r="O559" s="5114"/>
      <c r="S559" s="5113"/>
      <c r="T559" s="5113"/>
      <c r="U559" s="5113"/>
      <c r="X559" s="5113"/>
    </row>
    <row r="560" spans="2:24" ht="31.5">
      <c r="B560" s="5110">
        <v>46139</v>
      </c>
      <c r="C560" s="3165" t="s">
        <v>2198</v>
      </c>
      <c r="D560" s="3165" t="s">
        <v>2053</v>
      </c>
      <c r="E560" s="4280" t="s">
        <v>392</v>
      </c>
      <c r="F560" s="4280" t="s">
        <v>742</v>
      </c>
      <c r="G560" s="4280"/>
      <c r="H560" s="4280"/>
      <c r="I560" s="4280">
        <v>705</v>
      </c>
      <c r="J560" s="4280" t="s">
        <v>384</v>
      </c>
      <c r="K560" s="4464" t="s">
        <v>627</v>
      </c>
      <c r="L560" s="5112" t="s">
        <v>37</v>
      </c>
      <c r="M560" s="5113"/>
      <c r="N560" s="5114"/>
      <c r="O560" s="5114"/>
      <c r="S560" s="5113"/>
      <c r="T560" s="5113"/>
      <c r="U560" s="5113"/>
      <c r="X560" s="5113"/>
    </row>
    <row r="561" spans="2:24" ht="31.5">
      <c r="B561" s="5110">
        <v>46139</v>
      </c>
      <c r="C561" s="3165" t="s">
        <v>2198</v>
      </c>
      <c r="D561" s="3165" t="s">
        <v>2054</v>
      </c>
      <c r="E561" s="5017" t="s">
        <v>599</v>
      </c>
      <c r="F561" s="5017" t="s">
        <v>1611</v>
      </c>
      <c r="G561" s="5017"/>
      <c r="H561" s="5017"/>
      <c r="I561" s="4280">
        <v>707</v>
      </c>
      <c r="J561" s="4280" t="s">
        <v>1173</v>
      </c>
      <c r="K561" s="5111"/>
      <c r="L561" s="5112" t="s">
        <v>37</v>
      </c>
      <c r="M561" s="5113"/>
      <c r="N561" s="5114"/>
      <c r="O561" s="5114"/>
      <c r="S561" s="5113"/>
      <c r="T561" s="5113"/>
      <c r="U561" s="5113"/>
      <c r="X561" s="5113"/>
    </row>
    <row r="562" spans="2:24" ht="31.5">
      <c r="B562" s="5110">
        <v>46139</v>
      </c>
      <c r="C562" s="3165" t="s">
        <v>2198</v>
      </c>
      <c r="D562" s="3165" t="s">
        <v>2054</v>
      </c>
      <c r="E562" s="5017" t="s">
        <v>537</v>
      </c>
      <c r="F562" s="5017" t="s">
        <v>6135</v>
      </c>
      <c r="G562" s="5017"/>
      <c r="H562" s="5017"/>
      <c r="I562" s="4280">
        <v>707</v>
      </c>
      <c r="J562" s="4280" t="s">
        <v>6143</v>
      </c>
      <c r="K562" s="5111"/>
      <c r="L562" s="5115"/>
      <c r="M562" s="5112" t="s">
        <v>37</v>
      </c>
      <c r="N562" s="5114"/>
      <c r="O562" s="5114"/>
      <c r="P562" s="5107" t="s">
        <v>0</v>
      </c>
      <c r="Q562" s="5107" t="s">
        <v>3799</v>
      </c>
      <c r="R562" s="5107" t="s">
        <v>324</v>
      </c>
      <c r="S562" s="5112" t="s">
        <v>37</v>
      </c>
      <c r="T562" s="5113"/>
      <c r="U562" s="5113"/>
      <c r="X562" s="5113" t="s">
        <v>6158</v>
      </c>
    </row>
    <row r="563" spans="2:24" ht="78.75">
      <c r="B563" s="5110">
        <v>46139</v>
      </c>
      <c r="C563" s="3165" t="s">
        <v>2198</v>
      </c>
      <c r="D563" s="3165" t="s">
        <v>2056</v>
      </c>
      <c r="E563" s="4280" t="s">
        <v>742</v>
      </c>
      <c r="F563" s="4280" t="s">
        <v>1217</v>
      </c>
      <c r="G563" s="4280"/>
      <c r="H563" s="4280"/>
      <c r="I563" s="4280">
        <v>707</v>
      </c>
      <c r="J563" s="5116">
        <v>60020</v>
      </c>
      <c r="K563" s="5115"/>
      <c r="L563" s="5115"/>
      <c r="M563" s="5112" t="s">
        <v>37</v>
      </c>
      <c r="N563" s="5114"/>
      <c r="O563" s="5114"/>
      <c r="P563" s="5107" t="s">
        <v>109</v>
      </c>
      <c r="Q563" s="5107" t="s">
        <v>159</v>
      </c>
      <c r="R563" s="5107" t="s">
        <v>324</v>
      </c>
      <c r="S563" s="5112" t="s">
        <v>37</v>
      </c>
      <c r="T563" s="5113"/>
      <c r="U563" s="5113"/>
      <c r="X563" s="5113" t="s">
        <v>6159</v>
      </c>
    </row>
    <row r="564" spans="2:24" ht="31.5">
      <c r="B564" s="5110">
        <v>46139</v>
      </c>
      <c r="C564" s="3165" t="s">
        <v>2198</v>
      </c>
      <c r="D564" s="3165" t="s">
        <v>2059</v>
      </c>
      <c r="E564" s="4581" t="s">
        <v>392</v>
      </c>
      <c r="F564" s="4581" t="s">
        <v>44</v>
      </c>
      <c r="G564" s="4581"/>
      <c r="H564" s="4581"/>
      <c r="I564" s="4280">
        <v>705</v>
      </c>
      <c r="J564" s="30" t="s">
        <v>6144</v>
      </c>
      <c r="K564" s="4280"/>
      <c r="L564" s="5112" t="s">
        <v>37</v>
      </c>
      <c r="M564" s="5113"/>
      <c r="N564" s="5114"/>
      <c r="O564" s="5114"/>
      <c r="S564" s="5113"/>
      <c r="T564" s="5113"/>
      <c r="U564" s="5113"/>
      <c r="X564" s="5113"/>
    </row>
    <row r="565" spans="2:24" ht="31.5">
      <c r="B565" s="5110">
        <v>46139</v>
      </c>
      <c r="C565" s="3165" t="s">
        <v>2198</v>
      </c>
      <c r="D565" s="3165" t="s">
        <v>2059</v>
      </c>
      <c r="E565" s="4581" t="s">
        <v>48</v>
      </c>
      <c r="F565" s="4581" t="s">
        <v>4678</v>
      </c>
      <c r="G565" s="4581"/>
      <c r="H565" s="4581"/>
      <c r="I565" s="4280">
        <v>705</v>
      </c>
      <c r="J565" s="4280" t="s">
        <v>4041</v>
      </c>
      <c r="K565" s="5111"/>
      <c r="L565" s="5112" t="s">
        <v>37</v>
      </c>
      <c r="M565" s="5113"/>
      <c r="N565" s="5114"/>
      <c r="O565" s="5114"/>
      <c r="S565" s="5113"/>
      <c r="T565" s="5113"/>
      <c r="U565" s="5113"/>
      <c r="X565" s="5113"/>
    </row>
    <row r="566" spans="2:24" ht="31.5">
      <c r="B566" s="5110">
        <v>46139</v>
      </c>
      <c r="C566" s="3165" t="s">
        <v>2198</v>
      </c>
      <c r="D566" s="3165" t="s">
        <v>2063</v>
      </c>
      <c r="E566" s="4280" t="s">
        <v>68</v>
      </c>
      <c r="F566" s="4280" t="s">
        <v>4213</v>
      </c>
      <c r="G566" s="4280"/>
      <c r="H566" s="4280"/>
      <c r="I566" s="4280">
        <v>712</v>
      </c>
      <c r="J566" s="4280" t="s">
        <v>6145</v>
      </c>
      <c r="K566" s="5115"/>
      <c r="L566" s="5112" t="s">
        <v>37</v>
      </c>
      <c r="M566" s="5113"/>
      <c r="N566" s="5114"/>
      <c r="O566" s="5114"/>
      <c r="S566" s="5113"/>
      <c r="T566" s="5113"/>
      <c r="U566" s="5113"/>
      <c r="X566" s="5113"/>
    </row>
    <row r="567" spans="2:24" ht="31.5">
      <c r="B567" s="5110">
        <v>46140</v>
      </c>
      <c r="C567" s="3165" t="s">
        <v>2198</v>
      </c>
      <c r="D567" s="3165" t="s">
        <v>2054</v>
      </c>
      <c r="E567" s="5017" t="s">
        <v>537</v>
      </c>
      <c r="F567" s="5017" t="s">
        <v>6135</v>
      </c>
      <c r="G567" s="5017"/>
      <c r="H567" s="5017"/>
      <c r="I567" s="4280">
        <v>707</v>
      </c>
      <c r="J567" s="4280" t="s">
        <v>6143</v>
      </c>
      <c r="K567" s="5111"/>
      <c r="L567" s="5112" t="s">
        <v>37</v>
      </c>
      <c r="M567" s="5112"/>
      <c r="N567" s="5114"/>
      <c r="O567" s="5114"/>
      <c r="S567" s="5112"/>
      <c r="T567" s="5113" t="s">
        <v>37</v>
      </c>
      <c r="U567" s="5113"/>
      <c r="X567" s="5113" t="s">
        <v>6160</v>
      </c>
    </row>
    <row r="568" spans="2:24" ht="36">
      <c r="B568" s="5110">
        <v>46140</v>
      </c>
      <c r="C568" s="3165" t="s">
        <v>2198</v>
      </c>
      <c r="D568" s="3165" t="s">
        <v>2067</v>
      </c>
      <c r="E568" s="4280" t="s">
        <v>742</v>
      </c>
      <c r="F568" s="4280" t="s">
        <v>1217</v>
      </c>
      <c r="G568" s="4280"/>
      <c r="H568" s="4280"/>
      <c r="I568" s="4280">
        <v>707</v>
      </c>
      <c r="J568" s="5116">
        <v>60020</v>
      </c>
      <c r="K568" s="5111"/>
      <c r="L568" s="5112" t="s">
        <v>37</v>
      </c>
      <c r="M568" s="5112"/>
      <c r="N568" s="5114"/>
      <c r="O568" s="5114"/>
      <c r="S568" s="5112"/>
      <c r="T568" s="5113" t="s">
        <v>37</v>
      </c>
      <c r="U568" s="5113"/>
      <c r="X568" s="5118" t="s">
        <v>6161</v>
      </c>
    </row>
    <row r="569" spans="2:24" ht="31.5">
      <c r="B569" s="5110">
        <v>46140</v>
      </c>
      <c r="C569" s="3165" t="s">
        <v>2198</v>
      </c>
      <c r="D569" s="3165" t="s">
        <v>2069</v>
      </c>
      <c r="E569" s="4195" t="s">
        <v>592</v>
      </c>
      <c r="F569" s="4195" t="s">
        <v>635</v>
      </c>
      <c r="G569" s="5007"/>
      <c r="H569" s="5007"/>
      <c r="I569" s="4280">
        <v>701</v>
      </c>
      <c r="J569" s="4162" t="s">
        <v>594</v>
      </c>
      <c r="K569" s="5111"/>
      <c r="L569" s="5112" t="s">
        <v>37</v>
      </c>
      <c r="M569" s="5113"/>
      <c r="N569" s="5114"/>
      <c r="O569" s="5114"/>
      <c r="S569" s="5113"/>
      <c r="T569" s="5113"/>
      <c r="U569" s="5113"/>
      <c r="X569" s="5113"/>
    </row>
    <row r="570" spans="2:24" ht="31.5">
      <c r="B570" s="5110">
        <v>46140</v>
      </c>
      <c r="C570" s="3165" t="s">
        <v>2198</v>
      </c>
      <c r="D570" s="3165" t="s">
        <v>2069</v>
      </c>
      <c r="E570" s="5007" t="s">
        <v>619</v>
      </c>
      <c r="F570" s="5007" t="s">
        <v>620</v>
      </c>
      <c r="G570" s="5007"/>
      <c r="H570" s="5007"/>
      <c r="I570" s="4280">
        <v>701</v>
      </c>
      <c r="J570" s="4280" t="s">
        <v>621</v>
      </c>
      <c r="K570" s="5111"/>
      <c r="L570" s="5112" t="s">
        <v>37</v>
      </c>
      <c r="M570" s="5113"/>
      <c r="N570" s="5114"/>
      <c r="O570" s="5114"/>
      <c r="S570" s="5113"/>
      <c r="T570" s="5113"/>
      <c r="U570" s="5113"/>
      <c r="X570" s="5113"/>
    </row>
    <row r="571" spans="2:24" ht="52.5">
      <c r="B571" s="5110">
        <v>46140</v>
      </c>
      <c r="C571" s="3165" t="s">
        <v>2198</v>
      </c>
      <c r="D571" s="3165" t="s">
        <v>2051</v>
      </c>
      <c r="E571" s="5102" t="s">
        <v>169</v>
      </c>
      <c r="F571" s="5102" t="s">
        <v>1117</v>
      </c>
      <c r="G571" s="5102"/>
      <c r="H571" s="5102"/>
      <c r="I571" s="4280">
        <v>707</v>
      </c>
      <c r="J571" s="4280" t="s">
        <v>6146</v>
      </c>
      <c r="K571" s="5111"/>
      <c r="L571" s="5115"/>
      <c r="M571" s="5113" t="s">
        <v>30</v>
      </c>
      <c r="N571" s="5114"/>
      <c r="O571" s="5114"/>
      <c r="P571" s="5107" t="s">
        <v>122</v>
      </c>
      <c r="Q571" s="5107" t="s">
        <v>122</v>
      </c>
      <c r="R571" s="5107" t="s">
        <v>324</v>
      </c>
      <c r="S571" s="5113"/>
      <c r="T571" s="5113"/>
      <c r="U571" s="5113"/>
      <c r="X571" s="5113" t="s">
        <v>6165</v>
      </c>
    </row>
    <row r="572" spans="2:24" ht="31.5">
      <c r="B572" s="5110">
        <v>46140</v>
      </c>
      <c r="C572" s="3165" t="s">
        <v>2198</v>
      </c>
      <c r="D572" s="3165" t="s">
        <v>2072</v>
      </c>
      <c r="E572" s="4244" t="s">
        <v>392</v>
      </c>
      <c r="F572" s="4244" t="s">
        <v>889</v>
      </c>
      <c r="G572" s="4244"/>
      <c r="H572" s="4244"/>
      <c r="I572" s="4162">
        <v>705</v>
      </c>
      <c r="J572" s="4162" t="s">
        <v>6147</v>
      </c>
      <c r="K572" s="4465"/>
      <c r="L572" s="5117" t="s">
        <v>37</v>
      </c>
      <c r="M572" s="5113"/>
      <c r="N572" s="5114"/>
      <c r="O572" s="5114"/>
      <c r="S572" s="5113"/>
      <c r="T572" s="5113"/>
      <c r="U572" s="5113"/>
      <c r="X572" s="5113"/>
    </row>
    <row r="573" spans="2:24" ht="31.5">
      <c r="B573" s="5110">
        <v>46140</v>
      </c>
      <c r="C573" s="3165" t="s">
        <v>2198</v>
      </c>
      <c r="D573" s="3165" t="s">
        <v>2075</v>
      </c>
      <c r="E573" s="4280" t="s">
        <v>282</v>
      </c>
      <c r="F573" s="4280" t="s">
        <v>392</v>
      </c>
      <c r="G573" s="4280"/>
      <c r="H573" s="4280"/>
      <c r="I573" s="4280">
        <v>705</v>
      </c>
      <c r="J573" s="4280" t="s">
        <v>6148</v>
      </c>
      <c r="K573" s="5115"/>
      <c r="L573" s="5115" t="s">
        <v>37</v>
      </c>
      <c r="M573" s="5113"/>
      <c r="N573" s="5114"/>
      <c r="O573" s="5114"/>
      <c r="S573" s="5113"/>
      <c r="T573" s="5113"/>
      <c r="U573" s="5113"/>
      <c r="X573" s="5113"/>
    </row>
    <row r="574" spans="2:24" ht="31.5">
      <c r="B574" s="5110">
        <v>46141</v>
      </c>
      <c r="C574" s="3165" t="s">
        <v>2198</v>
      </c>
      <c r="D574" s="3165" t="s">
        <v>2079</v>
      </c>
      <c r="E574" s="4195" t="s">
        <v>592</v>
      </c>
      <c r="F574" s="4324" t="s">
        <v>2042</v>
      </c>
      <c r="G574" s="5109"/>
      <c r="H574" s="5109"/>
      <c r="I574" s="4280">
        <v>701</v>
      </c>
      <c r="J574" s="3377" t="s">
        <v>561</v>
      </c>
      <c r="K574" s="49"/>
      <c r="L574" s="5112" t="s">
        <v>37</v>
      </c>
      <c r="M574" s="49"/>
      <c r="N574" s="49"/>
      <c r="O574" s="49"/>
      <c r="S574" s="49"/>
      <c r="T574" s="49"/>
      <c r="U574" s="49"/>
      <c r="X574" s="49"/>
    </row>
    <row r="575" spans="2:24" ht="31.5">
      <c r="B575" s="5110">
        <v>46141</v>
      </c>
      <c r="C575" s="3165" t="s">
        <v>2198</v>
      </c>
      <c r="D575" s="3165" t="s">
        <v>2051</v>
      </c>
      <c r="E575" s="5102" t="s">
        <v>169</v>
      </c>
      <c r="F575" s="5102" t="s">
        <v>6137</v>
      </c>
      <c r="G575" s="5102"/>
      <c r="H575" s="5102"/>
      <c r="I575" s="4280">
        <v>705</v>
      </c>
      <c r="J575" s="3377" t="s">
        <v>2152</v>
      </c>
      <c r="K575" s="49"/>
      <c r="L575" s="5112" t="s">
        <v>37</v>
      </c>
      <c r="M575" s="5112"/>
      <c r="N575" s="49"/>
      <c r="O575" s="49"/>
      <c r="S575" s="49"/>
      <c r="T575" s="5112" t="s">
        <v>37</v>
      </c>
      <c r="U575" s="5112"/>
      <c r="X575" s="5119" t="s">
        <v>6162</v>
      </c>
    </row>
    <row r="576" spans="2:24" ht="31.5">
      <c r="B576" s="5110">
        <v>46141</v>
      </c>
      <c r="C576" s="3165" t="s">
        <v>2198</v>
      </c>
      <c r="D576" s="3165" t="s">
        <v>2081</v>
      </c>
      <c r="E576" s="4162" t="s">
        <v>204</v>
      </c>
      <c r="F576" s="4163" t="s">
        <v>169</v>
      </c>
      <c r="G576" s="4282"/>
      <c r="H576" s="4282"/>
      <c r="I576" s="4280">
        <v>705</v>
      </c>
      <c r="J576" s="3377" t="s">
        <v>6149</v>
      </c>
      <c r="K576" s="49"/>
      <c r="L576" s="49"/>
      <c r="M576" s="5112" t="s">
        <v>37</v>
      </c>
      <c r="N576" s="49"/>
      <c r="O576" s="49"/>
      <c r="P576" s="5107" t="s">
        <v>0</v>
      </c>
      <c r="Q576" s="5107" t="s">
        <v>187</v>
      </c>
      <c r="R576" s="5107" t="s">
        <v>6120</v>
      </c>
      <c r="S576" s="49"/>
      <c r="T576" s="49"/>
      <c r="U576" s="49"/>
      <c r="X576" s="5120" t="s">
        <v>350</v>
      </c>
    </row>
    <row r="577" spans="2:24" ht="31.5">
      <c r="B577" s="5110">
        <v>46141</v>
      </c>
      <c r="C577" s="3165" t="s">
        <v>2198</v>
      </c>
      <c r="D577" s="3165" t="s">
        <v>2072</v>
      </c>
      <c r="E577" s="4244" t="s">
        <v>258</v>
      </c>
      <c r="F577" s="4244" t="s">
        <v>220</v>
      </c>
      <c r="G577" s="4244"/>
      <c r="H577" s="4244"/>
      <c r="I577" s="4162">
        <v>705</v>
      </c>
      <c r="J577" s="4162" t="s">
        <v>6147</v>
      </c>
      <c r="K577" s="4465"/>
      <c r="L577" s="5112" t="s">
        <v>37</v>
      </c>
      <c r="M577" s="5113"/>
      <c r="N577" s="5114"/>
      <c r="O577" s="5114"/>
      <c r="S577" s="5113"/>
      <c r="T577" s="5113"/>
      <c r="U577" s="5113"/>
    </row>
    <row r="578" spans="2:24" ht="31.5">
      <c r="B578" s="5110">
        <v>46141</v>
      </c>
      <c r="C578" s="3165" t="s">
        <v>2198</v>
      </c>
      <c r="D578" s="3165" t="s">
        <v>2083</v>
      </c>
      <c r="E578" s="4312" t="s">
        <v>742</v>
      </c>
      <c r="F578" s="4312" t="s">
        <v>140</v>
      </c>
      <c r="G578" s="4312"/>
      <c r="H578" s="4312"/>
      <c r="I578" s="4162">
        <v>705</v>
      </c>
      <c r="J578" s="4162" t="s">
        <v>969</v>
      </c>
      <c r="K578" s="49"/>
      <c r="L578" s="5112" t="s">
        <v>37</v>
      </c>
      <c r="M578" s="49"/>
      <c r="N578" s="49"/>
      <c r="O578" s="49"/>
      <c r="S578" s="49"/>
      <c r="T578" s="49"/>
      <c r="U578" s="49"/>
    </row>
    <row r="579" spans="2:24" ht="31.5">
      <c r="B579" s="5110">
        <v>46142</v>
      </c>
      <c r="C579" s="3165" t="s">
        <v>2198</v>
      </c>
      <c r="D579" s="3165" t="s">
        <v>2054</v>
      </c>
      <c r="E579" s="5017" t="s">
        <v>6136</v>
      </c>
      <c r="F579" s="5017" t="s">
        <v>1625</v>
      </c>
      <c r="G579" s="5017"/>
      <c r="H579" s="5017"/>
      <c r="I579" s="4280">
        <v>707</v>
      </c>
      <c r="J579" s="4162" t="s">
        <v>1173</v>
      </c>
      <c r="K579" s="5113"/>
      <c r="L579" s="5117"/>
      <c r="M579" s="5113"/>
      <c r="N579" s="5114"/>
      <c r="O579" s="5114"/>
      <c r="S579" s="5113"/>
      <c r="T579" s="5113"/>
      <c r="U579" s="5113"/>
    </row>
    <row r="580" spans="2:24" ht="31.5">
      <c r="B580" s="5110">
        <v>46142</v>
      </c>
      <c r="C580" s="3165" t="s">
        <v>2198</v>
      </c>
      <c r="D580" s="3165" t="s">
        <v>2079</v>
      </c>
      <c r="E580" s="5007" t="s">
        <v>304</v>
      </c>
      <c r="F580" s="5109" t="s">
        <v>620</v>
      </c>
      <c r="G580" s="5144"/>
      <c r="H580" s="5144"/>
      <c r="I580" s="5046">
        <v>701</v>
      </c>
      <c r="J580" s="3377" t="s">
        <v>561</v>
      </c>
      <c r="K580" s="49"/>
      <c r="L580" s="49"/>
      <c r="M580" s="5112" t="s">
        <v>37</v>
      </c>
      <c r="N580" s="49"/>
      <c r="O580" s="49"/>
      <c r="P580" s="5107" t="s">
        <v>109</v>
      </c>
      <c r="Q580" s="5107" t="s">
        <v>1428</v>
      </c>
      <c r="R580" s="5107" t="s">
        <v>6118</v>
      </c>
      <c r="S580" s="49"/>
      <c r="T580" s="49"/>
      <c r="U580" s="49"/>
      <c r="X580" s="3160" t="s">
        <v>6156</v>
      </c>
    </row>
    <row r="581" spans="2:24" ht="31.5">
      <c r="B581" s="5110">
        <v>46142</v>
      </c>
      <c r="C581" s="3165" t="s">
        <v>2198</v>
      </c>
      <c r="D581" s="3165" t="s">
        <v>2083</v>
      </c>
      <c r="E581" s="4312" t="s">
        <v>80</v>
      </c>
      <c r="F581" s="4312" t="s">
        <v>6138</v>
      </c>
      <c r="G581" s="4312"/>
      <c r="H581" s="4312"/>
      <c r="I581" s="4162">
        <v>705</v>
      </c>
      <c r="J581" s="4162" t="s">
        <v>969</v>
      </c>
      <c r="K581" s="5117"/>
      <c r="L581" s="5117"/>
      <c r="M581" s="5112" t="s">
        <v>37</v>
      </c>
      <c r="N581" s="5114"/>
      <c r="O581" s="5114"/>
      <c r="P581" s="5107" t="s">
        <v>0</v>
      </c>
      <c r="Q581" s="5107" t="s">
        <v>31</v>
      </c>
      <c r="R581" s="5107" t="s">
        <v>6120</v>
      </c>
      <c r="S581" s="5113"/>
      <c r="T581" s="5113"/>
      <c r="U581" s="5113"/>
      <c r="X581" s="3160" t="s">
        <v>6154</v>
      </c>
    </row>
    <row r="582" spans="2:24" ht="31.5">
      <c r="B582" s="5110">
        <v>46142</v>
      </c>
      <c r="C582" s="3165" t="s">
        <v>2198</v>
      </c>
      <c r="D582" s="3165" t="s">
        <v>2085</v>
      </c>
      <c r="E582" s="4162" t="s">
        <v>273</v>
      </c>
      <c r="F582" s="4162" t="s">
        <v>2813</v>
      </c>
      <c r="G582" s="4162"/>
      <c r="H582" s="4162"/>
      <c r="I582" s="4162">
        <v>705</v>
      </c>
      <c r="J582" s="4162" t="s">
        <v>6091</v>
      </c>
      <c r="K582" s="4464" t="s">
        <v>627</v>
      </c>
      <c r="L582" s="5112" t="s">
        <v>37</v>
      </c>
      <c r="M582" s="5113"/>
      <c r="N582" s="5114"/>
      <c r="O582" s="5112" t="s">
        <v>37</v>
      </c>
      <c r="S582" s="5113"/>
      <c r="T582" s="5113"/>
      <c r="U582" s="5113"/>
      <c r="X582" s="3160" t="s">
        <v>6164</v>
      </c>
    </row>
    <row r="583" spans="2:24" ht="31.5">
      <c r="B583" s="5110">
        <v>46142</v>
      </c>
      <c r="C583" s="3165" t="s">
        <v>2198</v>
      </c>
      <c r="D583" s="3165" t="s">
        <v>2089</v>
      </c>
      <c r="E583" s="4162" t="s">
        <v>80</v>
      </c>
      <c r="F583" s="4162" t="s">
        <v>296</v>
      </c>
      <c r="G583" s="4162"/>
      <c r="H583" s="4162"/>
      <c r="I583" s="4162">
        <v>707</v>
      </c>
      <c r="J583" s="4162">
        <v>60105</v>
      </c>
      <c r="K583" s="5117"/>
      <c r="L583" s="5112" t="s">
        <v>37</v>
      </c>
      <c r="M583" s="5113"/>
      <c r="N583" s="5114"/>
      <c r="O583" s="5114"/>
      <c r="S583" s="5113"/>
      <c r="T583" s="5113"/>
      <c r="U583" s="5113"/>
    </row>
    <row r="584" spans="2:24" ht="31.5">
      <c r="B584" s="5110">
        <v>46142</v>
      </c>
      <c r="C584" s="3165" t="s">
        <v>2198</v>
      </c>
      <c r="D584" s="3165" t="s">
        <v>2094</v>
      </c>
      <c r="E584" s="4162" t="s">
        <v>3034</v>
      </c>
      <c r="F584" s="4162" t="s">
        <v>742</v>
      </c>
      <c r="G584" s="4162"/>
      <c r="H584" s="4162"/>
      <c r="I584" s="4162">
        <v>707</v>
      </c>
      <c r="J584" s="4162" t="s">
        <v>6150</v>
      </c>
      <c r="K584" s="4464" t="s">
        <v>627</v>
      </c>
      <c r="L584" s="5112" t="s">
        <v>37</v>
      </c>
      <c r="M584" s="5113"/>
      <c r="N584" s="5114"/>
      <c r="O584" s="5114"/>
      <c r="S584" s="5113"/>
      <c r="T584" s="5113"/>
      <c r="U584" s="5113"/>
    </row>
    <row r="585" spans="2:24" ht="31.5">
      <c r="B585" s="5110">
        <v>46142</v>
      </c>
      <c r="C585" s="3165" t="s">
        <v>2198</v>
      </c>
      <c r="D585" s="3165" t="s">
        <v>2099</v>
      </c>
      <c r="E585" s="4281" t="s">
        <v>282</v>
      </c>
      <c r="F585" s="4281" t="s">
        <v>56</v>
      </c>
      <c r="G585" s="4281"/>
      <c r="H585" s="4281"/>
      <c r="I585" s="4162">
        <v>705</v>
      </c>
      <c r="J585" s="4162" t="s">
        <v>6151</v>
      </c>
      <c r="K585" s="5117"/>
      <c r="L585" s="5112" t="s">
        <v>37</v>
      </c>
      <c r="M585" s="5113"/>
      <c r="N585" s="5114"/>
      <c r="O585" s="5114"/>
      <c r="S585" s="5113"/>
      <c r="T585" s="5113"/>
      <c r="U585" s="5113"/>
    </row>
    <row r="586" spans="2:24" ht="31.5">
      <c r="B586" s="5110">
        <v>46142</v>
      </c>
      <c r="C586" s="3165" t="s">
        <v>2198</v>
      </c>
      <c r="D586" s="3165" t="s">
        <v>2099</v>
      </c>
      <c r="E586" s="4281" t="s">
        <v>79</v>
      </c>
      <c r="F586" s="4281" t="s">
        <v>1017</v>
      </c>
      <c r="G586" s="4281"/>
      <c r="H586" s="4281"/>
      <c r="I586" s="4162">
        <v>705</v>
      </c>
      <c r="J586" s="4162" t="s">
        <v>6151</v>
      </c>
      <c r="K586" s="4464" t="s">
        <v>627</v>
      </c>
      <c r="L586" s="5117"/>
      <c r="M586" s="5112" t="s">
        <v>37</v>
      </c>
      <c r="N586" s="5114"/>
      <c r="O586" s="5114"/>
      <c r="P586" s="5107" t="s">
        <v>122</v>
      </c>
      <c r="Q586" s="5107" t="s">
        <v>123</v>
      </c>
      <c r="R586" s="5107" t="s">
        <v>6120</v>
      </c>
      <c r="S586" s="5113"/>
      <c r="T586" s="5113"/>
      <c r="U586" s="5113"/>
      <c r="X586" s="3160" t="s">
        <v>6163</v>
      </c>
    </row>
    <row r="587" spans="2:24" ht="31.5">
      <c r="B587" s="5110">
        <v>46142</v>
      </c>
      <c r="C587" s="3165" t="s">
        <v>2198</v>
      </c>
      <c r="D587" s="3165" t="s">
        <v>2072</v>
      </c>
      <c r="E587" s="4244" t="s">
        <v>169</v>
      </c>
      <c r="F587" s="4244" t="s">
        <v>6139</v>
      </c>
      <c r="G587" s="4244"/>
      <c r="H587" s="4244"/>
      <c r="I587" s="4162">
        <v>705</v>
      </c>
      <c r="J587" s="4162" t="s">
        <v>6147</v>
      </c>
      <c r="K587" s="4465"/>
      <c r="L587" s="5112" t="s">
        <v>37</v>
      </c>
      <c r="M587" s="5113"/>
      <c r="N587" s="5114"/>
      <c r="O587" s="5112" t="s">
        <v>37</v>
      </c>
      <c r="S587" s="5113"/>
      <c r="T587" s="5113"/>
      <c r="U587" s="5113"/>
      <c r="X587" s="3160" t="s">
        <v>6155</v>
      </c>
    </row>
    <row r="588" spans="2:24" ht="31.5">
      <c r="B588" s="5110">
        <v>46142</v>
      </c>
      <c r="C588" s="3165" t="s">
        <v>2198</v>
      </c>
      <c r="D588" s="3165" t="s">
        <v>2100</v>
      </c>
      <c r="E588" s="4162" t="s">
        <v>6140</v>
      </c>
      <c r="F588" s="4162" t="s">
        <v>6141</v>
      </c>
      <c r="G588" s="4162"/>
      <c r="H588" s="4162"/>
      <c r="I588" s="4162">
        <v>705</v>
      </c>
      <c r="J588" s="4162" t="s">
        <v>6152</v>
      </c>
      <c r="K588" s="4464" t="s">
        <v>84</v>
      </c>
      <c r="L588" s="5112" t="s">
        <v>37</v>
      </c>
      <c r="M588" s="5113"/>
      <c r="N588" s="5114"/>
      <c r="O588" s="5114"/>
      <c r="S588" s="5113"/>
      <c r="T588" s="5113"/>
      <c r="U588" s="5113" t="s">
        <v>30</v>
      </c>
    </row>
    <row r="589" spans="2:24" ht="31.5">
      <c r="B589" s="5110">
        <v>46143</v>
      </c>
      <c r="C589" s="3165" t="s">
        <v>2198</v>
      </c>
      <c r="D589" s="3165" t="s">
        <v>2103</v>
      </c>
      <c r="E589" s="4162" t="s">
        <v>599</v>
      </c>
      <c r="F589" s="4162" t="s">
        <v>742</v>
      </c>
      <c r="G589" s="4162"/>
      <c r="H589" s="4162"/>
      <c r="I589" s="4162">
        <v>705</v>
      </c>
      <c r="J589" s="4162" t="s">
        <v>6153</v>
      </c>
      <c r="K589" s="5117"/>
      <c r="L589" s="5117"/>
      <c r="M589" s="5113" t="s">
        <v>37</v>
      </c>
      <c r="N589" s="5114"/>
      <c r="O589" s="5114"/>
      <c r="P589" s="5107" t="s">
        <v>0</v>
      </c>
      <c r="Q589" s="5107" t="s">
        <v>187</v>
      </c>
      <c r="R589" s="5107" t="s">
        <v>6120</v>
      </c>
      <c r="S589" s="5113"/>
      <c r="T589" s="5113"/>
      <c r="U589" s="5113"/>
      <c r="X589" s="3160" t="s">
        <v>6157</v>
      </c>
    </row>
    <row r="590" spans="2:24" ht="31.5">
      <c r="B590" s="5035">
        <v>46146</v>
      </c>
      <c r="C590" s="3165" t="s">
        <v>6166</v>
      </c>
      <c r="D590" s="4162">
        <v>410</v>
      </c>
      <c r="E590" s="4162" t="s">
        <v>1005</v>
      </c>
      <c r="F590" s="4162" t="s">
        <v>6167</v>
      </c>
      <c r="G590" s="4162"/>
      <c r="H590" s="4162"/>
      <c r="I590" s="4162">
        <v>705</v>
      </c>
      <c r="J590" s="4162" t="s">
        <v>6179</v>
      </c>
      <c r="K590" s="924"/>
      <c r="L590" s="4347" t="s">
        <v>37</v>
      </c>
      <c r="M590" s="924"/>
      <c r="N590" s="47"/>
      <c r="O590" s="47"/>
      <c r="S590" s="924"/>
      <c r="T590" s="924"/>
      <c r="U590" s="924"/>
      <c r="X590" s="924"/>
    </row>
    <row r="591" spans="2:24" ht="31.5">
      <c r="B591" s="5035">
        <v>46146</v>
      </c>
      <c r="C591" s="3165" t="s">
        <v>6166</v>
      </c>
      <c r="D591" s="4162">
        <v>411</v>
      </c>
      <c r="E591" s="4487" t="s">
        <v>1806</v>
      </c>
      <c r="F591" s="4487" t="s">
        <v>3838</v>
      </c>
      <c r="G591" s="4487"/>
      <c r="H591" s="4487"/>
      <c r="I591" s="4162">
        <v>707</v>
      </c>
      <c r="J591" s="4162" t="s">
        <v>6180</v>
      </c>
      <c r="K591" s="924"/>
      <c r="L591" s="4347" t="s">
        <v>37</v>
      </c>
      <c r="M591" s="924"/>
      <c r="N591" s="47"/>
      <c r="O591" s="47"/>
      <c r="S591" s="924"/>
      <c r="T591" s="924"/>
      <c r="U591" s="924"/>
      <c r="X591" s="924"/>
    </row>
    <row r="592" spans="2:24" ht="31.5">
      <c r="B592" s="5035">
        <v>46146</v>
      </c>
      <c r="C592" s="3165" t="s">
        <v>6166</v>
      </c>
      <c r="D592" s="4162">
        <v>412</v>
      </c>
      <c r="E592" s="4239" t="s">
        <v>6168</v>
      </c>
      <c r="F592" s="4239" t="s">
        <v>183</v>
      </c>
      <c r="G592" s="4239"/>
      <c r="H592" s="4239"/>
      <c r="I592" s="4162">
        <v>707</v>
      </c>
      <c r="J592" s="4162" t="s">
        <v>6181</v>
      </c>
      <c r="K592" s="924"/>
      <c r="L592" s="4347" t="s">
        <v>37</v>
      </c>
      <c r="M592" s="924"/>
      <c r="N592" s="47"/>
      <c r="O592" s="47"/>
      <c r="S592" s="924"/>
      <c r="T592" s="924"/>
      <c r="U592" s="924"/>
      <c r="X592" s="924"/>
    </row>
    <row r="593" spans="2:24" ht="31.5">
      <c r="B593" s="5035">
        <v>46146</v>
      </c>
      <c r="C593" s="3165" t="s">
        <v>6166</v>
      </c>
      <c r="D593" s="4162">
        <v>413</v>
      </c>
      <c r="E593" s="4162" t="s">
        <v>304</v>
      </c>
      <c r="F593" s="4162" t="s">
        <v>577</v>
      </c>
      <c r="G593" s="4162"/>
      <c r="H593" s="4162"/>
      <c r="I593" s="4162">
        <v>701</v>
      </c>
      <c r="J593" s="3377" t="s">
        <v>561</v>
      </c>
      <c r="K593" s="924"/>
      <c r="L593" s="4347" t="s">
        <v>37</v>
      </c>
      <c r="M593" s="924"/>
      <c r="N593" s="47"/>
      <c r="O593" s="47"/>
      <c r="S593" s="924"/>
      <c r="T593" s="924"/>
      <c r="U593" s="924"/>
      <c r="X593" s="924"/>
    </row>
    <row r="594" spans="2:24" ht="31.5">
      <c r="B594" s="5035">
        <v>46146</v>
      </c>
      <c r="C594" s="3165" t="s">
        <v>6166</v>
      </c>
      <c r="D594" s="4162">
        <v>414</v>
      </c>
      <c r="E594" s="4162" t="s">
        <v>742</v>
      </c>
      <c r="F594" s="4162" t="s">
        <v>6167</v>
      </c>
      <c r="G594" s="4162"/>
      <c r="H594" s="4162"/>
      <c r="I594" s="4162">
        <v>705</v>
      </c>
      <c r="J594" s="4162" t="s">
        <v>6182</v>
      </c>
      <c r="K594" s="4464" t="s">
        <v>84</v>
      </c>
      <c r="L594" s="4347" t="s">
        <v>37</v>
      </c>
      <c r="M594" s="924"/>
      <c r="N594" s="47"/>
      <c r="O594" s="47"/>
      <c r="S594" s="924"/>
      <c r="T594" s="924"/>
      <c r="U594" s="924"/>
      <c r="X594" s="924"/>
    </row>
    <row r="595" spans="2:24" ht="52.5">
      <c r="B595" s="5035">
        <v>46146</v>
      </c>
      <c r="C595" s="3165" t="s">
        <v>6166</v>
      </c>
      <c r="D595" s="4162">
        <v>415</v>
      </c>
      <c r="E595" s="4162" t="s">
        <v>80</v>
      </c>
      <c r="F595" s="4162" t="s">
        <v>2813</v>
      </c>
      <c r="G595" s="4162"/>
      <c r="H595" s="4162"/>
      <c r="I595" s="4162">
        <v>705</v>
      </c>
      <c r="J595" s="4162" t="s">
        <v>969</v>
      </c>
      <c r="K595" s="4347"/>
      <c r="L595" s="4347"/>
      <c r="M595" s="4347" t="s">
        <v>37</v>
      </c>
      <c r="N595" s="47"/>
      <c r="O595" s="47"/>
      <c r="P595" s="5107" t="s">
        <v>109</v>
      </c>
      <c r="Q595" s="5107" t="s">
        <v>255</v>
      </c>
      <c r="R595" s="5107" t="s">
        <v>6120</v>
      </c>
      <c r="S595" s="4347" t="s">
        <v>37</v>
      </c>
      <c r="T595" s="924"/>
      <c r="U595" s="924"/>
      <c r="X595" s="924" t="s">
        <v>6194</v>
      </c>
    </row>
    <row r="596" spans="2:24" ht="31.5">
      <c r="B596" s="5035">
        <v>46146</v>
      </c>
      <c r="C596" s="3165" t="s">
        <v>6166</v>
      </c>
      <c r="D596" s="4162">
        <v>416</v>
      </c>
      <c r="E596" s="4162" t="s">
        <v>204</v>
      </c>
      <c r="F596" s="4162" t="s">
        <v>888</v>
      </c>
      <c r="G596" s="4162"/>
      <c r="H596" s="4162"/>
      <c r="I596" s="4162">
        <v>705</v>
      </c>
      <c r="J596" s="4162" t="s">
        <v>6183</v>
      </c>
      <c r="K596" s="924"/>
      <c r="L596" s="4347" t="s">
        <v>37</v>
      </c>
      <c r="M596" s="924"/>
      <c r="N596" s="47"/>
      <c r="O596" s="47"/>
      <c r="S596" s="924"/>
      <c r="T596" s="924"/>
      <c r="U596" s="924"/>
      <c r="X596" s="924"/>
    </row>
    <row r="597" spans="2:24" ht="31.5">
      <c r="B597" s="5035">
        <v>46147</v>
      </c>
      <c r="C597" s="3165" t="s">
        <v>6166</v>
      </c>
      <c r="D597" s="4162">
        <v>411</v>
      </c>
      <c r="E597" s="4487" t="s">
        <v>148</v>
      </c>
      <c r="F597" s="4487" t="s">
        <v>6169</v>
      </c>
      <c r="G597" s="4487"/>
      <c r="H597" s="4487"/>
      <c r="I597" s="4162">
        <v>707</v>
      </c>
      <c r="J597" s="4162" t="s">
        <v>2105</v>
      </c>
      <c r="K597" s="924"/>
      <c r="L597" s="4347" t="s">
        <v>37</v>
      </c>
      <c r="M597" s="924"/>
      <c r="N597" s="47"/>
      <c r="O597" s="47"/>
      <c r="S597" s="924"/>
      <c r="T597" s="924"/>
      <c r="U597" s="924"/>
      <c r="X597" s="924"/>
    </row>
    <row r="598" spans="2:24" ht="31.5">
      <c r="B598" s="5035">
        <v>46147</v>
      </c>
      <c r="C598" s="3165" t="s">
        <v>6166</v>
      </c>
      <c r="D598" s="4162">
        <v>412</v>
      </c>
      <c r="E598" s="4239" t="s">
        <v>169</v>
      </c>
      <c r="F598" s="4239" t="s">
        <v>4345</v>
      </c>
      <c r="G598" s="4239"/>
      <c r="H598" s="4239"/>
      <c r="I598" s="4162">
        <v>707</v>
      </c>
      <c r="J598" s="4162" t="s">
        <v>6181</v>
      </c>
      <c r="K598" s="924"/>
      <c r="L598" s="4347" t="s">
        <v>37</v>
      </c>
      <c r="M598" s="924"/>
      <c r="N598" s="47"/>
      <c r="O598" s="47"/>
      <c r="S598" s="924"/>
      <c r="T598" s="924"/>
      <c r="U598" s="924"/>
      <c r="X598" s="924"/>
    </row>
    <row r="599" spans="2:24" ht="31.5">
      <c r="B599" s="5035">
        <v>46147</v>
      </c>
      <c r="C599" s="3165" t="s">
        <v>6166</v>
      </c>
      <c r="D599" s="4162">
        <v>417</v>
      </c>
      <c r="E599" s="4198" t="s">
        <v>577</v>
      </c>
      <c r="F599" s="4198" t="s">
        <v>3225</v>
      </c>
      <c r="G599" s="4198"/>
      <c r="H599" s="4198"/>
      <c r="I599" s="4162">
        <v>701</v>
      </c>
      <c r="J599" s="4162" t="s">
        <v>594</v>
      </c>
      <c r="K599" s="924"/>
      <c r="L599" s="4347" t="s">
        <v>37</v>
      </c>
      <c r="M599" s="924"/>
      <c r="N599" s="47"/>
      <c r="O599" s="47"/>
      <c r="S599" s="924"/>
      <c r="T599" s="924"/>
      <c r="U599" s="924"/>
      <c r="X599" s="924"/>
    </row>
    <row r="600" spans="2:24" ht="31.5">
      <c r="B600" s="5035">
        <v>46147</v>
      </c>
      <c r="C600" s="3165" t="s">
        <v>6166</v>
      </c>
      <c r="D600" s="4162">
        <v>417</v>
      </c>
      <c r="E600" s="4198" t="s">
        <v>1465</v>
      </c>
      <c r="F600" s="4198" t="s">
        <v>1409</v>
      </c>
      <c r="G600" s="4198"/>
      <c r="H600" s="4198"/>
      <c r="I600" s="4162">
        <v>701</v>
      </c>
      <c r="J600" s="4162" t="s">
        <v>621</v>
      </c>
      <c r="K600" s="924"/>
      <c r="L600" s="4347" t="s">
        <v>37</v>
      </c>
      <c r="M600" s="924"/>
      <c r="N600" s="47"/>
      <c r="O600" s="47"/>
      <c r="S600" s="924"/>
      <c r="T600" s="924"/>
      <c r="U600" s="924"/>
      <c r="X600" s="924"/>
    </row>
    <row r="601" spans="2:24" ht="31.5">
      <c r="B601" s="5035">
        <v>46147</v>
      </c>
      <c r="C601" s="3165" t="s">
        <v>6166</v>
      </c>
      <c r="D601" s="4162">
        <v>418</v>
      </c>
      <c r="E601" s="4162" t="s">
        <v>1005</v>
      </c>
      <c r="F601" s="4162" t="s">
        <v>48</v>
      </c>
      <c r="G601" s="4162"/>
      <c r="H601" s="4162"/>
      <c r="I601" s="4162">
        <v>705</v>
      </c>
      <c r="J601" s="4280" t="s">
        <v>6184</v>
      </c>
      <c r="K601" s="924"/>
      <c r="L601" s="4347" t="s">
        <v>37</v>
      </c>
      <c r="M601" s="924"/>
      <c r="N601" s="47"/>
      <c r="O601" s="47"/>
      <c r="S601" s="924"/>
      <c r="T601" s="924"/>
      <c r="U601" s="924"/>
      <c r="X601" s="924" t="s">
        <v>6192</v>
      </c>
    </row>
    <row r="602" spans="2:24" ht="31.5">
      <c r="B602" s="5035">
        <v>46147</v>
      </c>
      <c r="C602" s="3165" t="s">
        <v>6166</v>
      </c>
      <c r="D602" s="4162">
        <v>419</v>
      </c>
      <c r="E602" s="4287" t="s">
        <v>6167</v>
      </c>
      <c r="F602" s="4287" t="s">
        <v>209</v>
      </c>
      <c r="G602" s="4287"/>
      <c r="H602" s="4287"/>
      <c r="I602" s="4162">
        <v>707</v>
      </c>
      <c r="J602" s="4162" t="s">
        <v>6185</v>
      </c>
      <c r="K602" s="924"/>
      <c r="L602" s="4347" t="s">
        <v>37</v>
      </c>
      <c r="M602" s="924"/>
      <c r="N602" s="47"/>
      <c r="O602" s="47"/>
      <c r="S602" s="924"/>
      <c r="T602" s="924"/>
      <c r="U602" s="924"/>
      <c r="X602" s="924"/>
    </row>
    <row r="603" spans="2:24" ht="31.5">
      <c r="B603" s="5035">
        <v>46147</v>
      </c>
      <c r="C603" s="3165" t="s">
        <v>6166</v>
      </c>
      <c r="D603" s="4162">
        <v>420</v>
      </c>
      <c r="E603" s="4162" t="s">
        <v>6170</v>
      </c>
      <c r="F603" s="4162" t="s">
        <v>148</v>
      </c>
      <c r="G603" s="4162"/>
      <c r="H603" s="4162"/>
      <c r="I603" s="4162">
        <v>707</v>
      </c>
      <c r="J603" s="4162" t="s">
        <v>902</v>
      </c>
      <c r="K603" s="924"/>
      <c r="L603" s="4347" t="s">
        <v>37</v>
      </c>
      <c r="M603" s="924"/>
      <c r="N603" s="47"/>
      <c r="O603" s="47"/>
      <c r="S603" s="924"/>
      <c r="T603" s="924"/>
      <c r="U603" s="924"/>
      <c r="X603" s="924"/>
    </row>
    <row r="604" spans="2:24" ht="31.5">
      <c r="B604" s="5035">
        <v>46147</v>
      </c>
      <c r="C604" s="3165" t="s">
        <v>6166</v>
      </c>
      <c r="D604" s="4162">
        <v>421</v>
      </c>
      <c r="E604" s="4162" t="s">
        <v>80</v>
      </c>
      <c r="F604" s="4162" t="s">
        <v>2813</v>
      </c>
      <c r="G604" s="4162"/>
      <c r="H604" s="4162"/>
      <c r="I604" s="4162">
        <v>705</v>
      </c>
      <c r="J604" s="4162" t="s">
        <v>969</v>
      </c>
      <c r="K604" s="4347"/>
      <c r="L604" s="4347" t="s">
        <v>37</v>
      </c>
      <c r="M604" s="4347"/>
      <c r="N604" s="47"/>
      <c r="O604" s="47"/>
      <c r="S604" s="4347"/>
      <c r="T604" s="4347" t="s">
        <v>37</v>
      </c>
      <c r="U604" s="924"/>
      <c r="X604" s="924"/>
    </row>
    <row r="605" spans="2:24" ht="31.5">
      <c r="B605" s="5035">
        <v>46148</v>
      </c>
      <c r="C605" s="3165" t="s">
        <v>6166</v>
      </c>
      <c r="D605" s="4162">
        <v>411</v>
      </c>
      <c r="E605" s="4487" t="s">
        <v>97</v>
      </c>
      <c r="F605" s="4487" t="s">
        <v>6171</v>
      </c>
      <c r="G605" s="4487"/>
      <c r="H605" s="4487"/>
      <c r="I605" s="4162">
        <v>707</v>
      </c>
      <c r="J605" s="4162" t="s">
        <v>6186</v>
      </c>
      <c r="K605" s="924"/>
      <c r="L605" s="4347" t="s">
        <v>37</v>
      </c>
      <c r="M605" s="924"/>
      <c r="N605" s="47"/>
      <c r="O605" s="47"/>
      <c r="S605" s="924"/>
      <c r="T605" s="924"/>
      <c r="U605" s="924"/>
      <c r="X605" s="924"/>
    </row>
    <row r="606" spans="2:24" ht="31.5">
      <c r="B606" s="5035">
        <v>46148</v>
      </c>
      <c r="C606" s="3165" t="s">
        <v>6166</v>
      </c>
      <c r="D606" s="4162">
        <v>419</v>
      </c>
      <c r="E606" s="4287" t="s">
        <v>169</v>
      </c>
      <c r="F606" s="4287" t="s">
        <v>6172</v>
      </c>
      <c r="G606" s="4287"/>
      <c r="H606" s="4287"/>
      <c r="I606" s="4162">
        <v>707</v>
      </c>
      <c r="J606" s="4162" t="s">
        <v>6185</v>
      </c>
      <c r="K606" s="924"/>
      <c r="L606" s="4347" t="s">
        <v>37</v>
      </c>
      <c r="M606" s="924"/>
      <c r="N606" s="47"/>
      <c r="O606" s="47"/>
      <c r="S606" s="924"/>
      <c r="T606" s="924"/>
      <c r="U606" s="924"/>
      <c r="X606" s="924"/>
    </row>
    <row r="607" spans="2:24" ht="31.5">
      <c r="B607" s="5035">
        <v>46148</v>
      </c>
      <c r="C607" s="3165" t="s">
        <v>6166</v>
      </c>
      <c r="D607" s="4162">
        <v>422</v>
      </c>
      <c r="E607" s="4198" t="s">
        <v>577</v>
      </c>
      <c r="F607" s="4198" t="s">
        <v>3225</v>
      </c>
      <c r="G607" s="4198"/>
      <c r="H607" s="4198"/>
      <c r="I607" s="4162">
        <v>701</v>
      </c>
      <c r="J607" s="4162" t="s">
        <v>594</v>
      </c>
      <c r="K607" s="924"/>
      <c r="L607" s="4347" t="s">
        <v>37</v>
      </c>
      <c r="M607" s="924"/>
      <c r="N607" s="47"/>
      <c r="O607" s="47"/>
      <c r="S607" s="924"/>
      <c r="T607" s="924"/>
      <c r="U607" s="924"/>
      <c r="X607" s="924"/>
    </row>
    <row r="608" spans="2:24" ht="31.5">
      <c r="B608" s="5035">
        <v>46148</v>
      </c>
      <c r="C608" s="3165" t="s">
        <v>6166</v>
      </c>
      <c r="D608" s="4162">
        <v>422</v>
      </c>
      <c r="E608" s="4198" t="s">
        <v>1465</v>
      </c>
      <c r="F608" s="4198" t="s">
        <v>1409</v>
      </c>
      <c r="G608" s="4198"/>
      <c r="H608" s="4198"/>
      <c r="I608" s="4162">
        <v>701</v>
      </c>
      <c r="J608" s="4162" t="s">
        <v>621</v>
      </c>
      <c r="K608" s="924"/>
      <c r="L608" s="4347" t="s">
        <v>37</v>
      </c>
      <c r="M608" s="924"/>
      <c r="N608" s="47"/>
      <c r="O608" s="47"/>
      <c r="S608" s="924"/>
      <c r="T608" s="924"/>
      <c r="U608" s="924"/>
      <c r="X608" s="924"/>
    </row>
    <row r="609" spans="2:24" ht="31.5">
      <c r="B609" s="5035">
        <v>46148</v>
      </c>
      <c r="C609" s="3165" t="s">
        <v>6166</v>
      </c>
      <c r="D609" s="4162">
        <v>423</v>
      </c>
      <c r="E609" s="4162" t="s">
        <v>1473</v>
      </c>
      <c r="F609" s="4162" t="s">
        <v>847</v>
      </c>
      <c r="G609" s="4162"/>
      <c r="H609" s="4162"/>
      <c r="I609" s="4162">
        <v>707</v>
      </c>
      <c r="J609" s="4280" t="s">
        <v>767</v>
      </c>
      <c r="K609" s="924"/>
      <c r="L609" s="4347" t="s">
        <v>37</v>
      </c>
      <c r="M609" s="924"/>
      <c r="N609" s="47"/>
      <c r="O609" s="47"/>
      <c r="S609" s="924"/>
      <c r="T609" s="924"/>
      <c r="U609" s="924"/>
      <c r="X609" s="924"/>
    </row>
    <row r="610" spans="2:24" ht="31.5">
      <c r="B610" s="5035">
        <v>46148</v>
      </c>
      <c r="C610" s="3165" t="s">
        <v>6166</v>
      </c>
      <c r="D610" s="4162">
        <v>424</v>
      </c>
      <c r="E610" s="4171" t="s">
        <v>2232</v>
      </c>
      <c r="F610" s="4171" t="s">
        <v>659</v>
      </c>
      <c r="G610" s="4171"/>
      <c r="H610" s="4171"/>
      <c r="I610" s="4162">
        <v>707</v>
      </c>
      <c r="J610" s="4162" t="s">
        <v>6090</v>
      </c>
      <c r="K610" s="4464" t="s">
        <v>627</v>
      </c>
      <c r="L610" s="924" t="s">
        <v>37</v>
      </c>
      <c r="M610" s="924"/>
      <c r="N610" s="47"/>
      <c r="O610" s="47"/>
      <c r="S610" s="924"/>
      <c r="T610" s="924"/>
      <c r="U610" s="924"/>
      <c r="X610" s="924"/>
    </row>
    <row r="611" spans="2:24" ht="31.5">
      <c r="B611" s="5035">
        <v>46148</v>
      </c>
      <c r="C611" s="3165" t="s">
        <v>6166</v>
      </c>
      <c r="D611" s="4162">
        <v>425</v>
      </c>
      <c r="E611" s="4991" t="s">
        <v>168</v>
      </c>
      <c r="F611" s="4991" t="s">
        <v>263</v>
      </c>
      <c r="G611" s="4991"/>
      <c r="H611" s="4991"/>
      <c r="I611" s="4162">
        <v>712</v>
      </c>
      <c r="J611" s="4162" t="s">
        <v>6187</v>
      </c>
      <c r="K611" s="924"/>
      <c r="L611" s="4347" t="s">
        <v>37</v>
      </c>
      <c r="M611" s="924"/>
      <c r="N611" s="47"/>
      <c r="O611" s="47"/>
      <c r="S611" s="924"/>
      <c r="T611" s="924"/>
      <c r="U611" s="924"/>
      <c r="X611" s="924"/>
    </row>
    <row r="612" spans="2:24" ht="31.5">
      <c r="B612" s="5035">
        <v>46148</v>
      </c>
      <c r="C612" s="3165" t="s">
        <v>6166</v>
      </c>
      <c r="D612" s="4162">
        <v>426</v>
      </c>
      <c r="E612" s="4976" t="s">
        <v>6173</v>
      </c>
      <c r="F612" s="4976" t="s">
        <v>263</v>
      </c>
      <c r="G612" s="4976"/>
      <c r="H612" s="4976"/>
      <c r="I612" s="4162">
        <v>707</v>
      </c>
      <c r="J612" s="4162">
        <v>60086</v>
      </c>
      <c r="K612" s="4464" t="s">
        <v>84</v>
      </c>
      <c r="L612" s="924" t="s">
        <v>37</v>
      </c>
      <c r="M612" s="924"/>
      <c r="N612" s="47"/>
      <c r="O612" s="47"/>
      <c r="S612" s="924"/>
      <c r="T612" s="924"/>
      <c r="U612" s="924"/>
      <c r="X612" s="924"/>
    </row>
    <row r="613" spans="2:24" ht="31.5">
      <c r="B613" s="5035">
        <v>46149</v>
      </c>
      <c r="C613" s="3165" t="s">
        <v>6166</v>
      </c>
      <c r="D613" s="4162">
        <v>419</v>
      </c>
      <c r="E613" s="4287" t="s">
        <v>742</v>
      </c>
      <c r="F613" s="4287" t="s">
        <v>1946</v>
      </c>
      <c r="G613" s="4287"/>
      <c r="H613" s="4287"/>
      <c r="I613" s="4162">
        <v>707</v>
      </c>
      <c r="J613" s="4162" t="s">
        <v>6188</v>
      </c>
      <c r="K613" s="924"/>
      <c r="L613" s="924" t="s">
        <v>37</v>
      </c>
      <c r="M613" s="924"/>
      <c r="N613" s="47"/>
      <c r="O613" s="47"/>
      <c r="S613" s="924"/>
      <c r="T613" s="924"/>
      <c r="U613" s="924"/>
      <c r="X613" s="924"/>
    </row>
    <row r="614" spans="2:24" ht="31.5">
      <c r="B614" s="5035">
        <v>46149</v>
      </c>
      <c r="C614" s="3165" t="s">
        <v>6166</v>
      </c>
      <c r="D614" s="4162">
        <v>424</v>
      </c>
      <c r="E614" s="4171" t="s">
        <v>2255</v>
      </c>
      <c r="F614" s="4171" t="s">
        <v>808</v>
      </c>
      <c r="G614" s="4171"/>
      <c r="H614" s="4171"/>
      <c r="I614" s="4162">
        <v>707</v>
      </c>
      <c r="J614" s="4162" t="s">
        <v>6090</v>
      </c>
      <c r="K614" s="924"/>
      <c r="L614" s="924" t="s">
        <v>37</v>
      </c>
      <c r="M614" s="924"/>
      <c r="N614" s="47"/>
      <c r="O614" s="47"/>
      <c r="S614" s="924"/>
      <c r="T614" s="924"/>
      <c r="U614" s="924"/>
      <c r="X614" s="924"/>
    </row>
    <row r="615" spans="2:24" ht="31.5">
      <c r="B615" s="5035">
        <v>46149</v>
      </c>
      <c r="C615" s="3165" t="s">
        <v>6166</v>
      </c>
      <c r="D615" s="4162">
        <v>425</v>
      </c>
      <c r="E615" s="4991" t="s">
        <v>148</v>
      </c>
      <c r="F615" s="4991" t="s">
        <v>1834</v>
      </c>
      <c r="G615" s="4991"/>
      <c r="H615" s="4991"/>
      <c r="I615" s="4162">
        <v>712</v>
      </c>
      <c r="J615" s="4162" t="s">
        <v>6187</v>
      </c>
      <c r="K615" s="924"/>
      <c r="L615" s="924" t="s">
        <v>37</v>
      </c>
      <c r="M615" s="924"/>
      <c r="N615" s="47"/>
      <c r="O615" s="47"/>
      <c r="S615" s="924"/>
      <c r="T615" s="924"/>
      <c r="U615" s="924"/>
      <c r="X615" s="924"/>
    </row>
    <row r="616" spans="2:24" ht="31.5">
      <c r="B616" s="5035">
        <v>46149</v>
      </c>
      <c r="C616" s="3165" t="s">
        <v>6166</v>
      </c>
      <c r="D616" s="4162">
        <v>426</v>
      </c>
      <c r="E616" s="4976" t="s">
        <v>148</v>
      </c>
      <c r="F616" s="4976" t="s">
        <v>6174</v>
      </c>
      <c r="G616" s="4976"/>
      <c r="H616" s="4976"/>
      <c r="I616" s="4162">
        <v>707</v>
      </c>
      <c r="J616" s="4162" t="s">
        <v>6189</v>
      </c>
      <c r="K616" s="4464" t="s">
        <v>84</v>
      </c>
      <c r="L616" s="924" t="s">
        <v>37</v>
      </c>
      <c r="M616" s="924"/>
      <c r="N616" s="47"/>
      <c r="O616" s="47"/>
      <c r="S616" s="924"/>
      <c r="T616" s="924"/>
      <c r="U616" s="924"/>
      <c r="X616" s="924"/>
    </row>
    <row r="617" spans="2:24" ht="31.5">
      <c r="B617" s="5035">
        <v>46149</v>
      </c>
      <c r="C617" s="3165" t="s">
        <v>6166</v>
      </c>
      <c r="D617" s="4162">
        <v>427</v>
      </c>
      <c r="E617" s="4198" t="s">
        <v>577</v>
      </c>
      <c r="F617" s="4198" t="s">
        <v>3225</v>
      </c>
      <c r="G617" s="4198"/>
      <c r="H617" s="4198"/>
      <c r="I617" s="4162">
        <v>701</v>
      </c>
      <c r="J617" s="4162" t="s">
        <v>594</v>
      </c>
      <c r="K617" s="924"/>
      <c r="L617" s="924" t="s">
        <v>37</v>
      </c>
      <c r="M617" s="924"/>
      <c r="N617" s="47"/>
      <c r="O617" s="47"/>
      <c r="S617" s="924"/>
      <c r="T617" s="924"/>
      <c r="U617" s="924"/>
      <c r="X617" s="924"/>
    </row>
    <row r="618" spans="2:24" ht="52.5">
      <c r="B618" s="5035">
        <v>46149</v>
      </c>
      <c r="C618" s="3165" t="s">
        <v>6166</v>
      </c>
      <c r="D618" s="4162">
        <v>427</v>
      </c>
      <c r="E618" s="4198" t="s">
        <v>1465</v>
      </c>
      <c r="F618" s="4198" t="s">
        <v>1409</v>
      </c>
      <c r="G618" s="4198"/>
      <c r="H618" s="4198"/>
      <c r="I618" s="4162">
        <v>701</v>
      </c>
      <c r="J618" s="4280" t="s">
        <v>621</v>
      </c>
      <c r="K618" s="924"/>
      <c r="L618" s="4347"/>
      <c r="M618" s="924" t="s">
        <v>37</v>
      </c>
      <c r="N618" s="47"/>
      <c r="O618" s="47"/>
      <c r="P618" s="5107" t="s">
        <v>0</v>
      </c>
      <c r="Q618" s="5107" t="s">
        <v>187</v>
      </c>
      <c r="R618" s="5107" t="s">
        <v>6118</v>
      </c>
      <c r="S618" s="924"/>
      <c r="T618" s="924"/>
      <c r="U618" s="924"/>
      <c r="X618" s="924" t="s">
        <v>6193</v>
      </c>
    </row>
    <row r="619" spans="2:24" ht="31.5">
      <c r="B619" s="5035">
        <v>46149</v>
      </c>
      <c r="C619" s="3165" t="s">
        <v>6166</v>
      </c>
      <c r="D619" s="4162">
        <v>428</v>
      </c>
      <c r="E619" s="4239" t="s">
        <v>4278</v>
      </c>
      <c r="F619" s="4239" t="s">
        <v>4746</v>
      </c>
      <c r="G619" s="4239"/>
      <c r="H619" s="4239"/>
      <c r="I619" s="4162">
        <v>705</v>
      </c>
      <c r="J619" s="4162" t="s">
        <v>6190</v>
      </c>
      <c r="K619" s="924"/>
      <c r="L619" s="924" t="s">
        <v>37</v>
      </c>
      <c r="M619" s="924"/>
      <c r="N619" s="47"/>
      <c r="O619" s="47"/>
      <c r="S619" s="924"/>
      <c r="T619" s="924"/>
      <c r="U619" s="924"/>
      <c r="X619" s="924"/>
    </row>
    <row r="620" spans="2:24" ht="31.5">
      <c r="B620" s="5035">
        <v>46149</v>
      </c>
      <c r="C620" s="3165" t="s">
        <v>6166</v>
      </c>
      <c r="D620" s="4162">
        <v>428</v>
      </c>
      <c r="E620" s="4239" t="s">
        <v>675</v>
      </c>
      <c r="F620" s="4239" t="s">
        <v>6175</v>
      </c>
      <c r="G620" s="4239"/>
      <c r="H620" s="4239"/>
      <c r="I620" s="4162">
        <v>705</v>
      </c>
      <c r="J620" s="4162" t="s">
        <v>5412</v>
      </c>
      <c r="K620" s="924"/>
      <c r="L620" s="924" t="s">
        <v>37</v>
      </c>
      <c r="M620" s="924"/>
      <c r="N620" s="47"/>
      <c r="O620" s="47"/>
      <c r="S620" s="924"/>
      <c r="T620" s="924"/>
      <c r="U620" s="924"/>
      <c r="X620" s="924"/>
    </row>
    <row r="621" spans="2:24" ht="31.5">
      <c r="B621" s="5035">
        <v>46149</v>
      </c>
      <c r="C621" s="3165" t="s">
        <v>6166</v>
      </c>
      <c r="D621" s="4162">
        <v>429</v>
      </c>
      <c r="E621" s="4162" t="s">
        <v>1005</v>
      </c>
      <c r="F621" s="4162" t="s">
        <v>6176</v>
      </c>
      <c r="G621" s="4162"/>
      <c r="H621" s="4162"/>
      <c r="I621" s="4162">
        <v>707</v>
      </c>
      <c r="J621" s="4162" t="s">
        <v>780</v>
      </c>
      <c r="K621" s="924"/>
      <c r="L621" s="924" t="s">
        <v>37</v>
      </c>
      <c r="M621" s="924"/>
      <c r="N621" s="47"/>
      <c r="O621" s="47"/>
      <c r="P621" s="5107"/>
      <c r="Q621" s="5107"/>
      <c r="R621" s="5107"/>
      <c r="S621" s="924"/>
      <c r="T621" s="924"/>
      <c r="U621" s="924"/>
      <c r="X621" s="924"/>
    </row>
    <row r="622" spans="2:24" ht="31.5">
      <c r="B622" s="5035">
        <v>46149</v>
      </c>
      <c r="C622" s="3165" t="s">
        <v>6166</v>
      </c>
      <c r="D622" s="4162">
        <v>430</v>
      </c>
      <c r="E622" s="4162" t="s">
        <v>148</v>
      </c>
      <c r="F622" s="4162" t="s">
        <v>6177</v>
      </c>
      <c r="G622" s="4162"/>
      <c r="H622" s="4162"/>
      <c r="I622" s="4162">
        <v>707</v>
      </c>
      <c r="J622" s="4162" t="s">
        <v>813</v>
      </c>
      <c r="K622" s="4464" t="s">
        <v>84</v>
      </c>
      <c r="L622" s="924" t="s">
        <v>37</v>
      </c>
      <c r="M622" s="924"/>
      <c r="N622" s="47"/>
      <c r="O622" s="47"/>
      <c r="S622" s="924"/>
      <c r="T622" s="924"/>
      <c r="U622" s="924"/>
      <c r="X622" s="924"/>
    </row>
    <row r="623" spans="2:24" ht="31.5">
      <c r="B623" s="5035">
        <v>46149</v>
      </c>
      <c r="C623" s="3165" t="s">
        <v>6166</v>
      </c>
      <c r="D623" s="4162">
        <v>431</v>
      </c>
      <c r="E623" s="4286" t="s">
        <v>148</v>
      </c>
      <c r="F623" s="4286" t="s">
        <v>44</v>
      </c>
      <c r="G623" s="4286"/>
      <c r="H623" s="4286"/>
      <c r="I623" s="4162">
        <v>707</v>
      </c>
      <c r="J623" s="4162" t="s">
        <v>2105</v>
      </c>
      <c r="K623" s="924"/>
      <c r="L623" s="924" t="s">
        <v>37</v>
      </c>
      <c r="M623" s="924"/>
      <c r="N623" s="47"/>
      <c r="O623" s="47"/>
      <c r="S623" s="924"/>
      <c r="T623" s="924"/>
      <c r="U623" s="924"/>
      <c r="X623" s="924"/>
    </row>
    <row r="624" spans="2:24" ht="31.5">
      <c r="B624" s="5035">
        <v>46149</v>
      </c>
      <c r="C624" s="3165" t="s">
        <v>6166</v>
      </c>
      <c r="D624" s="4162">
        <v>431</v>
      </c>
      <c r="E624" s="4286" t="s">
        <v>48</v>
      </c>
      <c r="F624" s="4286" t="s">
        <v>6178</v>
      </c>
      <c r="G624" s="4286"/>
      <c r="H624" s="4286"/>
      <c r="I624" s="4162">
        <v>707</v>
      </c>
      <c r="J624" s="4162" t="s">
        <v>6191</v>
      </c>
      <c r="K624" s="924"/>
      <c r="L624" s="924" t="s">
        <v>37</v>
      </c>
      <c r="M624" s="924"/>
      <c r="N624" s="47"/>
      <c r="O624" s="47"/>
      <c r="S624" s="924"/>
      <c r="T624" s="924"/>
      <c r="U624" s="924"/>
      <c r="X624" s="924"/>
    </row>
    <row r="625" spans="2:24" ht="31.5">
      <c r="B625" s="5035">
        <v>46153</v>
      </c>
      <c r="C625" s="3165" t="s">
        <v>2296</v>
      </c>
      <c r="D625" s="3165" t="s">
        <v>2170</v>
      </c>
      <c r="E625" s="4162" t="s">
        <v>1465</v>
      </c>
      <c r="F625" s="4162" t="s">
        <v>1604</v>
      </c>
      <c r="G625" s="4162"/>
      <c r="H625" s="4162"/>
      <c r="I625" s="4162">
        <v>701</v>
      </c>
      <c r="J625" s="4162" t="s">
        <v>621</v>
      </c>
      <c r="K625" s="1032"/>
      <c r="L625" s="4368" t="s">
        <v>37</v>
      </c>
      <c r="M625" s="1032"/>
      <c r="N625" s="316"/>
      <c r="O625" s="316"/>
      <c r="S625" s="1032"/>
      <c r="T625" s="1032"/>
      <c r="U625" s="1032"/>
      <c r="X625" s="1032"/>
    </row>
    <row r="626" spans="2:24" ht="31.5">
      <c r="B626" s="5035">
        <v>46153</v>
      </c>
      <c r="C626" s="3165" t="s">
        <v>2296</v>
      </c>
      <c r="D626" s="3165" t="s">
        <v>2173</v>
      </c>
      <c r="E626" s="4244" t="s">
        <v>6195</v>
      </c>
      <c r="F626" s="4244" t="s">
        <v>2769</v>
      </c>
      <c r="G626" s="4244"/>
      <c r="H626" s="4244"/>
      <c r="I626" s="4162">
        <v>707</v>
      </c>
      <c r="J626" s="4162" t="s">
        <v>6207</v>
      </c>
      <c r="K626" s="1032"/>
      <c r="L626" s="4368" t="s">
        <v>37</v>
      </c>
      <c r="M626" s="1032"/>
      <c r="N626" s="316"/>
      <c r="O626" s="316"/>
      <c r="S626" s="1032"/>
      <c r="T626" s="1032"/>
      <c r="U626" s="1032"/>
      <c r="X626" s="1032"/>
    </row>
    <row r="627" spans="2:24" ht="31.5">
      <c r="B627" s="5035">
        <v>46153</v>
      </c>
      <c r="C627" s="3165" t="s">
        <v>2296</v>
      </c>
      <c r="D627" s="3165" t="s">
        <v>2174</v>
      </c>
      <c r="E627" s="4179" t="s">
        <v>742</v>
      </c>
      <c r="F627" s="4179" t="s">
        <v>77</v>
      </c>
      <c r="G627" s="4179"/>
      <c r="H627" s="4179"/>
      <c r="I627" s="4162">
        <v>705</v>
      </c>
      <c r="J627" s="4162" t="s">
        <v>1710</v>
      </c>
      <c r="K627" s="1032"/>
      <c r="L627" s="4368" t="s">
        <v>37</v>
      </c>
      <c r="M627" s="1032"/>
      <c r="N627" s="316"/>
      <c r="O627" s="316"/>
      <c r="S627" s="1032"/>
      <c r="T627" s="1032"/>
      <c r="U627" s="1032"/>
      <c r="X627" s="1032"/>
    </row>
    <row r="628" spans="2:24" ht="31.5">
      <c r="B628" s="5035">
        <v>46153</v>
      </c>
      <c r="C628" s="3165" t="s">
        <v>2296</v>
      </c>
      <c r="D628" s="3165" t="s">
        <v>2174</v>
      </c>
      <c r="E628" s="5124" t="s">
        <v>156</v>
      </c>
      <c r="F628" s="5124" t="s">
        <v>4194</v>
      </c>
      <c r="G628" s="4581"/>
      <c r="H628" s="4581"/>
      <c r="I628" s="4162">
        <v>705</v>
      </c>
      <c r="J628" s="4281" t="s">
        <v>6208</v>
      </c>
      <c r="K628" s="924"/>
      <c r="L628" s="4347"/>
      <c r="M628" s="924" t="s">
        <v>37</v>
      </c>
      <c r="N628" s="47"/>
      <c r="O628" s="47"/>
      <c r="P628" s="5107" t="s">
        <v>0</v>
      </c>
      <c r="Q628" s="5107" t="s">
        <v>187</v>
      </c>
      <c r="R628" s="21" t="s">
        <v>6120</v>
      </c>
      <c r="S628" s="924"/>
      <c r="T628" s="924"/>
      <c r="U628" s="924"/>
      <c r="X628" s="924"/>
    </row>
    <row r="629" spans="2:24" ht="31.5">
      <c r="B629" s="5035">
        <v>46153</v>
      </c>
      <c r="C629" s="3165" t="s">
        <v>2296</v>
      </c>
      <c r="D629" s="3750" t="s">
        <v>2177</v>
      </c>
      <c r="E629" s="4162" t="s">
        <v>6177</v>
      </c>
      <c r="F629" s="4162" t="s">
        <v>148</v>
      </c>
      <c r="G629" s="4988"/>
      <c r="H629" s="4988"/>
      <c r="I629" s="4988">
        <v>707</v>
      </c>
      <c r="J629" s="4247" t="s">
        <v>813</v>
      </c>
      <c r="K629" s="1005"/>
      <c r="L629" s="4444" t="s">
        <v>37</v>
      </c>
      <c r="M629" s="1005"/>
      <c r="N629" s="1045"/>
      <c r="O629" s="1045"/>
      <c r="S629" s="1005"/>
      <c r="T629" s="1005"/>
      <c r="U629" s="1005"/>
      <c r="X629" s="1005"/>
    </row>
    <row r="630" spans="2:24" ht="31.5">
      <c r="B630" s="5035">
        <v>46153</v>
      </c>
      <c r="C630" s="3165" t="s">
        <v>2296</v>
      </c>
      <c r="D630" s="3750" t="s">
        <v>2181</v>
      </c>
      <c r="E630" s="4162" t="s">
        <v>148</v>
      </c>
      <c r="F630" s="4162" t="s">
        <v>742</v>
      </c>
      <c r="G630" s="4988"/>
      <c r="H630" s="4988"/>
      <c r="I630" s="4988">
        <v>705</v>
      </c>
      <c r="J630" s="4247" t="s">
        <v>6090</v>
      </c>
      <c r="K630" s="1005"/>
      <c r="L630" s="4444" t="s">
        <v>37</v>
      </c>
      <c r="M630" s="1005"/>
      <c r="N630" s="1045"/>
      <c r="O630" s="1045"/>
      <c r="S630" s="1005"/>
      <c r="T630" s="1005"/>
      <c r="U630" s="1005"/>
      <c r="X630" s="1005"/>
    </row>
    <row r="631" spans="2:24" ht="31.5">
      <c r="B631" s="5035">
        <v>46153</v>
      </c>
      <c r="C631" s="3165" t="s">
        <v>2296</v>
      </c>
      <c r="D631" s="3750" t="s">
        <v>2183</v>
      </c>
      <c r="E631" s="4165" t="s">
        <v>156</v>
      </c>
      <c r="F631" s="4165" t="s">
        <v>6196</v>
      </c>
      <c r="G631" s="5145"/>
      <c r="H631" s="5145"/>
      <c r="I631" s="4988">
        <v>707</v>
      </c>
      <c r="J631" s="4247" t="s">
        <v>6209</v>
      </c>
      <c r="K631" s="4371" t="s">
        <v>84</v>
      </c>
      <c r="L631" s="4444" t="s">
        <v>37</v>
      </c>
      <c r="M631" s="1005"/>
      <c r="N631" s="1045"/>
      <c r="O631" s="1045"/>
      <c r="S631" s="1005"/>
      <c r="T631" s="1005"/>
      <c r="U631" s="1005"/>
      <c r="X631" s="1005"/>
    </row>
    <row r="632" spans="2:24" ht="31.5">
      <c r="B632" s="5035">
        <v>46153</v>
      </c>
      <c r="C632" s="3165" t="s">
        <v>2296</v>
      </c>
      <c r="D632" s="3750" t="s">
        <v>2188</v>
      </c>
      <c r="E632" s="4162" t="s">
        <v>296</v>
      </c>
      <c r="F632" s="4162" t="s">
        <v>6197</v>
      </c>
      <c r="G632" s="4988"/>
      <c r="H632" s="4988"/>
      <c r="I632" s="4988">
        <v>707</v>
      </c>
      <c r="J632" s="4247" t="s">
        <v>2105</v>
      </c>
      <c r="K632" s="4371" t="s">
        <v>84</v>
      </c>
      <c r="L632" s="4444" t="s">
        <v>37</v>
      </c>
      <c r="M632" s="1005"/>
      <c r="N632" s="1045"/>
      <c r="O632" s="1045"/>
      <c r="S632" s="1005"/>
      <c r="T632" s="1005"/>
      <c r="U632" s="1005"/>
      <c r="X632" s="1005"/>
    </row>
    <row r="633" spans="2:24" ht="31.5">
      <c r="B633" s="5035">
        <v>46154</v>
      </c>
      <c r="C633" s="3165" t="s">
        <v>2296</v>
      </c>
      <c r="D633" s="3750" t="s">
        <v>2173</v>
      </c>
      <c r="E633" s="4244" t="s">
        <v>68</v>
      </c>
      <c r="F633" s="4244" t="s">
        <v>6198</v>
      </c>
      <c r="G633" s="5146"/>
      <c r="H633" s="5146"/>
      <c r="I633" s="4979">
        <v>707</v>
      </c>
      <c r="J633" s="4162" t="s">
        <v>6207</v>
      </c>
      <c r="K633" s="1032"/>
      <c r="L633" s="4368"/>
      <c r="M633" s="1032"/>
      <c r="N633" s="316"/>
      <c r="O633" s="316"/>
      <c r="S633" s="1032"/>
      <c r="T633" s="1032"/>
      <c r="U633" s="1032"/>
      <c r="X633" s="1032"/>
    </row>
    <row r="634" spans="2:24" ht="52.5">
      <c r="B634" s="5035">
        <v>46154</v>
      </c>
      <c r="C634" s="3165" t="s">
        <v>2296</v>
      </c>
      <c r="D634" s="3750" t="s">
        <v>2190</v>
      </c>
      <c r="E634" s="4198" t="s">
        <v>577</v>
      </c>
      <c r="F634" s="4198" t="s">
        <v>3225</v>
      </c>
      <c r="G634" s="5147"/>
      <c r="H634" s="5147"/>
      <c r="I634" s="4979">
        <v>701</v>
      </c>
      <c r="J634" s="4162" t="s">
        <v>594</v>
      </c>
      <c r="K634" s="924"/>
      <c r="L634" s="4347"/>
      <c r="M634" s="924" t="s">
        <v>30</v>
      </c>
      <c r="N634" s="47"/>
      <c r="O634" s="47"/>
      <c r="P634" s="5107" t="s">
        <v>122</v>
      </c>
      <c r="Q634" s="5107" t="s">
        <v>122</v>
      </c>
      <c r="R634" s="5107" t="s">
        <v>6118</v>
      </c>
      <c r="S634" s="924"/>
      <c r="T634" s="924"/>
      <c r="U634" s="924"/>
      <c r="X634" s="924" t="s">
        <v>6222</v>
      </c>
    </row>
    <row r="635" spans="2:24" ht="31.5">
      <c r="B635" s="5035">
        <v>46154</v>
      </c>
      <c r="C635" s="3165" t="s">
        <v>2296</v>
      </c>
      <c r="D635" s="3750" t="s">
        <v>2190</v>
      </c>
      <c r="E635" s="4198" t="s">
        <v>1465</v>
      </c>
      <c r="F635" s="4198" t="s">
        <v>1409</v>
      </c>
      <c r="G635" s="5147"/>
      <c r="H635" s="5147"/>
      <c r="I635" s="4979">
        <v>701</v>
      </c>
      <c r="J635" s="4162" t="s">
        <v>621</v>
      </c>
      <c r="K635" s="924"/>
      <c r="L635" s="4347"/>
      <c r="M635" s="924"/>
      <c r="N635" s="47" t="s">
        <v>30</v>
      </c>
      <c r="O635" s="47"/>
      <c r="S635" s="924"/>
      <c r="T635" s="924"/>
      <c r="U635" s="924"/>
      <c r="X635" s="924" t="s">
        <v>6220</v>
      </c>
    </row>
    <row r="636" spans="2:24" ht="31.5">
      <c r="B636" s="5035">
        <v>46154</v>
      </c>
      <c r="C636" s="3165" t="s">
        <v>2296</v>
      </c>
      <c r="D636" s="3750" t="s">
        <v>2192</v>
      </c>
      <c r="E636" s="4162" t="s">
        <v>599</v>
      </c>
      <c r="F636" s="4162" t="s">
        <v>6199</v>
      </c>
      <c r="G636" s="4979"/>
      <c r="H636" s="4979"/>
      <c r="I636" s="4979">
        <v>707</v>
      </c>
      <c r="J636" s="4162" t="s">
        <v>6210</v>
      </c>
      <c r="K636" s="4368"/>
      <c r="L636" s="4368" t="s">
        <v>37</v>
      </c>
      <c r="M636" s="4368"/>
      <c r="N636" s="316"/>
      <c r="O636" s="316"/>
      <c r="S636" s="4368"/>
      <c r="T636" s="1032"/>
      <c r="U636" s="1032"/>
      <c r="X636" s="1032"/>
    </row>
    <row r="637" spans="2:24" ht="31.5">
      <c r="B637" s="5035">
        <v>46154</v>
      </c>
      <c r="C637" s="3165" t="s">
        <v>2296</v>
      </c>
      <c r="D637" s="3750" t="s">
        <v>2194</v>
      </c>
      <c r="E637" s="4162" t="s">
        <v>4539</v>
      </c>
      <c r="F637" s="4162" t="s">
        <v>888</v>
      </c>
      <c r="G637" s="4979"/>
      <c r="H637" s="4979"/>
      <c r="I637" s="4979">
        <v>705</v>
      </c>
      <c r="J637" s="4162" t="s">
        <v>6150</v>
      </c>
      <c r="K637" s="1032"/>
      <c r="L637" s="4368"/>
      <c r="M637" s="1032" t="s">
        <v>30</v>
      </c>
      <c r="N637" s="316"/>
      <c r="O637" s="316"/>
      <c r="P637" s="5107" t="s">
        <v>0</v>
      </c>
      <c r="Q637" s="5107" t="s">
        <v>187</v>
      </c>
      <c r="R637" s="5107" t="s">
        <v>6120</v>
      </c>
      <c r="S637" s="1032"/>
      <c r="T637" s="1032"/>
      <c r="U637" s="1032"/>
      <c r="X637" s="1032" t="s">
        <v>6223</v>
      </c>
    </row>
    <row r="638" spans="2:24" ht="31.5">
      <c r="B638" s="5035">
        <v>46154</v>
      </c>
      <c r="C638" s="3165" t="s">
        <v>2296</v>
      </c>
      <c r="D638" s="3750" t="s">
        <v>2195</v>
      </c>
      <c r="E638" s="4162" t="s">
        <v>4539</v>
      </c>
      <c r="F638" s="4162" t="s">
        <v>943</v>
      </c>
      <c r="G638" s="4979"/>
      <c r="H638" s="4979"/>
      <c r="I638" s="4979">
        <v>705</v>
      </c>
      <c r="J638" s="4162" t="s">
        <v>248</v>
      </c>
      <c r="K638" s="4371" t="s">
        <v>84</v>
      </c>
      <c r="L638" s="4368" t="s">
        <v>37</v>
      </c>
      <c r="M638" s="1032"/>
      <c r="N638" s="316"/>
      <c r="O638" s="316"/>
      <c r="S638" s="1032"/>
      <c r="T638" s="1032"/>
      <c r="U638" s="1032"/>
      <c r="X638" s="1032"/>
    </row>
    <row r="639" spans="2:24" ht="31.5">
      <c r="B639" s="5035">
        <v>46155</v>
      </c>
      <c r="C639" s="3165" t="s">
        <v>2296</v>
      </c>
      <c r="D639" s="3750" t="s">
        <v>2173</v>
      </c>
      <c r="E639" s="4244" t="s">
        <v>491</v>
      </c>
      <c r="F639" s="4244" t="s">
        <v>6200</v>
      </c>
      <c r="G639" s="5146"/>
      <c r="H639" s="5146"/>
      <c r="I639" s="4979">
        <v>707</v>
      </c>
      <c r="J639" s="4162" t="s">
        <v>6207</v>
      </c>
      <c r="K639" s="924"/>
      <c r="L639" s="4347" t="s">
        <v>37</v>
      </c>
      <c r="M639" s="924"/>
      <c r="N639" s="47"/>
      <c r="O639" s="47"/>
      <c r="S639" s="924"/>
      <c r="T639" s="924"/>
      <c r="U639" s="924"/>
      <c r="X639" s="924"/>
    </row>
    <row r="640" spans="2:24" ht="31.5">
      <c r="B640" s="5035">
        <v>46155</v>
      </c>
      <c r="C640" s="3165" t="s">
        <v>2296</v>
      </c>
      <c r="D640" s="3750" t="s">
        <v>2199</v>
      </c>
      <c r="E640" s="4162" t="s">
        <v>6201</v>
      </c>
      <c r="F640" s="4162" t="s">
        <v>888</v>
      </c>
      <c r="G640" s="4979"/>
      <c r="H640" s="4979"/>
      <c r="I640" s="4979">
        <v>705</v>
      </c>
      <c r="J640" s="4281" t="s">
        <v>6208</v>
      </c>
      <c r="K640" s="1032"/>
      <c r="L640" s="4368" t="s">
        <v>37</v>
      </c>
      <c r="M640" s="1032"/>
      <c r="N640" s="316"/>
      <c r="O640" s="316"/>
      <c r="S640" s="1032"/>
      <c r="T640" s="1032"/>
      <c r="U640" s="1032" t="s">
        <v>37</v>
      </c>
      <c r="X640" s="1032" t="s">
        <v>6221</v>
      </c>
    </row>
    <row r="641" spans="2:24" ht="31.5">
      <c r="B641" s="5035">
        <v>46155</v>
      </c>
      <c r="C641" s="3165" t="s">
        <v>2296</v>
      </c>
      <c r="D641" s="3750" t="s">
        <v>2201</v>
      </c>
      <c r="E641" s="4198" t="s">
        <v>577</v>
      </c>
      <c r="F641" s="4198" t="s">
        <v>3225</v>
      </c>
      <c r="G641" s="5147"/>
      <c r="H641" s="5147"/>
      <c r="I641" s="4979">
        <v>701</v>
      </c>
      <c r="J641" s="4162" t="s">
        <v>594</v>
      </c>
      <c r="K641" s="924"/>
      <c r="L641" s="4347" t="s">
        <v>37</v>
      </c>
      <c r="M641" s="924"/>
      <c r="N641" s="47"/>
      <c r="O641" s="47"/>
      <c r="S641" s="924"/>
      <c r="T641" s="924"/>
      <c r="U641" s="924"/>
      <c r="X641" s="924"/>
    </row>
    <row r="642" spans="2:24" ht="31.5">
      <c r="B642" s="5035">
        <v>46155</v>
      </c>
      <c r="C642" s="3165" t="s">
        <v>2296</v>
      </c>
      <c r="D642" s="3750" t="s">
        <v>2201</v>
      </c>
      <c r="E642" s="4198" t="s">
        <v>1465</v>
      </c>
      <c r="F642" s="4198" t="s">
        <v>1409</v>
      </c>
      <c r="G642" s="5147"/>
      <c r="H642" s="5147"/>
      <c r="I642" s="4979">
        <v>701</v>
      </c>
      <c r="J642" s="4162" t="s">
        <v>621</v>
      </c>
      <c r="K642" s="924"/>
      <c r="L642" s="4347" t="s">
        <v>37</v>
      </c>
      <c r="M642" s="924"/>
      <c r="N642" s="47"/>
      <c r="O642" s="47"/>
      <c r="S642" s="924"/>
      <c r="T642" s="924"/>
      <c r="U642" s="924"/>
      <c r="X642" s="924"/>
    </row>
    <row r="643" spans="2:24" ht="31.5">
      <c r="B643" s="5035">
        <v>46155</v>
      </c>
      <c r="C643" s="3165" t="s">
        <v>2296</v>
      </c>
      <c r="D643" s="3750" t="s">
        <v>2203</v>
      </c>
      <c r="E643" s="4162" t="s">
        <v>4539</v>
      </c>
      <c r="F643" s="4162" t="s">
        <v>6202</v>
      </c>
      <c r="G643" s="4988"/>
      <c r="H643" s="4988"/>
      <c r="I643" s="4988">
        <v>707</v>
      </c>
      <c r="J643" s="4247" t="s">
        <v>6211</v>
      </c>
      <c r="K643" s="5123"/>
      <c r="L643" s="4444" t="s">
        <v>37</v>
      </c>
      <c r="M643" s="1005"/>
      <c r="N643" s="1045"/>
      <c r="O643" s="1045"/>
      <c r="S643" s="1005"/>
      <c r="T643" s="1005"/>
      <c r="U643" s="1005"/>
      <c r="X643" s="1005"/>
    </row>
    <row r="644" spans="2:24" ht="31.5">
      <c r="B644" s="5035">
        <v>46155</v>
      </c>
      <c r="C644" s="3165" t="s">
        <v>2296</v>
      </c>
      <c r="D644" s="3750" t="s">
        <v>2204</v>
      </c>
      <c r="E644" s="4312" t="s">
        <v>888</v>
      </c>
      <c r="F644" s="4312" t="s">
        <v>183</v>
      </c>
      <c r="G644" s="5148"/>
      <c r="H644" s="5148"/>
      <c r="I644" s="4988">
        <v>707</v>
      </c>
      <c r="J644" s="4247" t="s">
        <v>6181</v>
      </c>
      <c r="K644" s="5123"/>
      <c r="L644" s="4444" t="s">
        <v>37</v>
      </c>
      <c r="M644" s="1005"/>
      <c r="N644" s="1045"/>
      <c r="O644" s="1045"/>
      <c r="S644" s="1005"/>
      <c r="T644" s="1005"/>
      <c r="U644" s="1005"/>
      <c r="X644" s="1005"/>
    </row>
    <row r="645" spans="2:24" ht="31.5">
      <c r="B645" s="5035">
        <v>46155</v>
      </c>
      <c r="C645" s="3165" t="s">
        <v>2296</v>
      </c>
      <c r="D645" s="3750" t="s">
        <v>2204</v>
      </c>
      <c r="E645" s="4312" t="s">
        <v>169</v>
      </c>
      <c r="F645" s="4312" t="s">
        <v>6174</v>
      </c>
      <c r="G645" s="5148"/>
      <c r="H645" s="5148"/>
      <c r="I645" s="4988">
        <v>707</v>
      </c>
      <c r="J645" s="4247" t="s">
        <v>6181</v>
      </c>
      <c r="K645" s="1005"/>
      <c r="L645" s="4444" t="s">
        <v>37</v>
      </c>
      <c r="M645" s="1005"/>
      <c r="N645" s="1045"/>
      <c r="O645" s="1045"/>
      <c r="S645" s="1005"/>
      <c r="T645" s="1005"/>
      <c r="U645" s="1005"/>
      <c r="X645" s="1005"/>
    </row>
    <row r="646" spans="2:24" ht="31.5">
      <c r="B646" s="5035">
        <v>46155</v>
      </c>
      <c r="C646" s="3165" t="s">
        <v>2296</v>
      </c>
      <c r="D646" s="3750" t="s">
        <v>2207</v>
      </c>
      <c r="E646" s="5121" t="s">
        <v>6203</v>
      </c>
      <c r="F646" s="5121" t="s">
        <v>183</v>
      </c>
      <c r="G646" s="5149"/>
      <c r="H646" s="5149"/>
      <c r="I646" s="4988">
        <v>705</v>
      </c>
      <c r="J646" s="4247" t="s">
        <v>6212</v>
      </c>
      <c r="K646" s="1005"/>
      <c r="L646" s="4444" t="s">
        <v>37</v>
      </c>
      <c r="M646" s="1005"/>
      <c r="N646" s="1045"/>
      <c r="O646" s="1045"/>
      <c r="S646" s="1005"/>
      <c r="T646" s="1005"/>
      <c r="U646" s="1005" t="s">
        <v>37</v>
      </c>
      <c r="X646" s="1005"/>
    </row>
    <row r="647" spans="2:24" ht="31.5">
      <c r="B647" s="5035">
        <v>46155</v>
      </c>
      <c r="C647" s="3165" t="s">
        <v>2296</v>
      </c>
      <c r="D647" s="3750" t="s">
        <v>2207</v>
      </c>
      <c r="E647" s="5121" t="s">
        <v>169</v>
      </c>
      <c r="F647" s="5121" t="s">
        <v>4203</v>
      </c>
      <c r="G647" s="5149"/>
      <c r="H647" s="5149"/>
      <c r="I647" s="4988">
        <v>705</v>
      </c>
      <c r="J647" s="4247" t="s">
        <v>6212</v>
      </c>
      <c r="K647" s="1005"/>
      <c r="L647" s="4444" t="s">
        <v>37</v>
      </c>
      <c r="M647" s="1005"/>
      <c r="N647" s="1045"/>
      <c r="O647" s="1045"/>
      <c r="S647" s="1005"/>
      <c r="T647" s="1005"/>
      <c r="U647" s="1005" t="s">
        <v>37</v>
      </c>
      <c r="X647" s="1005"/>
    </row>
    <row r="648" spans="2:24" ht="31.5">
      <c r="B648" s="5035">
        <v>46155</v>
      </c>
      <c r="C648" s="3165" t="s">
        <v>2296</v>
      </c>
      <c r="D648" s="3750" t="s">
        <v>2183</v>
      </c>
      <c r="E648" s="4165" t="s">
        <v>840</v>
      </c>
      <c r="F648" s="4165" t="s">
        <v>6204</v>
      </c>
      <c r="G648" s="5145"/>
      <c r="H648" s="5145"/>
      <c r="I648" s="4988">
        <v>707</v>
      </c>
      <c r="J648" s="4247" t="s">
        <v>6209</v>
      </c>
      <c r="K648" s="4371" t="s">
        <v>84</v>
      </c>
      <c r="L648" s="4444" t="s">
        <v>37</v>
      </c>
      <c r="M648" s="1005"/>
      <c r="N648" s="1045"/>
      <c r="O648" s="1045"/>
      <c r="S648" s="1005"/>
      <c r="T648" s="1005"/>
      <c r="U648" s="1005"/>
      <c r="X648" s="1005"/>
    </row>
    <row r="649" spans="2:24" ht="31.5">
      <c r="B649" s="5035">
        <v>46155</v>
      </c>
      <c r="C649" s="3165" t="s">
        <v>2296</v>
      </c>
      <c r="D649" s="3750" t="s">
        <v>2208</v>
      </c>
      <c r="E649" s="4239" t="s">
        <v>943</v>
      </c>
      <c r="F649" s="4239" t="s">
        <v>263</v>
      </c>
      <c r="G649" s="5150"/>
      <c r="H649" s="5150"/>
      <c r="I649" s="4988">
        <v>705</v>
      </c>
      <c r="J649" s="4247" t="s">
        <v>6213</v>
      </c>
      <c r="K649" s="4371" t="s">
        <v>84</v>
      </c>
      <c r="L649" s="4444" t="s">
        <v>37</v>
      </c>
      <c r="M649" s="1005"/>
      <c r="N649" s="1045"/>
      <c r="O649" s="1045"/>
      <c r="S649" s="1005"/>
      <c r="T649" s="1005"/>
      <c r="U649" s="1005"/>
      <c r="X649" s="1005"/>
    </row>
    <row r="650" spans="2:24" ht="31.5">
      <c r="B650" s="5035">
        <v>46156</v>
      </c>
      <c r="C650" s="3165" t="s">
        <v>2296</v>
      </c>
      <c r="D650" s="3750" t="s">
        <v>2211</v>
      </c>
      <c r="E650" s="4307" t="s">
        <v>742</v>
      </c>
      <c r="F650" s="4307" t="s">
        <v>275</v>
      </c>
      <c r="G650" s="5136"/>
      <c r="H650" s="5136"/>
      <c r="I650" s="4988">
        <v>705</v>
      </c>
      <c r="J650" s="4247" t="s">
        <v>6214</v>
      </c>
      <c r="K650" s="4371" t="s">
        <v>84</v>
      </c>
      <c r="L650" s="4444" t="s">
        <v>37</v>
      </c>
      <c r="M650" s="1005"/>
      <c r="N650" s="1045"/>
      <c r="O650" s="1045"/>
      <c r="S650" s="1005"/>
      <c r="T650" s="1005"/>
      <c r="U650" s="1005"/>
      <c r="X650" s="1005"/>
    </row>
    <row r="651" spans="2:24" ht="31.5">
      <c r="B651" s="5035">
        <v>46156</v>
      </c>
      <c r="C651" s="3165" t="s">
        <v>2296</v>
      </c>
      <c r="D651" s="3750" t="s">
        <v>2208</v>
      </c>
      <c r="E651" s="4239" t="s">
        <v>148</v>
      </c>
      <c r="F651" s="4239" t="s">
        <v>4194</v>
      </c>
      <c r="G651" s="5150"/>
      <c r="H651" s="5150"/>
      <c r="I651" s="4988">
        <v>705</v>
      </c>
      <c r="J651" s="4247" t="s">
        <v>6215</v>
      </c>
      <c r="K651" s="4371" t="s">
        <v>84</v>
      </c>
      <c r="L651" s="4444" t="s">
        <v>37</v>
      </c>
      <c r="M651" s="1005"/>
      <c r="N651" s="1045"/>
      <c r="O651" s="1045"/>
      <c r="S651" s="1005"/>
      <c r="T651" s="1005"/>
      <c r="U651" s="1005"/>
      <c r="X651" s="1005"/>
    </row>
    <row r="652" spans="2:24" ht="31.5">
      <c r="B652" s="5035">
        <v>46157</v>
      </c>
      <c r="C652" s="3165" t="s">
        <v>2296</v>
      </c>
      <c r="D652" s="3750" t="s">
        <v>2211</v>
      </c>
      <c r="E652" s="4307" t="s">
        <v>282</v>
      </c>
      <c r="F652" s="4307" t="s">
        <v>6205</v>
      </c>
      <c r="G652" s="4310"/>
      <c r="H652" s="4310"/>
      <c r="I652" s="4979">
        <v>705</v>
      </c>
      <c r="J652" s="4247" t="s">
        <v>6214</v>
      </c>
      <c r="K652" s="4371" t="s">
        <v>84</v>
      </c>
      <c r="L652" s="4347" t="s">
        <v>37</v>
      </c>
      <c r="M652" s="924"/>
      <c r="N652" s="47"/>
      <c r="O652" s="47"/>
      <c r="S652" s="924"/>
      <c r="T652" s="924"/>
      <c r="U652" s="924"/>
      <c r="X652" s="924"/>
    </row>
    <row r="653" spans="2:24" ht="31.5">
      <c r="B653" s="5035">
        <v>46157</v>
      </c>
      <c r="C653" s="3165" t="s">
        <v>2296</v>
      </c>
      <c r="D653" s="3750" t="s">
        <v>2213</v>
      </c>
      <c r="E653" s="5122" t="s">
        <v>4289</v>
      </c>
      <c r="F653" s="5122" t="s">
        <v>4314</v>
      </c>
      <c r="G653" s="5151"/>
      <c r="H653" s="5151"/>
      <c r="I653" s="4979">
        <v>705</v>
      </c>
      <c r="J653" s="4247" t="s">
        <v>6216</v>
      </c>
      <c r="K653" s="4372"/>
      <c r="L653" s="4347" t="s">
        <v>37</v>
      </c>
      <c r="M653" s="924"/>
      <c r="N653" s="47"/>
      <c r="O653" s="47"/>
      <c r="S653" s="924"/>
      <c r="T653" s="924"/>
      <c r="U653" s="924" t="s">
        <v>37</v>
      </c>
      <c r="X653" s="924"/>
    </row>
    <row r="654" spans="2:24" ht="31.5">
      <c r="B654" s="5035">
        <v>46157</v>
      </c>
      <c r="C654" s="3165" t="s">
        <v>2296</v>
      </c>
      <c r="D654" s="3750" t="s">
        <v>2216</v>
      </c>
      <c r="E654" s="4240" t="s">
        <v>204</v>
      </c>
      <c r="F654" s="4240" t="s">
        <v>1074</v>
      </c>
      <c r="G654" s="5152"/>
      <c r="H654" s="5152"/>
      <c r="I654" s="4979">
        <v>705</v>
      </c>
      <c r="J654" s="4162">
        <v>60020</v>
      </c>
      <c r="K654" s="924"/>
      <c r="L654" s="4347" t="s">
        <v>37</v>
      </c>
      <c r="M654" s="924"/>
      <c r="N654" s="47"/>
      <c r="O654" s="47"/>
      <c r="S654" s="924"/>
      <c r="T654" s="924"/>
      <c r="U654" s="924"/>
      <c r="X654" s="924"/>
    </row>
    <row r="655" spans="2:24" ht="31.5">
      <c r="B655" s="5035">
        <v>46157</v>
      </c>
      <c r="C655" s="3165" t="s">
        <v>2296</v>
      </c>
      <c r="D655" s="3750" t="s">
        <v>2216</v>
      </c>
      <c r="E655" s="4240" t="s">
        <v>204</v>
      </c>
      <c r="F655" s="4240" t="s">
        <v>49</v>
      </c>
      <c r="G655" s="5152"/>
      <c r="H655" s="5152"/>
      <c r="I655" s="4979">
        <v>705</v>
      </c>
      <c r="J655" s="4162">
        <v>60072</v>
      </c>
      <c r="K655" s="924"/>
      <c r="L655" s="4347" t="s">
        <v>37</v>
      </c>
      <c r="M655" s="924"/>
      <c r="N655" s="47"/>
      <c r="O655" s="47"/>
      <c r="S655" s="924"/>
      <c r="T655" s="924"/>
      <c r="U655" s="924"/>
      <c r="X655" s="924"/>
    </row>
    <row r="656" spans="2:24" ht="31.5">
      <c r="B656" s="5035">
        <v>46157</v>
      </c>
      <c r="C656" s="3165" t="s">
        <v>2296</v>
      </c>
      <c r="D656" s="3750" t="s">
        <v>2217</v>
      </c>
      <c r="E656" s="3377" t="s">
        <v>4539</v>
      </c>
      <c r="F656" s="3377" t="s">
        <v>888</v>
      </c>
      <c r="G656" s="5153"/>
      <c r="H656" s="5153"/>
      <c r="I656" s="4979">
        <v>705</v>
      </c>
      <c r="J656" s="4162" t="s">
        <v>6217</v>
      </c>
      <c r="K656" s="924"/>
      <c r="L656" s="4347" t="s">
        <v>37</v>
      </c>
      <c r="M656" s="924"/>
      <c r="N656" s="47"/>
      <c r="O656" s="47"/>
      <c r="S656" s="924"/>
      <c r="T656" s="924"/>
      <c r="U656" s="924"/>
      <c r="X656" s="924"/>
    </row>
    <row r="657" spans="2:25" ht="31.5">
      <c r="B657" s="5035">
        <v>46157</v>
      </c>
      <c r="C657" s="3165" t="s">
        <v>2296</v>
      </c>
      <c r="D657" s="3750" t="s">
        <v>2219</v>
      </c>
      <c r="E657" s="3377" t="s">
        <v>2813</v>
      </c>
      <c r="F657" s="3377" t="s">
        <v>6206</v>
      </c>
      <c r="G657" s="5153"/>
      <c r="H657" s="5153"/>
      <c r="I657" s="4979">
        <v>705</v>
      </c>
      <c r="J657" s="4162" t="s">
        <v>6218</v>
      </c>
      <c r="K657" s="924"/>
      <c r="L657" s="4347" t="s">
        <v>37</v>
      </c>
      <c r="M657" s="924"/>
      <c r="N657" s="47"/>
      <c r="O657" s="47"/>
      <c r="S657" s="924"/>
      <c r="T657" s="924"/>
      <c r="U657" s="924"/>
      <c r="X657" s="924"/>
    </row>
    <row r="658" spans="2:25" ht="31.5">
      <c r="B658" s="5035">
        <v>46157</v>
      </c>
      <c r="C658" s="3165" t="s">
        <v>2296</v>
      </c>
      <c r="D658" s="3750" t="s">
        <v>2227</v>
      </c>
      <c r="E658" s="3377" t="s">
        <v>80</v>
      </c>
      <c r="F658" s="3377" t="s">
        <v>2813</v>
      </c>
      <c r="G658" s="5153"/>
      <c r="H658" s="5153"/>
      <c r="I658" s="4979">
        <v>705</v>
      </c>
      <c r="J658" s="4162" t="s">
        <v>6219</v>
      </c>
      <c r="K658" s="924"/>
      <c r="L658" s="4347" t="s">
        <v>37</v>
      </c>
      <c r="M658" s="924"/>
      <c r="N658" s="47"/>
      <c r="O658" s="47"/>
      <c r="S658" s="924"/>
      <c r="T658" s="924"/>
      <c r="U658" s="924"/>
      <c r="X658" s="924"/>
    </row>
    <row r="659" spans="2:25" ht="31.5">
      <c r="B659" s="5035">
        <v>46160</v>
      </c>
      <c r="C659" s="3165" t="s">
        <v>6233</v>
      </c>
      <c r="D659" s="3165" t="s">
        <v>6248</v>
      </c>
      <c r="E659" s="4198" t="s">
        <v>577</v>
      </c>
      <c r="F659" s="4198" t="s">
        <v>3225</v>
      </c>
      <c r="G659" s="4198"/>
      <c r="H659" s="4198"/>
      <c r="I659" s="4162">
        <v>701</v>
      </c>
      <c r="J659" s="4162" t="s">
        <v>594</v>
      </c>
      <c r="K659" s="924"/>
      <c r="L659" s="4347" t="s">
        <v>37</v>
      </c>
      <c r="M659" s="924"/>
      <c r="N659" s="47"/>
      <c r="O659" s="47"/>
      <c r="U659" s="924"/>
      <c r="V659" s="924"/>
      <c r="X659" s="924"/>
    </row>
    <row r="660" spans="2:25" ht="31.5">
      <c r="B660" s="5035">
        <v>46160</v>
      </c>
      <c r="C660" s="3165" t="s">
        <v>6233</v>
      </c>
      <c r="D660" s="3165" t="s">
        <v>6248</v>
      </c>
      <c r="E660" s="4198" t="s">
        <v>1465</v>
      </c>
      <c r="F660" s="4198" t="s">
        <v>1409</v>
      </c>
      <c r="G660" s="4198"/>
      <c r="H660" s="4198"/>
      <c r="I660" s="4162">
        <v>701</v>
      </c>
      <c r="J660" s="4162" t="s">
        <v>621</v>
      </c>
      <c r="K660" s="924"/>
      <c r="L660" s="4347" t="s">
        <v>37</v>
      </c>
      <c r="M660" s="924"/>
      <c r="N660" s="47"/>
      <c r="O660" s="47"/>
      <c r="U660" s="924"/>
      <c r="V660" s="924"/>
      <c r="X660" s="924"/>
    </row>
    <row r="661" spans="2:25" ht="31.5">
      <c r="B661" s="5035">
        <v>46160</v>
      </c>
      <c r="C661" s="3165" t="s">
        <v>6233</v>
      </c>
      <c r="D661" s="3165" t="s">
        <v>2228</v>
      </c>
      <c r="E661" s="4287" t="s">
        <v>296</v>
      </c>
      <c r="F661" s="4326" t="s">
        <v>6224</v>
      </c>
      <c r="G661" s="5154"/>
      <c r="H661" s="5154"/>
      <c r="I661" s="4988">
        <v>707</v>
      </c>
      <c r="J661" s="4247" t="s">
        <v>513</v>
      </c>
      <c r="K661" s="1005"/>
      <c r="L661" s="4444" t="s">
        <v>37</v>
      </c>
      <c r="M661" s="1005"/>
      <c r="N661" s="1045"/>
      <c r="O661" s="1045"/>
      <c r="U661" s="1005"/>
      <c r="V661" s="1005"/>
      <c r="X661" s="1005"/>
    </row>
    <row r="662" spans="2:25" ht="31.5">
      <c r="B662" s="5035">
        <v>46160</v>
      </c>
      <c r="C662" s="3165" t="s">
        <v>6233</v>
      </c>
      <c r="D662" s="3165" t="s">
        <v>2228</v>
      </c>
      <c r="E662" s="4287" t="s">
        <v>847</v>
      </c>
      <c r="F662" s="4326" t="s">
        <v>6225</v>
      </c>
      <c r="G662" s="5154"/>
      <c r="H662" s="5154"/>
      <c r="I662" s="4988">
        <v>707</v>
      </c>
      <c r="J662" s="4247" t="s">
        <v>6234</v>
      </c>
      <c r="K662" s="1005"/>
      <c r="L662" s="4444" t="s">
        <v>37</v>
      </c>
      <c r="M662" s="1005"/>
      <c r="N662" s="1045"/>
      <c r="O662" s="1045"/>
      <c r="U662" s="1005"/>
      <c r="V662" s="1005" t="s">
        <v>37</v>
      </c>
      <c r="X662" s="1005"/>
    </row>
    <row r="663" spans="2:25" ht="31.5">
      <c r="B663" s="5035">
        <v>46160</v>
      </c>
      <c r="C663" s="3165" t="s">
        <v>6233</v>
      </c>
      <c r="D663" s="3165" t="s">
        <v>2228</v>
      </c>
      <c r="E663" s="4287" t="s">
        <v>6226</v>
      </c>
      <c r="F663" s="4326" t="s">
        <v>6227</v>
      </c>
      <c r="G663" s="5154"/>
      <c r="H663" s="5154"/>
      <c r="I663" s="4988">
        <v>707</v>
      </c>
      <c r="J663" s="4247" t="s">
        <v>6234</v>
      </c>
      <c r="K663" s="1005"/>
      <c r="L663" s="4444" t="s">
        <v>37</v>
      </c>
      <c r="M663" s="1005"/>
      <c r="N663" s="1045"/>
      <c r="O663" s="1045"/>
      <c r="U663" s="1005"/>
      <c r="V663" s="1005" t="s">
        <v>37</v>
      </c>
      <c r="X663" s="1005"/>
    </row>
    <row r="664" spans="2:25" ht="31.5">
      <c r="B664" s="5035">
        <v>46160</v>
      </c>
      <c r="C664" s="3165" t="s">
        <v>6233</v>
      </c>
      <c r="D664" s="3165" t="s">
        <v>2230</v>
      </c>
      <c r="E664" s="3377" t="s">
        <v>282</v>
      </c>
      <c r="F664" s="3377" t="s">
        <v>1698</v>
      </c>
      <c r="G664" s="3377"/>
      <c r="H664" s="3377"/>
      <c r="I664" s="4162">
        <v>705</v>
      </c>
      <c r="J664" s="4162" t="s">
        <v>2928</v>
      </c>
      <c r="K664" s="924"/>
      <c r="L664" s="4347" t="s">
        <v>37</v>
      </c>
      <c r="M664" s="924"/>
      <c r="N664" s="47"/>
      <c r="O664" s="47"/>
      <c r="U664" s="924"/>
      <c r="V664" s="924"/>
      <c r="X664" s="924"/>
    </row>
    <row r="665" spans="2:25" ht="31.5">
      <c r="B665" s="5035">
        <v>46160</v>
      </c>
      <c r="C665" s="3165" t="s">
        <v>6233</v>
      </c>
      <c r="D665" s="3165" t="s">
        <v>2234</v>
      </c>
      <c r="E665" s="3377" t="s">
        <v>148</v>
      </c>
      <c r="F665" s="3377" t="s">
        <v>888</v>
      </c>
      <c r="G665" s="3377"/>
      <c r="H665" s="3377"/>
      <c r="I665" s="4162">
        <v>705</v>
      </c>
      <c r="J665" s="4162" t="s">
        <v>6235</v>
      </c>
      <c r="K665" s="924"/>
      <c r="L665" s="4347" t="s">
        <v>37</v>
      </c>
      <c r="M665" s="924"/>
      <c r="N665" s="47"/>
      <c r="O665" s="47"/>
      <c r="U665" s="924"/>
      <c r="V665" s="924" t="s">
        <v>37</v>
      </c>
      <c r="X665" s="924"/>
    </row>
    <row r="666" spans="2:25" ht="31.5">
      <c r="B666" s="5035">
        <v>46161</v>
      </c>
      <c r="C666" s="3165" t="s">
        <v>6233</v>
      </c>
      <c r="D666" s="3165" t="s">
        <v>2238</v>
      </c>
      <c r="E666" s="4198" t="s">
        <v>577</v>
      </c>
      <c r="F666" s="4198" t="s">
        <v>3225</v>
      </c>
      <c r="G666" s="4198"/>
      <c r="H666" s="4198"/>
      <c r="I666" s="4162">
        <v>701</v>
      </c>
      <c r="J666" s="4162" t="s">
        <v>594</v>
      </c>
      <c r="K666" s="924"/>
      <c r="L666" s="4347" t="s">
        <v>37</v>
      </c>
      <c r="M666" s="924"/>
      <c r="N666" s="47"/>
      <c r="O666" s="47"/>
      <c r="U666" s="924"/>
      <c r="V666" s="924"/>
      <c r="X666" s="924"/>
    </row>
    <row r="667" spans="2:25" ht="31.5">
      <c r="B667" s="5035">
        <v>46161</v>
      </c>
      <c r="C667" s="3165" t="s">
        <v>6233</v>
      </c>
      <c r="D667" s="3165" t="s">
        <v>2238</v>
      </c>
      <c r="E667" s="4198" t="s">
        <v>1465</v>
      </c>
      <c r="F667" s="4198" t="s">
        <v>1409</v>
      </c>
      <c r="G667" s="4198"/>
      <c r="H667" s="4198"/>
      <c r="I667" s="4162">
        <v>701</v>
      </c>
      <c r="J667" s="4162" t="s">
        <v>621</v>
      </c>
      <c r="K667" s="924"/>
      <c r="L667" s="4347" t="s">
        <v>37</v>
      </c>
      <c r="M667" s="924"/>
      <c r="N667" s="47"/>
      <c r="O667" s="47"/>
      <c r="U667" s="924"/>
      <c r="V667" s="924"/>
      <c r="X667" s="924"/>
    </row>
    <row r="668" spans="2:25" ht="31.5">
      <c r="B668" s="5035">
        <v>46161</v>
      </c>
      <c r="C668" s="3165" t="s">
        <v>6233</v>
      </c>
      <c r="D668" s="3165" t="s">
        <v>2241</v>
      </c>
      <c r="E668" s="4991" t="s">
        <v>1654</v>
      </c>
      <c r="F668" s="4991" t="s">
        <v>939</v>
      </c>
      <c r="G668" s="4991"/>
      <c r="H668" s="4991"/>
      <c r="I668" s="4162">
        <v>705</v>
      </c>
      <c r="J668" s="4162" t="s">
        <v>743</v>
      </c>
      <c r="K668" s="924"/>
      <c r="L668" s="4347" t="s">
        <v>37</v>
      </c>
      <c r="M668" s="924"/>
      <c r="N668" s="47"/>
      <c r="O668" s="47"/>
      <c r="U668" s="924" t="s">
        <v>37</v>
      </c>
      <c r="V668" s="924"/>
      <c r="X668" s="924"/>
    </row>
    <row r="669" spans="2:25" ht="31.5">
      <c r="B669" s="5035">
        <v>46161</v>
      </c>
      <c r="C669" s="3165" t="s">
        <v>6233</v>
      </c>
      <c r="D669" s="3165" t="s">
        <v>2242</v>
      </c>
      <c r="E669" s="4346" t="s">
        <v>5639</v>
      </c>
      <c r="F669" s="4346" t="s">
        <v>497</v>
      </c>
      <c r="G669" s="4346"/>
      <c r="H669" s="4346"/>
      <c r="I669" s="4162">
        <v>707</v>
      </c>
      <c r="J669" s="4162" t="s">
        <v>813</v>
      </c>
      <c r="K669" s="924"/>
      <c r="L669" s="4490" t="s">
        <v>37</v>
      </c>
      <c r="M669" s="924"/>
      <c r="N669" s="47"/>
      <c r="O669" s="47"/>
      <c r="U669" s="924"/>
      <c r="V669" s="924" t="s">
        <v>37</v>
      </c>
      <c r="X669" s="924"/>
    </row>
    <row r="670" spans="2:25" ht="31.5">
      <c r="B670" s="5035">
        <v>46161</v>
      </c>
      <c r="C670" s="3165" t="s">
        <v>6233</v>
      </c>
      <c r="D670" s="3165" t="s">
        <v>2244</v>
      </c>
      <c r="E670" s="4244" t="s">
        <v>615</v>
      </c>
      <c r="F670" s="4244" t="s">
        <v>659</v>
      </c>
      <c r="G670" s="4244"/>
      <c r="H670" s="4244"/>
      <c r="I670" s="4162">
        <v>712</v>
      </c>
      <c r="J670" s="4162" t="s">
        <v>824</v>
      </c>
      <c r="K670" s="924"/>
      <c r="L670" s="4347" t="s">
        <v>37</v>
      </c>
      <c r="M670" s="924"/>
      <c r="N670" s="47"/>
      <c r="O670" s="47"/>
      <c r="U670" s="924"/>
      <c r="V670" s="924" t="s">
        <v>37</v>
      </c>
      <c r="X670" s="924"/>
    </row>
    <row r="671" spans="2:25" ht="31.5">
      <c r="B671" s="5035">
        <v>46162</v>
      </c>
      <c r="C671" s="3165" t="s">
        <v>6233</v>
      </c>
      <c r="D671" s="3165" t="s">
        <v>2242</v>
      </c>
      <c r="E671" s="4346" t="s">
        <v>491</v>
      </c>
      <c r="F671" s="4346" t="s">
        <v>6228</v>
      </c>
      <c r="G671" s="4346"/>
      <c r="H671" s="4346"/>
      <c r="I671" s="4162">
        <v>707</v>
      </c>
      <c r="J671" s="4162" t="s">
        <v>813</v>
      </c>
      <c r="K671" s="924"/>
      <c r="L671" s="4347" t="s">
        <v>37</v>
      </c>
      <c r="M671" s="924"/>
      <c r="N671" s="47"/>
      <c r="O671" s="47"/>
      <c r="U671" s="924"/>
      <c r="V671" s="924" t="s">
        <v>37</v>
      </c>
      <c r="X671" s="924"/>
    </row>
    <row r="672" spans="2:25" ht="31.5">
      <c r="B672" s="5035">
        <v>46162</v>
      </c>
      <c r="C672" s="3165" t="s">
        <v>6233</v>
      </c>
      <c r="D672" s="3165" t="s">
        <v>2244</v>
      </c>
      <c r="E672" s="4244" t="s">
        <v>450</v>
      </c>
      <c r="F672" s="4244" t="s">
        <v>6229</v>
      </c>
      <c r="G672" s="4244"/>
      <c r="H672" s="4244"/>
      <c r="I672" s="4162">
        <v>712</v>
      </c>
      <c r="J672" s="4162" t="s">
        <v>6236</v>
      </c>
      <c r="K672" s="924"/>
      <c r="L672" s="4347"/>
      <c r="M672" s="924" t="s">
        <v>37</v>
      </c>
      <c r="N672" s="47"/>
      <c r="O672" s="316"/>
      <c r="P672" s="5107" t="s">
        <v>109</v>
      </c>
      <c r="Q672" s="5107" t="s">
        <v>1109</v>
      </c>
      <c r="R672" s="5107" t="s">
        <v>6116</v>
      </c>
      <c r="U672" s="924"/>
      <c r="V672" s="924" t="s">
        <v>37</v>
      </c>
      <c r="X672" s="924" t="s">
        <v>6247</v>
      </c>
      <c r="Y672" s="3160" t="s">
        <v>6253</v>
      </c>
    </row>
    <row r="673" spans="2:24" ht="31.5">
      <c r="B673" s="5035">
        <v>46162</v>
      </c>
      <c r="C673" s="3165" t="s">
        <v>6233</v>
      </c>
      <c r="D673" s="3165" t="s">
        <v>2246</v>
      </c>
      <c r="E673" s="4307" t="s">
        <v>304</v>
      </c>
      <c r="F673" s="4307" t="s">
        <v>183</v>
      </c>
      <c r="G673" s="4307"/>
      <c r="H673" s="4307"/>
      <c r="I673" s="4162">
        <v>705</v>
      </c>
      <c r="J673" s="4162" t="s">
        <v>6237</v>
      </c>
      <c r="K673" s="4371" t="s">
        <v>84</v>
      </c>
      <c r="L673" s="4347" t="s">
        <v>37</v>
      </c>
      <c r="M673" s="924"/>
      <c r="N673" s="47"/>
      <c r="O673" s="47"/>
      <c r="U673" s="924"/>
      <c r="V673" s="924"/>
      <c r="X673" s="924"/>
    </row>
    <row r="674" spans="2:24" ht="31.5">
      <c r="B674" s="5035">
        <v>46163</v>
      </c>
      <c r="C674" s="3165" t="s">
        <v>6233</v>
      </c>
      <c r="D674" s="3165" t="s">
        <v>2246</v>
      </c>
      <c r="E674" s="4307" t="s">
        <v>169</v>
      </c>
      <c r="F674" s="4307" t="s">
        <v>4194</v>
      </c>
      <c r="G674" s="4307"/>
      <c r="H674" s="4307"/>
      <c r="I674" s="4162">
        <v>705</v>
      </c>
      <c r="J674" s="4162" t="s">
        <v>6237</v>
      </c>
      <c r="K674" s="924"/>
      <c r="L674" s="4347" t="s">
        <v>37</v>
      </c>
      <c r="M674" s="924"/>
      <c r="N674" s="47"/>
      <c r="O674" s="47"/>
      <c r="U674" s="924"/>
      <c r="V674" s="924"/>
      <c r="X674" s="924"/>
    </row>
    <row r="675" spans="2:24" ht="31.5">
      <c r="B675" s="5035">
        <v>46163</v>
      </c>
      <c r="C675" s="3165" t="s">
        <v>6233</v>
      </c>
      <c r="D675" s="3165" t="s">
        <v>2248</v>
      </c>
      <c r="E675" s="4198" t="s">
        <v>577</v>
      </c>
      <c r="F675" s="4198" t="s">
        <v>6075</v>
      </c>
      <c r="G675" s="4198"/>
      <c r="H675" s="4198"/>
      <c r="I675" s="4162">
        <v>701</v>
      </c>
      <c r="J675" s="4162" t="s">
        <v>6238</v>
      </c>
      <c r="K675" s="924"/>
      <c r="L675" s="4347" t="s">
        <v>37</v>
      </c>
      <c r="M675" s="924"/>
      <c r="N675" s="47"/>
      <c r="O675" s="47"/>
      <c r="U675" s="924"/>
      <c r="V675" s="924"/>
      <c r="X675" s="924"/>
    </row>
    <row r="676" spans="2:24" ht="31.5">
      <c r="B676" s="5035">
        <v>46163</v>
      </c>
      <c r="C676" s="3165" t="s">
        <v>6233</v>
      </c>
      <c r="D676" s="3165" t="s">
        <v>2249</v>
      </c>
      <c r="E676" s="3377" t="s">
        <v>615</v>
      </c>
      <c r="F676" s="3377" t="s">
        <v>1073</v>
      </c>
      <c r="G676" s="3377"/>
      <c r="H676" s="3377"/>
      <c r="I676" s="4162">
        <v>712</v>
      </c>
      <c r="J676" s="4162" t="s">
        <v>2928</v>
      </c>
      <c r="K676" s="924"/>
      <c r="L676"/>
      <c r="M676" s="924" t="s">
        <v>37</v>
      </c>
      <c r="N676" s="47"/>
      <c r="O676" s="47"/>
      <c r="P676" s="5107" t="s">
        <v>0</v>
      </c>
      <c r="Q676" s="5107" t="s">
        <v>187</v>
      </c>
      <c r="R676" s="5107" t="s">
        <v>6116</v>
      </c>
      <c r="U676" s="924"/>
      <c r="V676" s="924"/>
      <c r="X676" s="924" t="s">
        <v>350</v>
      </c>
    </row>
    <row r="677" spans="2:24" ht="31.5">
      <c r="B677" s="5035">
        <v>46163</v>
      </c>
      <c r="C677" s="3165" t="s">
        <v>6233</v>
      </c>
      <c r="D677" s="3165" t="s">
        <v>2252</v>
      </c>
      <c r="E677" s="3377" t="s">
        <v>6230</v>
      </c>
      <c r="F677" s="3377" t="s">
        <v>4213</v>
      </c>
      <c r="G677" s="3377"/>
      <c r="H677" s="3377"/>
      <c r="I677" s="4162">
        <v>705</v>
      </c>
      <c r="J677" s="4162" t="s">
        <v>6239</v>
      </c>
      <c r="K677" s="924"/>
      <c r="L677" s="4347" t="s">
        <v>37</v>
      </c>
      <c r="M677" s="924"/>
      <c r="N677" s="47"/>
      <c r="O677" s="47"/>
      <c r="U677" s="924"/>
      <c r="V677" s="924"/>
      <c r="X677" s="924"/>
    </row>
    <row r="678" spans="2:24" ht="31.5">
      <c r="B678" s="5035">
        <v>46163</v>
      </c>
      <c r="C678" s="3165" t="s">
        <v>6233</v>
      </c>
      <c r="D678" s="3165" t="s">
        <v>2254</v>
      </c>
      <c r="E678" s="4191" t="s">
        <v>2196</v>
      </c>
      <c r="F678" s="4191" t="s">
        <v>3153</v>
      </c>
      <c r="G678" s="4191"/>
      <c r="H678" s="4191"/>
      <c r="I678" s="4162">
        <v>705</v>
      </c>
      <c r="J678" s="4162" t="s">
        <v>6240</v>
      </c>
      <c r="K678" s="924"/>
      <c r="L678" s="4347" t="s">
        <v>37</v>
      </c>
      <c r="M678" s="924"/>
      <c r="N678" s="47"/>
      <c r="O678" s="47"/>
      <c r="U678" s="924"/>
      <c r="V678" s="924" t="s">
        <v>37</v>
      </c>
      <c r="X678" s="924"/>
    </row>
    <row r="679" spans="2:24" ht="31.5">
      <c r="B679" s="5035">
        <v>46164</v>
      </c>
      <c r="C679" s="3165" t="s">
        <v>6233</v>
      </c>
      <c r="D679" s="3165" t="s">
        <v>2248</v>
      </c>
      <c r="E679" s="4198" t="s">
        <v>6231</v>
      </c>
      <c r="F679" s="4198" t="s">
        <v>1409</v>
      </c>
      <c r="G679" s="4198"/>
      <c r="H679" s="4198"/>
      <c r="I679" s="4162">
        <v>701</v>
      </c>
      <c r="J679" s="4162" t="s">
        <v>6241</v>
      </c>
      <c r="K679" s="924"/>
      <c r="L679" s="4347" t="s">
        <v>30</v>
      </c>
      <c r="M679" s="5127"/>
      <c r="N679" s="47"/>
      <c r="O679" s="47"/>
      <c r="U679" s="924"/>
      <c r="V679" s="924"/>
      <c r="X679" s="924"/>
    </row>
    <row r="680" spans="2:24" ht="31.5">
      <c r="B680" s="5035">
        <v>46164</v>
      </c>
      <c r="C680" s="3165" t="s">
        <v>6233</v>
      </c>
      <c r="D680" s="3165" t="s">
        <v>2254</v>
      </c>
      <c r="E680" s="4191" t="s">
        <v>1554</v>
      </c>
      <c r="F680" s="4191" t="s">
        <v>1779</v>
      </c>
      <c r="G680" s="4191"/>
      <c r="H680" s="4191"/>
      <c r="I680" s="4162">
        <v>705</v>
      </c>
      <c r="J680" s="4162" t="s">
        <v>6240</v>
      </c>
      <c r="K680" s="924"/>
      <c r="L680" s="4347" t="s">
        <v>30</v>
      </c>
      <c r="M680" s="5127"/>
      <c r="N680" s="47"/>
      <c r="O680" s="47"/>
      <c r="U680" s="924"/>
      <c r="V680" s="924"/>
      <c r="X680" s="924"/>
    </row>
    <row r="681" spans="2:24" ht="31.5">
      <c r="B681" s="5035">
        <v>46164</v>
      </c>
      <c r="C681" s="3165" t="s">
        <v>6233</v>
      </c>
      <c r="D681" s="3165" t="s">
        <v>2257</v>
      </c>
      <c r="E681" s="3377" t="s">
        <v>4911</v>
      </c>
      <c r="F681" s="3377" t="s">
        <v>282</v>
      </c>
      <c r="G681" s="3377"/>
      <c r="H681" s="3377"/>
      <c r="I681" s="4162">
        <v>705</v>
      </c>
      <c r="J681" s="4162" t="s">
        <v>2928</v>
      </c>
      <c r="K681" s="49"/>
      <c r="L681" s="4490" t="s">
        <v>30</v>
      </c>
      <c r="M681" s="5127"/>
      <c r="N681" s="47"/>
      <c r="O681" s="47"/>
      <c r="U681" s="924"/>
      <c r="V681" s="924"/>
      <c r="X681" s="924"/>
    </row>
    <row r="682" spans="2:24" ht="31.5">
      <c r="B682" s="5035">
        <v>46164</v>
      </c>
      <c r="C682" s="3165" t="s">
        <v>6233</v>
      </c>
      <c r="D682" s="3165" t="s">
        <v>2259</v>
      </c>
      <c r="E682" s="3377" t="s">
        <v>615</v>
      </c>
      <c r="F682" s="3377" t="s">
        <v>1073</v>
      </c>
      <c r="G682" s="3377"/>
      <c r="H682" s="3377"/>
      <c r="I682" s="4162">
        <v>705</v>
      </c>
      <c r="J682" s="4162" t="s">
        <v>2928</v>
      </c>
      <c r="K682" s="49"/>
      <c r="L682" s="4759" t="s">
        <v>30</v>
      </c>
      <c r="M682" s="5127"/>
      <c r="N682" s="47"/>
      <c r="O682" s="47"/>
      <c r="U682" s="924" t="s">
        <v>37</v>
      </c>
      <c r="V682" s="924"/>
      <c r="X682" s="924"/>
    </row>
    <row r="683" spans="2:24" ht="31.5">
      <c r="B683" s="5035">
        <v>46164</v>
      </c>
      <c r="C683" s="3165" t="s">
        <v>6233</v>
      </c>
      <c r="D683" s="3165" t="s">
        <v>6249</v>
      </c>
      <c r="E683" s="4174" t="s">
        <v>2231</v>
      </c>
      <c r="F683" s="4174" t="s">
        <v>4212</v>
      </c>
      <c r="G683" s="4174"/>
      <c r="H683" s="4174"/>
      <c r="I683" s="4162">
        <v>712</v>
      </c>
      <c r="J683" s="4162" t="s">
        <v>6242</v>
      </c>
      <c r="K683" s="924"/>
      <c r="L683" s="3443" t="s">
        <v>30</v>
      </c>
      <c r="M683" s="5127"/>
      <c r="N683" s="47"/>
      <c r="O683" s="47"/>
      <c r="U683" s="924"/>
      <c r="V683" s="924"/>
      <c r="X683" s="924"/>
    </row>
    <row r="684" spans="2:24" ht="31.5">
      <c r="B684" s="5035">
        <v>46164</v>
      </c>
      <c r="C684" s="3165" t="s">
        <v>6233</v>
      </c>
      <c r="D684" s="3165" t="s">
        <v>6249</v>
      </c>
      <c r="E684" s="4174" t="s">
        <v>4213</v>
      </c>
      <c r="F684" s="4174" t="s">
        <v>6232</v>
      </c>
      <c r="G684" s="4174"/>
      <c r="H684" s="4174"/>
      <c r="I684" s="4162">
        <v>712</v>
      </c>
      <c r="J684" s="4162" t="s">
        <v>6243</v>
      </c>
      <c r="K684" s="5126"/>
      <c r="L684" s="3443" t="s">
        <v>30</v>
      </c>
      <c r="M684" s="5128"/>
      <c r="N684" s="47"/>
      <c r="O684" s="47"/>
      <c r="U684" s="924"/>
      <c r="V684" s="924"/>
      <c r="X684" s="924"/>
    </row>
    <row r="685" spans="2:24" ht="31.5">
      <c r="B685" s="5035">
        <v>46164</v>
      </c>
      <c r="C685" s="3165" t="s">
        <v>6233</v>
      </c>
      <c r="D685" s="3165" t="s">
        <v>6250</v>
      </c>
      <c r="E685" s="4179" t="s">
        <v>742</v>
      </c>
      <c r="F685" s="4179" t="s">
        <v>1045</v>
      </c>
      <c r="G685" s="4179"/>
      <c r="H685" s="4179"/>
      <c r="I685" s="4162">
        <v>705</v>
      </c>
      <c r="J685" s="4162" t="s">
        <v>6244</v>
      </c>
      <c r="K685" s="5126"/>
      <c r="L685" s="4347" t="s">
        <v>30</v>
      </c>
      <c r="M685" s="5128"/>
      <c r="N685" s="47"/>
      <c r="O685" s="47"/>
      <c r="U685" s="924"/>
      <c r="V685" s="924"/>
      <c r="X685" s="924"/>
    </row>
    <row r="686" spans="2:24" ht="31.5">
      <c r="B686" s="5035">
        <v>46164</v>
      </c>
      <c r="C686" s="3165" t="s">
        <v>6233</v>
      </c>
      <c r="D686" s="3165" t="s">
        <v>6250</v>
      </c>
      <c r="E686" s="4179" t="s">
        <v>1050</v>
      </c>
      <c r="F686" s="4179" t="s">
        <v>488</v>
      </c>
      <c r="G686" s="4179"/>
      <c r="H686" s="4179"/>
      <c r="I686" s="4162">
        <v>705</v>
      </c>
      <c r="J686" s="4162" t="s">
        <v>6244</v>
      </c>
      <c r="K686" s="924"/>
      <c r="L686" s="4347" t="s">
        <v>30</v>
      </c>
      <c r="M686" s="5127"/>
      <c r="N686" s="47"/>
      <c r="O686" s="47"/>
      <c r="U686" s="924"/>
      <c r="V686" s="924"/>
      <c r="X686" s="924"/>
    </row>
    <row r="687" spans="2:24" ht="31.5">
      <c r="B687" s="5035">
        <v>46164</v>
      </c>
      <c r="C687" s="3165" t="s">
        <v>6233</v>
      </c>
      <c r="D687" s="3165" t="s">
        <v>6251</v>
      </c>
      <c r="E687" s="3377" t="s">
        <v>742</v>
      </c>
      <c r="F687" s="3377" t="s">
        <v>1654</v>
      </c>
      <c r="G687" s="3377"/>
      <c r="H687" s="3377"/>
      <c r="I687" s="4162">
        <v>705</v>
      </c>
      <c r="J687" s="4162" t="s">
        <v>6245</v>
      </c>
      <c r="K687" s="924"/>
      <c r="L687" s="4444"/>
      <c r="M687" s="5127" t="s">
        <v>37</v>
      </c>
      <c r="N687" s="47"/>
      <c r="O687" s="316"/>
      <c r="P687" s="5107" t="s">
        <v>0</v>
      </c>
      <c r="Q687" s="5107" t="s">
        <v>187</v>
      </c>
      <c r="R687" s="5107" t="s">
        <v>6120</v>
      </c>
      <c r="U687" s="924"/>
      <c r="V687" s="924"/>
      <c r="X687" s="924"/>
    </row>
    <row r="688" spans="2:24" ht="31.5">
      <c r="B688" s="5035">
        <v>46164</v>
      </c>
      <c r="C688" s="3165" t="s">
        <v>6233</v>
      </c>
      <c r="D688" s="3165" t="s">
        <v>6252</v>
      </c>
      <c r="E688" s="4312" t="s">
        <v>939</v>
      </c>
      <c r="F688" s="4312" t="s">
        <v>4687</v>
      </c>
      <c r="G688" s="5155"/>
      <c r="H688" s="5155"/>
      <c r="I688" s="4247">
        <v>705</v>
      </c>
      <c r="J688" s="4247" t="s">
        <v>743</v>
      </c>
      <c r="K688" s="1005"/>
      <c r="L688" s="4444" t="s">
        <v>30</v>
      </c>
      <c r="M688" s="5129"/>
      <c r="N688" s="1045"/>
      <c r="O688" s="1045"/>
      <c r="U688" s="1005"/>
      <c r="V688" s="1005"/>
      <c r="X688" s="1005"/>
    </row>
    <row r="689" spans="2:24" ht="31.5">
      <c r="B689" s="5035">
        <v>46164</v>
      </c>
      <c r="C689" s="3165" t="s">
        <v>6233</v>
      </c>
      <c r="D689" s="3165" t="s">
        <v>6252</v>
      </c>
      <c r="E689" s="4312" t="s">
        <v>888</v>
      </c>
      <c r="F689" s="4312" t="s">
        <v>2411</v>
      </c>
      <c r="G689" s="5155"/>
      <c r="H689" s="5155"/>
      <c r="I689" s="4247">
        <v>705</v>
      </c>
      <c r="J689" s="4247" t="s">
        <v>6246</v>
      </c>
      <c r="K689" s="1005"/>
      <c r="L689" s="4444" t="s">
        <v>30</v>
      </c>
      <c r="M689" s="5129"/>
      <c r="N689" s="1045"/>
      <c r="O689" s="1045"/>
      <c r="U689" s="1005"/>
      <c r="V689" s="1005"/>
      <c r="X689" s="1005"/>
    </row>
    <row r="690" spans="2:24" ht="31.5">
      <c r="B690" s="5130">
        <v>46167</v>
      </c>
      <c r="C690" s="3165" t="s">
        <v>2433</v>
      </c>
      <c r="D690" s="3165" t="s">
        <v>6274</v>
      </c>
      <c r="E690" s="4162" t="s">
        <v>282</v>
      </c>
      <c r="F690" s="4162" t="s">
        <v>1654</v>
      </c>
      <c r="G690" s="4162"/>
      <c r="H690" s="4162"/>
      <c r="I690" s="4162">
        <v>705</v>
      </c>
      <c r="J690" s="4162" t="s">
        <v>6254</v>
      </c>
      <c r="L690" s="4347" t="s">
        <v>37</v>
      </c>
      <c r="M690" s="924"/>
      <c r="N690" s="47"/>
      <c r="O690" s="47" t="s">
        <v>37</v>
      </c>
      <c r="V690" s="3160" t="s">
        <v>30</v>
      </c>
    </row>
    <row r="691" spans="2:24" ht="31.5">
      <c r="B691" s="5130">
        <v>46167</v>
      </c>
      <c r="C691" s="3165" t="s">
        <v>2433</v>
      </c>
      <c r="D691" s="3165" t="s">
        <v>6275</v>
      </c>
      <c r="E691" s="4162" t="s">
        <v>888</v>
      </c>
      <c r="F691" s="4162" t="s">
        <v>273</v>
      </c>
      <c r="G691" s="4162"/>
      <c r="H691" s="4162"/>
      <c r="I691" s="4162">
        <v>705</v>
      </c>
      <c r="J691" s="4162" t="s">
        <v>6255</v>
      </c>
      <c r="L691" s="4347" t="s">
        <v>37</v>
      </c>
      <c r="M691" s="924"/>
      <c r="N691" s="47"/>
      <c r="O691" s="47"/>
    </row>
    <row r="692" spans="2:24" ht="31.5">
      <c r="B692" s="5130">
        <v>46167</v>
      </c>
      <c r="C692" s="3165" t="s">
        <v>2433</v>
      </c>
      <c r="D692" s="3165" t="s">
        <v>6276</v>
      </c>
      <c r="E692" s="4346" t="s">
        <v>296</v>
      </c>
      <c r="F692" s="4346" t="s">
        <v>3990</v>
      </c>
      <c r="G692" s="4346"/>
      <c r="H692" s="4346"/>
      <c r="I692" s="4162">
        <v>707</v>
      </c>
      <c r="J692" s="4162" t="s">
        <v>1895</v>
      </c>
      <c r="L692" s="4347" t="s">
        <v>37</v>
      </c>
      <c r="M692" s="924"/>
      <c r="N692" s="47"/>
      <c r="O692" s="47"/>
    </row>
    <row r="693" spans="2:24" ht="31.5">
      <c r="B693" s="5130">
        <v>46167</v>
      </c>
      <c r="C693" s="3165" t="s">
        <v>2433</v>
      </c>
      <c r="D693" s="3165" t="s">
        <v>6276</v>
      </c>
      <c r="E693" s="4346" t="s">
        <v>847</v>
      </c>
      <c r="F693" s="4346" t="s">
        <v>389</v>
      </c>
      <c r="G693" s="4346"/>
      <c r="H693" s="4346"/>
      <c r="I693" s="4162">
        <v>707</v>
      </c>
      <c r="J693" s="4162" t="s">
        <v>6256</v>
      </c>
      <c r="L693" s="4347" t="s">
        <v>37</v>
      </c>
      <c r="M693" s="924"/>
      <c r="N693" s="47"/>
      <c r="O693" s="47"/>
    </row>
    <row r="694" spans="2:24" ht="31.5">
      <c r="B694" s="5130">
        <v>46167</v>
      </c>
      <c r="C694" s="3165" t="s">
        <v>2433</v>
      </c>
      <c r="D694" s="3165" t="s">
        <v>6277</v>
      </c>
      <c r="E694" s="4162" t="s">
        <v>296</v>
      </c>
      <c r="F694" s="4162" t="s">
        <v>1217</v>
      </c>
      <c r="G694" s="4162"/>
      <c r="H694" s="4162"/>
      <c r="I694" s="4162">
        <v>707</v>
      </c>
      <c r="J694" s="4162" t="s">
        <v>384</v>
      </c>
      <c r="L694" s="4347" t="s">
        <v>37</v>
      </c>
      <c r="M694" s="924"/>
      <c r="N694" s="47"/>
      <c r="O694" s="47"/>
    </row>
    <row r="695" spans="2:24" ht="31.5">
      <c r="B695" s="5130">
        <v>46167</v>
      </c>
      <c r="C695" s="3165" t="s">
        <v>2433</v>
      </c>
      <c r="D695" s="3165" t="s">
        <v>6278</v>
      </c>
      <c r="E695" s="4162" t="s">
        <v>169</v>
      </c>
      <c r="F695" s="4162" t="s">
        <v>1654</v>
      </c>
      <c r="G695" s="4162"/>
      <c r="H695" s="4162"/>
      <c r="I695" s="4162">
        <v>705</v>
      </c>
      <c r="J695" s="4162" t="s">
        <v>6244</v>
      </c>
      <c r="L695" s="4347" t="s">
        <v>37</v>
      </c>
      <c r="M695" s="924"/>
      <c r="N695" s="47"/>
      <c r="O695" s="47"/>
    </row>
    <row r="696" spans="2:24" ht="52.5">
      <c r="B696" s="5130">
        <v>46167</v>
      </c>
      <c r="C696" s="3165" t="s">
        <v>2433</v>
      </c>
      <c r="D696" s="3165" t="s">
        <v>6279</v>
      </c>
      <c r="E696" s="4174" t="s">
        <v>888</v>
      </c>
      <c r="F696" s="4174" t="s">
        <v>827</v>
      </c>
      <c r="G696" s="4174"/>
      <c r="H696" s="4174"/>
      <c r="I696" s="4162">
        <v>712</v>
      </c>
      <c r="J696" s="4162" t="s">
        <v>6242</v>
      </c>
      <c r="K696" s="4371" t="s">
        <v>84</v>
      </c>
      <c r="L696" s="4347"/>
      <c r="M696" s="924" t="s">
        <v>37</v>
      </c>
      <c r="N696" s="47"/>
      <c r="O696" s="47"/>
      <c r="P696" s="5107" t="s">
        <v>0</v>
      </c>
      <c r="Q696" s="5107" t="s">
        <v>891</v>
      </c>
      <c r="R696" s="5107" t="s">
        <v>6120</v>
      </c>
      <c r="W696" s="3160" t="s">
        <v>30</v>
      </c>
      <c r="X696" s="3166" t="s">
        <v>6294</v>
      </c>
    </row>
    <row r="697" spans="2:24" ht="31.5">
      <c r="B697" s="5035">
        <v>46168</v>
      </c>
      <c r="C697" s="3165" t="s">
        <v>2433</v>
      </c>
      <c r="D697" s="3165" t="s">
        <v>6279</v>
      </c>
      <c r="E697" s="4174" t="s">
        <v>742</v>
      </c>
      <c r="F697" s="4174" t="s">
        <v>4194</v>
      </c>
      <c r="G697" s="4174"/>
      <c r="H697" s="4174"/>
      <c r="I697" s="4162">
        <v>712</v>
      </c>
      <c r="J697" s="4162" t="s">
        <v>6243</v>
      </c>
      <c r="K697" s="4371" t="s">
        <v>84</v>
      </c>
      <c r="L697" s="4347" t="s">
        <v>30</v>
      </c>
      <c r="M697" s="924"/>
      <c r="N697" s="47"/>
      <c r="O697" s="47"/>
      <c r="S697" s="924"/>
      <c r="T697" s="924"/>
      <c r="U697" s="924"/>
      <c r="V697" s="924"/>
      <c r="W697" s="924"/>
      <c r="X697" s="924"/>
    </row>
    <row r="698" spans="2:24" ht="31.5">
      <c r="B698" s="5035">
        <v>46168</v>
      </c>
      <c r="C698" s="3165" t="s">
        <v>2433</v>
      </c>
      <c r="D698" s="3165" t="s">
        <v>6280</v>
      </c>
      <c r="E698" s="4198" t="s">
        <v>577</v>
      </c>
      <c r="F698" s="4198" t="s">
        <v>3225</v>
      </c>
      <c r="G698" s="4198"/>
      <c r="H698" s="4198"/>
      <c r="I698" s="4162">
        <v>701</v>
      </c>
      <c r="J698" s="4162" t="s">
        <v>6238</v>
      </c>
      <c r="K698" s="924"/>
      <c r="L698" s="4347" t="s">
        <v>30</v>
      </c>
      <c r="M698" s="924"/>
      <c r="N698" s="47"/>
      <c r="O698" s="47"/>
      <c r="S698" s="924"/>
      <c r="T698" s="924"/>
      <c r="U698" s="924"/>
      <c r="V698" s="924"/>
      <c r="W698" s="924"/>
      <c r="X698" s="924"/>
    </row>
    <row r="699" spans="2:24" ht="31.5">
      <c r="B699" s="5130">
        <v>46168</v>
      </c>
      <c r="C699" s="3165" t="s">
        <v>2433</v>
      </c>
      <c r="D699" s="3165" t="s">
        <v>6281</v>
      </c>
      <c r="E699" s="4291" t="s">
        <v>888</v>
      </c>
      <c r="F699" s="4291" t="s">
        <v>4858</v>
      </c>
      <c r="G699" s="4291"/>
      <c r="H699" s="4291"/>
      <c r="I699" s="4162">
        <v>705</v>
      </c>
      <c r="J699" s="4162" t="s">
        <v>6257</v>
      </c>
      <c r="K699" s="924"/>
      <c r="L699" s="4347" t="s">
        <v>30</v>
      </c>
      <c r="M699" s="924"/>
      <c r="N699" s="47"/>
      <c r="O699" s="47"/>
      <c r="S699" s="924"/>
      <c r="T699" s="924"/>
      <c r="U699" s="924"/>
      <c r="V699" s="924"/>
      <c r="W699" s="924"/>
      <c r="X699" s="924"/>
    </row>
    <row r="700" spans="2:24" ht="31.5">
      <c r="B700" s="5130">
        <v>46168</v>
      </c>
      <c r="C700" s="3165" t="s">
        <v>2433</v>
      </c>
      <c r="D700" s="3165" t="s">
        <v>6282</v>
      </c>
      <c r="E700" s="4162" t="s">
        <v>4911</v>
      </c>
      <c r="F700" s="4162" t="s">
        <v>163</v>
      </c>
      <c r="G700" s="4162"/>
      <c r="H700" s="4162"/>
      <c r="I700" s="4162">
        <v>707</v>
      </c>
      <c r="J700" s="4162">
        <v>60086</v>
      </c>
      <c r="K700" s="924"/>
      <c r="L700" s="4347" t="s">
        <v>30</v>
      </c>
      <c r="M700" s="924"/>
      <c r="N700" s="47"/>
      <c r="O700" s="47"/>
      <c r="S700" s="924"/>
      <c r="T700" s="924"/>
      <c r="U700" s="924"/>
      <c r="V700" s="924"/>
      <c r="W700" s="924"/>
      <c r="X700" s="924"/>
    </row>
    <row r="701" spans="2:24" ht="31.5">
      <c r="B701" s="5130">
        <v>46168</v>
      </c>
      <c r="C701" s="3165" t="s">
        <v>2433</v>
      </c>
      <c r="D701" s="3165" t="s">
        <v>6283</v>
      </c>
      <c r="E701" s="4162" t="s">
        <v>1486</v>
      </c>
      <c r="F701" s="4162" t="s">
        <v>2465</v>
      </c>
      <c r="G701" s="4162"/>
      <c r="H701" s="4162"/>
      <c r="I701" s="4162">
        <v>705</v>
      </c>
      <c r="J701" s="4162" t="s">
        <v>969</v>
      </c>
      <c r="K701" s="4371" t="s">
        <v>627</v>
      </c>
      <c r="L701" s="4347" t="s">
        <v>37</v>
      </c>
      <c r="M701" s="924"/>
      <c r="N701" s="47"/>
      <c r="O701" s="47"/>
      <c r="P701" s="5107"/>
      <c r="Q701" s="5107"/>
      <c r="R701" s="5107"/>
      <c r="S701" s="924"/>
      <c r="T701" s="924"/>
      <c r="U701" s="924"/>
      <c r="V701" s="924" t="s">
        <v>30</v>
      </c>
      <c r="W701" s="924"/>
      <c r="X701" s="5131" t="s">
        <v>6258</v>
      </c>
    </row>
    <row r="702" spans="2:24" ht="31.5">
      <c r="B702" s="5130">
        <v>46168</v>
      </c>
      <c r="C702" s="3165" t="s">
        <v>2433</v>
      </c>
      <c r="D702" s="3165" t="s">
        <v>6284</v>
      </c>
      <c r="E702" s="4240" t="s">
        <v>888</v>
      </c>
      <c r="F702" s="4240" t="s">
        <v>275</v>
      </c>
      <c r="G702" s="4240"/>
      <c r="H702" s="4240"/>
      <c r="I702" s="4162">
        <v>712</v>
      </c>
      <c r="J702" s="4162" t="s">
        <v>6235</v>
      </c>
      <c r="K702" s="924"/>
      <c r="L702" s="4347" t="s">
        <v>30</v>
      </c>
      <c r="M702" s="924"/>
      <c r="N702" s="47"/>
      <c r="O702" s="47"/>
      <c r="S702" s="924"/>
      <c r="T702" s="924"/>
      <c r="U702" s="924"/>
      <c r="V702" s="924"/>
      <c r="W702" s="924"/>
      <c r="X702" s="924"/>
    </row>
    <row r="703" spans="2:24" ht="31.5">
      <c r="B703" s="5130">
        <v>46168</v>
      </c>
      <c r="C703" s="3165" t="s">
        <v>2433</v>
      </c>
      <c r="D703" s="3165" t="s">
        <v>6285</v>
      </c>
      <c r="E703" s="4181" t="s">
        <v>204</v>
      </c>
      <c r="F703" s="4181" t="s">
        <v>3838</v>
      </c>
      <c r="G703" s="4181"/>
      <c r="H703" s="4181"/>
      <c r="I703" s="4162">
        <v>707</v>
      </c>
      <c r="J703" s="4162">
        <v>60020</v>
      </c>
      <c r="K703" s="924"/>
      <c r="L703" s="4347" t="s">
        <v>30</v>
      </c>
      <c r="M703" s="924"/>
      <c r="N703" s="47"/>
      <c r="O703" s="47"/>
      <c r="S703" s="924"/>
      <c r="T703" s="924"/>
      <c r="U703" s="924"/>
      <c r="V703" s="924"/>
      <c r="W703" s="924"/>
      <c r="X703" s="924"/>
    </row>
    <row r="704" spans="2:24" ht="31.5">
      <c r="B704" s="5035">
        <v>46169</v>
      </c>
      <c r="C704" s="3165" t="s">
        <v>2433</v>
      </c>
      <c r="D704" s="3165" t="s">
        <v>6280</v>
      </c>
      <c r="E704" s="4198" t="s">
        <v>1465</v>
      </c>
      <c r="F704" s="4198" t="s">
        <v>1409</v>
      </c>
      <c r="G704" s="4198"/>
      <c r="H704" s="4198"/>
      <c r="I704" s="4162">
        <v>701</v>
      </c>
      <c r="J704" s="4162" t="s">
        <v>621</v>
      </c>
      <c r="K704" s="924"/>
      <c r="L704" s="4347" t="s">
        <v>37</v>
      </c>
      <c r="M704" s="924"/>
      <c r="N704" s="47"/>
      <c r="O704" s="47"/>
      <c r="S704" s="924"/>
      <c r="T704" s="924"/>
      <c r="U704" s="924"/>
      <c r="V704" s="924"/>
      <c r="W704" s="924"/>
      <c r="X704" s="924"/>
    </row>
    <row r="705" spans="2:24" ht="31.5">
      <c r="B705" s="5130">
        <v>46169</v>
      </c>
      <c r="C705" s="3165" t="s">
        <v>2433</v>
      </c>
      <c r="D705" s="3165" t="s">
        <v>6281</v>
      </c>
      <c r="E705" s="4291" t="s">
        <v>1905</v>
      </c>
      <c r="F705" s="4291" t="s">
        <v>389</v>
      </c>
      <c r="G705" s="4291"/>
      <c r="H705" s="4291"/>
      <c r="I705" s="4162">
        <v>705</v>
      </c>
      <c r="J705" s="4162">
        <v>60072</v>
      </c>
      <c r="K705" s="924"/>
      <c r="L705" s="4347"/>
      <c r="M705" s="924" t="s">
        <v>37</v>
      </c>
      <c r="N705" s="47"/>
      <c r="O705" s="47"/>
      <c r="P705" s="5107" t="s">
        <v>0</v>
      </c>
      <c r="Q705" s="5107" t="s">
        <v>187</v>
      </c>
      <c r="R705" s="5107" t="s">
        <v>6120</v>
      </c>
      <c r="S705" s="924"/>
      <c r="T705" s="924"/>
      <c r="U705" s="924"/>
      <c r="V705" s="924"/>
      <c r="W705" s="924"/>
      <c r="X705" s="924" t="s">
        <v>6295</v>
      </c>
    </row>
    <row r="706" spans="2:24" ht="31.5">
      <c r="B706" s="5130">
        <v>46169</v>
      </c>
      <c r="C706" s="3165" t="s">
        <v>2433</v>
      </c>
      <c r="D706" s="3165" t="s">
        <v>6284</v>
      </c>
      <c r="E706" s="4240" t="s">
        <v>282</v>
      </c>
      <c r="F706" s="4240" t="s">
        <v>2001</v>
      </c>
      <c r="G706" s="4240"/>
      <c r="H706" s="4240"/>
      <c r="I706" s="4162">
        <v>712</v>
      </c>
      <c r="J706" s="4162" t="s">
        <v>6235</v>
      </c>
      <c r="K706" s="924"/>
      <c r="L706" s="4347" t="s">
        <v>37</v>
      </c>
      <c r="M706" s="924"/>
      <c r="N706" s="47"/>
      <c r="O706" s="47"/>
      <c r="S706" s="924"/>
      <c r="T706" s="924"/>
      <c r="U706" s="924"/>
      <c r="V706" s="924"/>
      <c r="W706" s="924"/>
      <c r="X706" s="924"/>
    </row>
    <row r="707" spans="2:24" ht="31.5">
      <c r="B707" s="5130">
        <v>46169</v>
      </c>
      <c r="C707" s="3165" t="s">
        <v>2433</v>
      </c>
      <c r="D707" s="3165" t="s">
        <v>6286</v>
      </c>
      <c r="E707" s="4162" t="s">
        <v>97</v>
      </c>
      <c r="F707" s="4162" t="s">
        <v>148</v>
      </c>
      <c r="G707" s="4162"/>
      <c r="H707" s="4162"/>
      <c r="I707" s="4162">
        <v>712</v>
      </c>
      <c r="J707" s="4162" t="s">
        <v>6260</v>
      </c>
      <c r="K707" s="924"/>
      <c r="L707" s="4347" t="s">
        <v>37</v>
      </c>
      <c r="M707" s="924"/>
      <c r="N707" s="47"/>
      <c r="O707" s="47"/>
      <c r="S707" s="924"/>
      <c r="T707" s="924"/>
      <c r="U707" s="924"/>
      <c r="V707" s="924"/>
      <c r="W707" s="924"/>
      <c r="X707" s="924"/>
    </row>
    <row r="708" spans="2:24" ht="31.5">
      <c r="B708" s="5130">
        <v>46169</v>
      </c>
      <c r="C708" s="3165" t="s">
        <v>2433</v>
      </c>
      <c r="D708" s="3165" t="s">
        <v>6287</v>
      </c>
      <c r="E708" s="4167" t="s">
        <v>4539</v>
      </c>
      <c r="F708" s="4167" t="s">
        <v>6259</v>
      </c>
      <c r="G708" s="4167"/>
      <c r="H708" s="4167"/>
      <c r="I708" s="4162">
        <v>705</v>
      </c>
      <c r="J708" s="4162" t="s">
        <v>6261</v>
      </c>
      <c r="K708" s="924"/>
      <c r="L708" s="4347" t="s">
        <v>37</v>
      </c>
      <c r="M708" s="924"/>
      <c r="N708" s="47"/>
      <c r="O708" s="47"/>
      <c r="S708" s="924"/>
      <c r="T708" s="924"/>
      <c r="U708" s="924"/>
      <c r="V708" s="924"/>
      <c r="W708" s="924"/>
      <c r="X708" s="924" t="s">
        <v>6262</v>
      </c>
    </row>
    <row r="709" spans="2:24" ht="31.5">
      <c r="B709" s="5130">
        <v>46169</v>
      </c>
      <c r="C709" s="3165" t="s">
        <v>2433</v>
      </c>
      <c r="D709" s="3165" t="s">
        <v>6287</v>
      </c>
      <c r="E709" s="4167" t="s">
        <v>124</v>
      </c>
      <c r="F709" s="4167" t="s">
        <v>4255</v>
      </c>
      <c r="G709" s="4167"/>
      <c r="H709" s="4167"/>
      <c r="I709" s="4162">
        <v>705</v>
      </c>
      <c r="J709" s="4162" t="s">
        <v>6261</v>
      </c>
      <c r="K709" s="924"/>
      <c r="L709" s="4347" t="s">
        <v>37</v>
      </c>
      <c r="M709" s="924"/>
      <c r="N709" s="47"/>
      <c r="O709" s="47"/>
      <c r="S709" s="924"/>
      <c r="T709" s="924"/>
      <c r="U709" s="924"/>
      <c r="V709" s="924"/>
      <c r="W709" s="924"/>
      <c r="X709" s="924"/>
    </row>
    <row r="710" spans="2:24" ht="31.5">
      <c r="B710" s="5130">
        <v>46169</v>
      </c>
      <c r="C710" s="3165" t="s">
        <v>2433</v>
      </c>
      <c r="D710" s="3165" t="s">
        <v>6288</v>
      </c>
      <c r="E710" s="4162" t="s">
        <v>148</v>
      </c>
      <c r="F710" s="4162" t="s">
        <v>1654</v>
      </c>
      <c r="G710" s="4162"/>
      <c r="H710" s="4162"/>
      <c r="I710" s="4162">
        <v>705</v>
      </c>
      <c r="J710" s="4162" t="s">
        <v>969</v>
      </c>
      <c r="K710" s="4371" t="s">
        <v>627</v>
      </c>
      <c r="L710" s="4347" t="s">
        <v>37</v>
      </c>
      <c r="M710" s="924"/>
      <c r="N710" s="47"/>
      <c r="O710" s="47"/>
      <c r="S710" s="924"/>
      <c r="T710" s="924"/>
      <c r="U710" s="924"/>
      <c r="V710" s="924" t="s">
        <v>37</v>
      </c>
      <c r="W710" s="924"/>
      <c r="X710" s="924"/>
    </row>
    <row r="711" spans="2:24" ht="31.5">
      <c r="B711" s="5035">
        <v>46169</v>
      </c>
      <c r="C711" s="3165" t="s">
        <v>2433</v>
      </c>
      <c r="D711" s="3165" t="s">
        <v>6285</v>
      </c>
      <c r="E711" s="4181" t="s">
        <v>148</v>
      </c>
      <c r="F711" s="4181" t="s">
        <v>939</v>
      </c>
      <c r="G711" s="4181"/>
      <c r="H711" s="4181"/>
      <c r="I711" s="4162">
        <v>707</v>
      </c>
      <c r="J711" s="4162">
        <v>60020</v>
      </c>
      <c r="K711" s="4371" t="s">
        <v>627</v>
      </c>
      <c r="L711" s="4347" t="s">
        <v>37</v>
      </c>
      <c r="M711" s="924"/>
      <c r="N711" s="47"/>
      <c r="O711" s="47"/>
      <c r="S711" s="924"/>
      <c r="T711" s="924"/>
      <c r="U711" s="924"/>
      <c r="V711" s="924"/>
      <c r="W711" s="924"/>
      <c r="X711" s="924"/>
    </row>
    <row r="712" spans="2:24" ht="31.5">
      <c r="B712" s="5035">
        <v>46170</v>
      </c>
      <c r="C712" s="3165" t="s">
        <v>2433</v>
      </c>
      <c r="D712" s="3165" t="s">
        <v>6287</v>
      </c>
      <c r="E712" s="4167" t="s">
        <v>282</v>
      </c>
      <c r="F712" s="4167" t="s">
        <v>4197</v>
      </c>
      <c r="G712" s="4167"/>
      <c r="H712" s="4167"/>
      <c r="I712" s="4162">
        <v>705</v>
      </c>
      <c r="J712" s="4162" t="s">
        <v>6261</v>
      </c>
      <c r="K712" s="924"/>
      <c r="L712" s="4347" t="s">
        <v>30</v>
      </c>
      <c r="M712" s="924"/>
      <c r="N712" s="47"/>
      <c r="O712" s="47"/>
      <c r="S712" s="924"/>
      <c r="T712" s="924"/>
      <c r="U712" s="924"/>
      <c r="V712" s="924"/>
      <c r="W712" s="924"/>
    </row>
    <row r="713" spans="2:24" ht="31.5">
      <c r="B713" s="5035">
        <v>46170</v>
      </c>
      <c r="C713" s="3165" t="s">
        <v>2433</v>
      </c>
      <c r="D713" s="3165" t="s">
        <v>6289</v>
      </c>
      <c r="E713" s="4198" t="s">
        <v>577</v>
      </c>
      <c r="F713" s="4198" t="s">
        <v>3225</v>
      </c>
      <c r="G713" s="4198"/>
      <c r="H713" s="4198"/>
      <c r="I713" s="4162">
        <v>701</v>
      </c>
      <c r="J713" s="4162" t="s">
        <v>594</v>
      </c>
      <c r="K713" s="924"/>
      <c r="L713" s="4347" t="s">
        <v>30</v>
      </c>
      <c r="M713" s="924"/>
      <c r="N713" s="47"/>
      <c r="O713" s="47"/>
      <c r="S713" s="924"/>
      <c r="T713" s="924"/>
      <c r="U713" s="924"/>
      <c r="V713" s="924"/>
      <c r="W713" s="924"/>
    </row>
    <row r="714" spans="2:24" ht="31.5">
      <c r="B714" s="5035">
        <v>46170</v>
      </c>
      <c r="C714" s="3165" t="s">
        <v>2433</v>
      </c>
      <c r="D714" s="3165" t="s">
        <v>6289</v>
      </c>
      <c r="E714" s="4198" t="s">
        <v>1465</v>
      </c>
      <c r="F714" s="4198" t="s">
        <v>1409</v>
      </c>
      <c r="G714" s="4198"/>
      <c r="H714" s="4198"/>
      <c r="I714" s="4162">
        <v>701</v>
      </c>
      <c r="J714" s="4162" t="s">
        <v>621</v>
      </c>
      <c r="K714" s="924"/>
      <c r="L714" s="4347" t="s">
        <v>30</v>
      </c>
      <c r="M714" s="924"/>
      <c r="N714" s="47"/>
      <c r="O714" s="47"/>
      <c r="S714" s="924"/>
      <c r="T714" s="924"/>
      <c r="U714" s="924"/>
      <c r="V714" s="924"/>
      <c r="W714" s="924"/>
    </row>
    <row r="715" spans="2:24" ht="31.5">
      <c r="B715" s="5035">
        <v>46170</v>
      </c>
      <c r="C715" s="3165" t="s">
        <v>2433</v>
      </c>
      <c r="D715" s="3165" t="s">
        <v>6290</v>
      </c>
      <c r="E715" s="4167" t="s">
        <v>4539</v>
      </c>
      <c r="F715" s="4167" t="s">
        <v>56</v>
      </c>
      <c r="G715" s="4167"/>
      <c r="H715" s="4167"/>
      <c r="I715" s="4162">
        <v>705</v>
      </c>
      <c r="J715" s="4162" t="s">
        <v>6264</v>
      </c>
      <c r="K715" s="924"/>
      <c r="L715" s="4347"/>
      <c r="M715" s="924" t="s">
        <v>30</v>
      </c>
      <c r="N715" s="47"/>
      <c r="O715" s="47"/>
      <c r="P715" s="5107" t="s">
        <v>0</v>
      </c>
      <c r="Q715" s="5107" t="s">
        <v>187</v>
      </c>
      <c r="R715" s="5107" t="s">
        <v>6120</v>
      </c>
      <c r="S715" s="924"/>
      <c r="T715" s="924"/>
      <c r="U715" s="924"/>
      <c r="V715" s="924"/>
      <c r="W715" s="924"/>
    </row>
    <row r="716" spans="2:24" ht="31.5">
      <c r="B716" s="5035">
        <v>46170</v>
      </c>
      <c r="C716" s="3165" t="s">
        <v>2433</v>
      </c>
      <c r="D716" s="3165" t="s">
        <v>6290</v>
      </c>
      <c r="E716" s="4167" t="s">
        <v>79</v>
      </c>
      <c r="F716" s="4167" t="s">
        <v>4194</v>
      </c>
      <c r="G716" s="4167"/>
      <c r="H716" s="4167"/>
      <c r="I716" s="4162">
        <v>705</v>
      </c>
      <c r="J716" s="4162" t="s">
        <v>6264</v>
      </c>
      <c r="K716" s="924"/>
      <c r="L716" s="4347"/>
      <c r="M716" s="924"/>
      <c r="N716" s="47" t="s">
        <v>37</v>
      </c>
      <c r="O716" s="47"/>
      <c r="P716" s="5107"/>
      <c r="Q716" s="5107"/>
      <c r="R716" s="5107"/>
      <c r="S716" s="924"/>
      <c r="T716" s="924"/>
      <c r="U716" s="924"/>
      <c r="V716" s="924"/>
      <c r="W716" s="924"/>
    </row>
    <row r="717" spans="2:24" ht="31.5">
      <c r="B717" s="5035">
        <v>46170</v>
      </c>
      <c r="C717" s="3165" t="s">
        <v>2433</v>
      </c>
      <c r="D717" s="3165" t="s">
        <v>6291</v>
      </c>
      <c r="E717" s="4179" t="s">
        <v>296</v>
      </c>
      <c r="F717" s="4179" t="s">
        <v>140</v>
      </c>
      <c r="G717" s="4179"/>
      <c r="H717" s="4179"/>
      <c r="I717" s="4162">
        <v>705</v>
      </c>
      <c r="J717" s="4162" t="s">
        <v>248</v>
      </c>
      <c r="K717" s="924"/>
      <c r="L717" s="4347" t="s">
        <v>30</v>
      </c>
      <c r="M717" s="924"/>
      <c r="N717" s="47"/>
      <c r="O717" s="47"/>
      <c r="S717" s="924"/>
      <c r="T717" s="924"/>
      <c r="U717" s="924"/>
      <c r="V717" s="924"/>
      <c r="W717" s="924"/>
    </row>
    <row r="718" spans="2:24" ht="31.5">
      <c r="B718" s="5035">
        <v>46170</v>
      </c>
      <c r="C718" s="3165" t="s">
        <v>2433</v>
      </c>
      <c r="D718" s="3165" t="s">
        <v>6285</v>
      </c>
      <c r="E718" s="4181" t="s">
        <v>939</v>
      </c>
      <c r="F718" s="4181" t="s">
        <v>4796</v>
      </c>
      <c r="G718" s="4181"/>
      <c r="H718" s="4181"/>
      <c r="I718" s="4162">
        <v>707</v>
      </c>
      <c r="J718" s="4162" t="s">
        <v>6265</v>
      </c>
      <c r="K718" s="4371" t="s">
        <v>627</v>
      </c>
      <c r="L718" s="4347" t="s">
        <v>30</v>
      </c>
      <c r="M718" s="924"/>
      <c r="N718" s="47"/>
      <c r="O718" s="47"/>
      <c r="S718" s="924"/>
      <c r="T718" s="924"/>
      <c r="U718" s="924"/>
      <c r="V718" s="924"/>
      <c r="W718" s="924"/>
    </row>
    <row r="719" spans="2:24" ht="31.5">
      <c r="B719" s="5035">
        <v>46170</v>
      </c>
      <c r="C719" s="3165" t="s">
        <v>2433</v>
      </c>
      <c r="D719" s="3165" t="s">
        <v>6292</v>
      </c>
      <c r="E719" s="4307" t="s">
        <v>148</v>
      </c>
      <c r="F719" s="4307" t="s">
        <v>6263</v>
      </c>
      <c r="G719" s="4307"/>
      <c r="H719" s="4307"/>
      <c r="I719" s="4162">
        <v>712</v>
      </c>
      <c r="J719" s="4162" t="s">
        <v>6266</v>
      </c>
      <c r="K719" s="4464" t="s">
        <v>310</v>
      </c>
      <c r="L719" s="4347" t="s">
        <v>30</v>
      </c>
      <c r="M719" s="924"/>
      <c r="N719" s="47"/>
      <c r="O719" s="47"/>
      <c r="S719" s="924"/>
      <c r="T719" s="924"/>
      <c r="U719" s="924" t="s">
        <v>37</v>
      </c>
      <c r="V719" s="924"/>
      <c r="W719" s="924"/>
    </row>
    <row r="720" spans="2:24" ht="31.5">
      <c r="B720" s="5035">
        <v>46171</v>
      </c>
      <c r="C720" s="3165" t="s">
        <v>2433</v>
      </c>
      <c r="D720" s="3165" t="s">
        <v>6291</v>
      </c>
      <c r="E720" s="4179" t="s">
        <v>80</v>
      </c>
      <c r="F720" s="4179" t="s">
        <v>904</v>
      </c>
      <c r="G720" s="4179"/>
      <c r="H720" s="4179"/>
      <c r="I720" s="4162">
        <v>705</v>
      </c>
      <c r="J720" s="4162" t="s">
        <v>6267</v>
      </c>
      <c r="K720" s="924"/>
      <c r="L720" s="4347" t="s">
        <v>30</v>
      </c>
      <c r="M720" s="924"/>
      <c r="N720" s="47"/>
      <c r="O720" s="47"/>
      <c r="S720" s="924"/>
      <c r="T720" s="924"/>
      <c r="U720" s="924"/>
      <c r="V720" s="924"/>
      <c r="W720" s="924"/>
      <c r="X720" s="924"/>
    </row>
    <row r="721" spans="2:25" ht="31.5">
      <c r="B721" s="5035">
        <v>46171</v>
      </c>
      <c r="C721" s="3165" t="s">
        <v>2433</v>
      </c>
      <c r="D721" s="3165" t="s">
        <v>6291</v>
      </c>
      <c r="E721" s="4179" t="s">
        <v>392</v>
      </c>
      <c r="F721" s="4179" t="s">
        <v>2149</v>
      </c>
      <c r="G721" s="4179"/>
      <c r="H721" s="4179"/>
      <c r="I721" s="4162">
        <v>705</v>
      </c>
      <c r="J721" s="4162" t="s">
        <v>248</v>
      </c>
      <c r="K721" s="924"/>
      <c r="L721" s="4347" t="s">
        <v>30</v>
      </c>
      <c r="M721" s="924"/>
      <c r="N721" s="47"/>
      <c r="O721" s="47"/>
      <c r="S721" s="924"/>
      <c r="T721" s="924"/>
      <c r="U721" s="924"/>
      <c r="V721" s="924"/>
      <c r="W721" s="924"/>
      <c r="X721" s="924"/>
    </row>
    <row r="722" spans="2:25" ht="31.5">
      <c r="B722" s="5130">
        <v>46169</v>
      </c>
      <c r="C722" s="3165" t="s">
        <v>2433</v>
      </c>
      <c r="D722" s="3165" t="s">
        <v>6292</v>
      </c>
      <c r="E722" s="4307" t="s">
        <v>6263</v>
      </c>
      <c r="F722" s="4307" t="s">
        <v>454</v>
      </c>
      <c r="G722" s="4307"/>
      <c r="H722" s="4307"/>
      <c r="I722" s="4162">
        <v>712</v>
      </c>
      <c r="J722" s="4162" t="s">
        <v>6268</v>
      </c>
      <c r="K722" s="4464" t="s">
        <v>310</v>
      </c>
      <c r="L722" s="4347"/>
      <c r="M722" s="924" t="s">
        <v>30</v>
      </c>
      <c r="N722" s="47"/>
      <c r="O722" s="47"/>
      <c r="P722" s="5107" t="s">
        <v>71</v>
      </c>
      <c r="Q722" s="5107" t="s">
        <v>138</v>
      </c>
      <c r="R722" s="5107" t="s">
        <v>6116</v>
      </c>
      <c r="S722" s="924" t="s">
        <v>30</v>
      </c>
      <c r="T722" s="924"/>
      <c r="U722" s="924" t="s">
        <v>37</v>
      </c>
      <c r="V722" s="924"/>
      <c r="W722" s="924"/>
      <c r="X722" s="924" t="s">
        <v>6271</v>
      </c>
      <c r="Y722" s="3160" t="s">
        <v>6293</v>
      </c>
    </row>
    <row r="723" spans="2:25" ht="31.5">
      <c r="B723" s="5035">
        <v>46171</v>
      </c>
      <c r="C723" s="3165" t="s">
        <v>2433</v>
      </c>
      <c r="D723" s="3165" t="s">
        <v>2297</v>
      </c>
      <c r="E723" s="4198" t="s">
        <v>577</v>
      </c>
      <c r="F723" s="4198" t="s">
        <v>3225</v>
      </c>
      <c r="G723" s="4198"/>
      <c r="H723" s="4198"/>
      <c r="I723" s="4162">
        <v>701</v>
      </c>
      <c r="J723" s="4162" t="s">
        <v>594</v>
      </c>
      <c r="K723" s="924"/>
      <c r="L723" s="4347" t="s">
        <v>30</v>
      </c>
      <c r="M723" s="924"/>
      <c r="N723" s="47"/>
      <c r="O723" s="47"/>
      <c r="S723" s="924"/>
      <c r="T723" s="924"/>
      <c r="U723" s="924"/>
      <c r="V723" s="924"/>
      <c r="W723" s="924"/>
      <c r="X723" s="924"/>
    </row>
    <row r="724" spans="2:25" ht="31.5">
      <c r="B724" s="5035">
        <v>46171</v>
      </c>
      <c r="C724" s="3165" t="s">
        <v>2433</v>
      </c>
      <c r="D724" s="3165" t="s">
        <v>2297</v>
      </c>
      <c r="E724" s="4198" t="s">
        <v>1465</v>
      </c>
      <c r="F724" s="4198" t="s">
        <v>1409</v>
      </c>
      <c r="G724" s="4198"/>
      <c r="H724" s="4198"/>
      <c r="I724" s="4162">
        <v>701</v>
      </c>
      <c r="J724" s="4162" t="s">
        <v>621</v>
      </c>
      <c r="K724" s="924"/>
      <c r="L724" s="4347"/>
      <c r="M724" s="924" t="s">
        <v>30</v>
      </c>
      <c r="N724" s="47"/>
      <c r="O724" s="47"/>
      <c r="P724" s="5107" t="s">
        <v>0</v>
      </c>
      <c r="Q724" s="5107" t="s">
        <v>31</v>
      </c>
      <c r="R724" s="5107" t="s">
        <v>6118</v>
      </c>
      <c r="S724" s="924"/>
      <c r="T724" s="924"/>
      <c r="U724" s="924"/>
      <c r="V724" s="924"/>
      <c r="W724" s="924"/>
      <c r="X724" s="924" t="s">
        <v>6272</v>
      </c>
    </row>
    <row r="725" spans="2:25" ht="31.5">
      <c r="B725" s="5130">
        <v>46171</v>
      </c>
      <c r="C725" s="3165" t="s">
        <v>2433</v>
      </c>
      <c r="D725" s="3165" t="s">
        <v>2298</v>
      </c>
      <c r="E725" s="4291" t="s">
        <v>847</v>
      </c>
      <c r="F725" s="4291" t="s">
        <v>3031</v>
      </c>
      <c r="G725" s="4291"/>
      <c r="H725" s="4291"/>
      <c r="I725" s="4162">
        <v>707</v>
      </c>
      <c r="J725" s="4162" t="s">
        <v>6207</v>
      </c>
      <c r="K725" s="924"/>
      <c r="L725" s="4347" t="s">
        <v>30</v>
      </c>
      <c r="M725" s="924"/>
      <c r="N725" s="47"/>
      <c r="O725" s="47"/>
      <c r="S725" s="924"/>
      <c r="T725" s="924"/>
      <c r="U725" s="924"/>
      <c r="V725" s="924"/>
      <c r="W725" s="924"/>
      <c r="X725" s="924"/>
    </row>
    <row r="726" spans="2:25" ht="31.5">
      <c r="B726" s="5130">
        <v>46171</v>
      </c>
      <c r="C726" s="3165" t="s">
        <v>2433</v>
      </c>
      <c r="D726" s="3165" t="s">
        <v>2302</v>
      </c>
      <c r="E726" s="4288" t="s">
        <v>4539</v>
      </c>
      <c r="F726" s="4288" t="s">
        <v>6084</v>
      </c>
      <c r="G726" s="4288"/>
      <c r="H726" s="4288"/>
      <c r="I726" s="4162">
        <v>705</v>
      </c>
      <c r="J726" s="4162" t="s">
        <v>6264</v>
      </c>
      <c r="K726" s="924"/>
      <c r="L726" s="4347" t="s">
        <v>30</v>
      </c>
      <c r="M726" s="924"/>
      <c r="N726" s="47"/>
      <c r="O726" s="47"/>
      <c r="S726" s="924"/>
      <c r="T726" s="924"/>
      <c r="U726" s="924"/>
      <c r="V726" s="924" t="s">
        <v>37</v>
      </c>
      <c r="W726" s="924"/>
      <c r="X726" s="924"/>
    </row>
    <row r="727" spans="2:25" ht="31.5">
      <c r="B727" s="5130">
        <v>46171</v>
      </c>
      <c r="C727" s="3165" t="s">
        <v>2433</v>
      </c>
      <c r="D727" s="3165" t="s">
        <v>2302</v>
      </c>
      <c r="E727" s="4288" t="s">
        <v>124</v>
      </c>
      <c r="F727" s="4288" t="s">
        <v>4194</v>
      </c>
      <c r="G727" s="4288"/>
      <c r="H727" s="4288"/>
      <c r="I727" s="4162">
        <v>705</v>
      </c>
      <c r="J727" s="4162" t="s">
        <v>6264</v>
      </c>
      <c r="K727" s="924"/>
      <c r="L727" s="4347" t="s">
        <v>30</v>
      </c>
      <c r="M727" s="924"/>
      <c r="N727" s="47"/>
      <c r="O727" s="47"/>
      <c r="S727" s="924"/>
      <c r="T727" s="924"/>
      <c r="U727" s="924"/>
      <c r="V727" s="924" t="s">
        <v>37</v>
      </c>
      <c r="W727" s="924"/>
      <c r="X727" s="924"/>
    </row>
    <row r="728" spans="2:25" ht="31.5">
      <c r="B728" s="5130">
        <v>46171</v>
      </c>
      <c r="C728" s="3165" t="s">
        <v>2433</v>
      </c>
      <c r="D728" s="3165" t="s">
        <v>2304</v>
      </c>
      <c r="E728" s="4162" t="s">
        <v>888</v>
      </c>
      <c r="F728" s="4162" t="s">
        <v>888</v>
      </c>
      <c r="G728" s="4162"/>
      <c r="H728" s="4162"/>
      <c r="I728" s="4162">
        <v>707</v>
      </c>
      <c r="J728" s="4162" t="s">
        <v>6269</v>
      </c>
      <c r="K728" s="924"/>
      <c r="L728" s="4347"/>
      <c r="M728" s="924" t="s">
        <v>30</v>
      </c>
      <c r="N728" s="47"/>
      <c r="O728" s="47"/>
      <c r="P728" s="5107" t="s">
        <v>0</v>
      </c>
      <c r="Q728" s="5107" t="s">
        <v>187</v>
      </c>
      <c r="R728" s="5107" t="s">
        <v>324</v>
      </c>
      <c r="S728" s="924"/>
      <c r="T728" s="924"/>
      <c r="U728" s="924"/>
      <c r="V728" s="924"/>
      <c r="W728" s="924"/>
      <c r="X728" s="924" t="s">
        <v>6273</v>
      </c>
    </row>
    <row r="729" spans="2:25" ht="31.5">
      <c r="B729" s="5130">
        <v>46171</v>
      </c>
      <c r="C729" s="3165" t="s">
        <v>2433</v>
      </c>
      <c r="D729" s="3165" t="s">
        <v>2307</v>
      </c>
      <c r="E729" s="4162" t="s">
        <v>1654</v>
      </c>
      <c r="F729" s="4162" t="s">
        <v>43</v>
      </c>
      <c r="G729" s="4162"/>
      <c r="H729" s="4162"/>
      <c r="I729" s="4162">
        <v>705</v>
      </c>
      <c r="J729" s="4162">
        <v>60072</v>
      </c>
      <c r="K729" s="924"/>
      <c r="L729" s="4347"/>
      <c r="M729" s="924" t="s">
        <v>30</v>
      </c>
      <c r="N729" s="47"/>
      <c r="O729" s="47"/>
      <c r="P729" s="5107" t="s">
        <v>0</v>
      </c>
      <c r="Q729" s="5107" t="s">
        <v>187</v>
      </c>
      <c r="R729" s="5107" t="s">
        <v>6120</v>
      </c>
      <c r="S729" s="924"/>
      <c r="T729" s="924"/>
      <c r="U729" s="924" t="s">
        <v>30</v>
      </c>
      <c r="V729" s="924"/>
      <c r="W729" s="924"/>
      <c r="X729" s="924" t="s">
        <v>6296</v>
      </c>
    </row>
    <row r="730" spans="2:25" ht="31.5">
      <c r="B730" s="5130">
        <v>46171</v>
      </c>
      <c r="C730" s="3165" t="s">
        <v>2433</v>
      </c>
      <c r="D730" s="3165" t="s">
        <v>2308</v>
      </c>
      <c r="E730" s="4162" t="s">
        <v>273</v>
      </c>
      <c r="F730" s="4162" t="s">
        <v>888</v>
      </c>
      <c r="G730" s="4162"/>
      <c r="H730" s="4162"/>
      <c r="I730" s="4162">
        <v>705</v>
      </c>
      <c r="J730" s="4162" t="s">
        <v>6270</v>
      </c>
      <c r="K730" s="924"/>
      <c r="L730" s="4347"/>
      <c r="M730" s="924" t="s">
        <v>37</v>
      </c>
      <c r="N730" s="47"/>
      <c r="O730" s="47"/>
      <c r="P730" s="5107" t="s">
        <v>0</v>
      </c>
      <c r="Q730" s="5107" t="s">
        <v>187</v>
      </c>
      <c r="R730" s="5107" t="s">
        <v>6120</v>
      </c>
      <c r="S730" s="924"/>
      <c r="T730" s="924"/>
      <c r="U730" s="924"/>
      <c r="V730" s="924"/>
      <c r="W730" s="924"/>
      <c r="X730" s="924" t="s">
        <v>6296</v>
      </c>
    </row>
    <row r="731" spans="2:25" ht="61.5">
      <c r="B731" s="5157">
        <v>46174</v>
      </c>
      <c r="C731" s="3165" t="s">
        <v>2518</v>
      </c>
      <c r="D731" s="3165" t="s">
        <v>2297</v>
      </c>
      <c r="E731" s="4488" t="s">
        <v>1465</v>
      </c>
      <c r="F731" s="4488" t="s">
        <v>1409</v>
      </c>
      <c r="I731" s="4162">
        <v>701</v>
      </c>
      <c r="J731" s="4162" t="s">
        <v>621</v>
      </c>
      <c r="K731" s="5167"/>
      <c r="L731" s="5167" t="s">
        <v>37</v>
      </c>
      <c r="M731" s="5167"/>
      <c r="N731" s="5167"/>
      <c r="O731" s="5167"/>
      <c r="S731" s="5167"/>
      <c r="T731" s="5167" t="s">
        <v>37</v>
      </c>
      <c r="U731" s="5167"/>
      <c r="V731" s="5167"/>
      <c r="W731" s="5167"/>
      <c r="X731" s="5167" t="s">
        <v>6327</v>
      </c>
    </row>
    <row r="732" spans="2:25" ht="30.75">
      <c r="B732" s="5157">
        <v>46174</v>
      </c>
      <c r="C732" s="3165" t="s">
        <v>2518</v>
      </c>
      <c r="D732" s="3165" t="s">
        <v>2310</v>
      </c>
      <c r="E732" s="5158" t="s">
        <v>296</v>
      </c>
      <c r="F732" s="5158" t="s">
        <v>80</v>
      </c>
      <c r="I732" s="5158">
        <v>707</v>
      </c>
      <c r="J732" s="5158">
        <v>60105</v>
      </c>
      <c r="K732" s="5167"/>
      <c r="L732" s="5167" t="s">
        <v>37</v>
      </c>
      <c r="M732" s="5167"/>
      <c r="N732" s="5167"/>
      <c r="O732" s="5167"/>
      <c r="S732" s="5167"/>
      <c r="T732" s="5167"/>
      <c r="U732" s="5167"/>
      <c r="V732" s="5167"/>
      <c r="W732" s="5167"/>
      <c r="X732" s="5167"/>
    </row>
    <row r="733" spans="2:25" ht="30.75">
      <c r="B733" s="5157">
        <v>46174</v>
      </c>
      <c r="C733" s="3165" t="s">
        <v>2518</v>
      </c>
      <c r="D733" s="3165" t="s">
        <v>2314</v>
      </c>
      <c r="E733" s="5159" t="s">
        <v>888</v>
      </c>
      <c r="F733" s="5159" t="s">
        <v>1936</v>
      </c>
      <c r="I733" s="5158">
        <v>705</v>
      </c>
      <c r="J733" s="5158" t="s">
        <v>6309</v>
      </c>
      <c r="K733" s="5167"/>
      <c r="L733" s="5167" t="s">
        <v>37</v>
      </c>
      <c r="M733" s="5167"/>
      <c r="N733" s="5167"/>
      <c r="O733" s="5167"/>
      <c r="S733" s="5167"/>
      <c r="T733" s="5167"/>
      <c r="U733" s="5167"/>
      <c r="V733" s="5167"/>
      <c r="W733" s="5167"/>
      <c r="X733" s="5167"/>
    </row>
    <row r="734" spans="2:25" ht="30.75">
      <c r="B734" s="5157">
        <v>46174</v>
      </c>
      <c r="C734" s="3165" t="s">
        <v>2518</v>
      </c>
      <c r="D734" s="3165" t="s">
        <v>2314</v>
      </c>
      <c r="E734" s="5159" t="s">
        <v>169</v>
      </c>
      <c r="F734" s="5159" t="s">
        <v>6301</v>
      </c>
      <c r="I734" s="5158">
        <v>705</v>
      </c>
      <c r="J734" s="5158" t="s">
        <v>6309</v>
      </c>
      <c r="K734" s="5167"/>
      <c r="L734" s="5158"/>
      <c r="M734" s="5167" t="s">
        <v>37</v>
      </c>
      <c r="N734" s="5167"/>
      <c r="O734" s="5167"/>
      <c r="P734" s="5107" t="s">
        <v>109</v>
      </c>
      <c r="Q734" s="5107" t="s">
        <v>1847</v>
      </c>
      <c r="R734" s="5107" t="s">
        <v>6120</v>
      </c>
      <c r="S734" s="5167"/>
      <c r="T734" s="5167"/>
      <c r="U734" s="5167"/>
      <c r="V734" s="5167"/>
      <c r="W734" s="5167"/>
      <c r="X734" s="5167" t="s">
        <v>6328</v>
      </c>
    </row>
    <row r="735" spans="2:25" ht="30.75">
      <c r="B735" s="5157">
        <v>46174</v>
      </c>
      <c r="C735" s="3165" t="s">
        <v>2518</v>
      </c>
      <c r="D735" s="3165" t="s">
        <v>2314</v>
      </c>
      <c r="E735" s="5159" t="s">
        <v>392</v>
      </c>
      <c r="F735" s="5159" t="s">
        <v>6302</v>
      </c>
      <c r="I735" s="5158">
        <v>705</v>
      </c>
      <c r="J735" s="5158" t="s">
        <v>6310</v>
      </c>
      <c r="K735" s="5158"/>
      <c r="L735" s="5158"/>
      <c r="M735" s="5167"/>
      <c r="N735" s="5167" t="s">
        <v>37</v>
      </c>
      <c r="O735" s="5167"/>
      <c r="S735" s="5167"/>
      <c r="T735" s="5167"/>
      <c r="U735" s="5167"/>
      <c r="V735" s="5167"/>
      <c r="W735" s="5167"/>
      <c r="X735" s="5167"/>
    </row>
    <row r="736" spans="2:25" ht="30.75">
      <c r="B736" s="5157">
        <v>46174</v>
      </c>
      <c r="C736" s="3165" t="s">
        <v>2518</v>
      </c>
      <c r="D736" s="3165" t="s">
        <v>2315</v>
      </c>
      <c r="E736" s="5158" t="s">
        <v>888</v>
      </c>
      <c r="F736" s="5158" t="s">
        <v>43</v>
      </c>
      <c r="I736" s="5158">
        <v>705</v>
      </c>
      <c r="J736" s="5158" t="s">
        <v>6311</v>
      </c>
      <c r="K736" s="5167"/>
      <c r="L736" s="5158" t="s">
        <v>37</v>
      </c>
      <c r="M736" s="5167"/>
      <c r="N736" s="5167"/>
      <c r="O736" s="5167" t="s">
        <v>37</v>
      </c>
      <c r="S736" s="5167"/>
      <c r="T736" s="5167"/>
      <c r="U736" s="5167"/>
      <c r="V736" s="5167"/>
      <c r="W736" s="5167"/>
      <c r="X736" s="5167" t="s">
        <v>6341</v>
      </c>
    </row>
    <row r="737" spans="2:24" ht="31.5">
      <c r="B737" s="5157">
        <v>46174</v>
      </c>
      <c r="C737" s="3165" t="s">
        <v>2518</v>
      </c>
      <c r="D737" s="3165" t="s">
        <v>2322</v>
      </c>
      <c r="E737" s="4307" t="s">
        <v>6263</v>
      </c>
      <c r="F737" s="4307" t="s">
        <v>454</v>
      </c>
      <c r="I737" s="4162">
        <v>712</v>
      </c>
      <c r="J737" s="4162" t="s">
        <v>6268</v>
      </c>
      <c r="K737" s="4371" t="s">
        <v>6312</v>
      </c>
      <c r="L737" s="4347" t="s">
        <v>30</v>
      </c>
      <c r="M737" s="924"/>
      <c r="N737" s="47"/>
      <c r="O737" s="47"/>
      <c r="S737" s="924"/>
      <c r="T737" s="924"/>
      <c r="U737" s="924"/>
      <c r="V737" s="924"/>
      <c r="W737" s="924"/>
      <c r="X737" s="924"/>
    </row>
    <row r="738" spans="2:24" ht="31.5">
      <c r="B738" s="5157">
        <v>46175</v>
      </c>
      <c r="C738" s="3165" t="s">
        <v>2518</v>
      </c>
      <c r="D738" s="3165" t="s">
        <v>2325</v>
      </c>
      <c r="E738" s="5160" t="s">
        <v>577</v>
      </c>
      <c r="F738" s="5160" t="s">
        <v>3225</v>
      </c>
      <c r="I738" s="4162">
        <v>701</v>
      </c>
      <c r="J738" s="4162" t="s">
        <v>6238</v>
      </c>
      <c r="K738" s="5167"/>
      <c r="L738" s="5158" t="s">
        <v>37</v>
      </c>
      <c r="M738" s="5167"/>
      <c r="N738" s="5167"/>
      <c r="O738" s="5167"/>
      <c r="S738" s="5167"/>
      <c r="T738" s="5167"/>
      <c r="U738" s="5167"/>
      <c r="V738" s="5167"/>
      <c r="W738" s="5167"/>
      <c r="X738" s="5167"/>
    </row>
    <row r="739" spans="2:24" ht="31.5">
      <c r="B739" s="5157">
        <v>46175</v>
      </c>
      <c r="C739" s="3165" t="s">
        <v>2518</v>
      </c>
      <c r="D739" s="3165" t="s">
        <v>2325</v>
      </c>
      <c r="E739" s="4488" t="s">
        <v>1465</v>
      </c>
      <c r="F739" s="4488" t="s">
        <v>1409</v>
      </c>
      <c r="I739" s="4162">
        <v>701</v>
      </c>
      <c r="J739" s="4162" t="s">
        <v>621</v>
      </c>
      <c r="K739" s="5167"/>
      <c r="L739" s="5158" t="s">
        <v>37</v>
      </c>
      <c r="M739" s="5167"/>
      <c r="N739" s="5167"/>
      <c r="O739" s="5167"/>
      <c r="S739" s="5167"/>
      <c r="T739" s="5167"/>
      <c r="U739" s="5167"/>
      <c r="V739" s="5167"/>
      <c r="W739" s="5167"/>
      <c r="X739" s="5167"/>
    </row>
    <row r="740" spans="2:24" ht="30.75">
      <c r="B740" s="5157">
        <v>46175</v>
      </c>
      <c r="C740" s="3165" t="s">
        <v>2518</v>
      </c>
      <c r="D740" s="3165" t="s">
        <v>2326</v>
      </c>
      <c r="E740" s="5158" t="s">
        <v>273</v>
      </c>
      <c r="F740" s="5158" t="s">
        <v>888</v>
      </c>
      <c r="I740" s="5158">
        <v>705</v>
      </c>
      <c r="J740" s="5158" t="s">
        <v>6313</v>
      </c>
      <c r="K740" s="5167"/>
      <c r="L740" s="5158"/>
      <c r="M740" s="5167" t="s">
        <v>37</v>
      </c>
      <c r="N740" s="5167"/>
      <c r="O740" s="5167"/>
      <c r="P740" s="20" t="s">
        <v>109</v>
      </c>
      <c r="Q740" s="21" t="s">
        <v>1109</v>
      </c>
      <c r="R740" s="20" t="s">
        <v>6120</v>
      </c>
      <c r="S740" s="5167"/>
      <c r="T740" s="5167"/>
      <c r="U740" s="5167"/>
      <c r="V740" s="5167"/>
      <c r="W740" s="5158" t="s">
        <v>37</v>
      </c>
      <c r="X740" s="5167" t="s">
        <v>6344</v>
      </c>
    </row>
    <row r="741" spans="2:24" ht="61.5">
      <c r="B741" s="5157">
        <v>46175</v>
      </c>
      <c r="C741" s="3165" t="s">
        <v>2518</v>
      </c>
      <c r="D741" s="3165" t="s">
        <v>6335</v>
      </c>
      <c r="E741" s="5158" t="s">
        <v>282</v>
      </c>
      <c r="F741" s="5158" t="s">
        <v>888</v>
      </c>
      <c r="I741" s="5158">
        <v>705</v>
      </c>
      <c r="J741" s="5158" t="s">
        <v>6314</v>
      </c>
      <c r="K741" s="5167"/>
      <c r="L741" s="5158"/>
      <c r="M741" s="5167" t="s">
        <v>37</v>
      </c>
      <c r="N741" s="5167"/>
      <c r="O741" s="5167"/>
      <c r="P741" s="5107" t="s">
        <v>0</v>
      </c>
      <c r="Q741" s="5107" t="s">
        <v>736</v>
      </c>
      <c r="R741" s="5107" t="s">
        <v>6120</v>
      </c>
      <c r="S741" s="5167"/>
      <c r="T741" s="5167"/>
      <c r="U741" s="5167"/>
      <c r="V741" s="5167" t="s">
        <v>37</v>
      </c>
      <c r="W741" s="5167"/>
      <c r="X741" s="5167" t="s">
        <v>6345</v>
      </c>
    </row>
    <row r="742" spans="2:24" ht="123">
      <c r="B742" s="5157">
        <v>46175</v>
      </c>
      <c r="C742" s="3165" t="s">
        <v>2518</v>
      </c>
      <c r="D742" s="3165" t="s">
        <v>2331</v>
      </c>
      <c r="E742" s="5158" t="s">
        <v>742</v>
      </c>
      <c r="F742" s="5158" t="s">
        <v>888</v>
      </c>
      <c r="I742" s="5158">
        <v>705</v>
      </c>
      <c r="J742" s="5158" t="s">
        <v>6315</v>
      </c>
      <c r="K742" s="5167"/>
      <c r="L742" s="5158"/>
      <c r="M742" s="5167" t="s">
        <v>37</v>
      </c>
      <c r="N742" s="5167"/>
      <c r="O742" s="5167"/>
      <c r="P742" s="5107" t="s">
        <v>0</v>
      </c>
      <c r="Q742" s="5107" t="s">
        <v>782</v>
      </c>
      <c r="R742" s="5107" t="s">
        <v>6120</v>
      </c>
      <c r="S742" s="5167"/>
      <c r="T742" s="5167"/>
      <c r="U742" s="5167"/>
      <c r="V742" s="5167" t="s">
        <v>37</v>
      </c>
      <c r="W742" s="5167"/>
      <c r="X742" s="5167" t="s">
        <v>6329</v>
      </c>
    </row>
    <row r="743" spans="2:24" ht="31.5">
      <c r="B743" s="5157">
        <v>46175</v>
      </c>
      <c r="C743" s="3165" t="s">
        <v>2518</v>
      </c>
      <c r="D743" s="3165" t="s">
        <v>2556</v>
      </c>
      <c r="E743" s="5158" t="s">
        <v>888</v>
      </c>
      <c r="F743" s="5158" t="s">
        <v>888</v>
      </c>
      <c r="I743" s="4162">
        <v>705</v>
      </c>
      <c r="J743" s="4162" t="s">
        <v>6316</v>
      </c>
      <c r="K743" s="5167"/>
      <c r="L743" s="5158" t="s">
        <v>37</v>
      </c>
      <c r="M743" s="5167"/>
      <c r="N743" s="5167"/>
      <c r="O743" s="5167"/>
      <c r="S743" s="5167"/>
      <c r="T743" s="5167"/>
      <c r="U743" s="5167"/>
      <c r="V743" s="5167"/>
      <c r="W743" s="5167"/>
      <c r="X743" s="5167"/>
    </row>
    <row r="744" spans="2:24" ht="31.5">
      <c r="B744" s="5157">
        <v>46176</v>
      </c>
      <c r="C744" s="3165" t="s">
        <v>2518</v>
      </c>
      <c r="D744" s="3165" t="s">
        <v>2336</v>
      </c>
      <c r="E744" s="5160" t="s">
        <v>577</v>
      </c>
      <c r="F744" s="5160" t="s">
        <v>3225</v>
      </c>
      <c r="I744" s="4162">
        <v>701</v>
      </c>
      <c r="J744" s="4162" t="s">
        <v>6238</v>
      </c>
      <c r="K744" s="5167"/>
      <c r="L744" s="5158" t="s">
        <v>37</v>
      </c>
      <c r="M744" s="5167"/>
      <c r="N744" s="5167"/>
      <c r="O744" s="5167"/>
      <c r="S744" s="5167"/>
      <c r="T744" s="5167"/>
      <c r="U744" s="5167"/>
      <c r="V744" s="5167"/>
      <c r="W744" s="5167"/>
      <c r="X744" s="5167"/>
    </row>
    <row r="745" spans="2:24" ht="31.5">
      <c r="B745" s="5157">
        <v>46176</v>
      </c>
      <c r="C745" s="3165" t="s">
        <v>2518</v>
      </c>
      <c r="D745" s="3165" t="s">
        <v>2336</v>
      </c>
      <c r="E745" s="4488" t="s">
        <v>1465</v>
      </c>
      <c r="F745" s="4488" t="s">
        <v>1409</v>
      </c>
      <c r="I745" s="4162">
        <v>701</v>
      </c>
      <c r="J745" s="4162" t="s">
        <v>621</v>
      </c>
      <c r="K745" s="5167"/>
      <c r="L745" s="5158" t="s">
        <v>37</v>
      </c>
      <c r="M745" s="5167"/>
      <c r="N745" s="5167"/>
      <c r="O745" s="5167"/>
      <c r="S745" s="5167"/>
      <c r="T745" s="5167"/>
      <c r="U745" s="5167"/>
      <c r="V745" s="5167"/>
      <c r="W745" s="5167"/>
      <c r="X745" s="5167"/>
    </row>
    <row r="746" spans="2:24" ht="30.75">
      <c r="B746" s="5157">
        <v>46176</v>
      </c>
      <c r="C746" s="3165" t="s">
        <v>2518</v>
      </c>
      <c r="D746" s="3165" t="s">
        <v>2337</v>
      </c>
      <c r="E746" s="5161" t="s">
        <v>304</v>
      </c>
      <c r="F746" s="5161" t="s">
        <v>275</v>
      </c>
      <c r="I746" s="5158">
        <v>705</v>
      </c>
      <c r="J746" s="5158" t="s">
        <v>6317</v>
      </c>
      <c r="K746" s="5158"/>
      <c r="L746" s="5158" t="s">
        <v>37</v>
      </c>
      <c r="M746" s="5167"/>
      <c r="N746" s="5167"/>
      <c r="O746" s="5167"/>
      <c r="S746" s="5167"/>
      <c r="T746" s="5167"/>
      <c r="U746" s="5167"/>
      <c r="V746" s="5167"/>
      <c r="W746" s="5167"/>
      <c r="X746" s="5167"/>
    </row>
    <row r="747" spans="2:24" ht="30.75">
      <c r="B747" s="5157">
        <v>46176</v>
      </c>
      <c r="C747" s="3165" t="s">
        <v>2518</v>
      </c>
      <c r="D747" s="3165" t="s">
        <v>2340</v>
      </c>
      <c r="E747" s="5162" t="s">
        <v>3031</v>
      </c>
      <c r="F747" s="5162" t="s">
        <v>275</v>
      </c>
      <c r="I747" s="5158">
        <v>707</v>
      </c>
      <c r="J747" s="5158" t="s">
        <v>6207</v>
      </c>
      <c r="K747" s="4371" t="s">
        <v>627</v>
      </c>
      <c r="L747" s="5158" t="s">
        <v>37</v>
      </c>
      <c r="M747" s="5167"/>
      <c r="N747" s="5167"/>
      <c r="O747" s="5167"/>
      <c r="S747" s="5167"/>
      <c r="T747" s="5167"/>
      <c r="U747" s="5167"/>
      <c r="V747" s="5167"/>
      <c r="W747" s="5167"/>
      <c r="X747" s="5167"/>
    </row>
    <row r="748" spans="2:24" ht="30.75">
      <c r="B748" s="5157">
        <v>46176</v>
      </c>
      <c r="C748" s="3165" t="s">
        <v>2518</v>
      </c>
      <c r="D748" s="3165" t="s">
        <v>2348</v>
      </c>
      <c r="E748" s="5158" t="s">
        <v>2231</v>
      </c>
      <c r="F748" s="5158" t="s">
        <v>6303</v>
      </c>
      <c r="I748" s="5158">
        <v>712</v>
      </c>
      <c r="J748" s="5158" t="s">
        <v>912</v>
      </c>
      <c r="K748" s="4371" t="s">
        <v>6318</v>
      </c>
      <c r="L748" s="5158" t="s">
        <v>37</v>
      </c>
      <c r="M748" s="5167"/>
      <c r="N748" s="5167"/>
      <c r="O748" s="5167"/>
      <c r="S748" s="5167"/>
      <c r="T748" s="5167"/>
      <c r="U748" s="5167"/>
      <c r="V748" s="5167" t="s">
        <v>30</v>
      </c>
      <c r="W748" s="5167"/>
      <c r="X748" s="5167"/>
    </row>
    <row r="749" spans="2:24" ht="30.75">
      <c r="B749" s="5157">
        <v>46176</v>
      </c>
      <c r="C749" s="3165" t="s">
        <v>2518</v>
      </c>
      <c r="D749" s="3165" t="s">
        <v>2351</v>
      </c>
      <c r="E749" s="5158" t="s">
        <v>273</v>
      </c>
      <c r="F749" s="5158" t="s">
        <v>742</v>
      </c>
      <c r="I749" s="5158">
        <v>705</v>
      </c>
      <c r="J749" s="5158" t="s">
        <v>157</v>
      </c>
      <c r="K749" s="5167"/>
      <c r="L749" s="5158" t="s">
        <v>37</v>
      </c>
      <c r="M749" s="5167"/>
      <c r="N749" s="5167"/>
      <c r="O749" s="5167"/>
      <c r="S749" s="5167"/>
      <c r="T749" s="5167"/>
      <c r="U749" s="5167"/>
      <c r="V749" s="5167"/>
      <c r="W749" s="5167"/>
      <c r="X749" s="5167"/>
    </row>
    <row r="750" spans="2:24" ht="30.75">
      <c r="B750" s="5157">
        <v>46176</v>
      </c>
      <c r="C750" s="3165" t="s">
        <v>2518</v>
      </c>
      <c r="D750" s="3165" t="s">
        <v>2358</v>
      </c>
      <c r="E750" s="5159" t="s">
        <v>258</v>
      </c>
      <c r="F750" s="5159" t="s">
        <v>392</v>
      </c>
      <c r="I750" s="5158">
        <v>705</v>
      </c>
      <c r="J750" s="5158" t="s">
        <v>6319</v>
      </c>
      <c r="K750" s="5168"/>
      <c r="L750" s="5158" t="s">
        <v>37</v>
      </c>
      <c r="M750" s="5166"/>
      <c r="N750" s="5166"/>
      <c r="O750" s="5166"/>
      <c r="S750" s="5166"/>
      <c r="T750" s="5166"/>
      <c r="U750" s="5166"/>
      <c r="V750" s="5166"/>
      <c r="W750" s="5166"/>
      <c r="X750" s="5169"/>
    </row>
    <row r="751" spans="2:24" ht="30.75">
      <c r="B751" s="5157">
        <v>46176</v>
      </c>
      <c r="C751" s="3165" t="s">
        <v>2518</v>
      </c>
      <c r="D751" s="3165" t="s">
        <v>2358</v>
      </c>
      <c r="E751" s="5159" t="s">
        <v>392</v>
      </c>
      <c r="F751" s="5159" t="s">
        <v>879</v>
      </c>
      <c r="I751" s="5158">
        <v>705</v>
      </c>
      <c r="J751" s="5158" t="s">
        <v>6310</v>
      </c>
      <c r="K751" s="5168"/>
      <c r="L751" s="5158" t="s">
        <v>37</v>
      </c>
      <c r="M751" s="5166"/>
      <c r="N751" s="5166"/>
      <c r="S751" s="5166"/>
      <c r="T751" s="5166"/>
      <c r="U751" s="5166"/>
      <c r="V751" s="5166"/>
      <c r="W751" s="5166"/>
      <c r="X751" s="5169"/>
    </row>
    <row r="752" spans="2:24" ht="30.75">
      <c r="B752" s="5157">
        <v>46176</v>
      </c>
      <c r="C752" s="3165" t="s">
        <v>2518</v>
      </c>
      <c r="D752" s="3165" t="s">
        <v>2358</v>
      </c>
      <c r="E752" s="5159" t="s">
        <v>258</v>
      </c>
      <c r="F752" s="5159" t="s">
        <v>6304</v>
      </c>
      <c r="I752" s="5158">
        <v>705</v>
      </c>
      <c r="J752" s="5158" t="s">
        <v>6310</v>
      </c>
      <c r="K752" s="5168"/>
      <c r="L752" s="5158" t="s">
        <v>37</v>
      </c>
      <c r="M752" s="5166"/>
      <c r="N752" s="5166"/>
      <c r="O752" s="5166"/>
      <c r="S752" s="5166"/>
      <c r="T752" s="5166"/>
      <c r="U752" s="5166"/>
      <c r="V752" s="5166"/>
      <c r="W752" s="5166"/>
      <c r="X752" s="5169"/>
    </row>
    <row r="753" spans="2:24" ht="30.75">
      <c r="B753" s="5157">
        <v>46176</v>
      </c>
      <c r="C753" s="3165" t="s">
        <v>2518</v>
      </c>
      <c r="D753" s="3165" t="s">
        <v>2360</v>
      </c>
      <c r="E753" s="5163" t="s">
        <v>6305</v>
      </c>
      <c r="F753" s="5163" t="s">
        <v>2231</v>
      </c>
      <c r="I753" s="5166">
        <v>712</v>
      </c>
      <c r="J753" s="5166" t="s">
        <v>6320</v>
      </c>
      <c r="K753" s="5168"/>
      <c r="L753" s="5158" t="s">
        <v>37</v>
      </c>
      <c r="M753" s="5166"/>
      <c r="N753" s="5166"/>
      <c r="O753" s="5166"/>
      <c r="S753" s="5166"/>
      <c r="T753" s="5166"/>
      <c r="U753" s="5166" t="s">
        <v>37</v>
      </c>
      <c r="V753" s="5166"/>
      <c r="W753" s="5166"/>
      <c r="X753" s="5169"/>
    </row>
    <row r="754" spans="2:24" ht="31.5">
      <c r="B754" s="5157">
        <v>46176</v>
      </c>
      <c r="C754" s="3165" t="s">
        <v>2518</v>
      </c>
      <c r="D754" s="3165" t="s">
        <v>2362</v>
      </c>
      <c r="E754" s="5158" t="s">
        <v>888</v>
      </c>
      <c r="F754" s="5158" t="s">
        <v>888</v>
      </c>
      <c r="I754" s="4162">
        <v>705</v>
      </c>
      <c r="J754" s="4162" t="s">
        <v>6321</v>
      </c>
      <c r="K754" s="5167"/>
      <c r="L754" s="5158" t="s">
        <v>37</v>
      </c>
      <c r="M754" s="5167"/>
      <c r="N754" s="5167"/>
      <c r="O754" s="5167"/>
      <c r="S754" s="5167"/>
      <c r="T754" s="5167"/>
      <c r="U754" s="5167"/>
      <c r="V754" s="5167"/>
      <c r="W754" s="5167"/>
      <c r="X754" s="5167"/>
    </row>
    <row r="755" spans="2:24" ht="30.75">
      <c r="B755" s="5157">
        <v>46177</v>
      </c>
      <c r="C755" s="3165" t="s">
        <v>2518</v>
      </c>
      <c r="D755" s="3165" t="s">
        <v>2337</v>
      </c>
      <c r="E755" s="5161" t="s">
        <v>282</v>
      </c>
      <c r="F755" s="5161" t="s">
        <v>4194</v>
      </c>
      <c r="I755" s="5158">
        <v>705</v>
      </c>
      <c r="J755" s="5158" t="s">
        <v>6322</v>
      </c>
      <c r="K755" s="5169"/>
      <c r="L755" s="5166"/>
      <c r="M755" s="5169" t="s">
        <v>37</v>
      </c>
      <c r="N755" s="5169"/>
      <c r="O755" s="5169"/>
      <c r="P755" s="5107" t="s">
        <v>0</v>
      </c>
      <c r="Q755" s="5107" t="s">
        <v>757</v>
      </c>
      <c r="R755" s="5107" t="s">
        <v>6120</v>
      </c>
      <c r="S755" s="5169" t="s">
        <v>37</v>
      </c>
      <c r="T755" s="5169"/>
      <c r="U755" s="5169"/>
      <c r="V755" s="5169"/>
      <c r="W755" s="5169"/>
      <c r="X755" s="5169" t="s">
        <v>6330</v>
      </c>
    </row>
    <row r="756" spans="2:24" ht="30.75">
      <c r="B756" s="5157">
        <v>46177</v>
      </c>
      <c r="C756" s="3165" t="s">
        <v>2518</v>
      </c>
      <c r="D756" s="3165" t="s">
        <v>2340</v>
      </c>
      <c r="E756" s="5162" t="s">
        <v>282</v>
      </c>
      <c r="F756" s="5162" t="s">
        <v>1624</v>
      </c>
      <c r="I756" s="5158">
        <v>707</v>
      </c>
      <c r="J756" s="5158" t="s">
        <v>6207</v>
      </c>
      <c r="K756" s="4371" t="s">
        <v>84</v>
      </c>
      <c r="L756" s="5170" t="s">
        <v>37</v>
      </c>
      <c r="M756" s="5167"/>
      <c r="N756" s="5167"/>
      <c r="O756" s="5167"/>
      <c r="S756" s="5167"/>
      <c r="T756" s="5167"/>
      <c r="U756" s="5167"/>
      <c r="V756" s="5167"/>
      <c r="W756" s="5167"/>
      <c r="X756" s="5167"/>
    </row>
    <row r="757" spans="2:24" ht="31.5">
      <c r="B757" s="5157">
        <v>46177</v>
      </c>
      <c r="C757" s="3165" t="s">
        <v>2518</v>
      </c>
      <c r="D757" s="3165" t="s">
        <v>2365</v>
      </c>
      <c r="E757" s="5160" t="s">
        <v>577</v>
      </c>
      <c r="F757" s="5160" t="s">
        <v>6306</v>
      </c>
      <c r="I757" s="4162">
        <v>701</v>
      </c>
      <c r="J757" s="4162" t="s">
        <v>6238</v>
      </c>
      <c r="K757" s="5171"/>
      <c r="L757" s="5170" t="s">
        <v>37</v>
      </c>
      <c r="M757" s="5172"/>
      <c r="N757" s="5167"/>
      <c r="O757" s="5167"/>
      <c r="S757" s="5167"/>
      <c r="T757" s="5167"/>
      <c r="U757" s="5167"/>
      <c r="V757" s="5167"/>
      <c r="W757" s="5167"/>
      <c r="X757" s="5167"/>
    </row>
    <row r="758" spans="2:24" ht="30.75">
      <c r="B758" s="5157">
        <v>46177</v>
      </c>
      <c r="C758" s="3165" t="s">
        <v>2518</v>
      </c>
      <c r="D758" s="3165" t="s">
        <v>2366</v>
      </c>
      <c r="E758" s="5164" t="s">
        <v>258</v>
      </c>
      <c r="F758" s="5164" t="s">
        <v>841</v>
      </c>
      <c r="I758" s="5158">
        <v>707</v>
      </c>
      <c r="J758" s="5158" t="s">
        <v>2105</v>
      </c>
      <c r="K758" s="5171"/>
      <c r="L758" s="5169" t="s">
        <v>37</v>
      </c>
      <c r="M758" s="5172"/>
      <c r="N758" s="5167"/>
      <c r="O758" s="5167"/>
      <c r="S758" s="5167"/>
      <c r="T758" s="5167"/>
      <c r="U758" s="5167"/>
      <c r="V758" s="5167"/>
      <c r="W758" s="5167"/>
      <c r="X758" s="5167"/>
    </row>
    <row r="759" spans="2:24" ht="30.75">
      <c r="B759" s="5157">
        <v>46177</v>
      </c>
      <c r="C759" s="3165" t="s">
        <v>2518</v>
      </c>
      <c r="D759" s="3165" t="s">
        <v>2366</v>
      </c>
      <c r="E759" s="5164" t="s">
        <v>436</v>
      </c>
      <c r="F759" s="5164" t="s">
        <v>855</v>
      </c>
      <c r="I759" s="5158">
        <v>707</v>
      </c>
      <c r="J759" s="5158" t="s">
        <v>6323</v>
      </c>
      <c r="K759" s="5167"/>
      <c r="L759" s="5166"/>
      <c r="M759" s="5169" t="s">
        <v>37</v>
      </c>
      <c r="N759" s="5167"/>
      <c r="O759" s="5167"/>
      <c r="P759" s="5107" t="s">
        <v>109</v>
      </c>
      <c r="Q759" s="5107" t="s">
        <v>1109</v>
      </c>
      <c r="R759" s="5107" t="s">
        <v>324</v>
      </c>
      <c r="S759" s="5167"/>
      <c r="T759" s="5167"/>
      <c r="U759" s="5167"/>
      <c r="V759" s="5167"/>
      <c r="W759" s="5167"/>
      <c r="X759" s="5167" t="s">
        <v>6331</v>
      </c>
    </row>
    <row r="760" spans="2:24" ht="30.75">
      <c r="B760" s="5157">
        <v>46177</v>
      </c>
      <c r="C760" s="3165" t="s">
        <v>2518</v>
      </c>
      <c r="D760" s="3165" t="s">
        <v>2369</v>
      </c>
      <c r="E760" s="5165" t="s">
        <v>2813</v>
      </c>
      <c r="F760" s="5165" t="s">
        <v>183</v>
      </c>
      <c r="I760" s="5166">
        <v>705</v>
      </c>
      <c r="J760" s="5166" t="s">
        <v>6091</v>
      </c>
      <c r="K760" s="5169"/>
      <c r="L760" s="5166"/>
      <c r="M760" s="5169" t="s">
        <v>37</v>
      </c>
      <c r="N760" s="5169"/>
      <c r="O760" s="5169"/>
      <c r="P760" s="5107" t="s">
        <v>0</v>
      </c>
      <c r="Q760" s="5107" t="s">
        <v>187</v>
      </c>
      <c r="R760" s="5107" t="s">
        <v>6120</v>
      </c>
      <c r="S760" s="5169"/>
      <c r="T760" s="5169"/>
      <c r="U760" s="5169"/>
      <c r="V760" s="5169"/>
      <c r="W760" s="5169"/>
      <c r="X760" s="5169" t="s">
        <v>350</v>
      </c>
    </row>
    <row r="761" spans="2:24" ht="30.75">
      <c r="B761" s="5157">
        <v>46177</v>
      </c>
      <c r="C761" s="3165" t="s">
        <v>2518</v>
      </c>
      <c r="D761" s="3165" t="s">
        <v>2369</v>
      </c>
      <c r="E761" s="5165" t="s">
        <v>6080</v>
      </c>
      <c r="F761" s="5165" t="s">
        <v>183</v>
      </c>
      <c r="I761" s="5166">
        <v>705</v>
      </c>
      <c r="J761" s="5166" t="s">
        <v>318</v>
      </c>
      <c r="K761" s="5169"/>
      <c r="L761" s="5170" t="s">
        <v>37</v>
      </c>
      <c r="M761" s="5169"/>
      <c r="N761" s="5169"/>
      <c r="O761" s="5169"/>
      <c r="S761" s="5169"/>
      <c r="T761" s="5169"/>
      <c r="U761" s="5169"/>
      <c r="V761" s="5169"/>
      <c r="W761" s="5169"/>
      <c r="X761" s="5169"/>
    </row>
    <row r="762" spans="2:24" ht="30.75">
      <c r="B762" s="5157">
        <v>46178</v>
      </c>
      <c r="C762" s="3165" t="s">
        <v>2518</v>
      </c>
      <c r="D762" s="3165" t="s">
        <v>2337</v>
      </c>
      <c r="E762" s="5161" t="s">
        <v>282</v>
      </c>
      <c r="F762" s="5161" t="s">
        <v>183</v>
      </c>
      <c r="I762" s="5158">
        <v>705</v>
      </c>
      <c r="J762" s="5158" t="s">
        <v>6322</v>
      </c>
      <c r="K762" s="5169"/>
      <c r="L762" s="5166" t="s">
        <v>37</v>
      </c>
      <c r="M762" s="5169"/>
      <c r="N762" s="5169"/>
      <c r="O762" s="5169"/>
      <c r="S762" s="5169"/>
      <c r="T762" s="5169" t="s">
        <v>37</v>
      </c>
      <c r="U762" s="5169"/>
      <c r="V762" s="5169"/>
      <c r="W762" s="5169"/>
      <c r="X762" s="5169"/>
    </row>
    <row r="763" spans="2:24" ht="61.5">
      <c r="B763" s="5157">
        <v>46178</v>
      </c>
      <c r="C763" s="3165" t="s">
        <v>2518</v>
      </c>
      <c r="D763" s="3165" t="s">
        <v>2337</v>
      </c>
      <c r="E763" s="5161" t="s">
        <v>169</v>
      </c>
      <c r="F763" s="5161" t="s">
        <v>4194</v>
      </c>
      <c r="I763" s="5158">
        <v>705</v>
      </c>
      <c r="J763" s="5158" t="s">
        <v>6317</v>
      </c>
      <c r="K763" s="5169"/>
      <c r="L763" s="5166"/>
      <c r="M763" s="5169" t="s">
        <v>37</v>
      </c>
      <c r="N763" s="5169"/>
      <c r="O763" s="5169"/>
      <c r="P763" s="5107" t="s">
        <v>0</v>
      </c>
      <c r="Q763" s="5107" t="s">
        <v>757</v>
      </c>
      <c r="R763" s="5107" t="s">
        <v>6120</v>
      </c>
      <c r="S763" s="5169"/>
      <c r="T763" s="5169" t="s">
        <v>37</v>
      </c>
      <c r="U763" s="5169"/>
      <c r="V763" s="5169"/>
      <c r="W763" s="5169" t="s">
        <v>37</v>
      </c>
      <c r="X763" s="5169" t="s">
        <v>6332</v>
      </c>
    </row>
    <row r="764" spans="2:24" ht="30.75">
      <c r="B764" s="5157">
        <v>46178</v>
      </c>
      <c r="C764" s="3165" t="s">
        <v>2518</v>
      </c>
      <c r="D764" s="3165" t="s">
        <v>6336</v>
      </c>
      <c r="E764" s="5158" t="s">
        <v>169</v>
      </c>
      <c r="F764" s="5158" t="s">
        <v>6307</v>
      </c>
      <c r="I764" s="5158">
        <v>705</v>
      </c>
      <c r="J764" s="5158" t="s">
        <v>580</v>
      </c>
      <c r="K764" s="4371" t="s">
        <v>84</v>
      </c>
      <c r="L764" s="5158" t="s">
        <v>37</v>
      </c>
      <c r="M764" s="5167"/>
      <c r="N764" s="5167"/>
      <c r="O764" s="5167"/>
      <c r="S764" s="5167"/>
      <c r="T764" s="5167"/>
      <c r="U764" s="5167" t="s">
        <v>30</v>
      </c>
      <c r="V764" s="5167"/>
      <c r="W764" s="5167"/>
      <c r="X764" s="5167"/>
    </row>
    <row r="765" spans="2:24" ht="31.5">
      <c r="B765" s="5157">
        <v>46178</v>
      </c>
      <c r="C765" s="3165" t="s">
        <v>2518</v>
      </c>
      <c r="D765" s="3165" t="s">
        <v>2365</v>
      </c>
      <c r="E765" s="4488" t="s">
        <v>6308</v>
      </c>
      <c r="F765" s="4488" t="s">
        <v>1409</v>
      </c>
      <c r="I765" s="4162">
        <v>701</v>
      </c>
      <c r="J765" s="4162" t="s">
        <v>6241</v>
      </c>
      <c r="K765" s="5167"/>
      <c r="L765" s="5170" t="s">
        <v>37</v>
      </c>
      <c r="M765" s="5167"/>
      <c r="N765" s="5167"/>
      <c r="O765" s="5167"/>
      <c r="S765" s="5167"/>
      <c r="T765" s="5167"/>
      <c r="U765" s="5167"/>
      <c r="V765" s="5167"/>
      <c r="W765" s="5167"/>
      <c r="X765" s="5167"/>
    </row>
    <row r="766" spans="2:24" ht="30.75">
      <c r="B766" s="5157">
        <v>46178</v>
      </c>
      <c r="C766" s="3165" t="s">
        <v>2518</v>
      </c>
      <c r="D766" s="3165" t="s">
        <v>2366</v>
      </c>
      <c r="E766" s="5164" t="s">
        <v>857</v>
      </c>
      <c r="F766" s="5164" t="s">
        <v>858</v>
      </c>
      <c r="I766" s="5158">
        <v>707</v>
      </c>
      <c r="J766" s="5158" t="s">
        <v>6324</v>
      </c>
      <c r="K766" s="5167"/>
      <c r="L766" s="5158"/>
      <c r="M766" s="5167"/>
      <c r="N766" s="5167" t="s">
        <v>37</v>
      </c>
      <c r="O766" s="5167"/>
      <c r="S766" s="5167"/>
      <c r="T766" s="5167"/>
      <c r="U766" s="5167"/>
      <c r="V766" s="5167"/>
      <c r="W766" s="5167"/>
      <c r="X766" s="5167"/>
    </row>
    <row r="767" spans="2:24" ht="30.75">
      <c r="B767" s="5157">
        <v>46178</v>
      </c>
      <c r="C767" s="3165" t="s">
        <v>2518</v>
      </c>
      <c r="D767" s="3165" t="s">
        <v>2366</v>
      </c>
      <c r="E767" s="5164" t="s">
        <v>436</v>
      </c>
      <c r="F767" s="5164" t="s">
        <v>878</v>
      </c>
      <c r="I767" s="5158">
        <v>707</v>
      </c>
      <c r="J767" s="5158" t="s">
        <v>2105</v>
      </c>
      <c r="K767" s="5167"/>
      <c r="L767" s="5158"/>
      <c r="M767" s="5167"/>
      <c r="N767" s="5167" t="s">
        <v>37</v>
      </c>
      <c r="O767" s="5167"/>
      <c r="S767" s="5167"/>
      <c r="T767" s="5167"/>
      <c r="U767" s="5167"/>
      <c r="V767" s="5167"/>
      <c r="W767" s="5167"/>
      <c r="X767" s="5167"/>
    </row>
    <row r="768" spans="2:24" ht="30.75">
      <c r="B768" s="5157">
        <v>46178</v>
      </c>
      <c r="C768" s="3165" t="s">
        <v>2518</v>
      </c>
      <c r="D768" s="3165" t="s">
        <v>2369</v>
      </c>
      <c r="E768" s="5165" t="s">
        <v>169</v>
      </c>
      <c r="F768" s="5165" t="s">
        <v>4194</v>
      </c>
      <c r="I768" s="5158">
        <v>705</v>
      </c>
      <c r="J768" s="5158" t="s">
        <v>6091</v>
      </c>
      <c r="K768" s="5167"/>
      <c r="L768" s="5158"/>
      <c r="M768" s="5167"/>
      <c r="N768" s="5167" t="s">
        <v>30</v>
      </c>
      <c r="O768" s="5167"/>
      <c r="P768" s="5107"/>
      <c r="Q768" s="5107"/>
      <c r="R768" s="5107"/>
      <c r="S768" s="5167"/>
      <c r="T768" s="5167"/>
      <c r="U768" s="5167"/>
      <c r="V768" s="5167"/>
      <c r="W768" s="5167"/>
      <c r="X768" s="5167" t="s">
        <v>350</v>
      </c>
    </row>
    <row r="769" spans="2:24" ht="31.5">
      <c r="B769" s="5157">
        <v>46178</v>
      </c>
      <c r="C769" s="3165" t="s">
        <v>2518</v>
      </c>
      <c r="D769" s="3165" t="s">
        <v>6336</v>
      </c>
      <c r="E769" s="5158" t="s">
        <v>888</v>
      </c>
      <c r="F769" s="5158" t="s">
        <v>888</v>
      </c>
      <c r="I769" s="4162">
        <v>705</v>
      </c>
      <c r="J769" s="4162" t="s">
        <v>6325</v>
      </c>
      <c r="K769" s="5167"/>
      <c r="L769" s="5158"/>
      <c r="M769" s="5167"/>
      <c r="N769" s="5167" t="s">
        <v>30</v>
      </c>
      <c r="O769" s="5167"/>
      <c r="P769" s="5107"/>
      <c r="Q769" s="5107"/>
      <c r="R769" s="5107"/>
      <c r="S769" s="5167"/>
      <c r="T769" s="5167"/>
      <c r="U769" s="5167" t="s">
        <v>30</v>
      </c>
      <c r="V769" s="5167"/>
      <c r="W769" s="5167"/>
      <c r="X769" s="5167"/>
    </row>
    <row r="770" spans="2:24" ht="30.75">
      <c r="B770" s="5157">
        <v>46178</v>
      </c>
      <c r="C770" s="3165" t="s">
        <v>2518</v>
      </c>
      <c r="D770" s="3165" t="s">
        <v>6337</v>
      </c>
      <c r="E770" s="5158" t="s">
        <v>6303</v>
      </c>
      <c r="F770" s="5158" t="s">
        <v>2231</v>
      </c>
      <c r="I770" s="5158">
        <v>712</v>
      </c>
      <c r="J770" s="5158" t="s">
        <v>912</v>
      </c>
      <c r="K770" s="4371" t="s">
        <v>6326</v>
      </c>
      <c r="L770" s="5166" t="s">
        <v>37</v>
      </c>
      <c r="M770" s="5169"/>
      <c r="N770" s="5169"/>
      <c r="O770" s="5169"/>
      <c r="S770" s="5169"/>
      <c r="T770" s="5169"/>
      <c r="U770" s="5169"/>
      <c r="V770" s="5169"/>
      <c r="W770" s="5169"/>
      <c r="X770" s="5169"/>
    </row>
    <row r="771" spans="2:24" ht="30.75">
      <c r="B771" s="5157">
        <v>46178</v>
      </c>
      <c r="C771" s="3165" t="s">
        <v>2518</v>
      </c>
      <c r="D771" s="3165" t="s">
        <v>6338</v>
      </c>
      <c r="E771" s="5158" t="s">
        <v>89</v>
      </c>
      <c r="F771" s="5158" t="s">
        <v>517</v>
      </c>
      <c r="I771" s="5166">
        <v>712</v>
      </c>
      <c r="J771" s="5166" t="s">
        <v>2171</v>
      </c>
      <c r="K771" s="4371" t="s">
        <v>2357</v>
      </c>
      <c r="L771" s="5166" t="s">
        <v>37</v>
      </c>
      <c r="M771" s="5166"/>
      <c r="N771" s="5166"/>
      <c r="O771" s="5166"/>
      <c r="S771" s="5166"/>
      <c r="T771" s="5166"/>
      <c r="U771" s="5166"/>
      <c r="V771" s="5166"/>
      <c r="W771" s="5166"/>
      <c r="X771" s="5169"/>
    </row>
    <row r="772" spans="2:24" ht="153.75">
      <c r="B772" s="5157">
        <v>46178</v>
      </c>
      <c r="C772" s="3165" t="s">
        <v>2518</v>
      </c>
      <c r="D772" s="3165" t="s">
        <v>6339</v>
      </c>
      <c r="E772" s="5158" t="s">
        <v>888</v>
      </c>
      <c r="F772" s="5158" t="s">
        <v>5713</v>
      </c>
      <c r="I772" s="4162">
        <v>705</v>
      </c>
      <c r="J772" s="4162" t="s">
        <v>6346</v>
      </c>
      <c r="K772" s="5167"/>
      <c r="L772" s="5158"/>
      <c r="M772" s="5167" t="s">
        <v>37</v>
      </c>
      <c r="N772" s="5167"/>
      <c r="O772" s="5167"/>
      <c r="P772" s="5107" t="s">
        <v>109</v>
      </c>
      <c r="Q772" s="5107" t="s">
        <v>1589</v>
      </c>
      <c r="R772" s="5107" t="s">
        <v>6120</v>
      </c>
      <c r="S772" s="5167" t="s">
        <v>37</v>
      </c>
      <c r="T772" s="5167"/>
      <c r="U772" s="5167"/>
      <c r="V772" s="5167"/>
      <c r="W772" s="5167"/>
      <c r="X772" s="5173" t="s">
        <v>6342</v>
      </c>
    </row>
    <row r="773" spans="2:24" ht="31.5">
      <c r="B773" s="5157">
        <v>46178</v>
      </c>
      <c r="C773" s="3165" t="s">
        <v>2518</v>
      </c>
      <c r="D773" s="3165" t="s">
        <v>6339</v>
      </c>
      <c r="E773" s="5158" t="s">
        <v>156</v>
      </c>
      <c r="F773" s="5158" t="s">
        <v>1017</v>
      </c>
      <c r="I773" s="4162">
        <v>705</v>
      </c>
      <c r="J773" s="4162" t="s">
        <v>922</v>
      </c>
      <c r="K773" s="5167"/>
      <c r="L773" s="5158"/>
      <c r="M773" s="5167"/>
      <c r="N773" s="5167" t="s">
        <v>37</v>
      </c>
      <c r="O773" s="5167"/>
      <c r="S773" s="5167" t="s">
        <v>37</v>
      </c>
      <c r="T773" s="5167"/>
      <c r="U773" s="5167"/>
      <c r="V773" s="5167"/>
      <c r="W773" s="5167"/>
      <c r="X773" s="5167"/>
    </row>
    <row r="774" spans="2:24" ht="31.5">
      <c r="B774" s="5157">
        <v>46179</v>
      </c>
      <c r="C774" s="3165" t="s">
        <v>2518</v>
      </c>
      <c r="D774" s="3165" t="s">
        <v>6340</v>
      </c>
      <c r="E774" s="5158" t="s">
        <v>742</v>
      </c>
      <c r="F774" s="5158" t="s">
        <v>4343</v>
      </c>
      <c r="I774" s="4162">
        <v>705</v>
      </c>
      <c r="J774" s="4162" t="s">
        <v>6347</v>
      </c>
      <c r="K774" s="5167" t="s">
        <v>6333</v>
      </c>
      <c r="L774" s="5158"/>
      <c r="M774" s="5167" t="s">
        <v>37</v>
      </c>
      <c r="N774" s="5167"/>
      <c r="O774" s="5167"/>
      <c r="P774" s="5107" t="s">
        <v>122</v>
      </c>
      <c r="Q774" s="5107" t="s">
        <v>123</v>
      </c>
      <c r="R774" s="5107" t="s">
        <v>6120</v>
      </c>
      <c r="S774" s="5167" t="s">
        <v>37</v>
      </c>
      <c r="T774" s="5167"/>
      <c r="U774" s="5167"/>
      <c r="V774" s="5167"/>
      <c r="W774" s="5167"/>
      <c r="X774" s="5167" t="s">
        <v>6334</v>
      </c>
    </row>
  </sheetData>
  <autoFilter ref="A3:KG774" xr:uid="{ABA7CA2D-828C-47C4-8706-915A4836375B}"/>
  <mergeCells count="1">
    <mergeCell ref="E143:F143"/>
  </mergeCells>
  <phoneticPr fontId="174" type="noConversion"/>
  <conditionalFormatting sqref="P1:R1 P119:R1048576">
    <cfRule type="expression" dxfId="167" priority="1">
      <formula>$M1&lt;&gt;""</formula>
    </cfRule>
  </conditionalFormatting>
  <conditionalFormatting sqref="P3:R4">
    <cfRule type="expression" dxfId="166" priority="69">
      <formula>$M3&lt;&gt;""</formula>
    </cfRule>
  </conditionalFormatting>
  <conditionalFormatting sqref="P5:R8">
    <cfRule type="expression" dxfId="165" priority="17">
      <formula>#REF!&lt;&gt;""</formula>
    </cfRule>
  </conditionalFormatting>
  <conditionalFormatting sqref="P9:R9 P12:R13 P16:R16 P19:R27 P29:R29 P31:R33 P37:R40 P43:R50 P52:R59 P62:R62 P64:R81 P83:R88 P90:R91 P93:R101 P103:R117">
    <cfRule type="expression" dxfId="164" priority="84">
      <formula>$M9&lt;&gt;""</formula>
    </cfRule>
  </conditionalFormatting>
  <conditionalFormatting sqref="P10:R11">
    <cfRule type="expression" dxfId="163" priority="16">
      <formula>#REF!&lt;&gt;""</formula>
    </cfRule>
  </conditionalFormatting>
  <conditionalFormatting sqref="P14:R15">
    <cfRule type="expression" dxfId="162" priority="15">
      <formula>#REF!&lt;&gt;""</formula>
    </cfRule>
  </conditionalFormatting>
  <conditionalFormatting sqref="P17:R18">
    <cfRule type="expression" dxfId="161" priority="14">
      <formula>$M5&lt;&gt;""</formula>
    </cfRule>
  </conditionalFormatting>
  <conditionalFormatting sqref="P28:R28">
    <cfRule type="expression" dxfId="160" priority="13">
      <formula>$M16&lt;&gt;""</formula>
    </cfRule>
  </conditionalFormatting>
  <conditionalFormatting sqref="P30:R30">
    <cfRule type="expression" dxfId="159" priority="12">
      <formula>$M19&lt;&gt;""</formula>
    </cfRule>
  </conditionalFormatting>
  <conditionalFormatting sqref="P34:R36">
    <cfRule type="expression" dxfId="158" priority="11">
      <formula>$M22&lt;&gt;""</formula>
    </cfRule>
  </conditionalFormatting>
  <conditionalFormatting sqref="P41:R42">
    <cfRule type="expression" dxfId="157" priority="10">
      <formula>$M29&lt;&gt;""</formula>
    </cfRule>
  </conditionalFormatting>
  <conditionalFormatting sqref="P51:R51">
    <cfRule type="expression" dxfId="156" priority="9">
      <formula>$M39&lt;&gt;""</formula>
    </cfRule>
  </conditionalFormatting>
  <conditionalFormatting sqref="P60:R61">
    <cfRule type="expression" dxfId="155" priority="8">
      <formula>$M48&lt;&gt;""</formula>
    </cfRule>
  </conditionalFormatting>
  <conditionalFormatting sqref="P63:R63">
    <cfRule type="expression" dxfId="154" priority="7">
      <formula>$M51&lt;&gt;""</formula>
    </cfRule>
  </conditionalFormatting>
  <conditionalFormatting sqref="P82:R82">
    <cfRule type="expression" dxfId="153" priority="6">
      <formula>$M70&lt;&gt;""</formula>
    </cfRule>
  </conditionalFormatting>
  <conditionalFormatting sqref="P89:R89">
    <cfRule type="expression" dxfId="152" priority="5">
      <formula>$M79&lt;&gt;""</formula>
    </cfRule>
  </conditionalFormatting>
  <conditionalFormatting sqref="P92:R92">
    <cfRule type="expression" dxfId="151" priority="4">
      <formula>$M82&lt;&gt;""</formula>
    </cfRule>
  </conditionalFormatting>
  <conditionalFormatting sqref="P102:R102">
    <cfRule type="expression" dxfId="150" priority="3">
      <formula>$M92&lt;&gt;""</formula>
    </cfRule>
  </conditionalFormatting>
  <conditionalFormatting sqref="P118:R118">
    <cfRule type="expression" dxfId="149" priority="2">
      <formula>$M110&lt;&gt;""</formula>
    </cfRule>
  </conditionalFormatting>
  <dataValidations count="3">
    <dataValidation type="list" allowBlank="1" showInputMessage="1" showErrorMessage="1" sqref="Q1 Q5:Q8 Q10:Q11 Q14:Q15 Q17:Q18 Q28 Q30 Q34:Q36 Q41:Q42 Q51 Q60:Q61 Q63 Q82 Q89 Q92 Q102 Q118 Q135 Q140 Q131 Q144 Q149 Q155:Q156 Q160:Q161 Q167 Q171:Q172 Q174 Q181:Q182 Q186 Q195 Q198 Q204 Q213 Q209 Q217 Q228 Q234 Q243 Q254:Q257 Q248 Q245 Q274 Q277 Q281 Q293 Q284 Q326 Q310:Q311 Q335 Q337 Q341:Q343 Q353 Q361 Q365:Q367 Q372:Q373 Q369:Q370 Q379 Q386:Q387 Q389 Q403 Q406:Q407 Q418 Q449 Q453 Q455 Q469 Q471 Q478 Q507 Q516 Q511 Q501 Q520 Q545 Q547 Q580:Q581 Q589 Q576 Q562:Q563 Q586 Q571 Q595 Q618 Q621 Q628 Q634 Q637 Q672 Q676 Q687 Q696 Q701 Q705 Q715:Q716 Q722 Q724 Q728:Q730 Q734 Q740:Q742 Q755 Q759:Q760 Q763 Q768:Q769 Q772 Q774" xr:uid="{E5A5E120-CDFC-4526-96D0-2E6714B6EFA2}">
      <formula1>INDIRECT(P1)</formula1>
    </dataValidation>
    <dataValidation type="list" allowBlank="1" showInputMessage="1" showErrorMessage="1" sqref="P728:P730 P5:P8 P10:P11 P14:P15 P17:P18 P28 P30 P34:P36 P41:P42 P51 P60:P61 P63 P82 P89 P92 P102 P118 P135 P140 P131 P144 P149 P155:P156 P160:P161 P167 P171:P172 P174 P181:P182 P186 P195 P198 P204 P213 P209 P217 P228 P234 P243 P254:P257 P248 P245 P274 P277 P281 P293 P284 P326 P310:P311 P335 P337 P341:P343 P353 P361 P365:P367 P372:P373 P369:P370 P379 P386:P387 P389 P403 P406:P407 P418 P449 P453 P455 P469 P471 P478 P507 P516 P511 P501 P520 P545 P547 P580:P581 P589 P576 P562:P563 P586 P571 P595 P618 P621 P628 P634 P637 P672 P676 P687 P696 P701 P705 P715:P716 P722 P724 P1 P734 P740:P742 P755 P759:P760 P763 P768:P769 P772 P774" xr:uid="{F1EDC782-692D-451A-BAD5-5A220382455B}">
      <formula1>cause</formula1>
    </dataValidation>
    <dataValidation type="list" allowBlank="1" showInputMessage="1" showErrorMessage="1" sqref="R1 R5:R8 R10:R11 R14:R15 R17:R18 R28 R30 R34:R36 R41:R42 R51 R60:R61 R63 R82 R89 R92 R102 R118 R135 R140 R131 R144 R149 R155:R156 R160:R161 R167 R171:R172 R174 R181:R182 R186 R195 R198 R204 R213 R209 R217 R228 R234 R243 R254:R257 R248 R245 R274 R277 R281 R293 R284 R326 R310:R311 R335 R337 R341:R343 R353 R361 R365:R367 R372:R373 R369:R370 R379 R389 R386:R387 R403 R406:R407 R418 R449 R453 R455 R469 R471 R478 R507 R516 R511 R501 R520 R545 R547 R580:R581 R589 R576 R562:R563 R586 R571 R595 R618 R621 R628 R634 R637 R672 R676 R687 R696 R701 R705 R715:R716 R722 R724 R728:R730 R734 R740:R742 R755 R759:R760 R763 R768:R769 R772 R774" xr:uid="{6AD64684-B6E6-4E7E-A2C6-70BBBA052FE8}">
      <formula1>agences</formula1>
    </dataValidation>
  </dataValidations>
  <pageMargins left="0.7" right="0.7" top="0.75" bottom="0.75" header="0.3" footer="0.3"/>
  <pageSetup paperSize="9" orientation="portrait" r:id="rId1"/>
  <customProperties>
    <customPr name="_pios_id" r:id="rId2"/>
  </customPropertie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7CA2D-828C-47C4-8706-915A4836375B}">
  <sheetPr codeName="Feuil6" filterMode="1"/>
  <dimension ref="A1:KF2292"/>
  <sheetViews>
    <sheetView zoomScale="40" zoomScaleNormal="40" zoomScaleSheetLayoutView="50" workbookViewId="0">
      <pane xSplit="2" ySplit="3" topLeftCell="G474" activePane="bottomRight" state="frozen"/>
      <selection pane="topRight" activeCell="C1" sqref="C1"/>
      <selection pane="bottomLeft" activeCell="A3" sqref="A3"/>
      <selection pane="bottomRight" activeCell="I474" sqref="I474"/>
    </sheetView>
  </sheetViews>
  <sheetFormatPr baseColWidth="10" defaultColWidth="11.42578125" defaultRowHeight="26.25"/>
  <cols>
    <col min="1" max="1" width="54.5703125" style="3163" customWidth="1"/>
    <col min="2" max="2" width="44.42578125" style="3160" customWidth="1"/>
    <col min="3" max="3" width="30.42578125" style="3165" customWidth="1"/>
    <col min="4" max="4" width="17.42578125" style="3165" customWidth="1"/>
    <col min="5" max="5" width="62.5703125" style="3166" customWidth="1"/>
    <col min="6" max="6" width="48.5703125" style="3166" customWidth="1"/>
    <col min="7" max="7" width="107" style="3160" bestFit="1" customWidth="1"/>
    <col min="8" max="8" width="75.85546875" style="3160" bestFit="1" customWidth="1"/>
    <col min="9" max="9" width="21.5703125" style="3160" customWidth="1"/>
    <col min="10" max="10" width="128.5703125" style="3160" customWidth="1"/>
    <col min="11" max="11" width="27" style="3166" customWidth="1"/>
    <col min="12" max="12" width="20.42578125" style="3160" customWidth="1"/>
    <col min="13" max="13" width="22" style="3160" customWidth="1"/>
    <col min="14" max="14" width="19.5703125" style="3160" customWidth="1"/>
    <col min="15" max="15" width="36.5703125" style="3160" customWidth="1"/>
    <col min="16" max="16" width="33.5703125" style="3160" customWidth="1"/>
    <col min="17" max="17" width="91.42578125" style="3160" customWidth="1"/>
    <col min="18" max="18" width="72.5703125" style="3160" customWidth="1"/>
    <col min="19" max="20" width="15.42578125" style="3160" customWidth="1"/>
    <col min="21" max="21" width="16.5703125" style="3160" customWidth="1"/>
    <col min="22" max="22" width="15.5703125" style="3160" customWidth="1"/>
    <col min="23" max="23" width="130.42578125" style="3160" customWidth="1"/>
    <col min="24" max="24" width="90.42578125" style="3160" customWidth="1"/>
    <col min="25" max="25" width="117" style="3156" customWidth="1"/>
    <col min="26" max="26" width="118.5703125" style="3258" customWidth="1"/>
    <col min="27" max="16384" width="11.42578125" style="3161"/>
  </cols>
  <sheetData>
    <row r="1" spans="1:292">
      <c r="O1" s="3161"/>
      <c r="P1" s="20" t="s">
        <v>0</v>
      </c>
      <c r="Q1" s="20"/>
      <c r="R1" s="20"/>
    </row>
    <row r="2" spans="1:292" ht="26.25" customHeight="1">
      <c r="A2" s="4493" t="s">
        <v>1</v>
      </c>
      <c r="B2" s="4493"/>
      <c r="C2" s="4493"/>
      <c r="D2" s="4493"/>
      <c r="E2" s="4493"/>
      <c r="F2" s="4493"/>
      <c r="G2" s="4493"/>
      <c r="H2" s="4493"/>
      <c r="I2" s="4493"/>
      <c r="J2" s="4493"/>
      <c r="K2" s="4493"/>
      <c r="L2" s="4493"/>
      <c r="M2" s="4493"/>
      <c r="N2" s="4493"/>
      <c r="O2" s="4493"/>
      <c r="P2" s="4493"/>
      <c r="Q2" s="4493"/>
      <c r="R2" s="4493"/>
      <c r="S2" s="4493"/>
      <c r="T2" s="4493"/>
      <c r="U2" s="4493"/>
      <c r="V2" s="4493"/>
      <c r="W2" s="4493"/>
      <c r="X2" s="4493"/>
      <c r="Y2" s="4493"/>
      <c r="Z2" s="4493"/>
    </row>
    <row r="3" spans="1:292" s="3162" customFormat="1" ht="63.75" thickBot="1">
      <c r="A3" s="47" t="s">
        <v>2</v>
      </c>
      <c r="B3" s="47" t="s">
        <v>3</v>
      </c>
      <c r="C3" s="3159" t="s">
        <v>4</v>
      </c>
      <c r="D3" s="3159" t="s">
        <v>5</v>
      </c>
      <c r="E3" s="3157" t="s">
        <v>6</v>
      </c>
      <c r="F3" s="3157" t="s">
        <v>7</v>
      </c>
      <c r="G3" s="47" t="s">
        <v>1037</v>
      </c>
      <c r="H3" s="47" t="s">
        <v>1038</v>
      </c>
      <c r="I3" s="47" t="s">
        <v>8</v>
      </c>
      <c r="J3" s="47" t="s">
        <v>9</v>
      </c>
      <c r="K3" s="47" t="s">
        <v>10</v>
      </c>
      <c r="L3" s="47" t="s">
        <v>11</v>
      </c>
      <c r="M3" s="47" t="s">
        <v>12</v>
      </c>
      <c r="N3" s="47" t="s">
        <v>13</v>
      </c>
      <c r="O3" s="47" t="s">
        <v>14</v>
      </c>
      <c r="P3" s="3155" t="s">
        <v>15</v>
      </c>
      <c r="Q3" s="3155" t="s">
        <v>16</v>
      </c>
      <c r="R3" s="3155" t="s">
        <v>6297</v>
      </c>
      <c r="S3" s="47" t="s">
        <v>6298</v>
      </c>
      <c r="T3" s="47" t="s">
        <v>19</v>
      </c>
      <c r="U3" s="47" t="s">
        <v>20</v>
      </c>
      <c r="V3" s="3155" t="s">
        <v>1039</v>
      </c>
      <c r="W3" s="3158" t="s">
        <v>21</v>
      </c>
      <c r="X3" s="3158" t="s">
        <v>22</v>
      </c>
      <c r="Y3" s="3155" t="s">
        <v>23</v>
      </c>
      <c r="Z3" s="924" t="s">
        <v>24</v>
      </c>
    </row>
    <row r="4" spans="1:292" ht="27" hidden="1" thickBot="1">
      <c r="A4" s="1941" t="s">
        <v>105</v>
      </c>
      <c r="B4" s="3164">
        <v>45658</v>
      </c>
      <c r="C4" s="3165" t="s">
        <v>1040</v>
      </c>
      <c r="D4" s="3165" t="s">
        <v>1041</v>
      </c>
      <c r="E4" s="3166" t="s">
        <v>1042</v>
      </c>
      <c r="F4" s="3166" t="s">
        <v>1043</v>
      </c>
      <c r="I4" s="3160">
        <v>703</v>
      </c>
      <c r="J4" s="3160" t="s">
        <v>1044</v>
      </c>
      <c r="L4" s="3160" t="s">
        <v>30</v>
      </c>
    </row>
    <row r="5" spans="1:292" ht="53.25" hidden="1" thickBot="1">
      <c r="A5" s="1941" t="s">
        <v>105</v>
      </c>
      <c r="B5" s="3164">
        <v>45658</v>
      </c>
      <c r="C5" s="3165" t="s">
        <v>1040</v>
      </c>
      <c r="E5" s="3166" t="s">
        <v>1043</v>
      </c>
      <c r="F5" s="3166" t="s">
        <v>1042</v>
      </c>
      <c r="I5" s="3160">
        <v>703</v>
      </c>
      <c r="J5" s="3160" t="s">
        <v>1044</v>
      </c>
      <c r="L5" s="3160" t="s">
        <v>30</v>
      </c>
    </row>
    <row r="6" spans="1:292" s="3216" customFormat="1" ht="36" hidden="1" customHeight="1">
      <c r="A6" s="161" t="s">
        <v>25</v>
      </c>
      <c r="B6" s="3205">
        <v>45663</v>
      </c>
      <c r="C6" s="3206">
        <f t="shared" ref="C6:C37" si="0">_xlfn.ISOWEEKNUM(B6)</f>
        <v>2</v>
      </c>
      <c r="D6" s="3206">
        <v>2</v>
      </c>
      <c r="E6" s="3207" t="s">
        <v>675</v>
      </c>
      <c r="F6" s="3207" t="s">
        <v>1045</v>
      </c>
      <c r="G6" s="3168" t="s">
        <v>1046</v>
      </c>
      <c r="H6" s="3168" t="s">
        <v>1046</v>
      </c>
      <c r="I6" s="3209">
        <v>705</v>
      </c>
      <c r="J6" s="3209" t="s">
        <v>1047</v>
      </c>
      <c r="K6" s="3209"/>
      <c r="L6" s="3209"/>
      <c r="M6" s="3210" t="s">
        <v>37</v>
      </c>
      <c r="N6" s="3210"/>
      <c r="O6" s="3210"/>
      <c r="P6" s="3211" t="s">
        <v>122</v>
      </c>
      <c r="Q6" s="3211" t="s">
        <v>1048</v>
      </c>
      <c r="R6" s="3211" t="s">
        <v>46</v>
      </c>
      <c r="S6" s="3210"/>
      <c r="T6" s="3210"/>
      <c r="U6" s="3210"/>
      <c r="V6" s="3212"/>
      <c r="W6" s="3213" t="s">
        <v>1049</v>
      </c>
      <c r="X6" s="3214"/>
      <c r="Y6" s="3215"/>
      <c r="Z6" s="3259">
        <v>3</v>
      </c>
    </row>
    <row r="7" spans="1:292" s="3216" customFormat="1" ht="27" hidden="1" thickBot="1">
      <c r="A7" s="161" t="s">
        <v>25</v>
      </c>
      <c r="B7" s="3205">
        <v>45663</v>
      </c>
      <c r="C7" s="3206">
        <f t="shared" si="0"/>
        <v>2</v>
      </c>
      <c r="D7" s="3741"/>
      <c r="E7" s="3208" t="s">
        <v>1050</v>
      </c>
      <c r="F7" s="3208" t="s">
        <v>1051</v>
      </c>
      <c r="G7" s="3168" t="s">
        <v>1046</v>
      </c>
      <c r="H7" s="3168" t="s">
        <v>1046</v>
      </c>
      <c r="I7" s="3217">
        <v>705</v>
      </c>
      <c r="J7" s="3209" t="s">
        <v>1047</v>
      </c>
      <c r="K7" s="3217"/>
      <c r="L7" s="3217" t="s">
        <v>37</v>
      </c>
      <c r="M7" s="3218"/>
      <c r="N7" s="3218"/>
      <c r="O7" s="3218"/>
      <c r="P7" s="3218"/>
      <c r="Q7" s="3218"/>
      <c r="R7" s="3218"/>
      <c r="S7" s="3218"/>
      <c r="T7" s="3218"/>
      <c r="U7" s="3218"/>
      <c r="V7" s="3219"/>
      <c r="W7" s="3220"/>
      <c r="X7" s="3214"/>
      <c r="Y7" s="3215"/>
      <c r="Z7" s="3259">
        <v>3</v>
      </c>
    </row>
    <row r="8" spans="1:292" s="3231" customFormat="1" ht="53.25" hidden="1" thickBot="1">
      <c r="A8" s="3221" t="s">
        <v>25</v>
      </c>
      <c r="B8" s="2290">
        <v>45663</v>
      </c>
      <c r="C8" s="3222">
        <f t="shared" si="0"/>
        <v>2</v>
      </c>
      <c r="D8" s="3742">
        <v>3</v>
      </c>
      <c r="E8" s="3223" t="s">
        <v>48</v>
      </c>
      <c r="F8" s="3223" t="s">
        <v>1052</v>
      </c>
      <c r="G8" s="3168" t="s">
        <v>1046</v>
      </c>
      <c r="H8" s="3168" t="s">
        <v>1046</v>
      </c>
      <c r="I8" s="3224">
        <v>705</v>
      </c>
      <c r="J8" s="3224" t="s">
        <v>1053</v>
      </c>
      <c r="K8" s="3224"/>
      <c r="L8" s="3224"/>
      <c r="M8" s="3225" t="s">
        <v>37</v>
      </c>
      <c r="N8" s="3225"/>
      <c r="O8" s="3225"/>
      <c r="P8" s="3226" t="s">
        <v>231</v>
      </c>
      <c r="Q8" s="3226" t="s">
        <v>1048</v>
      </c>
      <c r="R8" s="3226" t="s">
        <v>103</v>
      </c>
      <c r="S8" s="3225"/>
      <c r="T8" s="3225"/>
      <c r="U8" s="3225"/>
      <c r="V8" s="3227"/>
      <c r="W8" s="3228" t="s">
        <v>1054</v>
      </c>
      <c r="X8" s="3229"/>
      <c r="Y8" s="3230"/>
      <c r="Z8" s="3260">
        <v>4</v>
      </c>
    </row>
    <row r="9" spans="1:292" s="3231" customFormat="1" ht="27" hidden="1" thickBot="1">
      <c r="A9" s="3221" t="s">
        <v>25</v>
      </c>
      <c r="B9" s="2290">
        <v>45663</v>
      </c>
      <c r="C9" s="3222">
        <f t="shared" si="0"/>
        <v>2</v>
      </c>
      <c r="D9" s="3742"/>
      <c r="E9" s="3223" t="s">
        <v>392</v>
      </c>
      <c r="F9" s="3223" t="s">
        <v>373</v>
      </c>
      <c r="G9" s="3168" t="s">
        <v>1046</v>
      </c>
      <c r="H9" s="3168" t="s">
        <v>1046</v>
      </c>
      <c r="I9" s="3224">
        <v>705</v>
      </c>
      <c r="J9" s="3224" t="s">
        <v>1053</v>
      </c>
      <c r="K9" s="3224"/>
      <c r="L9" s="3224" t="s">
        <v>37</v>
      </c>
      <c r="M9" s="3225"/>
      <c r="N9" s="3225"/>
      <c r="O9" s="3225"/>
      <c r="P9" s="3225"/>
      <c r="Q9" s="3225"/>
      <c r="R9" s="3225"/>
      <c r="S9" s="3225"/>
      <c r="T9" s="3225"/>
      <c r="U9" s="3225"/>
      <c r="V9" s="3227"/>
      <c r="W9" s="3228"/>
      <c r="X9" s="3229"/>
      <c r="Y9" s="3230"/>
      <c r="Z9" s="3260">
        <v>4</v>
      </c>
    </row>
    <row r="10" spans="1:292" s="3231" customFormat="1" ht="27" hidden="1" thickBot="1">
      <c r="A10" s="3221" t="s">
        <v>25</v>
      </c>
      <c r="B10" s="2290">
        <v>45663</v>
      </c>
      <c r="C10" s="3222">
        <f t="shared" si="0"/>
        <v>2</v>
      </c>
      <c r="D10" s="3742"/>
      <c r="E10" s="3223" t="s">
        <v>1055</v>
      </c>
      <c r="F10" s="3223"/>
      <c r="G10" s="3168" t="s">
        <v>1046</v>
      </c>
      <c r="H10" s="3168" t="s">
        <v>1046</v>
      </c>
      <c r="I10" s="3224">
        <v>705</v>
      </c>
      <c r="J10" s="3224" t="s">
        <v>1053</v>
      </c>
      <c r="K10" s="3224"/>
      <c r="L10" s="3224" t="s">
        <v>37</v>
      </c>
      <c r="M10" s="3225"/>
      <c r="N10" s="3225"/>
      <c r="O10" s="3225"/>
      <c r="P10" s="3225"/>
      <c r="Q10" s="3225"/>
      <c r="R10" s="3225"/>
      <c r="S10" s="3225"/>
      <c r="T10" s="3225"/>
      <c r="U10" s="3225"/>
      <c r="V10" s="3227"/>
      <c r="W10" s="3228"/>
      <c r="X10" s="3229"/>
      <c r="Y10" s="3230"/>
      <c r="Z10" s="3260">
        <v>4</v>
      </c>
    </row>
    <row r="11" spans="1:292" customFormat="1" ht="53.25" hidden="1" thickBot="1">
      <c r="A11" s="76" t="s">
        <v>25</v>
      </c>
      <c r="B11" s="1300">
        <v>45663</v>
      </c>
      <c r="C11" s="3189">
        <f t="shared" si="0"/>
        <v>2</v>
      </c>
      <c r="D11" s="3190">
        <v>4</v>
      </c>
      <c r="E11" s="3169" t="s">
        <v>48</v>
      </c>
      <c r="F11" s="3169" t="s">
        <v>1056</v>
      </c>
      <c r="G11" s="3168" t="s">
        <v>1046</v>
      </c>
      <c r="H11" s="3168" t="s">
        <v>1046</v>
      </c>
      <c r="I11" s="1001">
        <v>705</v>
      </c>
      <c r="J11" s="1001" t="s">
        <v>1057</v>
      </c>
      <c r="K11" s="1001"/>
      <c r="L11" s="1001"/>
      <c r="M11" s="33" t="s">
        <v>37</v>
      </c>
      <c r="N11" s="33"/>
      <c r="O11" s="33"/>
      <c r="P11" s="24" t="s">
        <v>231</v>
      </c>
      <c r="Q11" s="24" t="s">
        <v>1048</v>
      </c>
      <c r="R11" s="21" t="s">
        <v>103</v>
      </c>
      <c r="S11" s="33" t="s">
        <v>30</v>
      </c>
      <c r="T11" s="33"/>
      <c r="U11" s="33"/>
      <c r="V11" s="71"/>
      <c r="W11" s="593" t="s">
        <v>1058</v>
      </c>
      <c r="X11" s="49"/>
      <c r="Y11" s="48"/>
      <c r="Z11" s="3261"/>
    </row>
    <row r="12" spans="1:292" customFormat="1" ht="27" hidden="1" thickBot="1">
      <c r="A12" s="76" t="s">
        <v>25</v>
      </c>
      <c r="B12" s="1300">
        <v>45663</v>
      </c>
      <c r="C12" s="3189">
        <f t="shared" si="0"/>
        <v>2</v>
      </c>
      <c r="D12" s="3190">
        <v>5</v>
      </c>
      <c r="E12" s="3170" t="s">
        <v>1059</v>
      </c>
      <c r="F12" s="3170" t="s">
        <v>275</v>
      </c>
      <c r="G12" s="3168" t="s">
        <v>1046</v>
      </c>
      <c r="H12" s="3168" t="s">
        <v>1046</v>
      </c>
      <c r="I12" s="1001">
        <v>704</v>
      </c>
      <c r="J12" s="1001" t="s">
        <v>1060</v>
      </c>
      <c r="K12" s="1001"/>
      <c r="L12" s="1001"/>
      <c r="M12" s="33" t="s">
        <v>37</v>
      </c>
      <c r="N12" s="1040"/>
      <c r="O12" s="1040"/>
      <c r="P12" s="21" t="s">
        <v>122</v>
      </c>
      <c r="Q12" s="21" t="s">
        <v>110</v>
      </c>
      <c r="R12" s="20" t="s">
        <v>1061</v>
      </c>
      <c r="S12" s="33"/>
      <c r="T12" s="33"/>
      <c r="U12" s="33"/>
      <c r="V12" s="71"/>
      <c r="W12" s="593" t="s">
        <v>1062</v>
      </c>
      <c r="X12" s="49"/>
      <c r="Y12" s="48"/>
      <c r="Z12" s="3261"/>
    </row>
    <row r="13" spans="1:292" customFormat="1" ht="27" hidden="1" thickBot="1">
      <c r="A13" s="76" t="s">
        <v>25</v>
      </c>
      <c r="B13" s="1300">
        <v>45663</v>
      </c>
      <c r="C13" s="3189">
        <f t="shared" si="0"/>
        <v>2</v>
      </c>
      <c r="D13" s="3190">
        <v>6</v>
      </c>
      <c r="E13" s="1524" t="s">
        <v>306</v>
      </c>
      <c r="F13" s="1524" t="s">
        <v>306</v>
      </c>
      <c r="G13" s="3168" t="s">
        <v>1063</v>
      </c>
      <c r="H13" s="3168" t="s">
        <v>1063</v>
      </c>
      <c r="I13" s="1001">
        <v>705</v>
      </c>
      <c r="J13" s="1001"/>
      <c r="K13" s="1001"/>
      <c r="L13" s="923" t="s">
        <v>37</v>
      </c>
      <c r="M13" s="33"/>
      <c r="N13" s="33"/>
      <c r="O13" s="1594"/>
      <c r="P13" s="1594"/>
      <c r="Q13" s="1594"/>
      <c r="R13" s="33"/>
      <c r="S13" s="33"/>
      <c r="T13" s="33"/>
      <c r="U13" s="33"/>
      <c r="V13" s="71"/>
      <c r="W13" s="593"/>
      <c r="X13" s="49"/>
      <c r="Y13" s="48"/>
      <c r="Z13" s="3261"/>
    </row>
    <row r="14" spans="1:292" customFormat="1" ht="29.25" hidden="1" thickBot="1">
      <c r="A14" s="76" t="s">
        <v>25</v>
      </c>
      <c r="B14" s="1300">
        <v>45663</v>
      </c>
      <c r="C14" s="3189">
        <f t="shared" si="0"/>
        <v>2</v>
      </c>
      <c r="D14" s="3190">
        <v>7</v>
      </c>
      <c r="E14" s="1524" t="s">
        <v>258</v>
      </c>
      <c r="F14" s="1524" t="s">
        <v>1064</v>
      </c>
      <c r="G14" s="3168" t="s">
        <v>1046</v>
      </c>
      <c r="H14" s="3168" t="s">
        <v>1046</v>
      </c>
      <c r="I14" s="3443">
        <v>712</v>
      </c>
      <c r="J14" s="1001" t="s">
        <v>121</v>
      </c>
      <c r="K14" s="1001"/>
      <c r="L14" s="1001" t="s">
        <v>37</v>
      </c>
      <c r="M14" s="33"/>
      <c r="N14" s="33"/>
      <c r="O14" s="33"/>
      <c r="P14" s="33"/>
      <c r="Q14" s="33"/>
      <c r="R14" s="33"/>
      <c r="S14" s="33"/>
      <c r="T14" s="33"/>
      <c r="U14" s="33"/>
      <c r="V14" s="71"/>
      <c r="W14" s="593"/>
      <c r="X14" s="49"/>
      <c r="Y14" s="48"/>
      <c r="Z14" s="3261"/>
    </row>
    <row r="15" spans="1:292" customFormat="1" ht="29.25" hidden="1" thickBot="1">
      <c r="A15" s="118" t="s">
        <v>25</v>
      </c>
      <c r="B15" s="1390">
        <v>45663</v>
      </c>
      <c r="C15" s="3189">
        <f t="shared" si="0"/>
        <v>2</v>
      </c>
      <c r="D15" s="3190">
        <v>8</v>
      </c>
      <c r="E15" s="1524" t="s">
        <v>1065</v>
      </c>
      <c r="F15" s="1524" t="s">
        <v>169</v>
      </c>
      <c r="G15" s="3168" t="s">
        <v>1046</v>
      </c>
      <c r="H15" s="3168" t="s">
        <v>1046</v>
      </c>
      <c r="I15" s="3443">
        <v>712</v>
      </c>
      <c r="J15" s="1001" t="s">
        <v>1066</v>
      </c>
      <c r="K15" s="3183" t="s">
        <v>1067</v>
      </c>
      <c r="L15" s="1001" t="s">
        <v>37</v>
      </c>
      <c r="M15" s="33"/>
      <c r="N15" s="33"/>
      <c r="O15" s="33"/>
      <c r="P15" s="33"/>
      <c r="Q15" s="33"/>
      <c r="R15" s="33"/>
      <c r="S15" s="33"/>
      <c r="T15" s="33"/>
      <c r="U15" s="33"/>
      <c r="V15" s="71"/>
      <c r="W15" s="593"/>
      <c r="X15" s="49"/>
      <c r="Y15" s="48"/>
      <c r="Z15" s="3261"/>
    </row>
    <row r="16" spans="1:292" s="356" customFormat="1" ht="132" hidden="1" thickBot="1">
      <c r="A16" s="710" t="s">
        <v>25</v>
      </c>
      <c r="B16" s="1312">
        <v>45663</v>
      </c>
      <c r="C16" s="3189">
        <f t="shared" si="0"/>
        <v>2</v>
      </c>
      <c r="D16" s="3190">
        <v>9</v>
      </c>
      <c r="E16" s="1514" t="s">
        <v>169</v>
      </c>
      <c r="F16" s="1514" t="s">
        <v>296</v>
      </c>
      <c r="G16" s="3172" t="s">
        <v>1046</v>
      </c>
      <c r="H16" s="3172" t="s">
        <v>1046</v>
      </c>
      <c r="I16" s="957">
        <v>706</v>
      </c>
      <c r="J16" s="957" t="s">
        <v>1068</v>
      </c>
      <c r="K16" s="3173" t="s">
        <v>84</v>
      </c>
      <c r="L16" s="957"/>
      <c r="M16" s="91" t="s">
        <v>37</v>
      </c>
      <c r="N16" s="91"/>
      <c r="O16" s="91"/>
      <c r="P16" s="35" t="s">
        <v>109</v>
      </c>
      <c r="Q16" s="34" t="s">
        <v>300</v>
      </c>
      <c r="R16" s="35" t="s">
        <v>38</v>
      </c>
      <c r="S16" s="91" t="s">
        <v>30</v>
      </c>
      <c r="T16" s="91"/>
      <c r="U16" s="91"/>
      <c r="V16" s="91"/>
      <c r="W16" s="3202" t="s">
        <v>1069</v>
      </c>
      <c r="X16" s="49"/>
      <c r="Y16" s="48"/>
      <c r="Z16" s="3261"/>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row>
    <row r="17" spans="1:292" customFormat="1" ht="26.45" hidden="1" customHeight="1" thickBot="1">
      <c r="A17" s="4347" t="s">
        <v>67</v>
      </c>
      <c r="B17" s="4451">
        <v>45663</v>
      </c>
      <c r="C17" s="3160">
        <f t="shared" si="0"/>
        <v>2</v>
      </c>
      <c r="D17" s="4360"/>
      <c r="E17" s="4805" t="s">
        <v>1070</v>
      </c>
      <c r="F17" s="4805"/>
      <c r="G17" s="3273"/>
      <c r="H17" s="3273"/>
      <c r="I17" s="3383">
        <v>707</v>
      </c>
      <c r="J17" s="3383" t="s">
        <v>42</v>
      </c>
      <c r="K17" s="4930"/>
      <c r="L17" s="4759"/>
      <c r="M17" s="4759"/>
      <c r="N17" s="4759" t="s">
        <v>37</v>
      </c>
      <c r="O17" s="4490"/>
      <c r="P17" s="4770"/>
      <c r="Q17" s="4770"/>
      <c r="R17" s="4770"/>
      <c r="S17" s="4490"/>
      <c r="T17" s="4490"/>
      <c r="U17" s="4759"/>
      <c r="V17" s="4490"/>
      <c r="W17" s="4949"/>
      <c r="X17" s="4376"/>
      <c r="Y17" s="3156"/>
      <c r="Z17" s="3258"/>
      <c r="AA17" s="3161"/>
      <c r="AB17" s="3161"/>
      <c r="AC17" s="3161"/>
      <c r="AD17" s="3161"/>
      <c r="AE17" s="3161"/>
      <c r="AF17" s="3161"/>
      <c r="AG17" s="3161"/>
      <c r="AH17" s="3161"/>
      <c r="AI17" s="3161"/>
      <c r="AJ17" s="3161"/>
      <c r="AK17" s="3161"/>
      <c r="AL17" s="3161"/>
      <c r="AM17" s="3161"/>
      <c r="AN17" s="3161"/>
      <c r="AO17" s="3161"/>
      <c r="AP17" s="3161"/>
      <c r="AQ17" s="3161"/>
      <c r="AR17" s="3161"/>
      <c r="AS17" s="3161"/>
      <c r="AT17" s="3161"/>
      <c r="AU17" s="3161"/>
      <c r="AV17" s="3161"/>
      <c r="AW17" s="3161"/>
      <c r="AX17" s="3161"/>
      <c r="AY17" s="3161"/>
      <c r="AZ17" s="3161"/>
      <c r="BA17" s="3161"/>
      <c r="BB17" s="3161"/>
      <c r="BC17" s="3161"/>
      <c r="BD17" s="3161"/>
      <c r="BE17" s="3161"/>
      <c r="BF17" s="3161"/>
      <c r="BG17" s="3161"/>
      <c r="BH17" s="3161"/>
      <c r="BI17" s="3161"/>
      <c r="BJ17" s="3161"/>
      <c r="BK17" s="3161"/>
      <c r="BL17" s="3161"/>
      <c r="BM17" s="3161"/>
      <c r="BN17" s="3161"/>
      <c r="BO17" s="3161"/>
      <c r="BP17" s="3161"/>
      <c r="BQ17" s="3161"/>
      <c r="BR17" s="3161"/>
      <c r="BS17" s="3161"/>
      <c r="BT17" s="3161"/>
      <c r="BU17" s="3161"/>
      <c r="BV17" s="3161"/>
      <c r="BW17" s="3161"/>
      <c r="BX17" s="3161"/>
      <c r="BY17" s="3161"/>
      <c r="BZ17" s="3161"/>
      <c r="CA17" s="3161"/>
      <c r="CB17" s="3161"/>
      <c r="CC17" s="3161"/>
      <c r="CD17" s="3161"/>
      <c r="CE17" s="3161"/>
      <c r="CF17" s="3161"/>
      <c r="CG17" s="3161"/>
      <c r="CH17" s="3161"/>
      <c r="CI17" s="3161"/>
      <c r="CJ17" s="3161"/>
      <c r="CK17" s="3161"/>
      <c r="CL17" s="3161"/>
      <c r="CM17" s="3161"/>
      <c r="CN17" s="3161"/>
      <c r="CO17" s="3161"/>
      <c r="CP17" s="3161"/>
      <c r="CQ17" s="3161"/>
      <c r="CR17" s="3161"/>
      <c r="CS17" s="3161"/>
      <c r="CT17" s="3161"/>
      <c r="CU17" s="3161"/>
      <c r="CV17" s="3161"/>
      <c r="CW17" s="3161"/>
      <c r="CX17" s="3161"/>
      <c r="CY17" s="3161"/>
      <c r="CZ17" s="3161"/>
      <c r="DA17" s="3161"/>
      <c r="DB17" s="3161"/>
      <c r="DC17" s="3161"/>
      <c r="DD17" s="3161"/>
      <c r="DE17" s="3161"/>
      <c r="DF17" s="3161"/>
      <c r="DG17" s="3161"/>
      <c r="DH17" s="3161"/>
      <c r="DI17" s="3161"/>
      <c r="DJ17" s="3161"/>
      <c r="DK17" s="3161"/>
      <c r="DL17" s="3161"/>
      <c r="DM17" s="3161"/>
      <c r="DN17" s="3161"/>
      <c r="DO17" s="3161"/>
      <c r="DP17" s="3161"/>
      <c r="DQ17" s="3161"/>
      <c r="DR17" s="3161"/>
      <c r="DS17" s="3161"/>
      <c r="DT17" s="3161"/>
      <c r="DU17" s="3161"/>
      <c r="DV17" s="3161"/>
      <c r="DW17" s="3161"/>
      <c r="DX17" s="3161"/>
      <c r="DY17" s="3161"/>
      <c r="DZ17" s="3161"/>
      <c r="EA17" s="3161"/>
      <c r="EB17" s="3161"/>
      <c r="EC17" s="3161"/>
      <c r="ED17" s="3161"/>
      <c r="EE17" s="3161"/>
      <c r="EF17" s="3161"/>
      <c r="EG17" s="3161"/>
      <c r="EH17" s="3161"/>
      <c r="EI17" s="3161"/>
      <c r="EJ17" s="3161"/>
      <c r="EK17" s="3161"/>
      <c r="EL17" s="3161"/>
      <c r="EM17" s="3161"/>
      <c r="EN17" s="3161"/>
      <c r="EO17" s="3161"/>
      <c r="EP17" s="3161"/>
      <c r="EQ17" s="3161"/>
      <c r="ER17" s="3161"/>
      <c r="ES17" s="3161"/>
      <c r="ET17" s="3161"/>
      <c r="EU17" s="3161"/>
      <c r="EV17" s="3161"/>
      <c r="EW17" s="3161"/>
      <c r="EX17" s="3161"/>
      <c r="EY17" s="3161"/>
      <c r="EZ17" s="3161"/>
      <c r="FA17" s="3161"/>
      <c r="FB17" s="3161"/>
      <c r="FC17" s="3161"/>
      <c r="FD17" s="3161"/>
      <c r="FE17" s="3161"/>
      <c r="FF17" s="3161"/>
      <c r="FG17" s="3161"/>
      <c r="FH17" s="3161"/>
      <c r="FI17" s="3161"/>
      <c r="FJ17" s="3161"/>
      <c r="FK17" s="3161"/>
      <c r="FL17" s="3161"/>
      <c r="FM17" s="3161"/>
      <c r="FN17" s="3161"/>
      <c r="FO17" s="3161"/>
      <c r="FP17" s="3161"/>
      <c r="FQ17" s="3161"/>
      <c r="FR17" s="3161"/>
      <c r="FS17" s="3161"/>
      <c r="FT17" s="3161"/>
      <c r="FU17" s="3161"/>
      <c r="FV17" s="3161"/>
      <c r="FW17" s="3161"/>
      <c r="FX17" s="3161"/>
      <c r="FY17" s="3161"/>
      <c r="FZ17" s="3161"/>
      <c r="GA17" s="3161"/>
      <c r="GB17" s="3161"/>
      <c r="GC17" s="3161"/>
      <c r="GD17" s="3161"/>
      <c r="GE17" s="3161"/>
      <c r="GF17" s="3161"/>
      <c r="GG17" s="3161"/>
      <c r="GH17" s="3161"/>
      <c r="GI17" s="3161"/>
      <c r="GJ17" s="3161"/>
      <c r="GK17" s="3161"/>
      <c r="GL17" s="3161"/>
      <c r="GM17" s="3161"/>
      <c r="GN17" s="3161"/>
      <c r="GO17" s="3161"/>
      <c r="GP17" s="3161"/>
      <c r="GQ17" s="3161"/>
      <c r="GR17" s="3161"/>
      <c r="GS17" s="3161"/>
      <c r="GT17" s="3161"/>
      <c r="GU17" s="3161"/>
      <c r="GV17" s="3161"/>
      <c r="GW17" s="3161"/>
      <c r="GX17" s="3161"/>
      <c r="GY17" s="3161"/>
      <c r="GZ17" s="3161"/>
      <c r="HA17" s="3161"/>
      <c r="HB17" s="3161"/>
      <c r="HC17" s="3161"/>
      <c r="HD17" s="3161"/>
      <c r="HE17" s="3161"/>
      <c r="HF17" s="3161"/>
      <c r="HG17" s="3161"/>
      <c r="HH17" s="3161"/>
      <c r="HI17" s="3161"/>
      <c r="HJ17" s="3161"/>
      <c r="HK17" s="3161"/>
      <c r="HL17" s="3161"/>
      <c r="HM17" s="3161"/>
      <c r="HN17" s="3161"/>
      <c r="HO17" s="3161"/>
      <c r="HP17" s="3161"/>
      <c r="HQ17" s="3161"/>
      <c r="HR17" s="3161"/>
      <c r="HS17" s="3161"/>
      <c r="HT17" s="3161"/>
      <c r="HU17" s="3161"/>
      <c r="HV17" s="3161"/>
      <c r="HW17" s="3161"/>
      <c r="HX17" s="3161"/>
      <c r="HY17" s="3161"/>
      <c r="HZ17" s="3161"/>
      <c r="IA17" s="3161"/>
      <c r="IB17" s="3161"/>
      <c r="IC17" s="3161"/>
      <c r="ID17" s="3161"/>
      <c r="IE17" s="3161"/>
      <c r="IF17" s="3161"/>
      <c r="IG17" s="3161"/>
      <c r="IH17" s="3161"/>
      <c r="II17" s="3161"/>
      <c r="IJ17" s="3161"/>
      <c r="IK17" s="3161"/>
      <c r="IL17" s="3161"/>
      <c r="IM17" s="3161"/>
      <c r="IN17" s="3161"/>
      <c r="IO17" s="3161"/>
      <c r="IP17" s="3161"/>
      <c r="IQ17" s="3161"/>
      <c r="IR17" s="3161"/>
      <c r="IS17" s="3161"/>
      <c r="IT17" s="3161"/>
      <c r="IU17" s="3161"/>
      <c r="IV17" s="3161"/>
      <c r="IW17" s="3161"/>
      <c r="IX17" s="3161"/>
      <c r="IY17" s="3161"/>
      <c r="IZ17" s="3161"/>
      <c r="JA17" s="3161"/>
      <c r="JB17" s="3161"/>
      <c r="JC17" s="3161"/>
      <c r="JD17" s="3161"/>
      <c r="JE17" s="3161"/>
      <c r="JF17" s="3161"/>
      <c r="JG17" s="3161"/>
      <c r="JH17" s="3161"/>
      <c r="JI17" s="3161"/>
      <c r="JJ17" s="3161"/>
      <c r="JK17" s="3161"/>
      <c r="JL17" s="3161"/>
      <c r="JM17" s="3161"/>
      <c r="JN17" s="3161"/>
      <c r="JO17" s="3161"/>
      <c r="JP17" s="3161"/>
      <c r="JQ17" s="3161"/>
      <c r="JR17" s="3161"/>
      <c r="JS17" s="3161"/>
      <c r="JT17" s="3161"/>
      <c r="JU17" s="3161"/>
      <c r="JV17" s="3161"/>
      <c r="JW17" s="3161"/>
      <c r="JX17" s="3161"/>
      <c r="JY17" s="3161"/>
      <c r="JZ17" s="3161"/>
      <c r="KA17" s="3161"/>
      <c r="KB17" s="3161"/>
      <c r="KC17" s="3161"/>
      <c r="KD17" s="3161"/>
      <c r="KE17" s="3161"/>
      <c r="KF17" s="3161"/>
    </row>
    <row r="18" spans="1:292" customFormat="1" ht="26.45" hidden="1" customHeight="1" thickBot="1">
      <c r="A18" s="4347" t="s">
        <v>67</v>
      </c>
      <c r="B18" s="4451">
        <v>45663</v>
      </c>
      <c r="C18" s="3160">
        <f t="shared" si="0"/>
        <v>2</v>
      </c>
      <c r="D18" s="4512"/>
      <c r="E18" s="4551" t="s">
        <v>48</v>
      </c>
      <c r="F18" s="4162" t="s">
        <v>125</v>
      </c>
      <c r="G18" s="3273"/>
      <c r="H18" s="3273"/>
      <c r="I18" s="4719">
        <v>707</v>
      </c>
      <c r="J18" s="3381" t="s">
        <v>57</v>
      </c>
      <c r="K18" s="3388"/>
      <c r="L18" s="4759"/>
      <c r="M18" s="4759"/>
      <c r="N18" s="4759" t="s">
        <v>37</v>
      </c>
      <c r="O18" s="4759"/>
      <c r="P18" s="360"/>
      <c r="Q18" s="360"/>
      <c r="R18" s="360"/>
      <c r="S18" s="4347" t="s">
        <v>37</v>
      </c>
      <c r="T18" s="4347"/>
      <c r="U18" s="4347" t="s">
        <v>37</v>
      </c>
      <c r="V18" s="4444"/>
      <c r="W18" s="4780" t="s">
        <v>102</v>
      </c>
      <c r="X18" s="4376"/>
      <c r="Y18" s="3156"/>
      <c r="Z18" s="3258"/>
      <c r="AA18" s="3161"/>
      <c r="AB18" s="3161"/>
      <c r="AC18" s="3161"/>
      <c r="AD18" s="3161"/>
      <c r="AE18" s="3161"/>
      <c r="AF18" s="3161"/>
      <c r="AG18" s="3161"/>
      <c r="AH18" s="3161"/>
      <c r="AI18" s="3161"/>
      <c r="AJ18" s="3161"/>
      <c r="AK18" s="3161"/>
      <c r="AL18" s="3161"/>
      <c r="AM18" s="3161"/>
      <c r="AN18" s="3161"/>
      <c r="AO18" s="3161"/>
      <c r="AP18" s="3161"/>
      <c r="AQ18" s="3161"/>
      <c r="AR18" s="3161"/>
      <c r="AS18" s="3161"/>
      <c r="AT18" s="3161"/>
      <c r="AU18" s="3161"/>
      <c r="AV18" s="3161"/>
      <c r="AW18" s="3161"/>
      <c r="AX18" s="3161"/>
      <c r="AY18" s="3161"/>
      <c r="AZ18" s="3161"/>
      <c r="BA18" s="3161"/>
      <c r="BB18" s="3161"/>
      <c r="BC18" s="3161"/>
      <c r="BD18" s="3161"/>
      <c r="BE18" s="3161"/>
      <c r="BF18" s="3161"/>
      <c r="BG18" s="3161"/>
      <c r="BH18" s="3161"/>
      <c r="BI18" s="3161"/>
      <c r="BJ18" s="3161"/>
      <c r="BK18" s="3161"/>
      <c r="BL18" s="3161"/>
      <c r="BM18" s="3161"/>
      <c r="BN18" s="3161"/>
      <c r="BO18" s="3161"/>
      <c r="BP18" s="3161"/>
      <c r="BQ18" s="3161"/>
      <c r="BR18" s="3161"/>
      <c r="BS18" s="3161"/>
      <c r="BT18" s="3161"/>
      <c r="BU18" s="3161"/>
      <c r="BV18" s="3161"/>
      <c r="BW18" s="3161"/>
      <c r="BX18" s="3161"/>
      <c r="BY18" s="3161"/>
      <c r="BZ18" s="3161"/>
      <c r="CA18" s="3161"/>
      <c r="CB18" s="3161"/>
      <c r="CC18" s="3161"/>
      <c r="CD18" s="3161"/>
      <c r="CE18" s="3161"/>
      <c r="CF18" s="3161"/>
      <c r="CG18" s="3161"/>
      <c r="CH18" s="3161"/>
      <c r="CI18" s="3161"/>
      <c r="CJ18" s="3161"/>
      <c r="CK18" s="3161"/>
      <c r="CL18" s="3161"/>
      <c r="CM18" s="3161"/>
      <c r="CN18" s="3161"/>
      <c r="CO18" s="3161"/>
      <c r="CP18" s="3161"/>
      <c r="CQ18" s="3161"/>
      <c r="CR18" s="3161"/>
      <c r="CS18" s="3161"/>
      <c r="CT18" s="3161"/>
      <c r="CU18" s="3161"/>
      <c r="CV18" s="3161"/>
      <c r="CW18" s="3161"/>
      <c r="CX18" s="3161"/>
      <c r="CY18" s="3161"/>
      <c r="CZ18" s="3161"/>
      <c r="DA18" s="3161"/>
      <c r="DB18" s="3161"/>
      <c r="DC18" s="3161"/>
      <c r="DD18" s="3161"/>
      <c r="DE18" s="3161"/>
      <c r="DF18" s="3161"/>
      <c r="DG18" s="3161"/>
      <c r="DH18" s="3161"/>
      <c r="DI18" s="3161"/>
      <c r="DJ18" s="3161"/>
      <c r="DK18" s="3161"/>
      <c r="DL18" s="3161"/>
      <c r="DM18" s="3161"/>
      <c r="DN18" s="3161"/>
      <c r="DO18" s="3161"/>
      <c r="DP18" s="3161"/>
      <c r="DQ18" s="3161"/>
      <c r="DR18" s="3161"/>
      <c r="DS18" s="3161"/>
      <c r="DT18" s="3161"/>
      <c r="DU18" s="3161"/>
      <c r="DV18" s="3161"/>
      <c r="DW18" s="3161"/>
      <c r="DX18" s="3161"/>
      <c r="DY18" s="3161"/>
      <c r="DZ18" s="3161"/>
      <c r="EA18" s="3161"/>
      <c r="EB18" s="3161"/>
      <c r="EC18" s="3161"/>
      <c r="ED18" s="3161"/>
      <c r="EE18" s="3161"/>
      <c r="EF18" s="3161"/>
      <c r="EG18" s="3161"/>
      <c r="EH18" s="3161"/>
      <c r="EI18" s="3161"/>
      <c r="EJ18" s="3161"/>
      <c r="EK18" s="3161"/>
      <c r="EL18" s="3161"/>
      <c r="EM18" s="3161"/>
      <c r="EN18" s="3161"/>
      <c r="EO18" s="3161"/>
      <c r="EP18" s="3161"/>
      <c r="EQ18" s="3161"/>
      <c r="ER18" s="3161"/>
      <c r="ES18" s="3161"/>
      <c r="ET18" s="3161"/>
      <c r="EU18" s="3161"/>
      <c r="EV18" s="3161"/>
      <c r="EW18" s="3161"/>
      <c r="EX18" s="3161"/>
      <c r="EY18" s="3161"/>
      <c r="EZ18" s="3161"/>
      <c r="FA18" s="3161"/>
      <c r="FB18" s="3161"/>
      <c r="FC18" s="3161"/>
      <c r="FD18" s="3161"/>
      <c r="FE18" s="3161"/>
      <c r="FF18" s="3161"/>
      <c r="FG18" s="3161"/>
      <c r="FH18" s="3161"/>
      <c r="FI18" s="3161"/>
      <c r="FJ18" s="3161"/>
      <c r="FK18" s="3161"/>
      <c r="FL18" s="3161"/>
      <c r="FM18" s="3161"/>
      <c r="FN18" s="3161"/>
      <c r="FO18" s="3161"/>
      <c r="FP18" s="3161"/>
      <c r="FQ18" s="3161"/>
      <c r="FR18" s="3161"/>
      <c r="FS18" s="3161"/>
      <c r="FT18" s="3161"/>
      <c r="FU18" s="3161"/>
      <c r="FV18" s="3161"/>
      <c r="FW18" s="3161"/>
      <c r="FX18" s="3161"/>
      <c r="FY18" s="3161"/>
      <c r="FZ18" s="3161"/>
      <c r="GA18" s="3161"/>
      <c r="GB18" s="3161"/>
      <c r="GC18" s="3161"/>
      <c r="GD18" s="3161"/>
      <c r="GE18" s="3161"/>
      <c r="GF18" s="3161"/>
      <c r="GG18" s="3161"/>
      <c r="GH18" s="3161"/>
      <c r="GI18" s="3161"/>
      <c r="GJ18" s="3161"/>
      <c r="GK18" s="3161"/>
      <c r="GL18" s="3161"/>
      <c r="GM18" s="3161"/>
      <c r="GN18" s="3161"/>
      <c r="GO18" s="3161"/>
      <c r="GP18" s="3161"/>
      <c r="GQ18" s="3161"/>
      <c r="GR18" s="3161"/>
      <c r="GS18" s="3161"/>
      <c r="GT18" s="3161"/>
      <c r="GU18" s="3161"/>
      <c r="GV18" s="3161"/>
      <c r="GW18" s="3161"/>
      <c r="GX18" s="3161"/>
      <c r="GY18" s="3161"/>
      <c r="GZ18" s="3161"/>
      <c r="HA18" s="3161"/>
      <c r="HB18" s="3161"/>
      <c r="HC18" s="3161"/>
      <c r="HD18" s="3161"/>
      <c r="HE18" s="3161"/>
      <c r="HF18" s="3161"/>
      <c r="HG18" s="3161"/>
      <c r="HH18" s="3161"/>
      <c r="HI18" s="3161"/>
      <c r="HJ18" s="3161"/>
      <c r="HK18" s="3161"/>
      <c r="HL18" s="3161"/>
      <c r="HM18" s="3161"/>
      <c r="HN18" s="3161"/>
      <c r="HO18" s="3161"/>
      <c r="HP18" s="3161"/>
      <c r="HQ18" s="3161"/>
      <c r="HR18" s="3161"/>
      <c r="HS18" s="3161"/>
      <c r="HT18" s="3161"/>
      <c r="HU18" s="3161"/>
      <c r="HV18" s="3161"/>
      <c r="HW18" s="3161"/>
      <c r="HX18" s="3161"/>
      <c r="HY18" s="3161"/>
      <c r="HZ18" s="3161"/>
      <c r="IA18" s="3161"/>
      <c r="IB18" s="3161"/>
      <c r="IC18" s="3161"/>
      <c r="ID18" s="3161"/>
      <c r="IE18" s="3161"/>
      <c r="IF18" s="3161"/>
      <c r="IG18" s="3161"/>
      <c r="IH18" s="3161"/>
      <c r="II18" s="3161"/>
      <c r="IJ18" s="3161"/>
      <c r="IK18" s="3161"/>
      <c r="IL18" s="3161"/>
      <c r="IM18" s="3161"/>
      <c r="IN18" s="3161"/>
      <c r="IO18" s="3161"/>
      <c r="IP18" s="3161"/>
      <c r="IQ18" s="3161"/>
      <c r="IR18" s="3161"/>
      <c r="IS18" s="3161"/>
      <c r="IT18" s="3161"/>
      <c r="IU18" s="3161"/>
      <c r="IV18" s="3161"/>
      <c r="IW18" s="3161"/>
      <c r="IX18" s="3161"/>
      <c r="IY18" s="3161"/>
      <c r="IZ18" s="3161"/>
      <c r="JA18" s="3161"/>
      <c r="JB18" s="3161"/>
      <c r="JC18" s="3161"/>
      <c r="JD18" s="3161"/>
      <c r="JE18" s="3161"/>
      <c r="JF18" s="3161"/>
      <c r="JG18" s="3161"/>
      <c r="JH18" s="3161"/>
      <c r="JI18" s="3161"/>
      <c r="JJ18" s="3161"/>
      <c r="JK18" s="3161"/>
      <c r="JL18" s="3161"/>
      <c r="JM18" s="3161"/>
      <c r="JN18" s="3161"/>
      <c r="JO18" s="3161"/>
      <c r="JP18" s="3161"/>
      <c r="JQ18" s="3161"/>
      <c r="JR18" s="3161"/>
      <c r="JS18" s="3161"/>
      <c r="JT18" s="3161"/>
      <c r="JU18" s="3161"/>
      <c r="JV18" s="3161"/>
      <c r="JW18" s="3161"/>
      <c r="JX18" s="3161"/>
      <c r="JY18" s="3161"/>
      <c r="JZ18" s="3161"/>
      <c r="KA18" s="3161"/>
      <c r="KB18" s="3161"/>
      <c r="KC18" s="3161"/>
      <c r="KD18" s="3161"/>
      <c r="KE18" s="3161"/>
      <c r="KF18" s="3161"/>
    </row>
    <row r="19" spans="1:292" customFormat="1" ht="26.1" hidden="1" customHeight="1" thickBot="1">
      <c r="A19" s="76" t="s">
        <v>67</v>
      </c>
      <c r="B19" s="1300">
        <v>45664</v>
      </c>
      <c r="C19" s="3189">
        <f t="shared" si="0"/>
        <v>2</v>
      </c>
      <c r="D19" s="3743">
        <v>10</v>
      </c>
      <c r="E19" s="3175" t="s">
        <v>1071</v>
      </c>
      <c r="F19" s="1194" t="s">
        <v>599</v>
      </c>
      <c r="G19" s="3168" t="s">
        <v>1046</v>
      </c>
      <c r="H19" s="3174" t="s">
        <v>1046</v>
      </c>
      <c r="I19" s="1427">
        <v>711</v>
      </c>
      <c r="J19" s="1001" t="s">
        <v>245</v>
      </c>
      <c r="K19" s="1995"/>
      <c r="L19" s="1001" t="s">
        <v>37</v>
      </c>
      <c r="M19" s="33"/>
      <c r="N19" s="33"/>
      <c r="O19" s="2464"/>
      <c r="P19" s="2464"/>
      <c r="Q19" s="2464"/>
      <c r="R19" s="2464"/>
      <c r="S19" s="71"/>
      <c r="T19" s="71"/>
      <c r="U19" s="71"/>
      <c r="V19" s="97"/>
      <c r="W19" s="1041"/>
      <c r="X19" s="49"/>
      <c r="Y19" s="48"/>
      <c r="Z19" s="3261"/>
    </row>
    <row r="20" spans="1:292" s="49" customFormat="1" ht="27" hidden="1" thickBot="1">
      <c r="A20" s="76" t="s">
        <v>67</v>
      </c>
      <c r="B20" s="1300">
        <v>45664</v>
      </c>
      <c r="C20" s="3189">
        <f t="shared" si="0"/>
        <v>2</v>
      </c>
      <c r="D20" s="3189">
        <v>11</v>
      </c>
      <c r="E20" s="1194" t="s">
        <v>169</v>
      </c>
      <c r="F20" s="1194" t="s">
        <v>296</v>
      </c>
      <c r="G20" s="979" t="s">
        <v>1046</v>
      </c>
      <c r="H20" s="979" t="s">
        <v>1046</v>
      </c>
      <c r="I20" s="923">
        <v>706</v>
      </c>
      <c r="J20" s="923" t="s">
        <v>1068</v>
      </c>
      <c r="K20" s="3183" t="s">
        <v>84</v>
      </c>
      <c r="L20" s="923"/>
      <c r="M20" s="71"/>
      <c r="N20" s="923" t="s">
        <v>37</v>
      </c>
      <c r="O20" s="923"/>
      <c r="P20" s="71"/>
      <c r="Q20" s="71"/>
      <c r="R20" s="71"/>
      <c r="S20" s="71"/>
      <c r="T20" s="71"/>
      <c r="U20" s="71"/>
      <c r="V20" s="71"/>
      <c r="W20" s="593" t="s">
        <v>1072</v>
      </c>
      <c r="Y20" s="48"/>
      <c r="Z20" s="3261"/>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row>
    <row r="21" spans="1:292" customFormat="1" ht="27" hidden="1" thickBot="1">
      <c r="A21" s="76" t="s">
        <v>67</v>
      </c>
      <c r="B21" s="1300">
        <v>45664</v>
      </c>
      <c r="C21" s="3189">
        <f t="shared" si="0"/>
        <v>2</v>
      </c>
      <c r="D21" s="3190">
        <v>12</v>
      </c>
      <c r="E21" s="4550" t="s">
        <v>1073</v>
      </c>
      <c r="F21" s="4550" t="s">
        <v>1074</v>
      </c>
      <c r="G21" s="3174" t="s">
        <v>1046</v>
      </c>
      <c r="H21" s="3174" t="s">
        <v>1046</v>
      </c>
      <c r="I21" s="1001">
        <v>705</v>
      </c>
      <c r="J21" s="1001" t="s">
        <v>1075</v>
      </c>
      <c r="K21" s="3171" t="s">
        <v>1076</v>
      </c>
      <c r="L21" s="1001"/>
      <c r="M21" s="33" t="s">
        <v>37</v>
      </c>
      <c r="N21" s="33"/>
      <c r="O21" s="33"/>
      <c r="P21" s="24" t="s">
        <v>231</v>
      </c>
      <c r="Q21" s="24" t="s">
        <v>1048</v>
      </c>
      <c r="R21" s="24" t="s">
        <v>160</v>
      </c>
      <c r="S21" s="33" t="s">
        <v>30</v>
      </c>
      <c r="T21" s="33"/>
      <c r="U21" s="33"/>
      <c r="V21" s="1594"/>
      <c r="W21" s="3201" t="s">
        <v>1077</v>
      </c>
      <c r="X21" s="49"/>
      <c r="Y21" s="48"/>
      <c r="Z21" s="3261"/>
    </row>
    <row r="22" spans="1:292" customFormat="1" ht="53.25" hidden="1" thickBot="1">
      <c r="A22" s="76" t="s">
        <v>1078</v>
      </c>
      <c r="B22" s="1300">
        <v>45664</v>
      </c>
      <c r="C22" s="3189">
        <f t="shared" si="0"/>
        <v>2</v>
      </c>
      <c r="D22" s="3190">
        <v>13</v>
      </c>
      <c r="E22" s="4806" t="s">
        <v>879</v>
      </c>
      <c r="F22" s="4806" t="s">
        <v>306</v>
      </c>
      <c r="G22" s="4881"/>
      <c r="H22" s="4906"/>
      <c r="I22" s="1001">
        <v>705</v>
      </c>
      <c r="J22" s="1001" t="s">
        <v>1079</v>
      </c>
      <c r="K22" s="957"/>
      <c r="L22" s="1001"/>
      <c r="M22" s="33"/>
      <c r="N22" s="33" t="s">
        <v>37</v>
      </c>
      <c r="O22" s="33"/>
      <c r="P22" s="33"/>
      <c r="Q22" s="33"/>
      <c r="R22" s="33"/>
      <c r="S22" s="33"/>
      <c r="T22" s="33"/>
      <c r="U22" s="33"/>
      <c r="V22" s="1594"/>
      <c r="W22" s="3201" t="s">
        <v>1080</v>
      </c>
      <c r="X22" s="49"/>
      <c r="Y22" s="48"/>
      <c r="Z22" s="3261"/>
    </row>
    <row r="23" spans="1:292" s="57" customFormat="1" ht="27" hidden="1" thickBot="1">
      <c r="A23" s="710" t="s">
        <v>1078</v>
      </c>
      <c r="B23" s="1312">
        <v>45664</v>
      </c>
      <c r="C23" s="3189">
        <f t="shared" si="0"/>
        <v>2</v>
      </c>
      <c r="D23" s="3190">
        <v>14</v>
      </c>
      <c r="E23" s="3131" t="s">
        <v>48</v>
      </c>
      <c r="F23" s="3131" t="s">
        <v>1056</v>
      </c>
      <c r="G23" s="1254" t="s">
        <v>1046</v>
      </c>
      <c r="H23" s="1254" t="s">
        <v>1046</v>
      </c>
      <c r="I23" s="957">
        <v>705</v>
      </c>
      <c r="J23" s="957" t="s">
        <v>1057</v>
      </c>
      <c r="K23" s="957"/>
      <c r="L23" s="957"/>
      <c r="M23" s="91"/>
      <c r="N23" s="91" t="s">
        <v>37</v>
      </c>
      <c r="O23" s="91"/>
      <c r="P23" s="91"/>
      <c r="Q23" s="91"/>
      <c r="R23" s="91"/>
      <c r="S23" s="91"/>
      <c r="T23" s="91"/>
      <c r="U23" s="91"/>
      <c r="V23" s="91"/>
      <c r="W23" s="3202" t="s">
        <v>1081</v>
      </c>
      <c r="X23" s="49"/>
      <c r="Y23" s="48"/>
      <c r="Z23" s="3261"/>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row>
    <row r="24" spans="1:292" s="111" customFormat="1" ht="27" hidden="1" thickBot="1">
      <c r="A24" s="162" t="s">
        <v>1078</v>
      </c>
      <c r="B24" s="1301">
        <v>45664</v>
      </c>
      <c r="C24" s="3189">
        <f t="shared" si="0"/>
        <v>2</v>
      </c>
      <c r="D24" s="3191"/>
      <c r="E24" s="4596" t="s">
        <v>1082</v>
      </c>
      <c r="F24" s="4596" t="s">
        <v>1083</v>
      </c>
      <c r="G24" s="3268" t="s">
        <v>1046</v>
      </c>
      <c r="H24" s="3268" t="s">
        <v>1046</v>
      </c>
      <c r="I24" s="1009">
        <v>705</v>
      </c>
      <c r="J24" s="1009" t="s">
        <v>1084</v>
      </c>
      <c r="K24" s="1017"/>
      <c r="L24" s="1009"/>
      <c r="M24" s="97"/>
      <c r="N24" s="97" t="s">
        <v>37</v>
      </c>
      <c r="O24" s="97"/>
      <c r="P24" s="97"/>
      <c r="Q24" s="97"/>
      <c r="R24" s="97"/>
      <c r="S24" s="97"/>
      <c r="T24" s="97"/>
      <c r="U24" s="97"/>
      <c r="V24" s="97"/>
      <c r="W24" s="1041" t="s">
        <v>1085</v>
      </c>
      <c r="X24" s="49"/>
      <c r="Y24" s="48"/>
      <c r="Z24" s="3261"/>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row>
    <row r="25" spans="1:292" s="49" customFormat="1" ht="27" hidden="1" thickBot="1">
      <c r="A25" s="76" t="s">
        <v>1078</v>
      </c>
      <c r="B25" s="2151">
        <v>45664</v>
      </c>
      <c r="C25" s="3189">
        <f t="shared" si="0"/>
        <v>2</v>
      </c>
      <c r="D25" s="3189"/>
      <c r="E25" s="995" t="s">
        <v>282</v>
      </c>
      <c r="F25" s="4846" t="s">
        <v>61</v>
      </c>
      <c r="G25" s="3181" t="s">
        <v>1046</v>
      </c>
      <c r="H25" s="3115" t="s">
        <v>1046</v>
      </c>
      <c r="I25" s="1569">
        <v>704</v>
      </c>
      <c r="J25" s="923" t="s">
        <v>1060</v>
      </c>
      <c r="K25" s="925"/>
      <c r="L25" s="1569" t="s">
        <v>37</v>
      </c>
      <c r="M25" s="71"/>
      <c r="N25" s="71"/>
      <c r="O25" s="71"/>
      <c r="P25" s="71"/>
      <c r="Q25" s="71"/>
      <c r="R25" s="71"/>
      <c r="S25" s="71"/>
      <c r="T25" s="71"/>
      <c r="U25" s="71"/>
      <c r="V25" s="71"/>
      <c r="W25" s="593"/>
      <c r="Y25" s="48"/>
      <c r="Z25" s="3261"/>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row>
    <row r="26" spans="1:292" customFormat="1" ht="27" hidden="1" thickBot="1">
      <c r="A26" s="76" t="s">
        <v>85</v>
      </c>
      <c r="B26" s="1300">
        <v>45665</v>
      </c>
      <c r="C26" s="3189">
        <f t="shared" si="0"/>
        <v>2</v>
      </c>
      <c r="D26" s="3743">
        <v>15</v>
      </c>
      <c r="E26" s="3291" t="s">
        <v>1086</v>
      </c>
      <c r="F26" s="3187" t="s">
        <v>1087</v>
      </c>
      <c r="G26" s="3168"/>
      <c r="H26" s="1434"/>
      <c r="I26" s="1427">
        <v>705</v>
      </c>
      <c r="J26" s="1001" t="s">
        <v>1088</v>
      </c>
      <c r="K26" s="1593"/>
      <c r="L26" s="1001" t="s">
        <v>37</v>
      </c>
      <c r="M26" s="33"/>
      <c r="N26" s="71"/>
      <c r="O26" s="71"/>
      <c r="P26" s="71"/>
      <c r="Q26" s="71"/>
      <c r="R26" s="71"/>
      <c r="S26" s="71"/>
      <c r="T26" s="71"/>
      <c r="U26" s="71"/>
      <c r="V26" s="97"/>
      <c r="W26" s="1041"/>
      <c r="X26" s="49"/>
      <c r="Y26" s="48"/>
      <c r="Z26" s="3261"/>
    </row>
    <row r="27" spans="1:292" s="49" customFormat="1" ht="27" hidden="1" thickBot="1">
      <c r="A27" s="76" t="s">
        <v>85</v>
      </c>
      <c r="B27" s="1300">
        <v>45665</v>
      </c>
      <c r="C27" s="3189">
        <f t="shared" si="0"/>
        <v>2</v>
      </c>
      <c r="D27" s="3189">
        <v>16</v>
      </c>
      <c r="E27" s="1194" t="s">
        <v>1089</v>
      </c>
      <c r="F27" s="1194" t="s">
        <v>306</v>
      </c>
      <c r="G27" s="3181" t="s">
        <v>1046</v>
      </c>
      <c r="H27" s="3115" t="s">
        <v>1046</v>
      </c>
      <c r="I27" s="1569">
        <v>705</v>
      </c>
      <c r="J27" s="923" t="s">
        <v>1090</v>
      </c>
      <c r="K27" s="3171" t="s">
        <v>84</v>
      </c>
      <c r="L27" s="1569" t="s">
        <v>37</v>
      </c>
      <c r="M27" s="71"/>
      <c r="N27" s="71"/>
      <c r="O27" s="71"/>
      <c r="P27" s="71"/>
      <c r="Q27" s="71"/>
      <c r="R27" s="71"/>
      <c r="S27" s="71"/>
      <c r="T27" s="71"/>
      <c r="U27" s="71"/>
      <c r="V27" s="71"/>
      <c r="W27" s="593"/>
      <c r="Y27" s="48"/>
      <c r="Z27" s="3261"/>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row>
    <row r="28" spans="1:292" s="49" customFormat="1" ht="27" hidden="1" thickBot="1">
      <c r="A28" s="76" t="s">
        <v>85</v>
      </c>
      <c r="B28" s="1300">
        <v>45665</v>
      </c>
      <c r="C28" s="3189">
        <f t="shared" si="0"/>
        <v>2</v>
      </c>
      <c r="D28" s="3190">
        <v>17</v>
      </c>
      <c r="E28" s="4550" t="s">
        <v>1073</v>
      </c>
      <c r="F28" s="4550" t="s">
        <v>1074</v>
      </c>
      <c r="G28" s="2421" t="s">
        <v>1046</v>
      </c>
      <c r="H28" s="3174" t="s">
        <v>1046</v>
      </c>
      <c r="I28" s="1427">
        <v>705</v>
      </c>
      <c r="J28" s="1001" t="s">
        <v>1075</v>
      </c>
      <c r="K28" s="3176" t="s">
        <v>1076</v>
      </c>
      <c r="L28" s="1427" t="s">
        <v>37</v>
      </c>
      <c r="M28" s="33"/>
      <c r="N28" s="33" t="s">
        <v>30</v>
      </c>
      <c r="O28" s="33"/>
      <c r="P28" s="33"/>
      <c r="Q28" s="33"/>
      <c r="R28" s="33"/>
      <c r="S28" s="33"/>
      <c r="T28" s="33"/>
      <c r="U28" s="33"/>
      <c r="V28" s="33"/>
      <c r="W28" s="1040"/>
      <c r="Y28" s="48"/>
      <c r="Z28" s="3261"/>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row>
    <row r="29" spans="1:292" s="49" customFormat="1" ht="27" hidden="1" thickBot="1">
      <c r="A29" s="76" t="s">
        <v>85</v>
      </c>
      <c r="B29" s="2151">
        <v>45665</v>
      </c>
      <c r="C29" s="3189">
        <f t="shared" si="0"/>
        <v>2</v>
      </c>
      <c r="D29" s="3189">
        <v>18</v>
      </c>
      <c r="E29" s="1194" t="s">
        <v>171</v>
      </c>
      <c r="F29" s="1194" t="s">
        <v>1091</v>
      </c>
      <c r="G29" s="3181" t="s">
        <v>1046</v>
      </c>
      <c r="H29" s="3185" t="s">
        <v>1046</v>
      </c>
      <c r="I29" s="1569">
        <v>707</v>
      </c>
      <c r="J29" s="923" t="s">
        <v>1092</v>
      </c>
      <c r="K29" s="925"/>
      <c r="L29" s="1569" t="s">
        <v>37</v>
      </c>
      <c r="M29" s="71"/>
      <c r="N29" s="71"/>
      <c r="O29" s="71"/>
      <c r="P29" s="71"/>
      <c r="Q29" s="71"/>
      <c r="R29" s="71"/>
      <c r="S29" s="71"/>
      <c r="T29" s="71"/>
      <c r="U29" s="71"/>
      <c r="V29" s="71"/>
      <c r="W29" s="593"/>
      <c r="Y29" s="48"/>
      <c r="Z29" s="3261"/>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row>
    <row r="30" spans="1:292" s="51" customFormat="1" ht="27" hidden="1" thickBot="1">
      <c r="A30" s="118" t="s">
        <v>85</v>
      </c>
      <c r="B30" s="2833">
        <v>45665</v>
      </c>
      <c r="C30" s="3190">
        <f t="shared" si="0"/>
        <v>2</v>
      </c>
      <c r="D30" s="3190">
        <v>19</v>
      </c>
      <c r="E30" s="1524" t="s">
        <v>80</v>
      </c>
      <c r="F30" s="1524" t="s">
        <v>339</v>
      </c>
      <c r="G30" s="3272" t="s">
        <v>1046</v>
      </c>
      <c r="H30" s="4716" t="s">
        <v>1046</v>
      </c>
      <c r="I30" s="1427">
        <v>707</v>
      </c>
      <c r="J30" s="1001" t="s">
        <v>1093</v>
      </c>
      <c r="K30" s="1995"/>
      <c r="L30" s="1001" t="s">
        <v>37</v>
      </c>
      <c r="M30" s="33"/>
      <c r="N30" s="33"/>
      <c r="O30" s="2464"/>
      <c r="P30" s="2464"/>
      <c r="Q30" s="3202"/>
      <c r="R30" s="91"/>
      <c r="S30" s="33"/>
      <c r="T30" s="33"/>
      <c r="U30" s="33"/>
      <c r="V30" s="33"/>
      <c r="W30" s="1040"/>
      <c r="X30" s="49"/>
      <c r="Y30" s="48"/>
      <c r="Z30" s="3261"/>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row>
    <row r="31" spans="1:292" s="57" customFormat="1" ht="27" hidden="1" thickBot="1">
      <c r="A31" s="1935" t="s">
        <v>85</v>
      </c>
      <c r="B31" s="1936">
        <v>45665</v>
      </c>
      <c r="C31" s="3195">
        <f t="shared" si="0"/>
        <v>2</v>
      </c>
      <c r="D31" s="3195">
        <v>20</v>
      </c>
      <c r="E31" s="1528" t="s">
        <v>1094</v>
      </c>
      <c r="F31" s="1571" t="s">
        <v>742</v>
      </c>
      <c r="G31" s="3193" t="s">
        <v>1046</v>
      </c>
      <c r="H31" s="2416" t="s">
        <v>1046</v>
      </c>
      <c r="I31" s="2276">
        <v>711</v>
      </c>
      <c r="J31" s="918" t="s">
        <v>1095</v>
      </c>
      <c r="K31" s="953"/>
      <c r="L31" s="918" t="s">
        <v>37</v>
      </c>
      <c r="M31" s="64"/>
      <c r="N31" s="64"/>
      <c r="O31" s="64"/>
      <c r="P31" s="64"/>
      <c r="Q31" s="64"/>
      <c r="R31" s="64"/>
      <c r="S31" s="64"/>
      <c r="T31" s="64"/>
      <c r="U31" s="64"/>
      <c r="V31" s="1515"/>
      <c r="W31" s="3203"/>
      <c r="X31" s="49"/>
      <c r="Y31" s="48"/>
      <c r="Z31" s="326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row>
    <row r="32" spans="1:292" s="111" customFormat="1" ht="105.75" hidden="1" thickBot="1">
      <c r="A32" s="1941" t="s">
        <v>85</v>
      </c>
      <c r="B32" s="1300">
        <v>45665</v>
      </c>
      <c r="C32" s="3189">
        <f t="shared" si="0"/>
        <v>2</v>
      </c>
      <c r="D32" s="3189">
        <v>21</v>
      </c>
      <c r="E32" s="4595" t="s">
        <v>258</v>
      </c>
      <c r="F32" s="4658" t="s">
        <v>1096</v>
      </c>
      <c r="G32" s="1336" t="s">
        <v>1046</v>
      </c>
      <c r="H32" s="4907" t="s">
        <v>1046</v>
      </c>
      <c r="I32" s="2277">
        <v>705</v>
      </c>
      <c r="J32" s="923" t="s">
        <v>1097</v>
      </c>
      <c r="K32" s="923"/>
      <c r="L32" s="923"/>
      <c r="M32" s="71" t="s">
        <v>37</v>
      </c>
      <c r="N32" s="71"/>
      <c r="O32" s="71"/>
      <c r="P32" s="21" t="s">
        <v>109</v>
      </c>
      <c r="Q32" s="21" t="s">
        <v>794</v>
      </c>
      <c r="R32" s="21" t="s">
        <v>160</v>
      </c>
      <c r="S32" s="71"/>
      <c r="T32" s="71"/>
      <c r="U32" s="71"/>
      <c r="V32" s="93"/>
      <c r="W32" s="593" t="s">
        <v>1098</v>
      </c>
      <c r="X32" s="49"/>
      <c r="Y32" s="48"/>
      <c r="Z32" s="3261"/>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row>
    <row r="33" spans="1:292" s="49" customFormat="1" ht="78" hidden="1" customHeight="1">
      <c r="A33" s="4495" t="s">
        <v>105</v>
      </c>
      <c r="B33" s="4355">
        <v>45665</v>
      </c>
      <c r="C33" s="3160">
        <f t="shared" si="0"/>
        <v>2</v>
      </c>
      <c r="D33" s="4354"/>
      <c r="E33" s="4459" t="s">
        <v>48</v>
      </c>
      <c r="F33" s="4630" t="s">
        <v>79</v>
      </c>
      <c r="G33" s="3364"/>
      <c r="H33" s="3876"/>
      <c r="I33" s="3377">
        <v>705</v>
      </c>
      <c r="J33" s="4162" t="s">
        <v>158</v>
      </c>
      <c r="K33" s="4464" t="s">
        <v>174</v>
      </c>
      <c r="L33" s="4347"/>
      <c r="M33" s="4347" t="s">
        <v>37</v>
      </c>
      <c r="N33" s="4347"/>
      <c r="O33" s="4347"/>
      <c r="P33" s="360" t="s">
        <v>0</v>
      </c>
      <c r="Q33" s="360" t="s">
        <v>187</v>
      </c>
      <c r="R33" s="360" t="s">
        <v>58</v>
      </c>
      <c r="S33" s="4347"/>
      <c r="T33" s="4347"/>
      <c r="U33" s="4347"/>
      <c r="V33" s="4779"/>
      <c r="W33" s="4789" t="s">
        <v>1099</v>
      </c>
      <c r="X33" s="4376"/>
      <c r="Y33" s="3156"/>
      <c r="Z33" s="3258"/>
      <c r="AA33" s="3161"/>
      <c r="AB33" s="3161"/>
      <c r="AC33" s="3161"/>
      <c r="AD33" s="3161"/>
      <c r="AE33" s="3161"/>
      <c r="AF33" s="3161"/>
      <c r="AG33" s="3161"/>
      <c r="AH33" s="3161"/>
      <c r="AI33" s="3161"/>
      <c r="AJ33" s="3161"/>
      <c r="AK33" s="3161"/>
      <c r="AL33" s="3161"/>
      <c r="AM33" s="3161"/>
      <c r="AN33" s="3161"/>
      <c r="AO33" s="3161"/>
      <c r="AP33" s="3161"/>
      <c r="AQ33" s="3161"/>
      <c r="AR33" s="3161"/>
      <c r="AS33" s="3161"/>
      <c r="AT33" s="3161"/>
      <c r="AU33" s="3161"/>
      <c r="AV33" s="3161"/>
      <c r="AW33" s="3161"/>
      <c r="AX33" s="3161"/>
      <c r="AY33" s="3161"/>
      <c r="AZ33" s="3161"/>
      <c r="BA33" s="3161"/>
      <c r="BB33" s="3161"/>
      <c r="BC33" s="3161"/>
      <c r="BD33" s="3161"/>
      <c r="BE33" s="3161"/>
      <c r="BF33" s="3161"/>
      <c r="BG33" s="3161"/>
      <c r="BH33" s="3161"/>
      <c r="BI33" s="3161"/>
      <c r="BJ33" s="3161"/>
      <c r="BK33" s="3161"/>
      <c r="BL33" s="3161"/>
      <c r="BM33" s="3161"/>
      <c r="BN33" s="3161"/>
      <c r="BO33" s="3161"/>
      <c r="BP33" s="3161"/>
      <c r="BQ33" s="3161"/>
      <c r="BR33" s="3161"/>
      <c r="BS33" s="3161"/>
      <c r="BT33" s="3161"/>
      <c r="BU33" s="3161"/>
      <c r="BV33" s="3161"/>
      <c r="BW33" s="3161"/>
      <c r="BX33" s="3161"/>
      <c r="BY33" s="3161"/>
      <c r="BZ33" s="3161"/>
      <c r="CA33" s="3161"/>
      <c r="CB33" s="3161"/>
      <c r="CC33" s="3161"/>
      <c r="CD33" s="3161"/>
      <c r="CE33" s="3161"/>
      <c r="CF33" s="3161"/>
      <c r="CG33" s="3161"/>
      <c r="CH33" s="3161"/>
      <c r="CI33" s="3161"/>
      <c r="CJ33" s="3161"/>
      <c r="CK33" s="3161"/>
      <c r="CL33" s="3161"/>
      <c r="CM33" s="3161"/>
      <c r="CN33" s="3161"/>
      <c r="CO33" s="3161"/>
      <c r="CP33" s="3161"/>
      <c r="CQ33" s="3161"/>
      <c r="CR33" s="3161"/>
      <c r="CS33" s="3161"/>
      <c r="CT33" s="3161"/>
      <c r="CU33" s="3161"/>
      <c r="CV33" s="3161"/>
      <c r="CW33" s="3161"/>
      <c r="CX33" s="3161"/>
      <c r="CY33" s="3161"/>
      <c r="CZ33" s="3161"/>
      <c r="DA33" s="3161"/>
      <c r="DB33" s="3161"/>
      <c r="DC33" s="3161"/>
      <c r="DD33" s="3161"/>
      <c r="DE33" s="3161"/>
      <c r="DF33" s="3161"/>
      <c r="DG33" s="3161"/>
      <c r="DH33" s="3161"/>
      <c r="DI33" s="3161"/>
      <c r="DJ33" s="3161"/>
      <c r="DK33" s="3161"/>
      <c r="DL33" s="3161"/>
      <c r="DM33" s="3161"/>
      <c r="DN33" s="3161"/>
      <c r="DO33" s="3161"/>
      <c r="DP33" s="3161"/>
      <c r="DQ33" s="3161"/>
      <c r="DR33" s="3161"/>
      <c r="DS33" s="3161"/>
      <c r="DT33" s="3161"/>
      <c r="DU33" s="3161"/>
      <c r="DV33" s="3161"/>
      <c r="DW33" s="3161"/>
      <c r="DX33" s="3161"/>
      <c r="DY33" s="3161"/>
      <c r="DZ33" s="3161"/>
      <c r="EA33" s="3161"/>
      <c r="EB33" s="3161"/>
      <c r="EC33" s="3161"/>
      <c r="ED33" s="3161"/>
      <c r="EE33" s="3161"/>
      <c r="EF33" s="3161"/>
      <c r="EG33" s="3161"/>
      <c r="EH33" s="3161"/>
      <c r="EI33" s="3161"/>
      <c r="EJ33" s="3161"/>
      <c r="EK33" s="3161"/>
      <c r="EL33" s="3161"/>
      <c r="EM33" s="3161"/>
      <c r="EN33" s="3161"/>
      <c r="EO33" s="3161"/>
      <c r="EP33" s="3161"/>
      <c r="EQ33" s="3161"/>
      <c r="ER33" s="3161"/>
      <c r="ES33" s="3161"/>
      <c r="ET33" s="3161"/>
      <c r="EU33" s="3161"/>
      <c r="EV33" s="3161"/>
      <c r="EW33" s="3161"/>
      <c r="EX33" s="3161"/>
      <c r="EY33" s="3161"/>
      <c r="EZ33" s="3161"/>
      <c r="FA33" s="3161"/>
      <c r="FB33" s="3161"/>
      <c r="FC33" s="3161"/>
      <c r="FD33" s="3161"/>
      <c r="FE33" s="3161"/>
      <c r="FF33" s="3161"/>
      <c r="FG33" s="3161"/>
      <c r="FH33" s="3161"/>
      <c r="FI33" s="3161"/>
      <c r="FJ33" s="3161"/>
      <c r="FK33" s="3161"/>
      <c r="FL33" s="3161"/>
      <c r="FM33" s="3161"/>
      <c r="FN33" s="3161"/>
      <c r="FO33" s="3161"/>
      <c r="FP33" s="3161"/>
      <c r="FQ33" s="3161"/>
      <c r="FR33" s="3161"/>
      <c r="FS33" s="3161"/>
      <c r="FT33" s="3161"/>
      <c r="FU33" s="3161"/>
      <c r="FV33" s="3161"/>
      <c r="FW33" s="3161"/>
      <c r="FX33" s="3161"/>
      <c r="FY33" s="3161"/>
      <c r="FZ33" s="3161"/>
      <c r="GA33" s="3161"/>
      <c r="GB33" s="3161"/>
      <c r="GC33" s="3161"/>
      <c r="GD33" s="3161"/>
      <c r="GE33" s="3161"/>
      <c r="GF33" s="3161"/>
      <c r="GG33" s="3161"/>
      <c r="GH33" s="3161"/>
      <c r="GI33" s="3161"/>
      <c r="GJ33" s="3161"/>
      <c r="GK33" s="3161"/>
      <c r="GL33" s="3161"/>
      <c r="GM33" s="3161"/>
      <c r="GN33" s="3161"/>
      <c r="GO33" s="3161"/>
      <c r="GP33" s="3161"/>
      <c r="GQ33" s="3161"/>
      <c r="GR33" s="3161"/>
      <c r="GS33" s="3161"/>
      <c r="GT33" s="3161"/>
      <c r="GU33" s="3161"/>
      <c r="GV33" s="3161"/>
      <c r="GW33" s="3161"/>
      <c r="GX33" s="3161"/>
      <c r="GY33" s="3161"/>
      <c r="GZ33" s="3161"/>
      <c r="HA33" s="3161"/>
      <c r="HB33" s="3161"/>
      <c r="HC33" s="3161"/>
      <c r="HD33" s="3161"/>
      <c r="HE33" s="3161"/>
      <c r="HF33" s="3161"/>
      <c r="HG33" s="3161"/>
      <c r="HH33" s="3161"/>
      <c r="HI33" s="3161"/>
      <c r="HJ33" s="3161"/>
      <c r="HK33" s="3161"/>
      <c r="HL33" s="3161"/>
      <c r="HM33" s="3161"/>
      <c r="HN33" s="3161"/>
      <c r="HO33" s="3161"/>
      <c r="HP33" s="3161"/>
      <c r="HQ33" s="3161"/>
      <c r="HR33" s="3161"/>
      <c r="HS33" s="3161"/>
      <c r="HT33" s="3161"/>
      <c r="HU33" s="3161"/>
      <c r="HV33" s="3161"/>
      <c r="HW33" s="3161"/>
      <c r="HX33" s="3161"/>
      <c r="HY33" s="3161"/>
      <c r="HZ33" s="3161"/>
      <c r="IA33" s="3161"/>
      <c r="IB33" s="3161"/>
      <c r="IC33" s="3161"/>
      <c r="ID33" s="3161"/>
      <c r="IE33" s="3161"/>
      <c r="IF33" s="3161"/>
      <c r="IG33" s="3161"/>
      <c r="IH33" s="3161"/>
      <c r="II33" s="3161"/>
      <c r="IJ33" s="3161"/>
      <c r="IK33" s="3161"/>
      <c r="IL33" s="3161"/>
      <c r="IM33" s="3161"/>
      <c r="IN33" s="3161"/>
      <c r="IO33" s="3161"/>
      <c r="IP33" s="3161"/>
      <c r="IQ33" s="3161"/>
      <c r="IR33" s="3161"/>
      <c r="IS33" s="3161"/>
      <c r="IT33" s="3161"/>
      <c r="IU33" s="3161"/>
      <c r="IV33" s="3161"/>
      <c r="IW33" s="3161"/>
      <c r="IX33" s="3161"/>
      <c r="IY33" s="3161"/>
      <c r="IZ33" s="3161"/>
      <c r="JA33" s="3161"/>
      <c r="JB33" s="3161"/>
      <c r="JC33" s="3161"/>
      <c r="JD33" s="3161"/>
      <c r="JE33" s="3161"/>
      <c r="JF33" s="3161"/>
      <c r="JG33" s="3161"/>
      <c r="JH33" s="3161"/>
      <c r="JI33" s="3161"/>
      <c r="JJ33" s="3161"/>
      <c r="JK33" s="3161"/>
      <c r="JL33" s="3161"/>
      <c r="JM33" s="3161"/>
      <c r="JN33" s="3161"/>
      <c r="JO33" s="3161"/>
      <c r="JP33" s="3161"/>
      <c r="JQ33" s="3161"/>
      <c r="JR33" s="3161"/>
      <c r="JS33" s="3161"/>
      <c r="JT33" s="3161"/>
      <c r="JU33" s="3161"/>
      <c r="JV33" s="3161"/>
      <c r="JW33" s="3161"/>
      <c r="JX33" s="3161"/>
      <c r="JY33" s="3161"/>
      <c r="JZ33" s="3161"/>
      <c r="KA33" s="3161"/>
      <c r="KB33" s="3161"/>
      <c r="KC33" s="3161"/>
      <c r="KD33" s="3161"/>
      <c r="KE33" s="3161"/>
      <c r="KF33" s="3161"/>
    </row>
    <row r="34" spans="1:292" s="51" customFormat="1" ht="129.94999999999999" hidden="1" customHeight="1">
      <c r="A34" s="1941" t="s">
        <v>105</v>
      </c>
      <c r="B34" s="1300">
        <v>45666</v>
      </c>
      <c r="C34" s="3189">
        <f t="shared" si="0"/>
        <v>2</v>
      </c>
      <c r="D34" s="3189"/>
      <c r="E34" s="3177" t="s">
        <v>204</v>
      </c>
      <c r="F34" s="4628" t="s">
        <v>1051</v>
      </c>
      <c r="G34" s="2412" t="s">
        <v>1046</v>
      </c>
      <c r="H34" s="2418" t="s">
        <v>1046</v>
      </c>
      <c r="I34" s="2277">
        <v>705</v>
      </c>
      <c r="J34" s="923" t="s">
        <v>1075</v>
      </c>
      <c r="K34" s="1520"/>
      <c r="L34" s="923"/>
      <c r="M34" s="71" t="s">
        <v>37</v>
      </c>
      <c r="N34" s="71"/>
      <c r="O34" s="71"/>
      <c r="P34" s="21" t="s">
        <v>109</v>
      </c>
      <c r="Q34" s="21" t="s">
        <v>300</v>
      </c>
      <c r="R34" s="21" t="s">
        <v>160</v>
      </c>
      <c r="S34" s="71"/>
      <c r="T34" s="71"/>
      <c r="U34" s="71"/>
      <c r="V34" s="93"/>
      <c r="W34" s="593" t="s">
        <v>1100</v>
      </c>
      <c r="X34" s="49"/>
      <c r="Y34" s="48"/>
      <c r="Z34" s="3261"/>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row>
    <row r="35" spans="1:292" s="51" customFormat="1" ht="123.75" hidden="1" customHeight="1">
      <c r="A35" s="1941" t="s">
        <v>105</v>
      </c>
      <c r="B35" s="1300">
        <v>45666</v>
      </c>
      <c r="C35" s="3189">
        <f t="shared" si="0"/>
        <v>2</v>
      </c>
      <c r="D35" s="3189"/>
      <c r="E35" s="3187" t="s">
        <v>1101</v>
      </c>
      <c r="F35" s="3196" t="s">
        <v>1102</v>
      </c>
      <c r="G35" s="3106"/>
      <c r="H35" s="1413"/>
      <c r="I35" s="2277">
        <v>705</v>
      </c>
      <c r="J35" s="923" t="s">
        <v>1088</v>
      </c>
      <c r="K35" s="3183" t="s">
        <v>1076</v>
      </c>
      <c r="L35" s="923" t="s">
        <v>37</v>
      </c>
      <c r="M35" s="71"/>
      <c r="N35" s="71"/>
      <c r="O35" s="71"/>
      <c r="P35" s="71"/>
      <c r="Q35" s="71"/>
      <c r="R35" s="71"/>
      <c r="S35" s="71"/>
      <c r="T35" s="71"/>
      <c r="U35" s="71"/>
      <c r="V35" s="93"/>
      <c r="W35" s="593"/>
      <c r="X35" s="49"/>
      <c r="Y35" s="48"/>
      <c r="Z35" s="3261"/>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row>
    <row r="36" spans="1:292" s="51" customFormat="1" ht="79.5" hidden="1" thickBot="1">
      <c r="A36" s="1941" t="s">
        <v>105</v>
      </c>
      <c r="B36" s="1300">
        <v>45666</v>
      </c>
      <c r="C36" s="3189">
        <f t="shared" si="0"/>
        <v>2</v>
      </c>
      <c r="D36" s="3189">
        <v>22</v>
      </c>
      <c r="E36" s="1650" t="s">
        <v>89</v>
      </c>
      <c r="F36" s="1651" t="s">
        <v>183</v>
      </c>
      <c r="G36" s="3106" t="s">
        <v>1046</v>
      </c>
      <c r="H36" s="2418" t="s">
        <v>1046</v>
      </c>
      <c r="I36" s="3480">
        <v>712</v>
      </c>
      <c r="J36" s="923" t="s">
        <v>1103</v>
      </c>
      <c r="K36" s="923"/>
      <c r="L36" s="923"/>
      <c r="M36" s="71" t="s">
        <v>37</v>
      </c>
      <c r="N36" s="71"/>
      <c r="O36" s="97"/>
      <c r="P36" s="34" t="s">
        <v>0</v>
      </c>
      <c r="Q36" s="34" t="s">
        <v>31</v>
      </c>
      <c r="R36" s="34" t="s">
        <v>38</v>
      </c>
      <c r="S36" s="71"/>
      <c r="T36" s="71"/>
      <c r="U36" s="71"/>
      <c r="V36" s="93"/>
      <c r="W36" s="593" t="s">
        <v>1104</v>
      </c>
      <c r="X36" s="49"/>
      <c r="Y36" s="48" t="s">
        <v>1105</v>
      </c>
      <c r="Z36" s="3261"/>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row>
    <row r="37" spans="1:292" s="51" customFormat="1" ht="132" hidden="1" thickBot="1">
      <c r="A37" s="1941" t="s">
        <v>105</v>
      </c>
      <c r="B37" s="1300">
        <v>45666</v>
      </c>
      <c r="C37" s="3189">
        <f t="shared" si="0"/>
        <v>2</v>
      </c>
      <c r="D37" s="3189">
        <v>23</v>
      </c>
      <c r="E37" s="1194" t="s">
        <v>296</v>
      </c>
      <c r="F37" s="1557" t="s">
        <v>285</v>
      </c>
      <c r="G37" s="2685" t="s">
        <v>1046</v>
      </c>
      <c r="H37" s="2003"/>
      <c r="I37" s="2277">
        <v>706</v>
      </c>
      <c r="J37" s="923" t="s">
        <v>1106</v>
      </c>
      <c r="K37" s="923"/>
      <c r="L37" s="923"/>
      <c r="M37" s="71" t="s">
        <v>37</v>
      </c>
      <c r="N37" s="71"/>
      <c r="O37" s="71"/>
      <c r="P37" s="34" t="s">
        <v>109</v>
      </c>
      <c r="Q37" s="34" t="s">
        <v>213</v>
      </c>
      <c r="R37" s="34" t="s">
        <v>1107</v>
      </c>
      <c r="S37" s="71"/>
      <c r="T37" s="71"/>
      <c r="U37" s="71"/>
      <c r="V37" s="93"/>
      <c r="W37" s="593" t="s">
        <v>1108</v>
      </c>
      <c r="X37" s="49"/>
      <c r="Y37" s="48"/>
      <c r="Z37" s="3261"/>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row>
    <row r="38" spans="1:292" s="57" customFormat="1" ht="105.75" hidden="1" thickBot="1">
      <c r="A38" s="1938" t="s">
        <v>105</v>
      </c>
      <c r="B38" s="1312">
        <v>45666</v>
      </c>
      <c r="C38" s="3197">
        <f t="shared" ref="C38:C69" si="1">_xlfn.ISOWEEKNUM(B38)</f>
        <v>2</v>
      </c>
      <c r="D38" s="3197">
        <v>24</v>
      </c>
      <c r="E38" s="1514" t="s">
        <v>169</v>
      </c>
      <c r="F38" s="1552" t="s">
        <v>235</v>
      </c>
      <c r="G38" s="4673" t="s">
        <v>1046</v>
      </c>
      <c r="H38" s="2000" t="s">
        <v>1046</v>
      </c>
      <c r="I38" s="923">
        <v>705</v>
      </c>
      <c r="J38" s="957" t="s">
        <v>406</v>
      </c>
      <c r="K38" s="957"/>
      <c r="L38" s="957"/>
      <c r="M38" s="91" t="s">
        <v>37</v>
      </c>
      <c r="N38" s="91"/>
      <c r="O38" s="91"/>
      <c r="P38" s="35" t="s">
        <v>109</v>
      </c>
      <c r="Q38" s="35" t="s">
        <v>1109</v>
      </c>
      <c r="R38" s="35" t="s">
        <v>103</v>
      </c>
      <c r="S38" s="91"/>
      <c r="T38" s="91"/>
      <c r="U38" s="91"/>
      <c r="V38" s="116"/>
      <c r="W38" s="3202" t="s">
        <v>1110</v>
      </c>
      <c r="X38" s="49"/>
      <c r="Y38" s="48"/>
      <c r="Z38" s="3261"/>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row>
    <row r="39" spans="1:292" s="111" customFormat="1" ht="53.25" hidden="1" thickBot="1">
      <c r="A39" s="162" t="s">
        <v>105</v>
      </c>
      <c r="B39" s="1301">
        <v>45666</v>
      </c>
      <c r="C39" s="3191">
        <f t="shared" si="1"/>
        <v>2</v>
      </c>
      <c r="D39" s="3191">
        <v>25</v>
      </c>
      <c r="E39" s="1185" t="s">
        <v>43</v>
      </c>
      <c r="F39" s="1185" t="s">
        <v>983</v>
      </c>
      <c r="G39" s="2385" t="s">
        <v>1046</v>
      </c>
      <c r="H39" s="3268" t="s">
        <v>1046</v>
      </c>
      <c r="I39" s="1009">
        <v>703</v>
      </c>
      <c r="J39" s="1009" t="s">
        <v>1111</v>
      </c>
      <c r="K39" s="1593"/>
      <c r="L39" s="1009"/>
      <c r="M39" s="97" t="s">
        <v>37</v>
      </c>
      <c r="N39" s="97"/>
      <c r="O39" s="1594"/>
      <c r="P39" s="4767" t="s">
        <v>109</v>
      </c>
      <c r="Q39" s="4767" t="s">
        <v>300</v>
      </c>
      <c r="R39" s="4767" t="s">
        <v>46</v>
      </c>
      <c r="S39" s="97"/>
      <c r="T39" s="97"/>
      <c r="U39" s="97"/>
      <c r="V39" s="97"/>
      <c r="W39" s="1041" t="s">
        <v>1112</v>
      </c>
      <c r="X39" s="49"/>
      <c r="Y39" s="48"/>
      <c r="Z39" s="3261"/>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row>
    <row r="40" spans="1:292" s="49" customFormat="1" ht="53.25" hidden="1" thickBot="1">
      <c r="A40" s="76" t="s">
        <v>105</v>
      </c>
      <c r="B40" s="1300">
        <v>45666</v>
      </c>
      <c r="C40" s="3189">
        <f t="shared" si="1"/>
        <v>2</v>
      </c>
      <c r="D40" s="3189"/>
      <c r="E40" s="1194" t="s">
        <v>983</v>
      </c>
      <c r="F40" s="1194" t="s">
        <v>43</v>
      </c>
      <c r="G40" s="979" t="s">
        <v>1046</v>
      </c>
      <c r="H40" s="979" t="s">
        <v>1046</v>
      </c>
      <c r="I40" s="923">
        <v>703</v>
      </c>
      <c r="J40" s="923" t="s">
        <v>1111</v>
      </c>
      <c r="K40" s="1001"/>
      <c r="L40" s="923"/>
      <c r="M40" s="33"/>
      <c r="N40" s="593" t="s">
        <v>37</v>
      </c>
      <c r="O40" s="1040"/>
      <c r="P40" s="35" t="s">
        <v>109</v>
      </c>
      <c r="Q40" s="35" t="s">
        <v>300</v>
      </c>
      <c r="R40" s="35" t="s">
        <v>46</v>
      </c>
      <c r="S40" s="3154"/>
      <c r="T40" s="71"/>
      <c r="U40" s="71"/>
      <c r="V40" s="71"/>
      <c r="W40" s="593" t="s">
        <v>1112</v>
      </c>
      <c r="Y40" s="48"/>
      <c r="Z40" s="3261"/>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row>
    <row r="41" spans="1:292" s="49" customFormat="1" ht="79.5" hidden="1" thickBot="1">
      <c r="A41" s="76" t="s">
        <v>105</v>
      </c>
      <c r="B41" s="1300">
        <v>45666</v>
      </c>
      <c r="C41" s="3189">
        <f t="shared" si="1"/>
        <v>2</v>
      </c>
      <c r="D41" s="3189">
        <v>26</v>
      </c>
      <c r="E41" s="4557" t="s">
        <v>392</v>
      </c>
      <c r="F41" s="4557" t="s">
        <v>263</v>
      </c>
      <c r="G41" s="3168" t="s">
        <v>1046</v>
      </c>
      <c r="H41" s="3115" t="s">
        <v>1046</v>
      </c>
      <c r="I41" s="3443">
        <v>712</v>
      </c>
      <c r="J41" s="923" t="s">
        <v>1113</v>
      </c>
      <c r="K41" s="923"/>
      <c r="L41" s="923"/>
      <c r="M41" s="71" t="s">
        <v>37</v>
      </c>
      <c r="N41" s="593"/>
      <c r="O41" s="593"/>
      <c r="P41" s="21" t="s">
        <v>0</v>
      </c>
      <c r="Q41" s="21" t="s">
        <v>31</v>
      </c>
      <c r="R41" s="21" t="s">
        <v>1114</v>
      </c>
      <c r="S41" s="3154"/>
      <c r="T41" s="71"/>
      <c r="U41" s="71"/>
      <c r="V41" s="71"/>
      <c r="W41" s="593" t="s">
        <v>1115</v>
      </c>
      <c r="Y41" s="48"/>
      <c r="Z41" s="326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row>
    <row r="42" spans="1:292" s="49" customFormat="1" ht="27" hidden="1" thickBot="1">
      <c r="A42" s="118" t="s">
        <v>132</v>
      </c>
      <c r="B42" s="1390">
        <v>45667</v>
      </c>
      <c r="C42" s="3189">
        <f t="shared" si="1"/>
        <v>2</v>
      </c>
      <c r="D42" s="3190">
        <v>27</v>
      </c>
      <c r="E42" s="3287" t="s">
        <v>1116</v>
      </c>
      <c r="F42" s="3287" t="s">
        <v>1117</v>
      </c>
      <c r="G42" s="3168"/>
      <c r="H42" s="1426"/>
      <c r="I42" s="923">
        <v>705</v>
      </c>
      <c r="J42" s="1001" t="s">
        <v>1088</v>
      </c>
      <c r="K42" s="3171" t="s">
        <v>1076</v>
      </c>
      <c r="L42" s="1001" t="s">
        <v>30</v>
      </c>
      <c r="M42" s="33"/>
      <c r="N42" s="1040"/>
      <c r="O42" s="1040"/>
      <c r="P42" s="91"/>
      <c r="Q42" s="91"/>
      <c r="R42" s="91"/>
      <c r="S42" s="3200"/>
      <c r="T42" s="33"/>
      <c r="U42" s="33"/>
      <c r="V42" s="33"/>
      <c r="W42" s="1040"/>
      <c r="Y42" s="48"/>
      <c r="Z42" s="3261"/>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row>
    <row r="43" spans="1:292" s="49" customFormat="1" ht="53.25" hidden="1" thickBot="1">
      <c r="A43" s="76" t="s">
        <v>132</v>
      </c>
      <c r="B43" s="1300">
        <v>45667</v>
      </c>
      <c r="C43" s="3189">
        <f t="shared" si="1"/>
        <v>2</v>
      </c>
      <c r="D43" s="3189"/>
      <c r="E43" s="3187" t="s">
        <v>204</v>
      </c>
      <c r="F43" s="3187" t="s">
        <v>1118</v>
      </c>
      <c r="G43" s="979" t="s">
        <v>1046</v>
      </c>
      <c r="H43" s="979" t="s">
        <v>1046</v>
      </c>
      <c r="I43" s="923">
        <v>711</v>
      </c>
      <c r="J43" s="923" t="s">
        <v>1088</v>
      </c>
      <c r="K43" s="3183" t="s">
        <v>1119</v>
      </c>
      <c r="L43" s="71"/>
      <c r="M43" s="71" t="s">
        <v>30</v>
      </c>
      <c r="N43" s="593"/>
      <c r="O43" s="593"/>
      <c r="P43" s="21" t="s">
        <v>0</v>
      </c>
      <c r="Q43" s="21" t="s">
        <v>526</v>
      </c>
      <c r="R43" s="21" t="s">
        <v>1120</v>
      </c>
      <c r="S43" s="3154"/>
      <c r="T43" s="71"/>
      <c r="U43" s="71"/>
      <c r="V43" s="71"/>
      <c r="W43" s="593" t="s">
        <v>1121</v>
      </c>
      <c r="Y43" s="48" t="s">
        <v>1122</v>
      </c>
      <c r="Z43" s="3261"/>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row>
    <row r="44" spans="1:292" s="49" customFormat="1" ht="29.25" hidden="1" thickBot="1">
      <c r="A44" s="76" t="s">
        <v>132</v>
      </c>
      <c r="B44" s="1300">
        <v>45667</v>
      </c>
      <c r="C44" s="3189">
        <f t="shared" si="1"/>
        <v>2</v>
      </c>
      <c r="D44" s="3189"/>
      <c r="E44" s="1650" t="s">
        <v>169</v>
      </c>
      <c r="F44" s="1650" t="s">
        <v>1123</v>
      </c>
      <c r="G44" s="3109" t="s">
        <v>1046</v>
      </c>
      <c r="H44" s="927" t="s">
        <v>1046</v>
      </c>
      <c r="I44" s="3443">
        <v>712</v>
      </c>
      <c r="J44" s="1001" t="s">
        <v>1124</v>
      </c>
      <c r="K44" s="923"/>
      <c r="L44" s="923" t="s">
        <v>30</v>
      </c>
      <c r="M44" s="71"/>
      <c r="N44" s="593"/>
      <c r="O44" s="593"/>
      <c r="P44" s="71"/>
      <c r="Q44" s="71"/>
      <c r="R44" s="71"/>
      <c r="S44" s="3154"/>
      <c r="T44" s="71"/>
      <c r="U44" s="71"/>
      <c r="V44" s="71"/>
      <c r="W44" s="593"/>
      <c r="Y44" s="3204" t="s">
        <v>1125</v>
      </c>
      <c r="Z44" s="3261"/>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row>
    <row r="45" spans="1:292" s="49" customFormat="1" ht="29.25" hidden="1" thickBot="1">
      <c r="A45" s="76" t="s">
        <v>132</v>
      </c>
      <c r="B45" s="1300">
        <v>45667</v>
      </c>
      <c r="C45" s="3189">
        <f t="shared" si="1"/>
        <v>2</v>
      </c>
      <c r="D45" s="3189"/>
      <c r="E45" s="4557" t="s">
        <v>148</v>
      </c>
      <c r="F45" s="4557" t="s">
        <v>466</v>
      </c>
      <c r="G45" s="3109" t="s">
        <v>1046</v>
      </c>
      <c r="H45" s="3115" t="s">
        <v>1046</v>
      </c>
      <c r="I45" s="3443">
        <v>712</v>
      </c>
      <c r="J45" s="1001" t="s">
        <v>1113</v>
      </c>
      <c r="K45" s="923"/>
      <c r="L45" s="923"/>
      <c r="M45" s="71" t="s">
        <v>30</v>
      </c>
      <c r="N45" s="593"/>
      <c r="O45" s="593"/>
      <c r="P45" s="21" t="s">
        <v>0</v>
      </c>
      <c r="Q45" s="21" t="s">
        <v>31</v>
      </c>
      <c r="R45" s="21" t="s">
        <v>1114</v>
      </c>
      <c r="S45" s="3154"/>
      <c r="T45" s="71"/>
      <c r="U45" s="71"/>
      <c r="V45" s="71"/>
      <c r="W45" s="593" t="s">
        <v>1126</v>
      </c>
      <c r="Y45" s="48"/>
      <c r="Z45" s="3261"/>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row>
    <row r="46" spans="1:292" s="49" customFormat="1" ht="29.25" hidden="1" thickBot="1">
      <c r="A46" s="76" t="s">
        <v>132</v>
      </c>
      <c r="B46" s="1300">
        <v>45667</v>
      </c>
      <c r="C46" s="3189">
        <f t="shared" si="1"/>
        <v>2</v>
      </c>
      <c r="D46" s="3189">
        <v>28</v>
      </c>
      <c r="E46" s="1194" t="s">
        <v>89</v>
      </c>
      <c r="F46" s="1194" t="s">
        <v>1127</v>
      </c>
      <c r="G46" s="927" t="s">
        <v>1046</v>
      </c>
      <c r="H46" s="927" t="s">
        <v>1046</v>
      </c>
      <c r="I46" s="3443">
        <v>712</v>
      </c>
      <c r="J46" s="923" t="s">
        <v>1128</v>
      </c>
      <c r="K46" s="3183" t="s">
        <v>29</v>
      </c>
      <c r="L46" s="923"/>
      <c r="M46" s="71" t="s">
        <v>30</v>
      </c>
      <c r="N46" s="593"/>
      <c r="O46" s="593"/>
      <c r="P46" s="21" t="s">
        <v>0</v>
      </c>
      <c r="Q46" s="21" t="s">
        <v>31</v>
      </c>
      <c r="R46" s="21" t="s">
        <v>1114</v>
      </c>
      <c r="S46" s="3154"/>
      <c r="T46" s="71"/>
      <c r="U46" s="71"/>
      <c r="V46" s="71"/>
      <c r="W46" s="593" t="s">
        <v>1129</v>
      </c>
      <c r="Y46" s="48"/>
      <c r="Z46" s="3261"/>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row>
    <row r="47" spans="1:292" s="49" customFormat="1" ht="27" hidden="1" thickBot="1">
      <c r="A47" s="76" t="s">
        <v>132</v>
      </c>
      <c r="B47" s="1300">
        <v>45667</v>
      </c>
      <c r="C47" s="3189">
        <f t="shared" si="1"/>
        <v>2</v>
      </c>
      <c r="D47" s="3189">
        <v>29</v>
      </c>
      <c r="E47" s="1194" t="s">
        <v>285</v>
      </c>
      <c r="F47" s="1194" t="s">
        <v>1130</v>
      </c>
      <c r="G47" s="979" t="s">
        <v>1046</v>
      </c>
      <c r="H47" s="979" t="s">
        <v>1046</v>
      </c>
      <c r="I47" s="923">
        <v>706</v>
      </c>
      <c r="J47" s="923" t="s">
        <v>1106</v>
      </c>
      <c r="K47" s="923"/>
      <c r="L47" s="923" t="s">
        <v>30</v>
      </c>
      <c r="M47" s="71"/>
      <c r="N47" s="593"/>
      <c r="O47" s="593"/>
      <c r="P47" s="71"/>
      <c r="Q47" s="71"/>
      <c r="R47" s="71"/>
      <c r="S47" s="3154"/>
      <c r="T47" s="71" t="s">
        <v>30</v>
      </c>
      <c r="U47" s="71"/>
      <c r="V47" s="71"/>
      <c r="W47" s="593"/>
      <c r="Y47" s="48"/>
      <c r="Z47" s="3261"/>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row>
    <row r="48" spans="1:292" s="49" customFormat="1" ht="27" hidden="1" thickBot="1">
      <c r="A48" s="76" t="s">
        <v>132</v>
      </c>
      <c r="B48" s="1300">
        <v>45667</v>
      </c>
      <c r="C48" s="3189">
        <f t="shared" si="1"/>
        <v>2</v>
      </c>
      <c r="D48" s="3189">
        <v>30</v>
      </c>
      <c r="E48" s="1611" t="s">
        <v>1130</v>
      </c>
      <c r="F48" s="1611" t="s">
        <v>285</v>
      </c>
      <c r="G48" s="925" t="s">
        <v>1046</v>
      </c>
      <c r="H48" s="925" t="s">
        <v>1046</v>
      </c>
      <c r="I48" s="923">
        <v>706</v>
      </c>
      <c r="J48" s="923" t="s">
        <v>1106</v>
      </c>
      <c r="K48" s="923"/>
      <c r="L48" s="923" t="s">
        <v>30</v>
      </c>
      <c r="M48" s="71"/>
      <c r="N48" s="593"/>
      <c r="O48" s="593"/>
      <c r="P48" s="71"/>
      <c r="Q48" s="71"/>
      <c r="R48" s="71"/>
      <c r="S48" s="3154"/>
      <c r="T48" s="71" t="s">
        <v>30</v>
      </c>
      <c r="U48" s="71"/>
      <c r="V48" s="71"/>
      <c r="W48" s="593"/>
      <c r="Y48" s="48"/>
      <c r="Z48" s="3261"/>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row>
    <row r="49" spans="1:292" s="49" customFormat="1" ht="27" hidden="1" thickBot="1">
      <c r="A49" s="76" t="s">
        <v>132</v>
      </c>
      <c r="B49" s="1300">
        <v>45667</v>
      </c>
      <c r="C49" s="3189">
        <f t="shared" si="1"/>
        <v>2</v>
      </c>
      <c r="D49" s="3189">
        <v>31</v>
      </c>
      <c r="E49" s="1194" t="s">
        <v>1064</v>
      </c>
      <c r="F49" s="1194" t="s">
        <v>43</v>
      </c>
      <c r="G49" s="3109" t="s">
        <v>1046</v>
      </c>
      <c r="H49" s="927" t="s">
        <v>1046</v>
      </c>
      <c r="I49" s="923">
        <v>706</v>
      </c>
      <c r="J49" s="923" t="s">
        <v>121</v>
      </c>
      <c r="K49" s="923"/>
      <c r="L49" s="923" t="s">
        <v>30</v>
      </c>
      <c r="M49" s="71"/>
      <c r="N49" s="593"/>
      <c r="O49" s="593"/>
      <c r="P49" s="71"/>
      <c r="Q49" s="71"/>
      <c r="R49" s="71"/>
      <c r="S49" s="3154"/>
      <c r="T49" s="71"/>
      <c r="U49" s="71"/>
      <c r="V49" s="71"/>
      <c r="W49" s="593"/>
      <c r="Y49" s="48"/>
      <c r="Z49" s="3261"/>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row>
    <row r="50" spans="1:292" s="49" customFormat="1" ht="27" hidden="1" thickBot="1">
      <c r="A50" s="76" t="s">
        <v>132</v>
      </c>
      <c r="B50" s="1300">
        <v>45667</v>
      </c>
      <c r="C50" s="3189">
        <f t="shared" si="1"/>
        <v>2</v>
      </c>
      <c r="D50" s="3189">
        <v>32</v>
      </c>
      <c r="E50" s="1611" t="s">
        <v>1131</v>
      </c>
      <c r="F50" s="1611" t="s">
        <v>889</v>
      </c>
      <c r="G50" s="927" t="s">
        <v>1046</v>
      </c>
      <c r="H50" s="927" t="s">
        <v>1046</v>
      </c>
      <c r="I50" s="923">
        <v>710</v>
      </c>
      <c r="J50" s="923">
        <v>60093</v>
      </c>
      <c r="K50" s="923"/>
      <c r="L50" s="923" t="s">
        <v>30</v>
      </c>
      <c r="M50" s="71"/>
      <c r="N50" s="71"/>
      <c r="O50" s="97"/>
      <c r="P50" s="97"/>
      <c r="Q50" s="97"/>
      <c r="R50" s="97"/>
      <c r="S50" s="71"/>
      <c r="T50" s="71"/>
      <c r="U50" s="71"/>
      <c r="V50" s="71"/>
      <c r="W50" s="593"/>
      <c r="Y50" s="48"/>
      <c r="Z50" s="3261"/>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row>
    <row r="51" spans="1:292" s="57" customFormat="1" ht="27" hidden="1" thickBot="1">
      <c r="A51" s="76" t="s">
        <v>132</v>
      </c>
      <c r="B51" s="1300">
        <v>45667</v>
      </c>
      <c r="C51" s="3189">
        <f t="shared" si="1"/>
        <v>2</v>
      </c>
      <c r="D51" s="3189"/>
      <c r="E51" s="1611" t="s">
        <v>258</v>
      </c>
      <c r="F51" s="1611" t="s">
        <v>1132</v>
      </c>
      <c r="G51" s="3109" t="s">
        <v>1046</v>
      </c>
      <c r="H51" s="3115" t="s">
        <v>1046</v>
      </c>
      <c r="I51" s="923">
        <v>710</v>
      </c>
      <c r="J51" s="923">
        <v>60093</v>
      </c>
      <c r="K51" s="923"/>
      <c r="L51" s="923" t="s">
        <v>30</v>
      </c>
      <c r="M51" s="71"/>
      <c r="N51" s="71"/>
      <c r="O51" s="71"/>
      <c r="P51" s="71"/>
      <c r="Q51" s="71"/>
      <c r="R51" s="71"/>
      <c r="S51" s="71"/>
      <c r="T51" s="71"/>
      <c r="U51" s="71"/>
      <c r="V51" s="71"/>
      <c r="W51" s="593"/>
      <c r="X51" s="49"/>
      <c r="Y51" s="48"/>
      <c r="Z51" s="326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row>
    <row r="52" spans="1:292" customFormat="1" ht="79.5" hidden="1" thickBot="1">
      <c r="A52" s="710" t="s">
        <v>132</v>
      </c>
      <c r="B52" s="1312">
        <v>45667</v>
      </c>
      <c r="C52" s="3197">
        <f t="shared" si="1"/>
        <v>2</v>
      </c>
      <c r="D52" s="3197"/>
      <c r="E52" s="2697" t="s">
        <v>258</v>
      </c>
      <c r="F52" s="2697" t="s">
        <v>419</v>
      </c>
      <c r="G52" s="970" t="s">
        <v>1046</v>
      </c>
      <c r="H52" s="970" t="s">
        <v>1046</v>
      </c>
      <c r="I52" s="957">
        <v>710</v>
      </c>
      <c r="J52" s="957" t="s">
        <v>1133</v>
      </c>
      <c r="K52" s="957"/>
      <c r="L52" s="957" t="s">
        <v>30</v>
      </c>
      <c r="M52" s="91"/>
      <c r="N52" s="91"/>
      <c r="O52" s="91"/>
      <c r="P52" s="91"/>
      <c r="Q52" s="91"/>
      <c r="R52" s="91"/>
      <c r="S52" s="91"/>
      <c r="T52" s="91"/>
      <c r="U52" s="91"/>
      <c r="V52" s="91"/>
      <c r="W52" s="3202" t="s">
        <v>1134</v>
      </c>
      <c r="X52" s="57"/>
      <c r="Y52" s="178"/>
      <c r="Z52" s="3306"/>
    </row>
    <row r="53" spans="1:292" ht="28.5" hidden="1" customHeight="1">
      <c r="A53" s="162" t="s">
        <v>132</v>
      </c>
      <c r="B53" s="1301">
        <v>45667</v>
      </c>
      <c r="C53" s="3191">
        <f t="shared" si="1"/>
        <v>2</v>
      </c>
      <c r="D53" s="3744"/>
      <c r="E53" s="4594" t="s">
        <v>48</v>
      </c>
      <c r="F53" s="4594" t="s">
        <v>240</v>
      </c>
      <c r="G53" s="1200" t="s">
        <v>1046</v>
      </c>
      <c r="H53" s="1200" t="s">
        <v>1046</v>
      </c>
      <c r="I53" s="923">
        <v>710</v>
      </c>
      <c r="J53" s="1593" t="s">
        <v>1133</v>
      </c>
      <c r="K53" s="1593"/>
      <c r="L53" s="1009" t="s">
        <v>37</v>
      </c>
      <c r="M53" s="1594"/>
      <c r="N53" s="1594"/>
      <c r="O53" s="1594"/>
      <c r="P53" s="1594"/>
      <c r="Q53" s="1594"/>
      <c r="R53" s="1594"/>
      <c r="S53" s="1594"/>
      <c r="T53" s="1594"/>
      <c r="U53" s="1594"/>
      <c r="V53" s="1594"/>
      <c r="W53" s="3201"/>
      <c r="X53" s="111"/>
      <c r="Y53" s="175"/>
      <c r="Z53" s="3261"/>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row>
    <row r="54" spans="1:292" ht="26.1" hidden="1" customHeight="1">
      <c r="A54" s="76" t="s">
        <v>132</v>
      </c>
      <c r="B54" s="1300">
        <v>45667</v>
      </c>
      <c r="C54" s="3189">
        <f t="shared" si="1"/>
        <v>2</v>
      </c>
      <c r="D54" s="3189">
        <v>33</v>
      </c>
      <c r="E54" s="1194" t="s">
        <v>1135</v>
      </c>
      <c r="F54" s="1194" t="s">
        <v>1136</v>
      </c>
      <c r="G54" s="979" t="s">
        <v>1046</v>
      </c>
      <c r="H54" s="979" t="s">
        <v>1046</v>
      </c>
      <c r="I54" s="3443">
        <v>712</v>
      </c>
      <c r="J54" s="1001" t="s">
        <v>377</v>
      </c>
      <c r="K54" s="3183" t="s">
        <v>29</v>
      </c>
      <c r="L54" s="923" t="s">
        <v>37</v>
      </c>
      <c r="M54" s="71"/>
      <c r="N54" s="71"/>
      <c r="O54" s="71"/>
      <c r="P54" s="71"/>
      <c r="Q54" s="71"/>
      <c r="R54" s="71"/>
      <c r="S54" s="71"/>
      <c r="T54" s="71"/>
      <c r="U54" s="71"/>
      <c r="V54" s="71"/>
      <c r="W54" s="97"/>
      <c r="X54" s="49"/>
      <c r="Y54" s="48"/>
      <c r="Z54" s="3261"/>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row>
    <row r="55" spans="1:292" ht="60" hidden="1" customHeight="1">
      <c r="A55" s="76" t="s">
        <v>132</v>
      </c>
      <c r="B55" s="1300">
        <v>45667</v>
      </c>
      <c r="C55" s="3189">
        <f t="shared" si="1"/>
        <v>2</v>
      </c>
      <c r="D55" s="3745">
        <v>34</v>
      </c>
      <c r="E55" s="4807" t="s">
        <v>48</v>
      </c>
      <c r="F55" s="4807" t="s">
        <v>1137</v>
      </c>
      <c r="G55" s="3115" t="s">
        <v>1046</v>
      </c>
      <c r="H55" s="3115" t="s">
        <v>1046</v>
      </c>
      <c r="I55" s="924">
        <v>705</v>
      </c>
      <c r="J55" s="1002" t="s">
        <v>1138</v>
      </c>
      <c r="K55" s="1596"/>
      <c r="L55" s="924" t="s">
        <v>37</v>
      </c>
      <c r="M55" s="33"/>
      <c r="N55" s="33"/>
      <c r="O55" s="33"/>
      <c r="P55" s="24"/>
      <c r="Q55" s="24"/>
      <c r="R55" s="24"/>
      <c r="S55" s="33"/>
      <c r="T55" s="33"/>
      <c r="U55" s="33"/>
      <c r="V55" s="33"/>
      <c r="W55" s="3201"/>
      <c r="X55" s="49"/>
      <c r="Y55" s="48" t="s">
        <v>1139</v>
      </c>
      <c r="Z55" s="3261"/>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row>
    <row r="56" spans="1:292" ht="26.1" hidden="1" customHeight="1">
      <c r="A56" s="76" t="s">
        <v>25</v>
      </c>
      <c r="B56" s="1300">
        <v>45670</v>
      </c>
      <c r="C56" s="3189">
        <f t="shared" si="1"/>
        <v>3</v>
      </c>
      <c r="D56" s="3189">
        <v>36</v>
      </c>
      <c r="E56" s="439" t="s">
        <v>1140</v>
      </c>
      <c r="F56" s="439" t="s">
        <v>517</v>
      </c>
      <c r="I56" s="3443">
        <v>712</v>
      </c>
      <c r="J56" s="3234" t="s">
        <v>1141</v>
      </c>
      <c r="K56" s="3183" t="s">
        <v>174</v>
      </c>
      <c r="L56" s="924" t="s">
        <v>37</v>
      </c>
      <c r="M56" s="923"/>
      <c r="N56" s="71"/>
      <c r="O56" s="71"/>
      <c r="P56" s="71"/>
      <c r="Q56" s="71"/>
      <c r="R56" s="71"/>
      <c r="S56" s="71"/>
      <c r="T56" s="71"/>
      <c r="U56" s="71"/>
      <c r="V56" s="71"/>
      <c r="W56" s="97"/>
    </row>
    <row r="57" spans="1:292" ht="27" hidden="1" thickBot="1">
      <c r="A57" s="76" t="s">
        <v>25</v>
      </c>
      <c r="B57" s="1300">
        <v>45670</v>
      </c>
      <c r="C57" s="3189">
        <f t="shared" si="1"/>
        <v>3</v>
      </c>
      <c r="D57" s="3189">
        <v>36</v>
      </c>
      <c r="E57" s="993" t="s">
        <v>1142</v>
      </c>
      <c r="F57" s="993" t="s">
        <v>1143</v>
      </c>
      <c r="I57" s="923">
        <v>711</v>
      </c>
      <c r="J57" s="3234" t="s">
        <v>600</v>
      </c>
      <c r="K57" s="923"/>
      <c r="L57" s="923" t="s">
        <v>37</v>
      </c>
      <c r="M57" s="923"/>
      <c r="N57" s="71"/>
      <c r="O57" s="33"/>
      <c r="P57" s="33"/>
      <c r="Q57" s="33"/>
      <c r="R57" s="33"/>
      <c r="S57" s="71"/>
      <c r="T57" s="71"/>
      <c r="U57" s="71"/>
      <c r="V57" s="71"/>
      <c r="W57" s="97"/>
    </row>
    <row r="58" spans="1:292" ht="29.25" hidden="1" thickBot="1">
      <c r="A58" s="118" t="s">
        <v>25</v>
      </c>
      <c r="B58" s="1390">
        <v>45670</v>
      </c>
      <c r="C58" s="3189">
        <f t="shared" si="1"/>
        <v>3</v>
      </c>
      <c r="D58" s="3190">
        <v>37</v>
      </c>
      <c r="E58" s="1000" t="s">
        <v>1144</v>
      </c>
      <c r="F58" s="4847" t="s">
        <v>1145</v>
      </c>
      <c r="I58" s="3462">
        <v>712</v>
      </c>
      <c r="J58" s="3234" t="s">
        <v>1066</v>
      </c>
      <c r="K58" s="3171" t="s">
        <v>1067</v>
      </c>
      <c r="L58" s="1002" t="s">
        <v>37</v>
      </c>
      <c r="M58" s="1001"/>
      <c r="N58" s="1040"/>
      <c r="O58" s="1040"/>
      <c r="P58" s="71"/>
      <c r="Q58" s="71"/>
      <c r="R58" s="71"/>
      <c r="S58" s="3200"/>
      <c r="T58" s="33"/>
      <c r="U58" s="33"/>
      <c r="V58" s="33"/>
      <c r="W58" s="91"/>
      <c r="X58" s="3284"/>
      <c r="Y58" s="3295"/>
      <c r="Z58" s="3296"/>
    </row>
    <row r="59" spans="1:292" ht="27" hidden="1" thickBot="1">
      <c r="A59" s="118" t="s">
        <v>25</v>
      </c>
      <c r="B59" s="1390">
        <v>45670</v>
      </c>
      <c r="C59" s="3189">
        <f t="shared" si="1"/>
        <v>3</v>
      </c>
      <c r="D59" s="3190">
        <v>38</v>
      </c>
      <c r="E59" s="1524" t="s">
        <v>273</v>
      </c>
      <c r="F59" s="1524" t="s">
        <v>1146</v>
      </c>
      <c r="I59" s="1001">
        <v>705</v>
      </c>
      <c r="J59" s="3234" t="s">
        <v>1147</v>
      </c>
      <c r="K59" s="1001"/>
      <c r="L59" s="1001" t="s">
        <v>37</v>
      </c>
      <c r="M59" s="1001"/>
      <c r="N59" s="33"/>
      <c r="O59" s="1594"/>
      <c r="P59" s="1594"/>
      <c r="Q59" s="1594"/>
      <c r="R59" s="1594"/>
      <c r="S59" s="33"/>
      <c r="T59" s="33"/>
      <c r="U59" s="33"/>
      <c r="V59" s="33"/>
      <c r="W59" s="1594"/>
      <c r="X59" s="3276"/>
      <c r="Y59" s="3277"/>
    </row>
    <row r="60" spans="1:292" ht="27" hidden="1" thickBot="1">
      <c r="A60" s="710" t="s">
        <v>25</v>
      </c>
      <c r="B60" s="1312">
        <v>45670</v>
      </c>
      <c r="C60" s="3189">
        <f t="shared" si="1"/>
        <v>3</v>
      </c>
      <c r="D60" s="3190">
        <v>39</v>
      </c>
      <c r="E60" s="1514" t="s">
        <v>1146</v>
      </c>
      <c r="F60" s="1514" t="s">
        <v>669</v>
      </c>
      <c r="I60" s="923">
        <v>709</v>
      </c>
      <c r="J60" s="3252" t="s">
        <v>1093</v>
      </c>
      <c r="K60" s="2346"/>
      <c r="L60" s="957" t="s">
        <v>37</v>
      </c>
      <c r="M60" s="957"/>
      <c r="N60" s="3202"/>
      <c r="O60" s="3202"/>
      <c r="P60" s="91"/>
      <c r="Q60" s="91"/>
      <c r="R60" s="91"/>
      <c r="S60" s="3242"/>
      <c r="T60" s="91"/>
      <c r="U60" s="91"/>
      <c r="V60" s="91"/>
      <c r="W60" s="91"/>
    </row>
    <row r="61" spans="1:292" ht="79.5" hidden="1" thickBot="1">
      <c r="A61" s="2052" t="s">
        <v>25</v>
      </c>
      <c r="B61" s="1940">
        <v>45670</v>
      </c>
      <c r="C61" s="3189">
        <f t="shared" si="1"/>
        <v>3</v>
      </c>
      <c r="D61" s="3743">
        <v>40</v>
      </c>
      <c r="E61" s="1607" t="s">
        <v>1148</v>
      </c>
      <c r="F61" s="1607" t="s">
        <v>334</v>
      </c>
      <c r="I61" s="923">
        <v>705</v>
      </c>
      <c r="J61" s="3245" t="s">
        <v>1149</v>
      </c>
      <c r="K61" s="1593"/>
      <c r="L61" s="1593"/>
      <c r="M61" s="1593" t="s">
        <v>37</v>
      </c>
      <c r="N61" s="1594"/>
      <c r="O61" s="1594"/>
      <c r="P61" s="4767" t="s">
        <v>231</v>
      </c>
      <c r="Q61" s="4767" t="s">
        <v>1048</v>
      </c>
      <c r="R61" s="4767" t="s">
        <v>160</v>
      </c>
      <c r="S61" s="1594"/>
      <c r="T61" s="1594"/>
      <c r="U61" s="1594"/>
      <c r="V61" s="1594"/>
      <c r="W61" s="1594" t="s">
        <v>1150</v>
      </c>
    </row>
    <row r="62" spans="1:292" ht="27" hidden="1" thickBot="1">
      <c r="A62" s="76" t="s">
        <v>25</v>
      </c>
      <c r="B62" s="1300">
        <v>45670</v>
      </c>
      <c r="C62" s="3189">
        <f t="shared" si="1"/>
        <v>3</v>
      </c>
      <c r="D62" s="3189">
        <v>41</v>
      </c>
      <c r="E62" s="1194" t="s">
        <v>334</v>
      </c>
      <c r="F62" s="1194" t="s">
        <v>1151</v>
      </c>
      <c r="I62" s="923">
        <v>705</v>
      </c>
      <c r="J62" s="3238" t="s">
        <v>1152</v>
      </c>
      <c r="K62" s="923"/>
      <c r="L62" s="923" t="s">
        <v>37</v>
      </c>
      <c r="M62" s="923"/>
      <c r="N62" s="593"/>
      <c r="O62" s="593"/>
      <c r="P62" s="71"/>
      <c r="Q62" s="71"/>
      <c r="R62" s="71"/>
      <c r="S62" s="3154"/>
      <c r="T62" s="71"/>
      <c r="U62" s="71"/>
      <c r="V62" s="71"/>
      <c r="W62" s="71"/>
    </row>
    <row r="63" spans="1:292" ht="29.25" hidden="1" thickBot="1">
      <c r="A63" s="76" t="s">
        <v>25</v>
      </c>
      <c r="B63" s="1300">
        <v>45670</v>
      </c>
      <c r="C63" s="3189">
        <f t="shared" si="1"/>
        <v>3</v>
      </c>
      <c r="D63" s="3190">
        <v>42</v>
      </c>
      <c r="E63" s="1514" t="s">
        <v>1153</v>
      </c>
      <c r="F63" s="1514" t="s">
        <v>517</v>
      </c>
      <c r="I63" s="3443">
        <v>712</v>
      </c>
      <c r="J63" s="3304" t="s">
        <v>1154</v>
      </c>
      <c r="K63" s="3236" t="s">
        <v>29</v>
      </c>
      <c r="L63" s="958"/>
      <c r="M63" s="957" t="s">
        <v>37</v>
      </c>
      <c r="N63" s="91"/>
      <c r="O63" s="2347"/>
      <c r="P63" s="59" t="s">
        <v>0</v>
      </c>
      <c r="Q63" s="59" t="s">
        <v>31</v>
      </c>
      <c r="R63" s="59" t="s">
        <v>1155</v>
      </c>
      <c r="S63" s="91" t="s">
        <v>37</v>
      </c>
      <c r="T63" s="91"/>
      <c r="U63" s="91"/>
      <c r="V63" s="91"/>
      <c r="W63" s="91" t="s">
        <v>1156</v>
      </c>
      <c r="X63" s="3284"/>
      <c r="Y63" s="3295"/>
      <c r="Z63" s="3296"/>
    </row>
    <row r="64" spans="1:292" ht="29.25" hidden="1" thickBot="1">
      <c r="A64" s="76" t="s">
        <v>67</v>
      </c>
      <c r="B64" s="1300">
        <v>45671</v>
      </c>
      <c r="C64" s="3189">
        <f t="shared" si="1"/>
        <v>3</v>
      </c>
      <c r="D64" s="3189">
        <v>43</v>
      </c>
      <c r="E64" s="3320" t="s">
        <v>1157</v>
      </c>
      <c r="F64" s="3320" t="s">
        <v>1158</v>
      </c>
      <c r="I64" s="3443">
        <v>712</v>
      </c>
      <c r="J64" s="3233" t="s">
        <v>1159</v>
      </c>
      <c r="K64" s="1009"/>
      <c r="L64" s="1009" t="s">
        <v>37</v>
      </c>
      <c r="M64" s="1009"/>
      <c r="N64" s="1041"/>
      <c r="O64" s="1041"/>
      <c r="P64" s="97"/>
      <c r="Q64" s="97"/>
      <c r="R64" s="97"/>
      <c r="S64" s="97"/>
      <c r="T64" s="71"/>
      <c r="U64" s="71"/>
      <c r="V64" s="71"/>
      <c r="W64" s="71"/>
      <c r="X64" s="3276"/>
      <c r="Y64" s="3277"/>
    </row>
    <row r="65" spans="1:26" ht="132" hidden="1" thickBot="1">
      <c r="A65" s="76" t="s">
        <v>67</v>
      </c>
      <c r="B65" s="1300">
        <v>45671</v>
      </c>
      <c r="C65" s="3189">
        <f t="shared" si="1"/>
        <v>3</v>
      </c>
      <c r="D65" s="3189">
        <v>44</v>
      </c>
      <c r="E65" s="1194" t="s">
        <v>1160</v>
      </c>
      <c r="F65" s="1194" t="s">
        <v>1161</v>
      </c>
      <c r="I65" s="3531">
        <v>712</v>
      </c>
      <c r="J65" s="3238" t="s">
        <v>1162</v>
      </c>
      <c r="K65" s="923"/>
      <c r="L65" s="923"/>
      <c r="M65" s="923" t="s">
        <v>37</v>
      </c>
      <c r="N65" s="71"/>
      <c r="O65" s="71"/>
      <c r="P65" s="21" t="s">
        <v>109</v>
      </c>
      <c r="Q65" s="21" t="s">
        <v>757</v>
      </c>
      <c r="R65" s="21" t="s">
        <v>160</v>
      </c>
      <c r="S65" s="71" t="s">
        <v>37</v>
      </c>
      <c r="T65" s="71"/>
      <c r="U65" s="71"/>
      <c r="V65" s="71"/>
      <c r="W65" s="97" t="s">
        <v>1163</v>
      </c>
      <c r="Z65" s="3262" t="s">
        <v>1164</v>
      </c>
    </row>
    <row r="66" spans="1:26" ht="29.25" hidden="1" thickBot="1">
      <c r="A66" s="76" t="s">
        <v>67</v>
      </c>
      <c r="B66" s="1300">
        <v>45671</v>
      </c>
      <c r="C66" s="3189">
        <f t="shared" si="1"/>
        <v>3</v>
      </c>
      <c r="D66" s="3189">
        <v>42</v>
      </c>
      <c r="E66" s="1194" t="s">
        <v>1153</v>
      </c>
      <c r="F66" s="1194" t="s">
        <v>517</v>
      </c>
      <c r="I66" s="3531">
        <v>712</v>
      </c>
      <c r="J66" s="3238" t="s">
        <v>743</v>
      </c>
      <c r="K66" s="3183" t="s">
        <v>29</v>
      </c>
      <c r="L66" s="924" t="s">
        <v>37</v>
      </c>
      <c r="M66" s="923"/>
      <c r="N66" s="71"/>
      <c r="O66" s="71"/>
      <c r="P66" s="71"/>
      <c r="Q66" s="71"/>
      <c r="R66" s="71"/>
      <c r="S66" s="71"/>
      <c r="T66" s="71" t="s">
        <v>30</v>
      </c>
      <c r="U66" s="71"/>
      <c r="V66" s="71"/>
      <c r="W66" s="97"/>
    </row>
    <row r="67" spans="1:26" ht="53.25" hidden="1" thickBot="1">
      <c r="A67" s="76" t="s">
        <v>67</v>
      </c>
      <c r="B67" s="1300">
        <v>45671</v>
      </c>
      <c r="C67" s="3189">
        <f t="shared" si="1"/>
        <v>3</v>
      </c>
      <c r="D67" s="3745"/>
      <c r="E67" s="4549" t="s">
        <v>1165</v>
      </c>
      <c r="F67" s="4549" t="s">
        <v>1166</v>
      </c>
      <c r="I67" s="3600">
        <v>712</v>
      </c>
      <c r="J67" s="3234" t="s">
        <v>157</v>
      </c>
      <c r="K67" s="1593"/>
      <c r="L67" s="1593"/>
      <c r="M67" s="1001"/>
      <c r="N67" s="33" t="s">
        <v>30</v>
      </c>
      <c r="O67" s="33"/>
      <c r="P67" s="21" t="s">
        <v>109</v>
      </c>
      <c r="Q67" s="21" t="s">
        <v>300</v>
      </c>
      <c r="R67" s="21" t="s">
        <v>1155</v>
      </c>
      <c r="S67" s="33"/>
      <c r="T67" s="33" t="s">
        <v>37</v>
      </c>
      <c r="U67" s="33"/>
      <c r="V67" s="33"/>
      <c r="W67" s="3201" t="s">
        <v>1167</v>
      </c>
    </row>
    <row r="68" spans="1:26" ht="27" hidden="1" thickBot="1">
      <c r="A68" s="710" t="s">
        <v>67</v>
      </c>
      <c r="B68" s="1312">
        <v>45671</v>
      </c>
      <c r="C68" s="3197">
        <f t="shared" si="1"/>
        <v>3</v>
      </c>
      <c r="D68" s="3746"/>
      <c r="E68" s="4808" t="s">
        <v>1168</v>
      </c>
      <c r="F68" s="4848" t="s">
        <v>1169</v>
      </c>
      <c r="G68" s="3284"/>
      <c r="H68" s="3284"/>
      <c r="I68" s="957">
        <v>711</v>
      </c>
      <c r="J68" s="3240" t="s">
        <v>600</v>
      </c>
      <c r="K68" s="957"/>
      <c r="L68" s="957" t="s">
        <v>37</v>
      </c>
      <c r="M68" s="957"/>
      <c r="N68" s="91"/>
      <c r="O68" s="91"/>
      <c r="P68" s="91"/>
      <c r="Q68" s="91"/>
      <c r="R68" s="91"/>
      <c r="S68" s="91"/>
      <c r="T68" s="91"/>
      <c r="U68" s="91"/>
      <c r="V68" s="91"/>
      <c r="W68" s="3243"/>
      <c r="X68" s="3284"/>
      <c r="Y68" s="3295"/>
      <c r="Z68" s="3296"/>
    </row>
    <row r="69" spans="1:26" ht="27" hidden="1" thickBot="1">
      <c r="A69" s="162" t="s">
        <v>67</v>
      </c>
      <c r="B69" s="2311">
        <v>45671</v>
      </c>
      <c r="C69" s="3191">
        <f t="shared" si="1"/>
        <v>3</v>
      </c>
      <c r="D69" s="3744">
        <v>43</v>
      </c>
      <c r="E69" s="4809" t="s">
        <v>1160</v>
      </c>
      <c r="F69" s="4809" t="s">
        <v>273</v>
      </c>
      <c r="G69" s="3276"/>
      <c r="H69" s="3276"/>
      <c r="I69" s="3244">
        <v>707</v>
      </c>
      <c r="J69" s="3245" t="s">
        <v>1170</v>
      </c>
      <c r="K69" s="1593"/>
      <c r="L69" s="1009" t="s">
        <v>37</v>
      </c>
      <c r="M69" s="1593"/>
      <c r="N69" s="3201"/>
      <c r="O69" s="3201"/>
      <c r="P69" s="97"/>
      <c r="Q69" s="97"/>
      <c r="R69" s="97"/>
      <c r="S69" s="1594"/>
      <c r="T69" s="33"/>
      <c r="U69" s="33"/>
      <c r="V69" s="33"/>
      <c r="W69" s="3201"/>
      <c r="X69" s="3276"/>
      <c r="Y69" s="3277"/>
    </row>
    <row r="70" spans="1:26" ht="105.75" hidden="1" thickBot="1">
      <c r="A70" s="2052" t="s">
        <v>67</v>
      </c>
      <c r="B70" s="2970">
        <v>45671</v>
      </c>
      <c r="C70" s="3189">
        <f t="shared" ref="C70:C101" si="2">_xlfn.ISOWEEKNUM(B70)</f>
        <v>3</v>
      </c>
      <c r="D70" s="3190">
        <v>44</v>
      </c>
      <c r="E70" s="3248" t="s">
        <v>1171</v>
      </c>
      <c r="F70" s="3248" t="s">
        <v>1172</v>
      </c>
      <c r="I70" s="923">
        <v>707</v>
      </c>
      <c r="J70" s="3238" t="s">
        <v>1173</v>
      </c>
      <c r="K70" s="3182"/>
      <c r="L70" s="923"/>
      <c r="M70" s="923" t="s">
        <v>37</v>
      </c>
      <c r="N70" s="71"/>
      <c r="O70" s="71"/>
      <c r="P70" s="21" t="s">
        <v>122</v>
      </c>
      <c r="Q70" s="21" t="s">
        <v>123</v>
      </c>
      <c r="R70" s="21" t="s">
        <v>38</v>
      </c>
      <c r="S70" s="71" t="s">
        <v>30</v>
      </c>
      <c r="T70" s="71"/>
      <c r="U70" s="71"/>
      <c r="V70" s="593"/>
      <c r="W70" s="71" t="s">
        <v>1174</v>
      </c>
    </row>
    <row r="71" spans="1:26" ht="105.75" hidden="1" thickBot="1">
      <c r="A71" s="76" t="s">
        <v>67</v>
      </c>
      <c r="B71" s="1300">
        <v>45671</v>
      </c>
      <c r="C71" s="3189">
        <f t="shared" si="2"/>
        <v>3</v>
      </c>
      <c r="D71" s="3745">
        <v>45</v>
      </c>
      <c r="E71" s="3235" t="s">
        <v>273</v>
      </c>
      <c r="F71" s="3235" t="s">
        <v>1175</v>
      </c>
      <c r="I71" s="923">
        <v>705</v>
      </c>
      <c r="J71" s="3238" t="s">
        <v>1176</v>
      </c>
      <c r="K71" s="3183" t="s">
        <v>84</v>
      </c>
      <c r="L71" s="924"/>
      <c r="M71" s="923" t="s">
        <v>30</v>
      </c>
      <c r="N71" s="71"/>
      <c r="O71" s="33"/>
      <c r="P71" s="24" t="s">
        <v>0</v>
      </c>
      <c r="Q71" s="24" t="s">
        <v>31</v>
      </c>
      <c r="R71" s="24" t="s">
        <v>38</v>
      </c>
      <c r="S71" s="71"/>
      <c r="T71" s="71"/>
      <c r="U71" s="71"/>
      <c r="V71" s="593"/>
      <c r="W71" s="71" t="s">
        <v>1177</v>
      </c>
    </row>
    <row r="72" spans="1:26" ht="53.25" hidden="1" thickBot="1">
      <c r="A72" s="162" t="s">
        <v>85</v>
      </c>
      <c r="B72" s="2311">
        <v>45672</v>
      </c>
      <c r="C72" s="3189">
        <f t="shared" si="2"/>
        <v>3</v>
      </c>
      <c r="D72" s="3747"/>
      <c r="E72" s="4574" t="s">
        <v>273</v>
      </c>
      <c r="F72" s="1000" t="s">
        <v>1175</v>
      </c>
      <c r="I72" s="1427">
        <v>705</v>
      </c>
      <c r="J72" s="3234" t="s">
        <v>1176</v>
      </c>
      <c r="K72" s="3176" t="s">
        <v>84</v>
      </c>
      <c r="L72" s="1029"/>
      <c r="M72" s="1001" t="s">
        <v>37</v>
      </c>
      <c r="N72" s="1040"/>
      <c r="O72" s="1040"/>
      <c r="P72" s="119" t="s">
        <v>109</v>
      </c>
      <c r="Q72" s="119" t="s">
        <v>300</v>
      </c>
      <c r="R72" s="119" t="s">
        <v>160</v>
      </c>
      <c r="S72" s="3200"/>
      <c r="T72" s="33" t="s">
        <v>37</v>
      </c>
      <c r="U72" s="33"/>
      <c r="V72" s="33"/>
      <c r="W72" s="3201" t="s">
        <v>1178</v>
      </c>
    </row>
    <row r="73" spans="1:26" ht="29.25" hidden="1" thickBot="1">
      <c r="A73" s="1948" t="s">
        <v>85</v>
      </c>
      <c r="B73" s="1312">
        <v>45672</v>
      </c>
      <c r="C73" s="3189">
        <f t="shared" si="2"/>
        <v>3</v>
      </c>
      <c r="D73" s="3748"/>
      <c r="E73" s="4810" t="s">
        <v>669</v>
      </c>
      <c r="F73" s="4556" t="s">
        <v>1179</v>
      </c>
      <c r="I73" s="3546">
        <v>712</v>
      </c>
      <c r="J73" s="3252" t="s">
        <v>1180</v>
      </c>
      <c r="K73" s="3173" t="s">
        <v>84</v>
      </c>
      <c r="L73" s="958" t="s">
        <v>37</v>
      </c>
      <c r="M73" s="957"/>
      <c r="N73" s="91"/>
      <c r="O73" s="2347"/>
      <c r="P73" s="2347"/>
      <c r="Q73" s="2347"/>
      <c r="R73" s="2347"/>
      <c r="S73" s="91"/>
      <c r="T73" s="91"/>
      <c r="U73" s="91"/>
      <c r="V73" s="91"/>
      <c r="W73" s="91"/>
      <c r="X73" s="3284"/>
      <c r="Y73" s="3295"/>
      <c r="Z73" s="3296"/>
    </row>
    <row r="74" spans="1:26" ht="29.25" hidden="1" thickBot="1">
      <c r="A74" s="162" t="s">
        <v>85</v>
      </c>
      <c r="B74" s="1301">
        <v>45672</v>
      </c>
      <c r="C74" s="3189">
        <f t="shared" si="2"/>
        <v>3</v>
      </c>
      <c r="D74" s="3191">
        <v>46</v>
      </c>
      <c r="E74" s="1004" t="s">
        <v>1145</v>
      </c>
      <c r="F74" s="1004" t="s">
        <v>1144</v>
      </c>
      <c r="I74" s="3456">
        <v>712</v>
      </c>
      <c r="J74" s="1029" t="s">
        <v>1181</v>
      </c>
      <c r="K74" s="3267" t="s">
        <v>1067</v>
      </c>
      <c r="L74" s="1005" t="s">
        <v>37</v>
      </c>
      <c r="M74" s="1009"/>
      <c r="N74" s="97"/>
      <c r="O74" s="97"/>
      <c r="P74" s="97"/>
      <c r="Q74" s="97"/>
      <c r="R74" s="97"/>
      <c r="S74" s="97"/>
      <c r="T74" s="97"/>
      <c r="U74" s="97"/>
      <c r="V74" s="97"/>
      <c r="W74" s="97"/>
      <c r="X74" s="3276"/>
      <c r="Y74" s="3277"/>
    </row>
    <row r="75" spans="1:26" ht="79.5" hidden="1" thickBot="1">
      <c r="A75" s="118" t="s">
        <v>85</v>
      </c>
      <c r="B75" s="2833">
        <v>45672</v>
      </c>
      <c r="C75" s="3189">
        <f t="shared" si="2"/>
        <v>3</v>
      </c>
      <c r="D75" s="3745"/>
      <c r="E75" s="3239" t="s">
        <v>1182</v>
      </c>
      <c r="F75" s="3248" t="s">
        <v>1183</v>
      </c>
      <c r="I75" s="3167">
        <v>707</v>
      </c>
      <c r="J75" s="923" t="s">
        <v>1173</v>
      </c>
      <c r="K75" s="1001"/>
      <c r="L75" s="1001"/>
      <c r="M75" s="1001"/>
      <c r="N75" s="33" t="s">
        <v>37</v>
      </c>
      <c r="O75" s="33"/>
      <c r="P75" s="24" t="s">
        <v>109</v>
      </c>
      <c r="Q75" s="24" t="s">
        <v>300</v>
      </c>
      <c r="R75" s="24" t="s">
        <v>160</v>
      </c>
      <c r="S75" s="33"/>
      <c r="T75" s="33"/>
      <c r="U75" s="33"/>
      <c r="V75" s="33"/>
      <c r="W75" s="3200" t="s">
        <v>1184</v>
      </c>
    </row>
    <row r="76" spans="1:26" ht="27" hidden="1" thickBot="1">
      <c r="A76" s="76" t="s">
        <v>85</v>
      </c>
      <c r="B76" s="1300">
        <v>45672</v>
      </c>
      <c r="C76" s="3189">
        <f t="shared" si="2"/>
        <v>3</v>
      </c>
      <c r="D76" s="3189">
        <v>47</v>
      </c>
      <c r="E76" s="987" t="s">
        <v>334</v>
      </c>
      <c r="F76" s="987" t="s">
        <v>1185</v>
      </c>
      <c r="I76" s="923">
        <v>707</v>
      </c>
      <c r="J76" s="923" t="s">
        <v>1186</v>
      </c>
      <c r="K76" s="923"/>
      <c r="L76" s="923" t="s">
        <v>37</v>
      </c>
      <c r="M76" s="923"/>
      <c r="N76" s="71"/>
      <c r="O76" s="71"/>
      <c r="P76" s="71"/>
      <c r="Q76" s="71"/>
      <c r="R76" s="71"/>
      <c r="S76" s="71"/>
      <c r="T76" s="71"/>
      <c r="U76" s="71"/>
      <c r="V76" s="71"/>
      <c r="W76" s="33"/>
    </row>
    <row r="77" spans="1:26" ht="27" hidden="1" thickBot="1">
      <c r="A77" s="76" t="s">
        <v>105</v>
      </c>
      <c r="B77" s="1300">
        <v>45673</v>
      </c>
      <c r="C77" s="3189">
        <f t="shared" si="2"/>
        <v>3</v>
      </c>
      <c r="D77" s="3189"/>
      <c r="E77" s="987" t="s">
        <v>1187</v>
      </c>
      <c r="F77" s="987" t="s">
        <v>530</v>
      </c>
      <c r="I77" s="923">
        <v>707</v>
      </c>
      <c r="J77" s="923" t="s">
        <v>1186</v>
      </c>
      <c r="K77" s="923"/>
      <c r="L77" s="923" t="s">
        <v>37</v>
      </c>
      <c r="M77" s="923"/>
      <c r="N77" s="71"/>
      <c r="O77" s="71"/>
      <c r="P77" s="71"/>
      <c r="Q77" s="71"/>
      <c r="R77" s="71"/>
      <c r="S77" s="71"/>
      <c r="T77" s="71"/>
      <c r="U77" s="71"/>
      <c r="V77" s="593"/>
      <c r="W77" s="71"/>
    </row>
    <row r="78" spans="1:26" ht="27" hidden="1" thickBot="1">
      <c r="A78" s="2052" t="s">
        <v>105</v>
      </c>
      <c r="B78" s="1940">
        <v>45673</v>
      </c>
      <c r="C78" s="3190">
        <f t="shared" si="2"/>
        <v>3</v>
      </c>
      <c r="D78" s="3743"/>
      <c r="E78" s="4555" t="s">
        <v>530</v>
      </c>
      <c r="F78" s="4555" t="s">
        <v>1188</v>
      </c>
      <c r="I78" s="923">
        <v>707</v>
      </c>
      <c r="J78" s="1593" t="s">
        <v>1189</v>
      </c>
      <c r="K78" s="1593"/>
      <c r="L78" s="923" t="s">
        <v>37</v>
      </c>
      <c r="M78" s="1593"/>
      <c r="N78" s="1594"/>
      <c r="O78" s="1594"/>
      <c r="P78" s="1594"/>
      <c r="Q78" s="1594"/>
      <c r="R78" s="1594"/>
      <c r="S78" s="1594"/>
      <c r="T78" s="1594"/>
      <c r="U78" s="1594"/>
      <c r="V78" s="1594"/>
      <c r="W78" s="1594"/>
      <c r="X78" s="3284"/>
      <c r="Y78" s="3295"/>
      <c r="Z78" s="3296"/>
    </row>
    <row r="79" spans="1:26" ht="29.25" hidden="1" thickBot="1">
      <c r="A79" s="2070" t="s">
        <v>105</v>
      </c>
      <c r="B79" s="2068">
        <v>45673</v>
      </c>
      <c r="C79" s="3195">
        <f t="shared" si="2"/>
        <v>3</v>
      </c>
      <c r="D79" s="3749">
        <v>48</v>
      </c>
      <c r="E79" s="3175" t="s">
        <v>1160</v>
      </c>
      <c r="F79" s="3335" t="s">
        <v>1161</v>
      </c>
      <c r="G79" s="3254"/>
      <c r="H79" s="3253"/>
      <c r="I79" s="3656">
        <v>712</v>
      </c>
      <c r="J79" s="3315" t="s">
        <v>1162</v>
      </c>
      <c r="K79" s="3316" t="s">
        <v>84</v>
      </c>
      <c r="L79" s="1422" t="s">
        <v>37</v>
      </c>
      <c r="M79" s="1419"/>
      <c r="N79" s="905"/>
      <c r="O79" s="905"/>
      <c r="P79" s="905"/>
      <c r="Q79" s="905"/>
      <c r="R79" s="905"/>
      <c r="S79" s="905"/>
      <c r="T79" s="905"/>
      <c r="U79" s="905"/>
      <c r="V79" s="905"/>
      <c r="W79" s="1423"/>
      <c r="X79" s="3307"/>
      <c r="Y79" s="3277"/>
    </row>
    <row r="80" spans="1:26" ht="27" hidden="1" thickBot="1">
      <c r="A80" s="1941" t="s">
        <v>105</v>
      </c>
      <c r="B80" s="1300">
        <v>45673</v>
      </c>
      <c r="C80" s="3189">
        <f t="shared" si="2"/>
        <v>3</v>
      </c>
      <c r="D80" s="3189">
        <v>49</v>
      </c>
      <c r="E80" s="1194" t="s">
        <v>1146</v>
      </c>
      <c r="F80" s="1557" t="s">
        <v>334</v>
      </c>
      <c r="G80" s="3254"/>
      <c r="H80" s="3253"/>
      <c r="I80" s="923">
        <v>705</v>
      </c>
      <c r="J80" s="923" t="s">
        <v>1111</v>
      </c>
      <c r="K80" s="923"/>
      <c r="L80" s="923"/>
      <c r="M80" s="923" t="s">
        <v>37</v>
      </c>
      <c r="N80" s="71"/>
      <c r="O80" s="71"/>
      <c r="P80" s="21" t="s">
        <v>109</v>
      </c>
      <c r="Q80" s="21" t="s">
        <v>300</v>
      </c>
      <c r="R80" s="21" t="s">
        <v>160</v>
      </c>
      <c r="S80" s="71"/>
      <c r="T80" s="71"/>
      <c r="U80" s="71"/>
      <c r="V80" s="593"/>
      <c r="W80" s="93" t="s">
        <v>1190</v>
      </c>
      <c r="X80" s="3308"/>
    </row>
    <row r="81" spans="1:26" ht="29.25" hidden="1" thickBot="1">
      <c r="A81" s="1941" t="s">
        <v>105</v>
      </c>
      <c r="B81" s="1300">
        <v>45673</v>
      </c>
      <c r="C81" s="3189">
        <f t="shared" si="2"/>
        <v>3</v>
      </c>
      <c r="D81" s="3189"/>
      <c r="E81" s="3320" t="s">
        <v>1191</v>
      </c>
      <c r="F81" s="4849" t="s">
        <v>1192</v>
      </c>
      <c r="G81" s="3254"/>
      <c r="H81" s="3253"/>
      <c r="I81" s="3443">
        <v>712</v>
      </c>
      <c r="J81" s="1001" t="s">
        <v>1159</v>
      </c>
      <c r="K81" s="2369"/>
      <c r="L81" s="924" t="s">
        <v>37</v>
      </c>
      <c r="M81" s="923"/>
      <c r="N81" s="71"/>
      <c r="O81" s="71"/>
      <c r="P81" s="71"/>
      <c r="Q81" s="71"/>
      <c r="R81" s="71"/>
      <c r="S81" s="71"/>
      <c r="T81" s="71"/>
      <c r="U81" s="71"/>
      <c r="V81" s="593"/>
      <c r="W81" s="93"/>
      <c r="X81" s="3308"/>
    </row>
    <row r="82" spans="1:26" ht="27" hidden="1" thickBot="1">
      <c r="A82" s="1938" t="s">
        <v>1193</v>
      </c>
      <c r="B82" s="1312">
        <v>45674</v>
      </c>
      <c r="C82" s="3197">
        <f t="shared" si="2"/>
        <v>3</v>
      </c>
      <c r="D82" s="3197"/>
      <c r="E82" s="3249" t="s">
        <v>1151</v>
      </c>
      <c r="F82" s="4850" t="s">
        <v>878</v>
      </c>
      <c r="G82" s="3254"/>
      <c r="H82" s="3253"/>
      <c r="I82" s="923">
        <v>707</v>
      </c>
      <c r="J82" s="957" t="s">
        <v>1194</v>
      </c>
      <c r="K82" s="957"/>
      <c r="L82" s="957" t="s">
        <v>37</v>
      </c>
      <c r="M82" s="957"/>
      <c r="N82" s="91"/>
      <c r="O82" s="91"/>
      <c r="P82" s="91"/>
      <c r="Q82" s="91"/>
      <c r="R82" s="91"/>
      <c r="S82" s="91"/>
      <c r="T82" s="91"/>
      <c r="U82" s="91"/>
      <c r="V82" s="3202"/>
      <c r="W82" s="116"/>
      <c r="X82" s="3309"/>
      <c r="Y82" s="3295"/>
      <c r="Z82" s="3296"/>
    </row>
    <row r="83" spans="1:26" ht="30" hidden="1" thickTop="1" thickBot="1">
      <c r="A83" s="2052" t="s">
        <v>1193</v>
      </c>
      <c r="B83" s="1940">
        <v>45674</v>
      </c>
      <c r="C83" s="3197">
        <f t="shared" si="2"/>
        <v>3</v>
      </c>
      <c r="D83" s="3744">
        <v>50</v>
      </c>
      <c r="E83" s="3232" t="s">
        <v>1195</v>
      </c>
      <c r="F83" s="3232" t="s">
        <v>1196</v>
      </c>
      <c r="G83" s="4671"/>
      <c r="H83" s="4671"/>
      <c r="I83" s="3505">
        <v>712</v>
      </c>
      <c r="J83" s="1593" t="s">
        <v>1197</v>
      </c>
      <c r="K83" s="3176" t="s">
        <v>84</v>
      </c>
      <c r="L83" s="1029" t="s">
        <v>37</v>
      </c>
      <c r="M83" s="1593"/>
      <c r="N83" s="1594"/>
      <c r="O83" s="1594"/>
      <c r="P83" s="71"/>
      <c r="Q83" s="71"/>
      <c r="R83" s="71"/>
      <c r="S83" s="1594"/>
      <c r="T83" s="1594"/>
      <c r="U83" s="1594"/>
      <c r="V83" s="3201"/>
      <c r="W83" s="3264"/>
      <c r="X83" s="3276"/>
      <c r="Y83" s="3277"/>
    </row>
    <row r="84" spans="1:26" ht="29.25" hidden="1" thickBot="1">
      <c r="A84" s="76" t="s">
        <v>1193</v>
      </c>
      <c r="B84" s="1300">
        <v>45674</v>
      </c>
      <c r="C84" s="3197">
        <f t="shared" si="2"/>
        <v>3</v>
      </c>
      <c r="D84" s="3190"/>
      <c r="E84" s="1194" t="s">
        <v>1165</v>
      </c>
      <c r="F84" s="1194" t="s">
        <v>1166</v>
      </c>
      <c r="I84" s="3443">
        <v>712</v>
      </c>
      <c r="J84" s="3238" t="s">
        <v>157</v>
      </c>
      <c r="K84" s="3183" t="s">
        <v>84</v>
      </c>
      <c r="L84" s="924" t="s">
        <v>37</v>
      </c>
      <c r="M84" s="923"/>
      <c r="N84" s="71"/>
      <c r="O84" s="71"/>
      <c r="P84" s="71"/>
      <c r="Q84" s="71"/>
      <c r="R84" s="71"/>
      <c r="S84" s="71"/>
      <c r="T84" s="71"/>
      <c r="U84" s="71"/>
      <c r="V84" s="71"/>
      <c r="W84" s="97"/>
    </row>
    <row r="85" spans="1:26" ht="29.25" hidden="1" thickBot="1">
      <c r="A85" s="76" t="s">
        <v>1193</v>
      </c>
      <c r="B85" s="1300">
        <v>45674</v>
      </c>
      <c r="C85" s="3197">
        <f t="shared" si="2"/>
        <v>3</v>
      </c>
      <c r="D85" s="3190">
        <v>51</v>
      </c>
      <c r="E85" s="1194" t="s">
        <v>669</v>
      </c>
      <c r="F85" s="1194" t="s">
        <v>405</v>
      </c>
      <c r="I85" s="3443">
        <v>712</v>
      </c>
      <c r="J85" s="3238">
        <v>60086</v>
      </c>
      <c r="K85" s="3183" t="s">
        <v>84</v>
      </c>
      <c r="L85" s="924" t="s">
        <v>37</v>
      </c>
      <c r="M85" s="923"/>
      <c r="N85" s="71"/>
      <c r="O85" s="71"/>
      <c r="P85" s="71"/>
      <c r="Q85" s="71"/>
      <c r="R85" s="71"/>
      <c r="S85" s="71"/>
      <c r="T85" s="71"/>
      <c r="U85" s="71"/>
      <c r="V85" s="71"/>
      <c r="W85" s="97"/>
    </row>
    <row r="86" spans="1:26" ht="29.25" hidden="1" thickBot="1">
      <c r="A86" s="76" t="s">
        <v>143</v>
      </c>
      <c r="B86" s="1300">
        <v>45675</v>
      </c>
      <c r="C86" s="3197">
        <f t="shared" si="2"/>
        <v>3</v>
      </c>
      <c r="D86" s="3190">
        <v>53</v>
      </c>
      <c r="E86" s="990" t="s">
        <v>1198</v>
      </c>
      <c r="F86" s="990" t="s">
        <v>263</v>
      </c>
      <c r="G86" s="935" t="s">
        <v>1199</v>
      </c>
      <c r="H86" s="935" t="s">
        <v>1199</v>
      </c>
      <c r="I86" s="3443">
        <v>712</v>
      </c>
      <c r="J86" s="3238" t="s">
        <v>1200</v>
      </c>
      <c r="K86" s="3183" t="s">
        <v>84</v>
      </c>
      <c r="L86" s="3250" t="s">
        <v>37</v>
      </c>
      <c r="M86" s="923"/>
      <c r="N86" s="71"/>
      <c r="O86" s="71"/>
      <c r="P86" s="71"/>
      <c r="Q86" s="71"/>
      <c r="R86" s="71"/>
      <c r="S86" s="71"/>
      <c r="T86" s="71"/>
      <c r="U86" s="71"/>
      <c r="V86" s="71"/>
      <c r="W86" s="97"/>
    </row>
    <row r="87" spans="1:26" ht="53.25" hidden="1" thickBot="1">
      <c r="A87" s="76" t="s">
        <v>25</v>
      </c>
      <c r="B87" s="1300">
        <v>45677</v>
      </c>
      <c r="C87" s="3197">
        <f t="shared" si="2"/>
        <v>4</v>
      </c>
      <c r="D87" s="3190">
        <v>52</v>
      </c>
      <c r="E87" s="3177" t="s">
        <v>943</v>
      </c>
      <c r="F87" s="3177" t="s">
        <v>1201</v>
      </c>
      <c r="G87" s="925" t="s">
        <v>1202</v>
      </c>
      <c r="H87" s="925" t="s">
        <v>1202</v>
      </c>
      <c r="I87" s="923">
        <v>707</v>
      </c>
      <c r="J87" s="3238" t="s">
        <v>489</v>
      </c>
      <c r="K87" s="923"/>
      <c r="L87" s="1520"/>
      <c r="M87" s="923" t="s">
        <v>30</v>
      </c>
      <c r="N87" s="71"/>
      <c r="O87" s="71"/>
      <c r="P87" s="21" t="s">
        <v>0</v>
      </c>
      <c r="Q87" s="21" t="s">
        <v>31</v>
      </c>
      <c r="R87" s="21" t="s">
        <v>38</v>
      </c>
      <c r="S87" s="71"/>
      <c r="T87" s="71"/>
      <c r="U87" s="71"/>
      <c r="V87" s="71"/>
      <c r="W87" s="97" t="s">
        <v>1203</v>
      </c>
      <c r="X87" s="3166" t="s">
        <v>1204</v>
      </c>
    </row>
    <row r="88" spans="1:26" ht="27" hidden="1" thickBot="1">
      <c r="A88" s="76" t="s">
        <v>25</v>
      </c>
      <c r="B88" s="1300">
        <v>45677</v>
      </c>
      <c r="C88" s="3197">
        <f t="shared" si="2"/>
        <v>4</v>
      </c>
      <c r="D88" s="3190"/>
      <c r="E88" s="3177" t="s">
        <v>943</v>
      </c>
      <c r="F88" s="3177" t="s">
        <v>1205</v>
      </c>
      <c r="G88" s="3109" t="s">
        <v>1206</v>
      </c>
      <c r="H88" s="935" t="s">
        <v>1199</v>
      </c>
      <c r="I88" s="923">
        <v>707</v>
      </c>
      <c r="J88" s="3265" t="s">
        <v>1207</v>
      </c>
      <c r="K88" s="923"/>
      <c r="L88" s="1520"/>
      <c r="M88" s="923"/>
      <c r="N88" s="71" t="s">
        <v>37</v>
      </c>
      <c r="O88" s="71"/>
      <c r="P88" s="21" t="s">
        <v>0</v>
      </c>
      <c r="Q88" s="21" t="s">
        <v>31</v>
      </c>
      <c r="R88" s="21" t="s">
        <v>38</v>
      </c>
      <c r="S88" s="71"/>
      <c r="T88" s="71"/>
      <c r="U88" s="71"/>
      <c r="V88" s="71"/>
      <c r="W88" s="97"/>
    </row>
    <row r="89" spans="1:26" ht="53.25" hidden="1" thickBot="1">
      <c r="A89" s="76" t="s">
        <v>25</v>
      </c>
      <c r="B89" s="1300">
        <v>45677</v>
      </c>
      <c r="C89" s="3197">
        <f t="shared" si="2"/>
        <v>4</v>
      </c>
      <c r="D89" s="3190"/>
      <c r="E89" s="990" t="s">
        <v>148</v>
      </c>
      <c r="F89" s="990" t="s">
        <v>1123</v>
      </c>
      <c r="G89" s="925" t="s">
        <v>1199</v>
      </c>
      <c r="H89" s="925" t="s">
        <v>1199</v>
      </c>
      <c r="I89" s="3505">
        <v>712</v>
      </c>
      <c r="J89" s="3238" t="s">
        <v>1200</v>
      </c>
      <c r="K89" s="923"/>
      <c r="L89" s="1520"/>
      <c r="M89" s="71" t="s">
        <v>37</v>
      </c>
      <c r="N89" s="71"/>
      <c r="O89" s="71"/>
      <c r="P89" s="21" t="s">
        <v>0</v>
      </c>
      <c r="Q89" s="21" t="s">
        <v>31</v>
      </c>
      <c r="R89" s="21" t="s">
        <v>1155</v>
      </c>
      <c r="S89" s="71"/>
      <c r="T89" s="71"/>
      <c r="U89" s="71"/>
      <c r="V89" s="71"/>
      <c r="W89" s="97" t="s">
        <v>1208</v>
      </c>
    </row>
    <row r="90" spans="1:26" ht="27" hidden="1" thickBot="1">
      <c r="A90" s="76" t="s">
        <v>25</v>
      </c>
      <c r="B90" s="1300">
        <v>45677</v>
      </c>
      <c r="C90" s="3197">
        <f t="shared" si="2"/>
        <v>4</v>
      </c>
      <c r="D90" s="3190">
        <v>54</v>
      </c>
      <c r="E90" s="1194" t="s">
        <v>1209</v>
      </c>
      <c r="F90" s="1194" t="s">
        <v>1209</v>
      </c>
      <c r="G90" s="979" t="s">
        <v>1206</v>
      </c>
      <c r="H90" s="979" t="s">
        <v>1206</v>
      </c>
      <c r="I90" s="923">
        <v>710</v>
      </c>
      <c r="J90" s="3238" t="s">
        <v>1210</v>
      </c>
      <c r="K90" s="923"/>
      <c r="L90" s="71" t="s">
        <v>37</v>
      </c>
      <c r="M90" s="923"/>
      <c r="N90" s="71"/>
      <c r="O90" s="71"/>
      <c r="P90" s="71"/>
      <c r="Q90" s="71"/>
      <c r="R90" s="71"/>
      <c r="S90" s="71"/>
      <c r="T90" s="71"/>
      <c r="U90" s="71"/>
      <c r="V90" s="71"/>
      <c r="W90" s="97"/>
    </row>
    <row r="91" spans="1:26" ht="27" hidden="1" thickBot="1">
      <c r="A91" s="76" t="s">
        <v>25</v>
      </c>
      <c r="B91" s="1300">
        <v>45677</v>
      </c>
      <c r="C91" s="3197">
        <f t="shared" si="2"/>
        <v>4</v>
      </c>
      <c r="D91" s="3190">
        <v>55</v>
      </c>
      <c r="E91" s="440" t="s">
        <v>306</v>
      </c>
      <c r="F91" s="440" t="s">
        <v>1211</v>
      </c>
      <c r="G91" s="3109" t="s">
        <v>1206</v>
      </c>
      <c r="H91" s="935" t="s">
        <v>1199</v>
      </c>
      <c r="I91" s="923">
        <v>705</v>
      </c>
      <c r="J91" s="3238" t="s">
        <v>1212</v>
      </c>
      <c r="K91" s="923"/>
      <c r="L91" s="71" t="s">
        <v>37</v>
      </c>
      <c r="M91" s="71"/>
      <c r="N91" s="71"/>
      <c r="O91" s="71"/>
      <c r="P91" s="71"/>
      <c r="Q91" s="71"/>
      <c r="R91" s="71"/>
      <c r="S91" s="71"/>
      <c r="T91" s="71"/>
      <c r="U91" s="71"/>
      <c r="V91" s="71"/>
      <c r="W91" s="97"/>
    </row>
    <row r="92" spans="1:26" ht="27" hidden="1" thickBot="1">
      <c r="A92" s="76" t="s">
        <v>25</v>
      </c>
      <c r="B92" s="1300">
        <v>45677</v>
      </c>
      <c r="C92" s="3197">
        <f t="shared" si="2"/>
        <v>4</v>
      </c>
      <c r="D92" s="3190"/>
      <c r="E92" s="440" t="s">
        <v>1213</v>
      </c>
      <c r="F92" s="440" t="s">
        <v>1051</v>
      </c>
      <c r="G92" s="935" t="s">
        <v>1199</v>
      </c>
      <c r="H92" s="935" t="s">
        <v>1199</v>
      </c>
      <c r="I92" s="923">
        <v>705</v>
      </c>
      <c r="J92" s="3238" t="s">
        <v>1214</v>
      </c>
      <c r="K92" s="923"/>
      <c r="L92" s="1520"/>
      <c r="M92" s="71" t="s">
        <v>37</v>
      </c>
      <c r="N92" s="71"/>
      <c r="O92" s="71"/>
      <c r="P92" s="21" t="s">
        <v>0</v>
      </c>
      <c r="Q92" s="21" t="s">
        <v>782</v>
      </c>
      <c r="R92" s="21" t="s">
        <v>160</v>
      </c>
      <c r="S92" s="71"/>
      <c r="T92" s="71"/>
      <c r="U92" s="71"/>
      <c r="V92" s="71"/>
      <c r="W92" s="97" t="s">
        <v>1215</v>
      </c>
    </row>
    <row r="93" spans="1:26" ht="27" hidden="1" thickBot="1">
      <c r="A93" s="76" t="s">
        <v>25</v>
      </c>
      <c r="B93" s="1300">
        <v>45677</v>
      </c>
      <c r="C93" s="3197">
        <f t="shared" si="2"/>
        <v>4</v>
      </c>
      <c r="D93" s="3190">
        <v>56</v>
      </c>
      <c r="E93" s="1194" t="s">
        <v>79</v>
      </c>
      <c r="F93" s="1194" t="s">
        <v>1216</v>
      </c>
      <c r="G93" s="925" t="s">
        <v>1199</v>
      </c>
      <c r="H93" s="925" t="s">
        <v>1199</v>
      </c>
      <c r="I93" s="923">
        <v>702</v>
      </c>
      <c r="J93" s="3238">
        <v>60093</v>
      </c>
      <c r="K93" s="3183" t="s">
        <v>1119</v>
      </c>
      <c r="L93" s="3250" t="s">
        <v>30</v>
      </c>
      <c r="M93" s="923"/>
      <c r="N93" s="71"/>
      <c r="O93" s="71"/>
      <c r="P93" s="71"/>
      <c r="Q93" s="71"/>
      <c r="R93" s="71"/>
      <c r="S93" s="71"/>
      <c r="T93" s="71"/>
      <c r="U93" s="71"/>
      <c r="V93" s="71"/>
      <c r="W93" s="97"/>
    </row>
    <row r="94" spans="1:26" ht="27" hidden="1" thickBot="1">
      <c r="A94" s="76" t="s">
        <v>25</v>
      </c>
      <c r="B94" s="1300">
        <v>45677</v>
      </c>
      <c r="C94" s="3197">
        <f t="shared" si="2"/>
        <v>4</v>
      </c>
      <c r="D94" s="3190"/>
      <c r="E94" s="1194" t="s">
        <v>747</v>
      </c>
      <c r="F94" s="1194" t="s">
        <v>195</v>
      </c>
      <c r="G94" s="925" t="s">
        <v>1199</v>
      </c>
      <c r="H94" s="925" t="s">
        <v>1199</v>
      </c>
      <c r="I94" s="923">
        <v>702</v>
      </c>
      <c r="J94" s="3238">
        <v>60093</v>
      </c>
      <c r="K94" s="3183" t="s">
        <v>1119</v>
      </c>
      <c r="L94" s="3250" t="s">
        <v>30</v>
      </c>
      <c r="M94" s="923"/>
      <c r="N94" s="71"/>
      <c r="O94" s="71"/>
      <c r="P94" s="71"/>
      <c r="Q94" s="71"/>
      <c r="R94" s="71"/>
      <c r="S94" s="71"/>
      <c r="T94" s="71"/>
      <c r="U94" s="71"/>
      <c r="V94" s="71"/>
      <c r="W94" s="97"/>
    </row>
    <row r="95" spans="1:26" ht="29.25" hidden="1" thickBot="1">
      <c r="A95" s="710" t="s">
        <v>25</v>
      </c>
      <c r="B95" s="1312">
        <v>45677</v>
      </c>
      <c r="C95" s="3197">
        <f t="shared" si="2"/>
        <v>4</v>
      </c>
      <c r="D95" s="3197">
        <v>57</v>
      </c>
      <c r="E95" s="1514" t="s">
        <v>1065</v>
      </c>
      <c r="F95" s="1514" t="s">
        <v>1217</v>
      </c>
      <c r="G95" s="959" t="s">
        <v>1199</v>
      </c>
      <c r="H95" s="959" t="s">
        <v>1199</v>
      </c>
      <c r="I95" s="3443">
        <v>712</v>
      </c>
      <c r="J95" s="3252" t="s">
        <v>1066</v>
      </c>
      <c r="K95" s="3173" t="s">
        <v>1067</v>
      </c>
      <c r="L95" s="3250" t="s">
        <v>30</v>
      </c>
      <c r="M95" s="957"/>
      <c r="N95" s="91"/>
      <c r="O95" s="91"/>
      <c r="P95" s="91"/>
      <c r="Q95" s="91"/>
      <c r="R95" s="91"/>
      <c r="S95" s="91"/>
      <c r="T95" s="91"/>
      <c r="U95" s="91"/>
      <c r="V95" s="91"/>
      <c r="W95" s="91"/>
      <c r="X95" s="3284"/>
      <c r="Y95" s="3295"/>
      <c r="Z95" s="3296"/>
    </row>
    <row r="96" spans="1:26" ht="27" hidden="1" thickBot="1">
      <c r="A96" s="162" t="s">
        <v>25</v>
      </c>
      <c r="B96" s="1301">
        <v>45677</v>
      </c>
      <c r="C96" s="3197">
        <f t="shared" si="2"/>
        <v>4</v>
      </c>
      <c r="D96" s="3743">
        <v>58</v>
      </c>
      <c r="E96" s="1673" t="s">
        <v>43</v>
      </c>
      <c r="F96" s="1673" t="s">
        <v>584</v>
      </c>
      <c r="G96" s="1017" t="s">
        <v>1199</v>
      </c>
      <c r="H96" s="1183" t="s">
        <v>1199</v>
      </c>
      <c r="I96" s="923">
        <v>703</v>
      </c>
      <c r="J96" s="3245" t="s">
        <v>1218</v>
      </c>
      <c r="K96" s="1009"/>
      <c r="L96" s="71" t="s">
        <v>37</v>
      </c>
      <c r="M96" s="1009"/>
      <c r="N96" s="97"/>
      <c r="O96" s="97"/>
      <c r="P96" s="97"/>
      <c r="Q96" s="97"/>
      <c r="R96" s="97"/>
      <c r="S96" s="97"/>
      <c r="T96" s="97"/>
      <c r="U96" s="97"/>
      <c r="V96" s="97"/>
      <c r="W96" s="97"/>
      <c r="X96" s="3276"/>
      <c r="Y96" s="3277"/>
    </row>
    <row r="97" spans="1:26" ht="27" hidden="1" thickBot="1">
      <c r="A97" s="76" t="s">
        <v>25</v>
      </c>
      <c r="B97" s="1300">
        <v>45677</v>
      </c>
      <c r="C97" s="3197">
        <f t="shared" si="2"/>
        <v>4</v>
      </c>
      <c r="D97" s="3190"/>
      <c r="E97" s="3266" t="s">
        <v>1219</v>
      </c>
      <c r="F97" s="3266" t="s">
        <v>830</v>
      </c>
      <c r="G97" s="935" t="s">
        <v>1199</v>
      </c>
      <c r="H97" s="935" t="s">
        <v>1199</v>
      </c>
      <c r="I97" s="923">
        <v>703</v>
      </c>
      <c r="J97" s="3238" t="s">
        <v>1218</v>
      </c>
      <c r="K97" s="923"/>
      <c r="L97" s="71" t="s">
        <v>37</v>
      </c>
      <c r="M97" s="923"/>
      <c r="N97" s="71"/>
      <c r="O97" s="71"/>
      <c r="P97" s="71"/>
      <c r="Q97" s="71"/>
      <c r="R97" s="71"/>
      <c r="S97" s="71"/>
      <c r="T97" s="71"/>
      <c r="U97" s="71"/>
      <c r="V97" s="71"/>
      <c r="W97" s="97"/>
    </row>
    <row r="98" spans="1:26" ht="29.25" hidden="1" thickBot="1">
      <c r="A98" s="76" t="s">
        <v>25</v>
      </c>
      <c r="B98" s="1300">
        <v>45677</v>
      </c>
      <c r="C98" s="3197">
        <f t="shared" si="2"/>
        <v>4</v>
      </c>
      <c r="D98" s="3190">
        <v>59</v>
      </c>
      <c r="E98" s="1194" t="s">
        <v>1220</v>
      </c>
      <c r="F98" s="1194" t="s">
        <v>1221</v>
      </c>
      <c r="G98" s="925" t="s">
        <v>1199</v>
      </c>
      <c r="H98" s="935" t="s">
        <v>1199</v>
      </c>
      <c r="I98" s="3443">
        <v>712</v>
      </c>
      <c r="J98" s="3238" t="s">
        <v>1222</v>
      </c>
      <c r="K98" s="923"/>
      <c r="L98" s="3250" t="s">
        <v>37</v>
      </c>
      <c r="M98" s="923"/>
      <c r="N98" s="71"/>
      <c r="O98" s="71"/>
      <c r="P98" s="71"/>
      <c r="Q98" s="71"/>
      <c r="R98" s="71"/>
      <c r="S98" s="71"/>
      <c r="T98" s="71"/>
      <c r="U98" s="71"/>
      <c r="V98" s="71"/>
      <c r="W98" s="97"/>
    </row>
    <row r="99" spans="1:26" ht="29.25" hidden="1" thickBot="1">
      <c r="A99" s="710" t="s">
        <v>67</v>
      </c>
      <c r="B99" s="1312">
        <v>45678</v>
      </c>
      <c r="C99" s="3197">
        <f t="shared" si="2"/>
        <v>4</v>
      </c>
      <c r="D99" s="3197"/>
      <c r="E99" s="1514" t="s">
        <v>1223</v>
      </c>
      <c r="F99" s="1514" t="s">
        <v>1224</v>
      </c>
      <c r="G99" s="959" t="s">
        <v>1199</v>
      </c>
      <c r="H99" s="3172" t="s">
        <v>1206</v>
      </c>
      <c r="I99" s="3443">
        <v>712</v>
      </c>
      <c r="J99" s="3252" t="s">
        <v>1222</v>
      </c>
      <c r="K99" s="957"/>
      <c r="L99" s="3251" t="s">
        <v>37</v>
      </c>
      <c r="M99" s="957"/>
      <c r="N99" s="91"/>
      <c r="O99" s="91"/>
      <c r="P99" s="91"/>
      <c r="Q99" s="91"/>
      <c r="R99" s="91"/>
      <c r="S99" s="91"/>
      <c r="T99" s="91"/>
      <c r="U99" s="91"/>
      <c r="V99" s="91"/>
      <c r="W99" s="91"/>
      <c r="X99" s="3284"/>
      <c r="Y99" s="3295"/>
      <c r="Z99" s="3296"/>
    </row>
    <row r="100" spans="1:26" ht="27" hidden="1" thickBot="1">
      <c r="A100" s="162" t="s">
        <v>67</v>
      </c>
      <c r="B100" s="1301">
        <v>45678</v>
      </c>
      <c r="C100" s="3197">
        <f t="shared" si="2"/>
        <v>4</v>
      </c>
      <c r="D100" s="3743"/>
      <c r="E100" s="4811" t="s">
        <v>1225</v>
      </c>
      <c r="F100" s="4811" t="s">
        <v>512</v>
      </c>
      <c r="G100" s="1017" t="s">
        <v>1206</v>
      </c>
      <c r="H100" s="3268" t="s">
        <v>1206</v>
      </c>
      <c r="I100" s="1009">
        <v>707</v>
      </c>
      <c r="J100" s="3245" t="s">
        <v>1226</v>
      </c>
      <c r="K100" s="1009"/>
      <c r="L100" s="2727" t="s">
        <v>37</v>
      </c>
      <c r="M100" s="1009"/>
      <c r="N100" s="97"/>
      <c r="O100" s="97"/>
      <c r="P100" s="97"/>
      <c r="Q100" s="97"/>
      <c r="R100" s="97"/>
      <c r="S100" s="97"/>
      <c r="T100" s="97"/>
      <c r="U100" s="97"/>
      <c r="V100" s="97"/>
      <c r="W100" s="97"/>
      <c r="X100" s="3276"/>
      <c r="Y100" s="3277"/>
    </row>
    <row r="101" spans="1:26" ht="27" hidden="1" thickBot="1">
      <c r="A101" s="76" t="s">
        <v>67</v>
      </c>
      <c r="B101" s="1300">
        <v>45678</v>
      </c>
      <c r="C101" s="3197">
        <f t="shared" si="2"/>
        <v>4</v>
      </c>
      <c r="D101" s="3190">
        <v>60</v>
      </c>
      <c r="E101" s="982" t="s">
        <v>169</v>
      </c>
      <c r="F101" s="982" t="s">
        <v>419</v>
      </c>
      <c r="G101" s="3109" t="s">
        <v>1206</v>
      </c>
      <c r="H101" s="3115" t="s">
        <v>1206</v>
      </c>
      <c r="I101" s="923">
        <v>710</v>
      </c>
      <c r="J101" s="3238" t="s">
        <v>1227</v>
      </c>
      <c r="K101" s="923"/>
      <c r="L101" s="3250"/>
      <c r="M101" s="923" t="s">
        <v>30</v>
      </c>
      <c r="N101" s="71"/>
      <c r="O101" s="71"/>
      <c r="P101" s="21" t="s">
        <v>71</v>
      </c>
      <c r="Q101" s="21" t="s">
        <v>138</v>
      </c>
      <c r="R101" s="21" t="s">
        <v>1228</v>
      </c>
      <c r="S101" s="71"/>
      <c r="T101" s="71"/>
      <c r="U101" s="71"/>
      <c r="V101" s="71"/>
      <c r="W101" s="97" t="s">
        <v>1229</v>
      </c>
      <c r="X101" s="3160" t="s">
        <v>1230</v>
      </c>
    </row>
    <row r="102" spans="1:26" ht="53.25" hidden="1" thickBot="1">
      <c r="A102" s="76" t="s">
        <v>67</v>
      </c>
      <c r="B102" s="1300">
        <v>45678</v>
      </c>
      <c r="C102" s="3197">
        <f t="shared" ref="C102:C122" si="3">_xlfn.ISOWEEKNUM(B102)</f>
        <v>4</v>
      </c>
      <c r="D102" s="3190">
        <v>61</v>
      </c>
      <c r="E102" s="1194" t="s">
        <v>264</v>
      </c>
      <c r="F102" s="1194" t="s">
        <v>1153</v>
      </c>
      <c r="G102" s="3109" t="s">
        <v>1206</v>
      </c>
      <c r="H102" s="3109" t="s">
        <v>1206</v>
      </c>
      <c r="I102" s="3443">
        <v>712</v>
      </c>
      <c r="J102" s="3238" t="s">
        <v>1231</v>
      </c>
      <c r="K102" s="923"/>
      <c r="L102" s="3250"/>
      <c r="M102" s="923" t="s">
        <v>30</v>
      </c>
      <c r="N102" s="71"/>
      <c r="O102" s="71"/>
      <c r="P102" s="21" t="s">
        <v>0</v>
      </c>
      <c r="Q102" s="21" t="s">
        <v>31</v>
      </c>
      <c r="R102" s="21" t="s">
        <v>1155</v>
      </c>
      <c r="S102" s="71" t="s">
        <v>37</v>
      </c>
      <c r="T102" s="71"/>
      <c r="U102" s="71"/>
      <c r="V102" s="71"/>
      <c r="W102" s="97" t="s">
        <v>1232</v>
      </c>
      <c r="Y102" s="3156" t="s">
        <v>1233</v>
      </c>
    </row>
    <row r="103" spans="1:26" ht="27" hidden="1" thickBot="1">
      <c r="A103" s="76" t="s">
        <v>85</v>
      </c>
      <c r="B103" s="1300">
        <v>45679</v>
      </c>
      <c r="C103" s="3197">
        <f t="shared" si="3"/>
        <v>4</v>
      </c>
      <c r="D103" s="3190">
        <v>62</v>
      </c>
      <c r="E103" s="439" t="s">
        <v>79</v>
      </c>
      <c r="F103" s="439" t="s">
        <v>747</v>
      </c>
      <c r="G103" s="925" t="s">
        <v>1206</v>
      </c>
      <c r="H103" s="925" t="s">
        <v>1206</v>
      </c>
      <c r="I103" s="923">
        <v>702</v>
      </c>
      <c r="J103" s="3238">
        <v>60093</v>
      </c>
      <c r="K103" s="3183" t="s">
        <v>1119</v>
      </c>
      <c r="L103" s="3250" t="s">
        <v>37</v>
      </c>
      <c r="M103" s="923"/>
      <c r="N103" s="71"/>
      <c r="O103" s="71"/>
      <c r="P103" s="71"/>
      <c r="Q103" s="71"/>
      <c r="R103" s="71"/>
      <c r="S103" s="71"/>
      <c r="T103" s="71"/>
      <c r="U103" s="71"/>
      <c r="V103" s="71"/>
      <c r="W103" s="97"/>
    </row>
    <row r="104" spans="1:26" ht="27" hidden="1" thickBot="1">
      <c r="A104" s="76" t="s">
        <v>85</v>
      </c>
      <c r="B104" s="1300">
        <v>45679</v>
      </c>
      <c r="C104" s="3197">
        <f t="shared" si="3"/>
        <v>4</v>
      </c>
      <c r="D104" s="3190"/>
      <c r="E104" s="1000" t="s">
        <v>747</v>
      </c>
      <c r="F104" s="1000" t="s">
        <v>79</v>
      </c>
      <c r="G104" s="925" t="s">
        <v>1206</v>
      </c>
      <c r="H104" s="925" t="s">
        <v>1206</v>
      </c>
      <c r="I104" s="1001">
        <v>702</v>
      </c>
      <c r="J104" s="3234">
        <v>60093</v>
      </c>
      <c r="K104" s="3171" t="s">
        <v>1119</v>
      </c>
      <c r="L104" s="3269" t="s">
        <v>37</v>
      </c>
      <c r="M104" s="918"/>
      <c r="N104" s="33"/>
      <c r="O104" s="33"/>
      <c r="P104" s="71"/>
      <c r="Q104" s="71"/>
      <c r="R104" s="71"/>
      <c r="S104" s="33"/>
      <c r="T104" s="33"/>
      <c r="U104" s="33"/>
      <c r="V104" s="33"/>
      <c r="W104" s="1594"/>
    </row>
    <row r="105" spans="1:26" ht="27" hidden="1" thickBot="1">
      <c r="A105" s="710" t="s">
        <v>85</v>
      </c>
      <c r="B105" s="1312">
        <v>45679</v>
      </c>
      <c r="C105" s="3197">
        <f t="shared" si="3"/>
        <v>4</v>
      </c>
      <c r="D105" s="3197"/>
      <c r="E105" s="449" t="s">
        <v>79</v>
      </c>
      <c r="F105" s="449" t="s">
        <v>747</v>
      </c>
      <c r="G105" s="959" t="s">
        <v>1206</v>
      </c>
      <c r="H105" s="959" t="s">
        <v>1206</v>
      </c>
      <c r="I105" s="923">
        <v>702</v>
      </c>
      <c r="J105" s="3252">
        <v>60093</v>
      </c>
      <c r="K105" s="3183" t="s">
        <v>1119</v>
      </c>
      <c r="L105" s="3269" t="s">
        <v>37</v>
      </c>
      <c r="M105" s="957"/>
      <c r="N105" s="91"/>
      <c r="O105" s="91"/>
      <c r="P105" s="91"/>
      <c r="Q105" s="91"/>
      <c r="R105" s="91"/>
      <c r="S105" s="91"/>
      <c r="T105" s="91"/>
      <c r="U105" s="91"/>
      <c r="V105" s="91"/>
      <c r="W105" s="91"/>
      <c r="X105" s="3284"/>
      <c r="Y105" s="3295"/>
      <c r="Z105" s="3296"/>
    </row>
    <row r="106" spans="1:26" ht="27" hidden="1" thickBot="1">
      <c r="A106" s="162" t="s">
        <v>85</v>
      </c>
      <c r="B106" s="1301">
        <v>45679</v>
      </c>
      <c r="C106" s="3197">
        <f t="shared" si="3"/>
        <v>4</v>
      </c>
      <c r="D106" s="3743"/>
      <c r="E106" s="1004" t="s">
        <v>747</v>
      </c>
      <c r="F106" s="1004" t="s">
        <v>79</v>
      </c>
      <c r="G106" s="1017" t="s">
        <v>1206</v>
      </c>
      <c r="H106" s="1017" t="s">
        <v>1206</v>
      </c>
      <c r="I106" s="1009">
        <v>702</v>
      </c>
      <c r="J106" s="3245">
        <v>60093</v>
      </c>
      <c r="K106" s="3267" t="s">
        <v>1119</v>
      </c>
      <c r="L106" s="2727" t="s">
        <v>37</v>
      </c>
      <c r="M106" s="1009"/>
      <c r="N106" s="97"/>
      <c r="O106" s="97"/>
      <c r="P106" s="97"/>
      <c r="Q106" s="97"/>
      <c r="R106" s="97"/>
      <c r="S106" s="97"/>
      <c r="T106" s="97"/>
      <c r="U106" s="97"/>
      <c r="V106" s="97"/>
      <c r="W106" s="97"/>
      <c r="X106" s="3276"/>
      <c r="Y106" s="3277"/>
    </row>
    <row r="107" spans="1:26" ht="53.25" hidden="1" thickBot="1">
      <c r="A107" s="76" t="s">
        <v>85</v>
      </c>
      <c r="B107" s="1300">
        <v>45679</v>
      </c>
      <c r="C107" s="3197">
        <f t="shared" si="3"/>
        <v>4</v>
      </c>
      <c r="D107" s="3190">
        <v>63</v>
      </c>
      <c r="E107" s="439" t="s">
        <v>450</v>
      </c>
      <c r="F107" s="439" t="s">
        <v>1234</v>
      </c>
      <c r="G107" s="3109" t="s">
        <v>1235</v>
      </c>
      <c r="H107" s="3109" t="s">
        <v>1235</v>
      </c>
      <c r="I107" s="923">
        <v>705</v>
      </c>
      <c r="J107" s="3238" t="s">
        <v>451</v>
      </c>
      <c r="K107" s="923"/>
      <c r="L107" s="1596"/>
      <c r="M107" s="923" t="s">
        <v>30</v>
      </c>
      <c r="N107" s="71"/>
      <c r="O107" s="33"/>
      <c r="P107" s="24" t="s">
        <v>0</v>
      </c>
      <c r="Q107" s="24" t="s">
        <v>31</v>
      </c>
      <c r="R107" s="24" t="s">
        <v>1155</v>
      </c>
      <c r="S107" s="71" t="s">
        <v>37</v>
      </c>
      <c r="T107" s="71"/>
      <c r="U107" s="71"/>
      <c r="V107" s="71"/>
      <c r="W107" s="71" t="s">
        <v>1236</v>
      </c>
    </row>
    <row r="108" spans="1:26" ht="29.25" hidden="1" thickBot="1">
      <c r="A108" s="76" t="s">
        <v>85</v>
      </c>
      <c r="B108" s="1300">
        <v>45679</v>
      </c>
      <c r="C108" s="3197">
        <f t="shared" si="3"/>
        <v>4</v>
      </c>
      <c r="D108" s="3190">
        <v>64</v>
      </c>
      <c r="E108" s="1194" t="s">
        <v>1217</v>
      </c>
      <c r="F108" s="1194" t="s">
        <v>1065</v>
      </c>
      <c r="G108" s="3115" t="s">
        <v>1206</v>
      </c>
      <c r="H108" s="3115" t="s">
        <v>1206</v>
      </c>
      <c r="I108" s="3443">
        <v>712</v>
      </c>
      <c r="J108" s="3238" t="s">
        <v>1237</v>
      </c>
      <c r="K108" s="3183" t="s">
        <v>1067</v>
      </c>
      <c r="L108" s="21" t="s">
        <v>30</v>
      </c>
      <c r="M108" s="923"/>
      <c r="N108" s="71"/>
      <c r="O108" s="71"/>
      <c r="P108" s="71"/>
      <c r="Q108" s="71"/>
      <c r="R108" s="71"/>
      <c r="S108" s="71"/>
      <c r="T108" s="71"/>
      <c r="U108" s="71"/>
      <c r="V108" s="71"/>
      <c r="W108" s="71"/>
    </row>
    <row r="109" spans="1:26" ht="27" hidden="1" thickBot="1">
      <c r="A109" s="118" t="s">
        <v>105</v>
      </c>
      <c r="B109" s="1390">
        <v>45680</v>
      </c>
      <c r="C109" s="3197">
        <f t="shared" si="3"/>
        <v>4</v>
      </c>
      <c r="D109" s="3190">
        <v>65</v>
      </c>
      <c r="E109" s="1000" t="s">
        <v>1238</v>
      </c>
      <c r="F109" s="1000" t="s">
        <v>79</v>
      </c>
      <c r="G109" s="3115" t="s">
        <v>1206</v>
      </c>
      <c r="H109" s="3268" t="s">
        <v>1206</v>
      </c>
      <c r="I109" s="1001">
        <v>710</v>
      </c>
      <c r="J109" s="3234" t="s">
        <v>639</v>
      </c>
      <c r="K109" s="1001"/>
      <c r="L109" s="3269" t="s">
        <v>37</v>
      </c>
      <c r="M109" s="1001"/>
      <c r="N109" s="33"/>
      <c r="O109" s="33"/>
      <c r="P109" s="33"/>
      <c r="Q109" s="33"/>
      <c r="R109" s="33"/>
      <c r="S109" s="33"/>
      <c r="T109" s="33"/>
      <c r="U109" s="33"/>
      <c r="V109" s="33"/>
      <c r="W109" s="33"/>
    </row>
    <row r="110" spans="1:26" ht="53.25" hidden="1" thickBot="1">
      <c r="A110" s="118" t="s">
        <v>105</v>
      </c>
      <c r="B110" s="1390">
        <v>45680</v>
      </c>
      <c r="C110" s="3190">
        <f t="shared" si="3"/>
        <v>4</v>
      </c>
      <c r="D110" s="3190">
        <v>66</v>
      </c>
      <c r="E110" s="3208" t="s">
        <v>1239</v>
      </c>
      <c r="F110" s="3208" t="s">
        <v>1240</v>
      </c>
      <c r="G110" s="3184" t="s">
        <v>1235</v>
      </c>
      <c r="H110" s="3184" t="s">
        <v>1235</v>
      </c>
      <c r="I110" s="1001">
        <v>706</v>
      </c>
      <c r="J110" s="3234" t="s">
        <v>1241</v>
      </c>
      <c r="K110" s="1001"/>
      <c r="L110" s="3269"/>
      <c r="M110" s="1001" t="s">
        <v>30</v>
      </c>
      <c r="N110" s="33"/>
      <c r="O110" s="33"/>
      <c r="P110" s="24" t="s">
        <v>0</v>
      </c>
      <c r="Q110" s="24" t="s">
        <v>187</v>
      </c>
      <c r="R110" s="24" t="s">
        <v>1107</v>
      </c>
      <c r="S110" s="33"/>
      <c r="T110" s="33"/>
      <c r="U110" s="33"/>
      <c r="V110" s="33"/>
      <c r="W110" s="33" t="s">
        <v>1242</v>
      </c>
      <c r="X110" s="3273"/>
      <c r="Y110" s="3274"/>
      <c r="Z110" s="3310"/>
    </row>
    <row r="111" spans="1:26" ht="27" hidden="1" thickBot="1">
      <c r="A111" s="1935" t="s">
        <v>105</v>
      </c>
      <c r="B111" s="1936">
        <v>45680</v>
      </c>
      <c r="C111" s="3195">
        <f t="shared" si="3"/>
        <v>4</v>
      </c>
      <c r="D111" s="3195"/>
      <c r="E111" s="4593" t="s">
        <v>1243</v>
      </c>
      <c r="F111" s="4657" t="s">
        <v>287</v>
      </c>
      <c r="G111" s="3278" t="s">
        <v>1235</v>
      </c>
      <c r="H111" s="3271" t="s">
        <v>1235</v>
      </c>
      <c r="I111" s="2276">
        <v>706</v>
      </c>
      <c r="J111" s="3270" t="s">
        <v>1244</v>
      </c>
      <c r="K111" s="918"/>
      <c r="L111" s="4762"/>
      <c r="M111" s="918"/>
      <c r="N111" s="64" t="s">
        <v>30</v>
      </c>
      <c r="O111" s="64"/>
      <c r="P111" s="64"/>
      <c r="Q111" s="64"/>
      <c r="R111" s="64"/>
      <c r="S111" s="64"/>
      <c r="T111" s="64"/>
      <c r="U111" s="64"/>
      <c r="V111" s="64"/>
      <c r="W111" s="64"/>
      <c r="X111" s="3281"/>
      <c r="Y111" s="3282"/>
    </row>
    <row r="112" spans="1:26" ht="27" hidden="1" thickBot="1">
      <c r="A112" s="1941" t="s">
        <v>105</v>
      </c>
      <c r="B112" s="1300">
        <v>45680</v>
      </c>
      <c r="C112" s="3189">
        <f t="shared" si="3"/>
        <v>4</v>
      </c>
      <c r="D112" s="3189">
        <v>67</v>
      </c>
      <c r="E112" s="993" t="s">
        <v>48</v>
      </c>
      <c r="F112" s="1565" t="s">
        <v>263</v>
      </c>
      <c r="G112" s="1323" t="s">
        <v>1199</v>
      </c>
      <c r="H112" s="3192" t="s">
        <v>1206</v>
      </c>
      <c r="I112" s="2277">
        <v>705</v>
      </c>
      <c r="J112" s="3238" t="s">
        <v>1245</v>
      </c>
      <c r="K112" s="923"/>
      <c r="L112" s="3250" t="s">
        <v>37</v>
      </c>
      <c r="M112" s="923"/>
      <c r="N112" s="71"/>
      <c r="O112" s="71"/>
      <c r="P112" s="71"/>
      <c r="Q112" s="71"/>
      <c r="R112" s="71"/>
      <c r="S112" s="71"/>
      <c r="T112" s="71"/>
      <c r="U112" s="71"/>
      <c r="V112" s="71"/>
      <c r="W112" s="71"/>
      <c r="Y112" s="3283"/>
    </row>
    <row r="113" spans="1:26" ht="132" hidden="1" thickBot="1">
      <c r="A113" s="1941" t="s">
        <v>105</v>
      </c>
      <c r="B113" s="1300">
        <v>45680</v>
      </c>
      <c r="C113" s="3189">
        <f t="shared" si="3"/>
        <v>4</v>
      </c>
      <c r="D113" s="3189">
        <v>68</v>
      </c>
      <c r="E113" s="439" t="s">
        <v>1094</v>
      </c>
      <c r="F113" s="3256" t="s">
        <v>339</v>
      </c>
      <c r="G113" s="2412" t="s">
        <v>1206</v>
      </c>
      <c r="H113" s="3192" t="s">
        <v>1206</v>
      </c>
      <c r="I113" s="923">
        <v>711</v>
      </c>
      <c r="J113" s="3238" t="s">
        <v>149</v>
      </c>
      <c r="K113" s="923"/>
      <c r="L113" s="3250"/>
      <c r="M113" s="918" t="s">
        <v>30</v>
      </c>
      <c r="N113" s="71"/>
      <c r="O113" s="33"/>
      <c r="P113" s="24" t="s">
        <v>109</v>
      </c>
      <c r="Q113" s="24" t="s">
        <v>484</v>
      </c>
      <c r="R113" s="24" t="s">
        <v>1228</v>
      </c>
      <c r="S113" s="71"/>
      <c r="T113" s="71"/>
      <c r="U113" s="71"/>
      <c r="V113" s="71"/>
      <c r="W113" s="71" t="s">
        <v>1246</v>
      </c>
      <c r="Y113" s="3283"/>
    </row>
    <row r="114" spans="1:26" ht="27" hidden="1" thickBot="1">
      <c r="A114" s="1941" t="s">
        <v>132</v>
      </c>
      <c r="B114" s="1300">
        <v>45681</v>
      </c>
      <c r="C114" s="3189">
        <f t="shared" si="3"/>
        <v>4</v>
      </c>
      <c r="D114" s="3189"/>
      <c r="E114" s="993" t="s">
        <v>148</v>
      </c>
      <c r="F114" s="1565" t="s">
        <v>238</v>
      </c>
      <c r="G114" s="4672" t="s">
        <v>1206</v>
      </c>
      <c r="H114" s="2421" t="s">
        <v>1206</v>
      </c>
      <c r="I114" s="2277">
        <v>705</v>
      </c>
      <c r="J114" s="3238" t="s">
        <v>1245</v>
      </c>
      <c r="K114" s="923"/>
      <c r="L114" s="923" t="s">
        <v>30</v>
      </c>
      <c r="M114" s="923"/>
      <c r="N114" s="71"/>
      <c r="O114" s="71"/>
      <c r="P114" s="71"/>
      <c r="Q114" s="71"/>
      <c r="R114" s="71"/>
      <c r="S114" s="71"/>
      <c r="T114" s="71"/>
      <c r="U114" s="71"/>
      <c r="V114" s="71"/>
      <c r="W114" s="71" t="s">
        <v>1247</v>
      </c>
      <c r="Y114" s="3283"/>
    </row>
    <row r="115" spans="1:26" ht="27" hidden="1" thickBot="1">
      <c r="A115" s="1941" t="s">
        <v>132</v>
      </c>
      <c r="B115" s="1300">
        <v>45681</v>
      </c>
      <c r="C115" s="3189">
        <f t="shared" si="3"/>
        <v>4</v>
      </c>
      <c r="D115" s="3189">
        <v>69</v>
      </c>
      <c r="E115" s="439" t="s">
        <v>675</v>
      </c>
      <c r="F115" s="3256" t="s">
        <v>80</v>
      </c>
      <c r="G115" s="2685" t="s">
        <v>1199</v>
      </c>
      <c r="H115" s="2421" t="s">
        <v>1206</v>
      </c>
      <c r="I115" s="2277">
        <v>707</v>
      </c>
      <c r="J115" s="3238">
        <v>60020</v>
      </c>
      <c r="K115" s="923"/>
      <c r="L115" s="3250" t="s">
        <v>30</v>
      </c>
      <c r="M115" s="923"/>
      <c r="N115" s="71"/>
      <c r="O115" s="71"/>
      <c r="P115" s="71"/>
      <c r="Q115" s="71"/>
      <c r="R115" s="71"/>
      <c r="S115" s="71"/>
      <c r="T115" s="71"/>
      <c r="U115" s="71"/>
      <c r="V115" s="71"/>
      <c r="W115" s="71"/>
      <c r="Y115" s="3283"/>
    </row>
    <row r="116" spans="1:26" ht="53.25" hidden="1" thickBot="1">
      <c r="A116" s="1941" t="s">
        <v>132</v>
      </c>
      <c r="B116" s="1300">
        <v>45681</v>
      </c>
      <c r="C116" s="3189">
        <f t="shared" si="3"/>
        <v>4</v>
      </c>
      <c r="D116" s="3189">
        <v>70</v>
      </c>
      <c r="E116" s="439" t="s">
        <v>675</v>
      </c>
      <c r="F116" s="3256" t="s">
        <v>392</v>
      </c>
      <c r="G116" s="3194" t="s">
        <v>1206</v>
      </c>
      <c r="H116" s="3181" t="s">
        <v>1206</v>
      </c>
      <c r="I116" s="3480">
        <v>712</v>
      </c>
      <c r="J116" s="3238" t="s">
        <v>1248</v>
      </c>
      <c r="K116" s="3238"/>
      <c r="L116" s="3238"/>
      <c r="M116" s="923" t="s">
        <v>30</v>
      </c>
      <c r="N116" s="71"/>
      <c r="O116" s="71"/>
      <c r="P116" s="21" t="s">
        <v>0</v>
      </c>
      <c r="Q116" s="21" t="s">
        <v>110</v>
      </c>
      <c r="R116" s="21" t="s">
        <v>1155</v>
      </c>
      <c r="S116" s="71"/>
      <c r="T116" s="71"/>
      <c r="U116" s="71"/>
      <c r="V116" s="71"/>
      <c r="W116" s="71" t="s">
        <v>1249</v>
      </c>
      <c r="Y116" s="3283"/>
    </row>
    <row r="117" spans="1:26" ht="409.6" hidden="1" thickBot="1">
      <c r="A117" s="1941" t="s">
        <v>132</v>
      </c>
      <c r="B117" s="1300">
        <v>45681</v>
      </c>
      <c r="C117" s="3189">
        <f t="shared" si="3"/>
        <v>4</v>
      </c>
      <c r="D117" s="3190">
        <v>71</v>
      </c>
      <c r="E117" s="1000" t="s">
        <v>517</v>
      </c>
      <c r="F117" s="3299" t="s">
        <v>89</v>
      </c>
      <c r="G117" s="3194" t="s">
        <v>1206</v>
      </c>
      <c r="H117" s="3181" t="s">
        <v>1206</v>
      </c>
      <c r="I117" s="1593"/>
      <c r="J117" s="3234" t="s">
        <v>1231</v>
      </c>
      <c r="K117" s="3234"/>
      <c r="L117" s="3234"/>
      <c r="M117" s="1001" t="s">
        <v>30</v>
      </c>
      <c r="N117" s="33"/>
      <c r="O117" s="33"/>
      <c r="P117" s="4412" t="s">
        <v>109</v>
      </c>
      <c r="Q117" s="4412" t="s">
        <v>484</v>
      </c>
      <c r="R117" s="4412" t="s">
        <v>1155</v>
      </c>
      <c r="S117" s="33"/>
      <c r="T117" s="33"/>
      <c r="U117" s="33"/>
      <c r="V117" s="33"/>
      <c r="W117" s="33" t="s">
        <v>1250</v>
      </c>
      <c r="X117" s="3273"/>
      <c r="Y117" s="3300" t="s">
        <v>1251</v>
      </c>
    </row>
    <row r="118" spans="1:26" ht="27" hidden="1" thickBot="1">
      <c r="A118" s="1938" t="s">
        <v>132</v>
      </c>
      <c r="B118" s="1312">
        <v>45681</v>
      </c>
      <c r="C118" s="3197">
        <f t="shared" si="3"/>
        <v>4</v>
      </c>
      <c r="D118" s="3197"/>
      <c r="E118" s="449" t="s">
        <v>89</v>
      </c>
      <c r="F118" s="3280" t="s">
        <v>450</v>
      </c>
      <c r="G118" s="3279" t="s">
        <v>1206</v>
      </c>
      <c r="H118" s="3272" t="s">
        <v>1206</v>
      </c>
      <c r="I118" s="923"/>
      <c r="J118" s="3252" t="s">
        <v>1252</v>
      </c>
      <c r="K118" s="3252"/>
      <c r="L118" s="3252"/>
      <c r="M118" s="957" t="s">
        <v>30</v>
      </c>
      <c r="N118" s="91"/>
      <c r="O118" s="91"/>
      <c r="P118" s="3303" t="s">
        <v>109</v>
      </c>
      <c r="Q118" s="3303" t="s">
        <v>484</v>
      </c>
      <c r="R118" s="3303" t="s">
        <v>1155</v>
      </c>
      <c r="S118" s="91" t="s">
        <v>37</v>
      </c>
      <c r="T118" s="91"/>
      <c r="U118" s="91"/>
      <c r="V118" s="91"/>
      <c r="W118" s="91" t="s">
        <v>1253</v>
      </c>
      <c r="X118" s="3284"/>
      <c r="Y118" s="3285"/>
      <c r="Z118" s="3311"/>
    </row>
    <row r="119" spans="1:26" ht="27" hidden="1" thickBot="1">
      <c r="A119" s="1942" t="s">
        <v>132</v>
      </c>
      <c r="B119" s="2311">
        <v>45681</v>
      </c>
      <c r="C119" s="3275">
        <f t="shared" si="3"/>
        <v>4</v>
      </c>
      <c r="D119" s="3743"/>
      <c r="E119" s="1004" t="s">
        <v>450</v>
      </c>
      <c r="F119" s="1004" t="s">
        <v>306</v>
      </c>
      <c r="G119" s="1245" t="s">
        <v>1199</v>
      </c>
      <c r="H119" s="1245" t="s">
        <v>1199</v>
      </c>
      <c r="I119" s="1009"/>
      <c r="J119" s="3245" t="s">
        <v>451</v>
      </c>
      <c r="K119" s="4755"/>
      <c r="L119" s="3245"/>
      <c r="M119" s="1009"/>
      <c r="N119" s="1009" t="s">
        <v>30</v>
      </c>
      <c r="O119" s="1009"/>
      <c r="P119" s="97"/>
      <c r="Q119" s="97"/>
      <c r="R119" s="97"/>
      <c r="S119" s="97" t="s">
        <v>37</v>
      </c>
      <c r="T119" s="97"/>
      <c r="U119" s="97"/>
      <c r="V119" s="97"/>
      <c r="W119" s="98"/>
      <c r="X119" s="3276"/>
      <c r="Y119" s="3277"/>
    </row>
    <row r="120" spans="1:26" ht="27" hidden="1" thickBot="1">
      <c r="A120" s="76" t="s">
        <v>132</v>
      </c>
      <c r="B120" s="1300">
        <v>45681</v>
      </c>
      <c r="C120" s="3197">
        <f t="shared" si="3"/>
        <v>4</v>
      </c>
      <c r="D120" s="3190">
        <v>72</v>
      </c>
      <c r="E120" s="439" t="s">
        <v>306</v>
      </c>
      <c r="F120" s="439" t="s">
        <v>1254</v>
      </c>
      <c r="G120" s="1627"/>
      <c r="H120" s="1627"/>
      <c r="I120" s="923">
        <v>705</v>
      </c>
      <c r="J120" s="3234" t="s">
        <v>1255</v>
      </c>
      <c r="K120" s="3238"/>
      <c r="L120" s="4755" t="s">
        <v>37</v>
      </c>
      <c r="M120" s="923"/>
      <c r="N120" s="923"/>
      <c r="O120" s="923"/>
      <c r="P120" s="71"/>
      <c r="Q120" s="71"/>
      <c r="R120" s="71"/>
      <c r="S120" s="2464"/>
      <c r="T120" s="2464"/>
      <c r="U120" s="2464"/>
      <c r="V120" s="2464"/>
      <c r="W120" s="97"/>
    </row>
    <row r="121" spans="1:26" ht="29.25" hidden="1" thickBot="1">
      <c r="A121" s="76" t="s">
        <v>132</v>
      </c>
      <c r="B121" s="1300">
        <v>45681</v>
      </c>
      <c r="C121" s="3189">
        <f t="shared" si="3"/>
        <v>4</v>
      </c>
      <c r="D121" s="3189">
        <v>73</v>
      </c>
      <c r="E121" s="1194" t="s">
        <v>1239</v>
      </c>
      <c r="F121" s="439" t="s">
        <v>79</v>
      </c>
      <c r="G121" s="3109" t="s">
        <v>1199</v>
      </c>
      <c r="H121" s="3109" t="s">
        <v>1199</v>
      </c>
      <c r="I121" s="3531">
        <v>712</v>
      </c>
      <c r="J121" s="3238">
        <v>60020</v>
      </c>
      <c r="K121" s="49"/>
      <c r="L121" s="3238" t="s">
        <v>37</v>
      </c>
      <c r="M121" s="923"/>
      <c r="N121" s="71"/>
      <c r="O121" s="71"/>
      <c r="P121" s="71"/>
      <c r="Q121" s="71"/>
      <c r="R121" s="71"/>
      <c r="S121" s="71"/>
      <c r="T121" s="71"/>
      <c r="U121" s="71"/>
      <c r="V121" s="71"/>
      <c r="W121" s="33"/>
    </row>
    <row r="122" spans="1:26" ht="53.25" hidden="1" thickBot="1">
      <c r="A122" s="118" t="s">
        <v>143</v>
      </c>
      <c r="B122" s="1940">
        <v>45682</v>
      </c>
      <c r="C122" s="3189">
        <f t="shared" si="3"/>
        <v>4</v>
      </c>
      <c r="D122" s="3190"/>
      <c r="E122" s="1000" t="s">
        <v>450</v>
      </c>
      <c r="F122" s="1000" t="s">
        <v>306</v>
      </c>
      <c r="G122" s="927"/>
      <c r="H122" s="927"/>
      <c r="I122" s="3167"/>
      <c r="J122" s="3238" t="s">
        <v>451</v>
      </c>
      <c r="K122" s="3234"/>
      <c r="L122" s="3183" t="s">
        <v>1119</v>
      </c>
      <c r="M122" s="1001"/>
      <c r="N122" s="33"/>
      <c r="O122" s="33"/>
      <c r="P122" s="3298"/>
      <c r="Q122" s="3298"/>
      <c r="R122" s="3298"/>
      <c r="S122" s="71"/>
      <c r="T122" s="71"/>
      <c r="U122" s="71"/>
      <c r="V122" s="71"/>
      <c r="W122" s="71"/>
    </row>
    <row r="123" spans="1:26" ht="29.25" hidden="1" thickBot="1">
      <c r="A123" s="118" t="s">
        <v>25</v>
      </c>
      <c r="B123" s="1390">
        <v>45684</v>
      </c>
      <c r="C123" s="3189">
        <v>5</v>
      </c>
      <c r="D123" s="3190">
        <v>74</v>
      </c>
      <c r="E123" s="1524" t="s">
        <v>1256</v>
      </c>
      <c r="F123" s="1524" t="s">
        <v>169</v>
      </c>
      <c r="G123" s="3109"/>
      <c r="H123" s="3109"/>
      <c r="I123" s="3600">
        <v>712</v>
      </c>
      <c r="J123" s="3238" t="s">
        <v>1066</v>
      </c>
      <c r="K123" s="3171" t="s">
        <v>1067</v>
      </c>
      <c r="L123" s="3238" t="s">
        <v>30</v>
      </c>
      <c r="M123" s="33"/>
      <c r="N123" s="33"/>
      <c r="O123" s="33"/>
      <c r="P123" s="3298"/>
      <c r="Q123" s="3298"/>
      <c r="R123" s="3298"/>
      <c r="S123" s="71"/>
      <c r="T123" s="71"/>
      <c r="U123" s="71"/>
      <c r="V123" s="71"/>
      <c r="W123" s="71"/>
    </row>
    <row r="124" spans="1:26" ht="29.25" hidden="1" thickBot="1">
      <c r="A124" s="118" t="s">
        <v>25</v>
      </c>
      <c r="B124" s="1390">
        <v>45684</v>
      </c>
      <c r="C124" s="3165" t="s">
        <v>262</v>
      </c>
      <c r="D124" s="3354" t="s">
        <v>1257</v>
      </c>
      <c r="E124" s="1524" t="s">
        <v>1258</v>
      </c>
      <c r="F124" s="1524" t="s">
        <v>258</v>
      </c>
      <c r="I124" s="3167">
        <v>705</v>
      </c>
      <c r="J124" s="3238" t="s">
        <v>1259</v>
      </c>
      <c r="K124" s="1525"/>
      <c r="M124" s="33" t="s">
        <v>30</v>
      </c>
      <c r="N124" s="33"/>
      <c r="O124" s="33" t="s">
        <v>37</v>
      </c>
      <c r="P124" s="360" t="s">
        <v>231</v>
      </c>
      <c r="Q124" s="360" t="s">
        <v>1048</v>
      </c>
      <c r="R124" s="3166" t="s">
        <v>160</v>
      </c>
      <c r="W124" s="3288" t="s">
        <v>1260</v>
      </c>
    </row>
    <row r="125" spans="1:26" ht="29.25" hidden="1" thickBot="1">
      <c r="A125" s="118" t="s">
        <v>25</v>
      </c>
      <c r="B125" s="1390">
        <v>45684</v>
      </c>
      <c r="C125" s="3165" t="s">
        <v>262</v>
      </c>
      <c r="D125" s="3354" t="s">
        <v>1261</v>
      </c>
      <c r="E125" s="3287" t="s">
        <v>156</v>
      </c>
      <c r="F125" s="3287" t="s">
        <v>1262</v>
      </c>
      <c r="I125" s="3182">
        <v>710</v>
      </c>
      <c r="J125" s="3238" t="s">
        <v>1263</v>
      </c>
      <c r="K125" s="1525"/>
      <c r="M125" s="33" t="s">
        <v>30</v>
      </c>
      <c r="N125" s="33"/>
      <c r="O125" s="33" t="s">
        <v>37</v>
      </c>
      <c r="P125" s="360" t="s">
        <v>231</v>
      </c>
      <c r="Q125" s="360" t="s">
        <v>1048</v>
      </c>
      <c r="R125" s="360" t="s">
        <v>1228</v>
      </c>
      <c r="W125" s="3288" t="s">
        <v>1264</v>
      </c>
    </row>
    <row r="126" spans="1:26" ht="27" hidden="1" thickBot="1">
      <c r="A126" s="118" t="s">
        <v>25</v>
      </c>
      <c r="B126" s="1390">
        <v>45684</v>
      </c>
      <c r="C126" s="3165" t="s">
        <v>262</v>
      </c>
      <c r="D126" s="3165" t="s">
        <v>1265</v>
      </c>
      <c r="E126" s="995" t="s">
        <v>1266</v>
      </c>
      <c r="F126" s="995" t="s">
        <v>209</v>
      </c>
      <c r="I126" s="923">
        <v>711</v>
      </c>
      <c r="J126" s="3245" t="s">
        <v>406</v>
      </c>
      <c r="K126" s="1520"/>
      <c r="L126" s="3273" t="s">
        <v>37</v>
      </c>
      <c r="M126" s="71"/>
      <c r="N126" s="71"/>
      <c r="O126" s="71"/>
      <c r="W126" s="71"/>
    </row>
    <row r="127" spans="1:26" ht="27" hidden="1" thickBot="1">
      <c r="A127" s="118" t="s">
        <v>25</v>
      </c>
      <c r="B127" s="1390">
        <v>45684</v>
      </c>
      <c r="C127" s="3165" t="s">
        <v>262</v>
      </c>
      <c r="D127" s="3354"/>
      <c r="E127" s="3170" t="s">
        <v>169</v>
      </c>
      <c r="F127" s="3170" t="s">
        <v>1267</v>
      </c>
      <c r="I127" s="3167">
        <v>711</v>
      </c>
      <c r="J127" s="3238" t="s">
        <v>406</v>
      </c>
      <c r="K127" s="1525"/>
      <c r="L127" s="3273"/>
      <c r="M127" s="33" t="s">
        <v>30</v>
      </c>
      <c r="N127" s="33"/>
      <c r="O127" s="33"/>
      <c r="P127" s="360" t="s">
        <v>109</v>
      </c>
      <c r="Q127" s="360" t="s">
        <v>1268</v>
      </c>
      <c r="R127" s="360" t="s">
        <v>1155</v>
      </c>
      <c r="S127" s="3160" t="s">
        <v>37</v>
      </c>
      <c r="W127" s="957" t="s">
        <v>1269</v>
      </c>
    </row>
    <row r="128" spans="1:26" s="3297" customFormat="1" ht="29.25" hidden="1" thickBot="1">
      <c r="A128" s="710" t="s">
        <v>25</v>
      </c>
      <c r="B128" s="1312">
        <v>45684</v>
      </c>
      <c r="C128" s="3165" t="s">
        <v>262</v>
      </c>
      <c r="D128" s="3354"/>
      <c r="E128" s="1514" t="s">
        <v>1254</v>
      </c>
      <c r="F128" s="1514" t="s">
        <v>304</v>
      </c>
      <c r="G128" s="3160"/>
      <c r="H128" s="3160"/>
      <c r="I128" s="1043">
        <v>705</v>
      </c>
      <c r="J128" s="3252" t="s">
        <v>1255</v>
      </c>
      <c r="K128" s="1603"/>
      <c r="L128" s="3284"/>
      <c r="M128" s="91" t="s">
        <v>30</v>
      </c>
      <c r="N128" s="91"/>
      <c r="O128" s="91" t="s">
        <v>37</v>
      </c>
      <c r="P128" s="3303" t="s">
        <v>71</v>
      </c>
      <c r="Q128" s="3303" t="s">
        <v>720</v>
      </c>
      <c r="R128" s="3303" t="s">
        <v>160</v>
      </c>
      <c r="S128" s="3284"/>
      <c r="T128" s="3284"/>
      <c r="U128" s="3284"/>
      <c r="V128" s="3284"/>
      <c r="W128" s="3313" t="s">
        <v>1270</v>
      </c>
      <c r="X128" s="3284"/>
      <c r="Y128" s="3295"/>
      <c r="Z128" s="3296"/>
    </row>
    <row r="129" spans="1:26" ht="29.25" hidden="1" thickBot="1">
      <c r="A129" s="162" t="s">
        <v>25</v>
      </c>
      <c r="B129" s="1301">
        <v>45684</v>
      </c>
      <c r="C129" s="3165" t="s">
        <v>262</v>
      </c>
      <c r="D129" s="3354" t="s">
        <v>1271</v>
      </c>
      <c r="E129" s="3249" t="s">
        <v>1272</v>
      </c>
      <c r="F129" s="3249" t="s">
        <v>1273</v>
      </c>
      <c r="I129" s="3602">
        <v>712</v>
      </c>
      <c r="J129" s="3233" t="s">
        <v>377</v>
      </c>
      <c r="K129" s="3176" t="s">
        <v>1274</v>
      </c>
      <c r="L129" s="97" t="s">
        <v>30</v>
      </c>
      <c r="M129" s="2464"/>
      <c r="N129" s="1594"/>
      <c r="O129" s="1594"/>
      <c r="P129" s="3276"/>
      <c r="Q129" s="3276"/>
      <c r="R129" s="3276"/>
      <c r="S129" s="3276"/>
      <c r="T129" s="3276"/>
      <c r="U129" s="4671"/>
      <c r="V129" s="3276"/>
      <c r="W129" s="1594" t="s">
        <v>1275</v>
      </c>
      <c r="X129" s="3276"/>
      <c r="Y129" s="3277"/>
    </row>
    <row r="130" spans="1:26" ht="27" hidden="1" thickBot="1">
      <c r="A130" s="2052" t="s">
        <v>25</v>
      </c>
      <c r="B130" s="1940">
        <v>45684</v>
      </c>
      <c r="C130" s="3165" t="s">
        <v>262</v>
      </c>
      <c r="D130" s="3368" t="s">
        <v>1276</v>
      </c>
      <c r="E130" s="4419" t="s">
        <v>1277</v>
      </c>
      <c r="F130" s="4419" t="s">
        <v>1278</v>
      </c>
      <c r="I130" s="3167">
        <v>705</v>
      </c>
      <c r="J130" s="3238" t="s">
        <v>1279</v>
      </c>
      <c r="K130" s="1520"/>
      <c r="L130" s="71" t="s">
        <v>30</v>
      </c>
      <c r="M130" s="71"/>
      <c r="N130" s="71"/>
      <c r="O130" s="71"/>
      <c r="R130" s="3166"/>
      <c r="W130" s="71"/>
    </row>
    <row r="131" spans="1:26" ht="27" hidden="1" thickBot="1">
      <c r="A131" s="76" t="s">
        <v>1280</v>
      </c>
      <c r="B131" s="1300">
        <v>45684</v>
      </c>
      <c r="C131" s="3165" t="s">
        <v>262</v>
      </c>
      <c r="D131" s="3368"/>
      <c r="E131" s="4419" t="s">
        <v>1258</v>
      </c>
      <c r="F131" s="4419" t="s">
        <v>1281</v>
      </c>
      <c r="I131" s="3167">
        <v>705</v>
      </c>
      <c r="J131" s="3245" t="s">
        <v>1282</v>
      </c>
      <c r="K131" s="3263"/>
      <c r="M131" s="71" t="s">
        <v>30</v>
      </c>
      <c r="N131" s="71"/>
      <c r="O131" s="71"/>
      <c r="P131" s="360" t="s">
        <v>0</v>
      </c>
      <c r="Q131" s="360" t="s">
        <v>187</v>
      </c>
      <c r="R131" s="360" t="s">
        <v>160</v>
      </c>
      <c r="W131" s="1594" t="s">
        <v>1283</v>
      </c>
    </row>
    <row r="132" spans="1:26" ht="27" hidden="1" thickBot="1">
      <c r="A132" s="76" t="s">
        <v>180</v>
      </c>
      <c r="B132" s="1300">
        <v>45685</v>
      </c>
      <c r="C132" s="3165" t="s">
        <v>262</v>
      </c>
      <c r="D132" s="3354"/>
      <c r="E132" s="3289" t="s">
        <v>1258</v>
      </c>
      <c r="F132" s="3289" t="s">
        <v>1281</v>
      </c>
      <c r="I132" s="3167">
        <v>705</v>
      </c>
      <c r="J132" s="3238" t="s">
        <v>1282</v>
      </c>
      <c r="K132" s="1525"/>
      <c r="L132" s="3160" t="s">
        <v>37</v>
      </c>
      <c r="M132" s="49"/>
      <c r="N132" s="71"/>
      <c r="O132" s="71"/>
      <c r="U132" s="71" t="s">
        <v>30</v>
      </c>
      <c r="W132" s="33" t="s">
        <v>1284</v>
      </c>
    </row>
    <row r="133" spans="1:26" ht="29.25" hidden="1" thickBot="1">
      <c r="A133" s="76" t="s">
        <v>180</v>
      </c>
      <c r="B133" s="1300">
        <v>45685</v>
      </c>
      <c r="C133" s="3165" t="s">
        <v>262</v>
      </c>
      <c r="E133" s="3187" t="s">
        <v>1285</v>
      </c>
      <c r="F133" s="3187" t="s">
        <v>1286</v>
      </c>
      <c r="I133" s="923">
        <v>710</v>
      </c>
      <c r="J133" s="3238" t="s">
        <v>1263</v>
      </c>
      <c r="K133" s="1520"/>
      <c r="L133" s="3160" t="s">
        <v>37</v>
      </c>
      <c r="M133" s="71"/>
      <c r="N133" s="71"/>
      <c r="O133" s="71"/>
      <c r="R133" s="3166"/>
      <c r="W133" s="3288"/>
    </row>
    <row r="134" spans="1:26" ht="27" hidden="1" thickBot="1">
      <c r="A134" s="118" t="s">
        <v>180</v>
      </c>
      <c r="B134" s="1390">
        <v>45685</v>
      </c>
      <c r="C134" s="3165" t="s">
        <v>262</v>
      </c>
      <c r="D134" s="3354"/>
      <c r="E134" s="3170" t="s">
        <v>1287</v>
      </c>
      <c r="F134" s="3170" t="s">
        <v>1288</v>
      </c>
      <c r="I134" s="1001">
        <v>711</v>
      </c>
      <c r="J134" s="3234" t="s">
        <v>1289</v>
      </c>
      <c r="K134" s="3171" t="s">
        <v>1119</v>
      </c>
      <c r="M134" s="71"/>
      <c r="N134" s="71" t="s">
        <v>30</v>
      </c>
      <c r="O134" s="71"/>
      <c r="P134" s="360" t="s">
        <v>109</v>
      </c>
      <c r="Q134" s="360" t="s">
        <v>1268</v>
      </c>
      <c r="R134" s="360" t="s">
        <v>1155</v>
      </c>
      <c r="W134" s="71" t="s">
        <v>1290</v>
      </c>
    </row>
    <row r="135" spans="1:26" ht="27" hidden="1" thickBot="1">
      <c r="A135" s="118" t="s">
        <v>180</v>
      </c>
      <c r="B135" s="1390">
        <v>45685</v>
      </c>
      <c r="C135" s="3165" t="s">
        <v>262</v>
      </c>
      <c r="D135" s="3354"/>
      <c r="E135" s="3170" t="s">
        <v>169</v>
      </c>
      <c r="F135" s="3170" t="s">
        <v>1267</v>
      </c>
      <c r="I135" s="923">
        <v>711</v>
      </c>
      <c r="J135" s="3234" t="s">
        <v>406</v>
      </c>
      <c r="K135" s="1525"/>
      <c r="L135" s="3160" t="s">
        <v>30</v>
      </c>
      <c r="M135" s="71"/>
      <c r="N135" s="71"/>
      <c r="O135" s="71"/>
      <c r="W135" s="71"/>
    </row>
    <row r="136" spans="1:26" ht="27" hidden="1" thickBot="1">
      <c r="A136" s="118" t="s">
        <v>180</v>
      </c>
      <c r="B136" s="1390">
        <v>45685</v>
      </c>
      <c r="C136" s="3165" t="s">
        <v>262</v>
      </c>
      <c r="D136" s="3354" t="s">
        <v>1291</v>
      </c>
      <c r="E136" s="1524" t="s">
        <v>1292</v>
      </c>
      <c r="F136" s="1524" t="s">
        <v>1293</v>
      </c>
      <c r="I136" s="1001">
        <v>704</v>
      </c>
      <c r="J136" s="3234" t="s">
        <v>1294</v>
      </c>
      <c r="K136" s="1520"/>
      <c r="M136" s="71" t="s">
        <v>30</v>
      </c>
      <c r="N136" s="71"/>
      <c r="O136" s="71"/>
      <c r="P136" s="360" t="s">
        <v>0</v>
      </c>
      <c r="Q136" s="360" t="s">
        <v>187</v>
      </c>
      <c r="R136" s="360" t="s">
        <v>1061</v>
      </c>
      <c r="W136" s="33" t="s">
        <v>1295</v>
      </c>
    </row>
    <row r="137" spans="1:26" ht="86.25" hidden="1" thickBot="1">
      <c r="A137" s="118" t="s">
        <v>180</v>
      </c>
      <c r="B137" s="1390">
        <v>45685</v>
      </c>
      <c r="C137" s="3165" t="s">
        <v>262</v>
      </c>
      <c r="D137" s="3354" t="s">
        <v>1296</v>
      </c>
      <c r="E137" s="3292" t="s">
        <v>258</v>
      </c>
      <c r="F137" s="3292" t="s">
        <v>1297</v>
      </c>
      <c r="I137" s="1001">
        <v>705</v>
      </c>
      <c r="J137" s="3234" t="s">
        <v>1298</v>
      </c>
      <c r="K137" s="1525"/>
      <c r="M137" s="71" t="s">
        <v>37</v>
      </c>
      <c r="N137" s="71"/>
      <c r="O137" s="71"/>
      <c r="P137" s="360" t="s">
        <v>0</v>
      </c>
      <c r="Q137" s="360" t="s">
        <v>126</v>
      </c>
      <c r="R137" s="360" t="s">
        <v>160</v>
      </c>
      <c r="S137" s="3160" t="s">
        <v>37</v>
      </c>
      <c r="W137" s="3288" t="s">
        <v>1299</v>
      </c>
    </row>
    <row r="138" spans="1:26" ht="29.25" hidden="1" thickBot="1">
      <c r="A138" s="118" t="s">
        <v>180</v>
      </c>
      <c r="B138" s="1390">
        <v>45685</v>
      </c>
      <c r="C138" s="3165" t="s">
        <v>262</v>
      </c>
      <c r="D138" s="3354"/>
      <c r="E138" s="3292" t="s">
        <v>383</v>
      </c>
      <c r="F138" s="3292" t="s">
        <v>1300</v>
      </c>
      <c r="I138" s="3462">
        <v>712</v>
      </c>
      <c r="J138" s="3234" t="s">
        <v>1301</v>
      </c>
      <c r="K138" s="1525"/>
      <c r="N138" s="71" t="s">
        <v>37</v>
      </c>
      <c r="O138" s="71"/>
      <c r="P138" s="360" t="s">
        <v>0</v>
      </c>
      <c r="Q138" s="360" t="s">
        <v>126</v>
      </c>
      <c r="R138" s="360" t="s">
        <v>160</v>
      </c>
      <c r="S138" s="71"/>
      <c r="W138" s="3286" t="s">
        <v>1302</v>
      </c>
    </row>
    <row r="139" spans="1:26" s="3297" customFormat="1" ht="27" hidden="1" thickBot="1">
      <c r="A139" s="710" t="s">
        <v>180</v>
      </c>
      <c r="B139" s="1312">
        <v>45685</v>
      </c>
      <c r="C139" s="3165" t="s">
        <v>262</v>
      </c>
      <c r="D139" s="3354" t="s">
        <v>1303</v>
      </c>
      <c r="E139" s="1778" t="s">
        <v>1277</v>
      </c>
      <c r="F139" s="1778" t="s">
        <v>1304</v>
      </c>
      <c r="G139" s="3160"/>
      <c r="H139" s="3160"/>
      <c r="I139" s="957">
        <v>705</v>
      </c>
      <c r="J139" s="3252" t="s">
        <v>1305</v>
      </c>
      <c r="K139" s="3173" t="s">
        <v>1274</v>
      </c>
      <c r="L139" s="3284"/>
      <c r="M139" s="91" t="s">
        <v>30</v>
      </c>
      <c r="N139" s="91"/>
      <c r="O139" s="91"/>
      <c r="P139" s="3303" t="s">
        <v>0</v>
      </c>
      <c r="Q139" s="3303" t="s">
        <v>736</v>
      </c>
      <c r="R139" s="3303" t="s">
        <v>160</v>
      </c>
      <c r="S139" s="3284"/>
      <c r="T139" s="3284"/>
      <c r="U139" s="3284"/>
      <c r="V139" s="3284"/>
      <c r="W139" s="91" t="s">
        <v>1306</v>
      </c>
      <c r="X139" s="3284"/>
      <c r="Y139" s="3295"/>
      <c r="Z139" s="3296"/>
    </row>
    <row r="140" spans="1:26" ht="29.25" hidden="1" thickBot="1">
      <c r="A140" s="2052" t="s">
        <v>180</v>
      </c>
      <c r="B140" s="1940">
        <v>45685</v>
      </c>
      <c r="C140" s="3165" t="s">
        <v>262</v>
      </c>
      <c r="D140" s="3354"/>
      <c r="E140" s="1539" t="s">
        <v>1307</v>
      </c>
      <c r="F140" s="1539" t="s">
        <v>1281</v>
      </c>
      <c r="I140" s="923">
        <v>705</v>
      </c>
      <c r="J140" s="3233" t="s">
        <v>1305</v>
      </c>
      <c r="K140" s="3176" t="s">
        <v>1274</v>
      </c>
      <c r="L140" s="3276"/>
      <c r="M140" s="1594"/>
      <c r="N140" s="1594" t="s">
        <v>37</v>
      </c>
      <c r="O140" s="1594"/>
      <c r="P140" s="360" t="s">
        <v>0</v>
      </c>
      <c r="Q140" s="360" t="s">
        <v>736</v>
      </c>
      <c r="R140" s="360" t="s">
        <v>160</v>
      </c>
      <c r="S140" s="3276"/>
      <c r="T140" s="3276"/>
      <c r="U140" s="3276"/>
      <c r="V140" s="3276"/>
      <c r="W140" s="3314" t="s">
        <v>1302</v>
      </c>
      <c r="X140" s="3276"/>
      <c r="Y140" s="3277"/>
    </row>
    <row r="141" spans="1:26" ht="27" hidden="1" thickBot="1">
      <c r="A141" s="76" t="s">
        <v>180</v>
      </c>
      <c r="B141" s="1300">
        <v>45685</v>
      </c>
      <c r="C141" s="3165" t="s">
        <v>262</v>
      </c>
      <c r="D141" s="3165" t="s">
        <v>1308</v>
      </c>
      <c r="E141" s="1194" t="s">
        <v>304</v>
      </c>
      <c r="F141" s="1194" t="s">
        <v>1309</v>
      </c>
      <c r="I141" s="923">
        <v>705</v>
      </c>
      <c r="J141" s="3238" t="s">
        <v>1255</v>
      </c>
      <c r="K141" s="3183" t="s">
        <v>1274</v>
      </c>
      <c r="L141" s="71" t="s">
        <v>30</v>
      </c>
      <c r="M141" s="71"/>
      <c r="N141" s="71"/>
      <c r="O141" s="71"/>
      <c r="W141" s="1594"/>
    </row>
    <row r="142" spans="1:26" ht="27" hidden="1" thickBot="1">
      <c r="A142" s="76" t="s">
        <v>180</v>
      </c>
      <c r="B142" s="1300">
        <v>45685</v>
      </c>
      <c r="C142" s="3165" t="s">
        <v>262</v>
      </c>
      <c r="D142" s="3165" t="s">
        <v>1310</v>
      </c>
      <c r="E142" s="2669" t="s">
        <v>1311</v>
      </c>
      <c r="F142" s="2669" t="s">
        <v>209</v>
      </c>
      <c r="I142" s="923">
        <v>705</v>
      </c>
      <c r="J142" s="3238" t="s">
        <v>1312</v>
      </c>
      <c r="K142" s="1520"/>
      <c r="L142" s="3160" t="s">
        <v>37</v>
      </c>
      <c r="M142" s="71"/>
      <c r="N142" s="71"/>
      <c r="O142" s="71"/>
      <c r="U142" s="1594" t="s">
        <v>30</v>
      </c>
      <c r="W142" s="1594" t="s">
        <v>1313</v>
      </c>
    </row>
    <row r="143" spans="1:26" ht="29.25" hidden="1" thickBot="1">
      <c r="A143" s="76" t="s">
        <v>1314</v>
      </c>
      <c r="B143" s="1300">
        <v>45686</v>
      </c>
      <c r="C143" s="3165" t="s">
        <v>262</v>
      </c>
      <c r="E143" s="3293" t="s">
        <v>1315</v>
      </c>
      <c r="F143" s="3293" t="s">
        <v>1316</v>
      </c>
      <c r="I143" s="3600">
        <v>712</v>
      </c>
      <c r="J143" s="3238" t="s">
        <v>1317</v>
      </c>
      <c r="K143" s="1520"/>
      <c r="L143" s="3160" t="s">
        <v>37</v>
      </c>
      <c r="M143" s="71"/>
      <c r="N143" s="71"/>
      <c r="O143" s="71" t="s">
        <v>37</v>
      </c>
      <c r="P143" s="360" t="s">
        <v>0</v>
      </c>
      <c r="Q143" s="360" t="s">
        <v>31</v>
      </c>
      <c r="R143" s="360" t="s">
        <v>1155</v>
      </c>
      <c r="W143" s="71" t="s">
        <v>1318</v>
      </c>
    </row>
    <row r="144" spans="1:26" ht="29.25" hidden="1" thickBot="1">
      <c r="A144" s="76" t="s">
        <v>1314</v>
      </c>
      <c r="B144" s="1300">
        <v>45686</v>
      </c>
      <c r="C144" s="3165" t="s">
        <v>262</v>
      </c>
      <c r="E144" s="3293" t="s">
        <v>1266</v>
      </c>
      <c r="F144" s="3293" t="s">
        <v>1319</v>
      </c>
      <c r="I144" s="3443">
        <v>712</v>
      </c>
      <c r="J144" s="3238" t="s">
        <v>1317</v>
      </c>
      <c r="K144" s="1520"/>
      <c r="M144" s="71" t="s">
        <v>37</v>
      </c>
      <c r="O144" s="71" t="s">
        <v>30</v>
      </c>
      <c r="P144" s="360" t="s">
        <v>0</v>
      </c>
      <c r="Q144" s="360" t="s">
        <v>31</v>
      </c>
      <c r="R144" s="360" t="s">
        <v>1155</v>
      </c>
      <c r="W144" s="71" t="s">
        <v>1320</v>
      </c>
    </row>
    <row r="145" spans="1:26" ht="27" hidden="1" thickBot="1">
      <c r="A145" s="76" t="s">
        <v>1314</v>
      </c>
      <c r="B145" s="1300">
        <v>45686</v>
      </c>
      <c r="C145" s="3165" t="s">
        <v>262</v>
      </c>
      <c r="E145" s="2669" t="s">
        <v>169</v>
      </c>
      <c r="F145" s="2669" t="s">
        <v>1321</v>
      </c>
      <c r="I145" s="923">
        <v>705</v>
      </c>
      <c r="J145" s="3238" t="s">
        <v>1322</v>
      </c>
      <c r="K145" s="3183" t="s">
        <v>84</v>
      </c>
      <c r="L145" s="71" t="s">
        <v>30</v>
      </c>
      <c r="M145" s="71"/>
      <c r="N145" s="71"/>
      <c r="O145" s="71"/>
      <c r="U145" s="71" t="s">
        <v>30</v>
      </c>
      <c r="W145" s="71"/>
    </row>
    <row r="146" spans="1:26" ht="27" hidden="1" thickBot="1">
      <c r="A146" s="76" t="s">
        <v>1314</v>
      </c>
      <c r="B146" s="1300">
        <v>45686</v>
      </c>
      <c r="C146" s="3165" t="s">
        <v>262</v>
      </c>
      <c r="E146" s="995" t="s">
        <v>1287</v>
      </c>
      <c r="F146" s="995" t="s">
        <v>1288</v>
      </c>
      <c r="I146" s="923">
        <v>711</v>
      </c>
      <c r="J146" s="3238" t="s">
        <v>1289</v>
      </c>
      <c r="K146" s="3183" t="s">
        <v>1119</v>
      </c>
      <c r="L146" s="71" t="s">
        <v>30</v>
      </c>
      <c r="M146" s="71"/>
      <c r="N146" s="71"/>
      <c r="O146" s="71"/>
      <c r="W146" s="71"/>
    </row>
    <row r="147" spans="1:26" s="3297" customFormat="1" ht="29.25" hidden="1" thickBot="1">
      <c r="A147" s="710" t="s">
        <v>1323</v>
      </c>
      <c r="B147" s="1312">
        <v>45686</v>
      </c>
      <c r="C147" s="3165" t="s">
        <v>262</v>
      </c>
      <c r="D147" s="3354" t="s">
        <v>1324</v>
      </c>
      <c r="E147" s="1514" t="s">
        <v>1325</v>
      </c>
      <c r="F147" s="1514" t="s">
        <v>1326</v>
      </c>
      <c r="G147" s="3160"/>
      <c r="H147" s="3160"/>
      <c r="I147" s="3447">
        <v>712</v>
      </c>
      <c r="J147" s="3252" t="s">
        <v>1237</v>
      </c>
      <c r="K147" s="3173" t="s">
        <v>174</v>
      </c>
      <c r="L147" s="91" t="s">
        <v>30</v>
      </c>
      <c r="M147" s="91"/>
      <c r="N147" s="91"/>
      <c r="O147" s="91"/>
      <c r="P147" s="3284"/>
      <c r="Q147" s="3284"/>
      <c r="R147" s="3284"/>
      <c r="S147" s="3284"/>
      <c r="T147" s="3284"/>
      <c r="U147" s="3284"/>
      <c r="V147" s="3284"/>
      <c r="W147" s="91"/>
      <c r="X147" s="3284"/>
      <c r="Y147" s="3295"/>
      <c r="Z147" s="3296"/>
    </row>
    <row r="148" spans="1:26" ht="27" hidden="1" thickBot="1">
      <c r="A148" s="162" t="s">
        <v>1323</v>
      </c>
      <c r="B148" s="1940">
        <v>45686</v>
      </c>
      <c r="C148" s="3165" t="s">
        <v>262</v>
      </c>
      <c r="D148" s="3165" t="s">
        <v>1327</v>
      </c>
      <c r="E148" s="2660" t="s">
        <v>1328</v>
      </c>
      <c r="F148" s="2660" t="s">
        <v>731</v>
      </c>
      <c r="I148" s="923">
        <v>709</v>
      </c>
      <c r="J148" s="3245" t="s">
        <v>1329</v>
      </c>
      <c r="K148" s="3245"/>
      <c r="L148" s="97" t="s">
        <v>30</v>
      </c>
      <c r="M148" s="97"/>
      <c r="N148" s="97"/>
      <c r="O148" s="97"/>
      <c r="P148" s="3276"/>
      <c r="Q148" s="3276"/>
      <c r="R148" s="3276"/>
      <c r="S148" s="3276"/>
      <c r="T148" s="3276"/>
      <c r="U148" s="3276"/>
      <c r="V148" s="3276"/>
      <c r="W148" s="97"/>
      <c r="X148" s="3276"/>
      <c r="Y148" s="3277"/>
    </row>
    <row r="149" spans="1:26" ht="53.25" hidden="1" thickBot="1">
      <c r="A149" s="162" t="s">
        <v>1323</v>
      </c>
      <c r="B149" s="1301">
        <v>45686</v>
      </c>
      <c r="C149" s="3165" t="s">
        <v>262</v>
      </c>
      <c r="D149" s="3165" t="s">
        <v>1330</v>
      </c>
      <c r="E149" s="1194" t="s">
        <v>1258</v>
      </c>
      <c r="F149" s="1194" t="s">
        <v>939</v>
      </c>
      <c r="I149" s="923">
        <v>711</v>
      </c>
      <c r="J149" s="3238" t="s">
        <v>107</v>
      </c>
      <c r="K149" s="3238"/>
      <c r="L149" s="97"/>
      <c r="M149" s="71" t="s">
        <v>30</v>
      </c>
      <c r="N149" s="71"/>
      <c r="O149" s="71"/>
      <c r="P149" s="360" t="s">
        <v>109</v>
      </c>
      <c r="Q149" s="360" t="s">
        <v>110</v>
      </c>
      <c r="R149" s="360" t="s">
        <v>1120</v>
      </c>
      <c r="W149" s="71" t="s">
        <v>1331</v>
      </c>
      <c r="Y149" s="3156" t="s">
        <v>1332</v>
      </c>
    </row>
    <row r="150" spans="1:26" ht="27" hidden="1" thickBot="1">
      <c r="A150" s="162" t="s">
        <v>1323</v>
      </c>
      <c r="B150" s="1300">
        <v>45686</v>
      </c>
      <c r="C150" s="3165" t="s">
        <v>262</v>
      </c>
      <c r="D150" s="3165" t="s">
        <v>1333</v>
      </c>
      <c r="E150" s="1194" t="s">
        <v>79</v>
      </c>
      <c r="F150" s="1194" t="s">
        <v>1334</v>
      </c>
      <c r="I150" s="923">
        <v>710</v>
      </c>
      <c r="J150" s="3238" t="s">
        <v>639</v>
      </c>
      <c r="K150" s="3238"/>
      <c r="L150" s="71" t="s">
        <v>30</v>
      </c>
      <c r="M150" s="71"/>
      <c r="N150" s="71"/>
      <c r="O150" s="71"/>
      <c r="W150" s="71"/>
    </row>
    <row r="151" spans="1:26" ht="79.5" hidden="1" thickBot="1">
      <c r="A151" s="162" t="s">
        <v>105</v>
      </c>
      <c r="B151" s="1301">
        <v>45687</v>
      </c>
      <c r="C151" s="3165" t="s">
        <v>262</v>
      </c>
      <c r="D151" s="3355" t="s">
        <v>1335</v>
      </c>
      <c r="E151" s="4812" t="s">
        <v>1315</v>
      </c>
      <c r="F151" s="4851" t="s">
        <v>462</v>
      </c>
      <c r="I151" s="3443">
        <v>712</v>
      </c>
      <c r="J151" s="3245" t="s">
        <v>1301</v>
      </c>
      <c r="K151" s="1511"/>
      <c r="M151" s="71"/>
      <c r="N151" s="97" t="s">
        <v>37</v>
      </c>
      <c r="O151" s="97"/>
      <c r="P151" s="71"/>
      <c r="Q151" s="71"/>
      <c r="R151" s="71"/>
      <c r="W151" s="97" t="s">
        <v>1336</v>
      </c>
    </row>
    <row r="152" spans="1:26" ht="29.25" hidden="1" thickBot="1">
      <c r="A152" s="76" t="s">
        <v>105</v>
      </c>
      <c r="B152" s="1300">
        <v>45687</v>
      </c>
      <c r="C152" s="3165" t="s">
        <v>262</v>
      </c>
      <c r="E152" s="3293" t="s">
        <v>462</v>
      </c>
      <c r="F152" s="4627" t="s">
        <v>1300</v>
      </c>
      <c r="I152" s="3534">
        <v>712</v>
      </c>
      <c r="J152" s="3238" t="s">
        <v>1301</v>
      </c>
      <c r="K152" s="3183" t="s">
        <v>84</v>
      </c>
      <c r="L152" s="4671"/>
      <c r="M152" s="71" t="s">
        <v>37</v>
      </c>
      <c r="N152" s="71"/>
      <c r="O152" s="71"/>
      <c r="P152" s="360" t="s">
        <v>122</v>
      </c>
      <c r="Q152" s="360" t="s">
        <v>123</v>
      </c>
      <c r="R152" s="360" t="s">
        <v>1155</v>
      </c>
      <c r="S152" s="3160" t="s">
        <v>37</v>
      </c>
      <c r="W152" s="71" t="s">
        <v>1337</v>
      </c>
      <c r="X152" s="3160" t="s">
        <v>1338</v>
      </c>
    </row>
    <row r="153" spans="1:26" ht="79.5" hidden="1" thickBot="1">
      <c r="A153" s="118" t="s">
        <v>105</v>
      </c>
      <c r="B153" s="1390">
        <v>45687</v>
      </c>
      <c r="C153" s="3165" t="s">
        <v>262</v>
      </c>
      <c r="D153" s="3354"/>
      <c r="E153" s="4813" t="s">
        <v>1258</v>
      </c>
      <c r="F153" s="4813" t="s">
        <v>1339</v>
      </c>
      <c r="I153" s="923">
        <v>707</v>
      </c>
      <c r="J153" s="3234" t="s">
        <v>1340</v>
      </c>
      <c r="K153" s="3263"/>
      <c r="M153" s="1594" t="s">
        <v>30</v>
      </c>
      <c r="N153" s="1594"/>
      <c r="O153" s="33"/>
      <c r="P153" s="360" t="s">
        <v>0</v>
      </c>
      <c r="Q153" s="360" t="s">
        <v>31</v>
      </c>
      <c r="R153" s="360" t="s">
        <v>38</v>
      </c>
      <c r="S153" s="3160" t="s">
        <v>37</v>
      </c>
      <c r="U153" s="3160" t="s">
        <v>37</v>
      </c>
      <c r="W153" s="33" t="s">
        <v>1341</v>
      </c>
    </row>
    <row r="154" spans="1:26" s="3297" customFormat="1" ht="79.5" hidden="1" thickBot="1">
      <c r="A154" s="710" t="s">
        <v>105</v>
      </c>
      <c r="B154" s="2708">
        <v>45687</v>
      </c>
      <c r="C154" s="3165" t="s">
        <v>262</v>
      </c>
      <c r="D154" s="3354"/>
      <c r="E154" s="2661" t="s">
        <v>273</v>
      </c>
      <c r="F154" s="2661" t="s">
        <v>1342</v>
      </c>
      <c r="G154" s="3160"/>
      <c r="H154" s="3160"/>
      <c r="I154" s="957">
        <v>709</v>
      </c>
      <c r="J154" s="3252" t="s">
        <v>1343</v>
      </c>
      <c r="K154" s="3252"/>
      <c r="L154" s="3735"/>
      <c r="M154" s="91" t="s">
        <v>30</v>
      </c>
      <c r="N154" s="91"/>
      <c r="O154" s="91" t="s">
        <v>37</v>
      </c>
      <c r="P154" s="3303" t="s">
        <v>109</v>
      </c>
      <c r="Q154" s="3303" t="s">
        <v>1019</v>
      </c>
      <c r="R154" s="3303" t="s">
        <v>1344</v>
      </c>
      <c r="S154" s="3284"/>
      <c r="T154" s="3284"/>
      <c r="U154" s="3284"/>
      <c r="V154" s="3284"/>
      <c r="W154" s="91" t="s">
        <v>1345</v>
      </c>
      <c r="X154" s="3373" t="s">
        <v>1346</v>
      </c>
      <c r="Y154" s="3295" t="s">
        <v>1347</v>
      </c>
      <c r="Z154" s="3296"/>
    </row>
    <row r="155" spans="1:26" ht="27" hidden="1" thickBot="1">
      <c r="A155" s="162" t="s">
        <v>105</v>
      </c>
      <c r="B155" s="1301">
        <v>45687</v>
      </c>
      <c r="C155" s="3165" t="s">
        <v>262</v>
      </c>
      <c r="D155" s="3355" t="s">
        <v>1348</v>
      </c>
      <c r="E155" s="1185" t="s">
        <v>1349</v>
      </c>
      <c r="F155" s="1185" t="s">
        <v>1350</v>
      </c>
      <c r="I155" s="1009">
        <v>710</v>
      </c>
      <c r="J155" s="3245" t="s">
        <v>1351</v>
      </c>
      <c r="K155" s="3233"/>
      <c r="L155" s="64" t="s">
        <v>30</v>
      </c>
      <c r="M155" s="64"/>
      <c r="N155" s="64"/>
      <c r="O155" s="64"/>
      <c r="P155" s="3281"/>
      <c r="Q155" s="3276"/>
      <c r="R155" s="3276"/>
      <c r="S155" s="3276"/>
      <c r="T155" s="3276"/>
      <c r="U155" s="4671"/>
      <c r="V155" s="3276"/>
      <c r="W155" s="97" t="s">
        <v>1352</v>
      </c>
      <c r="X155" s="3276"/>
      <c r="Y155" s="3277"/>
    </row>
    <row r="156" spans="1:26" ht="29.25" hidden="1" thickBot="1">
      <c r="A156" s="162" t="s">
        <v>105</v>
      </c>
      <c r="B156" s="1301">
        <v>45687</v>
      </c>
      <c r="C156" s="3165" t="s">
        <v>262</v>
      </c>
      <c r="D156" s="3355" t="s">
        <v>1353</v>
      </c>
      <c r="E156" s="1185" t="s">
        <v>450</v>
      </c>
      <c r="F156" s="1185" t="s">
        <v>1354</v>
      </c>
      <c r="I156" s="3443">
        <v>712</v>
      </c>
      <c r="J156" s="3301" t="s">
        <v>1355</v>
      </c>
      <c r="K156" s="71"/>
      <c r="M156" s="3154"/>
      <c r="N156" s="71" t="s">
        <v>30</v>
      </c>
      <c r="O156" s="71"/>
      <c r="W156" s="97" t="s">
        <v>1356</v>
      </c>
    </row>
    <row r="157" spans="1:26" ht="27" hidden="1" thickBot="1">
      <c r="A157" s="162" t="s">
        <v>105</v>
      </c>
      <c r="B157" s="1301">
        <v>45687</v>
      </c>
      <c r="C157" s="3165" t="s">
        <v>262</v>
      </c>
      <c r="D157" s="3165" t="s">
        <v>1357</v>
      </c>
      <c r="E157" s="1611" t="s">
        <v>52</v>
      </c>
      <c r="F157" s="1611" t="s">
        <v>1358</v>
      </c>
      <c r="I157" s="923">
        <v>705</v>
      </c>
      <c r="J157" s="3302" t="s">
        <v>664</v>
      </c>
      <c r="K157" s="71"/>
      <c r="L157" s="71" t="s">
        <v>30</v>
      </c>
      <c r="M157" s="3154"/>
      <c r="N157" s="71"/>
      <c r="O157" s="71"/>
      <c r="W157" s="71"/>
    </row>
    <row r="158" spans="1:26" ht="29.25" hidden="1" thickBot="1">
      <c r="A158" s="162" t="s">
        <v>105</v>
      </c>
      <c r="B158" s="1301">
        <v>45687</v>
      </c>
      <c r="C158" s="3165" t="s">
        <v>262</v>
      </c>
      <c r="D158" s="3165" t="s">
        <v>1359</v>
      </c>
      <c r="E158" s="1194" t="s">
        <v>450</v>
      </c>
      <c r="F158" s="1194" t="s">
        <v>1354</v>
      </c>
      <c r="I158" s="3443">
        <v>712</v>
      </c>
      <c r="J158" s="3238" t="s">
        <v>1355</v>
      </c>
      <c r="K158" s="71"/>
      <c r="M158" s="71"/>
      <c r="N158" s="71" t="s">
        <v>30</v>
      </c>
      <c r="O158" s="71"/>
      <c r="W158" s="71" t="s">
        <v>1360</v>
      </c>
    </row>
    <row r="159" spans="1:26" ht="27" hidden="1" thickBot="1">
      <c r="A159" s="162" t="s">
        <v>132</v>
      </c>
      <c r="B159" s="1301">
        <v>45688</v>
      </c>
      <c r="C159" s="3165" t="s">
        <v>262</v>
      </c>
      <c r="D159" s="3165" t="s">
        <v>1361</v>
      </c>
      <c r="E159" s="1194" t="s">
        <v>1258</v>
      </c>
      <c r="F159" s="1194" t="s">
        <v>1146</v>
      </c>
      <c r="I159" s="923">
        <v>710</v>
      </c>
      <c r="J159" s="3238">
        <v>1128</v>
      </c>
      <c r="K159" s="71"/>
      <c r="L159" s="71" t="s">
        <v>30</v>
      </c>
      <c r="M159" s="71"/>
      <c r="N159" s="71"/>
      <c r="O159" s="71"/>
      <c r="U159" s="71" t="s">
        <v>30</v>
      </c>
      <c r="W159" s="71"/>
      <c r="Y159" s="3156" t="s">
        <v>1362</v>
      </c>
    </row>
    <row r="160" spans="1:26" ht="29.25" hidden="1" thickBot="1">
      <c r="A160" s="162" t="s">
        <v>132</v>
      </c>
      <c r="B160" s="1301">
        <v>45688</v>
      </c>
      <c r="C160" s="3165" t="s">
        <v>262</v>
      </c>
      <c r="D160" s="3165" t="s">
        <v>1363</v>
      </c>
      <c r="E160" s="1194" t="s">
        <v>517</v>
      </c>
      <c r="F160" s="1194" t="s">
        <v>89</v>
      </c>
      <c r="I160" s="3443">
        <v>712</v>
      </c>
      <c r="J160" s="3238" t="s">
        <v>1364</v>
      </c>
      <c r="K160" s="71"/>
      <c r="L160" s="71" t="s">
        <v>30</v>
      </c>
      <c r="M160" s="71"/>
      <c r="N160" s="71"/>
      <c r="O160" s="71"/>
      <c r="P160" s="3161"/>
      <c r="Q160" s="3161"/>
      <c r="R160" s="3161"/>
      <c r="W160" s="71"/>
    </row>
    <row r="161" spans="1:26" ht="27" hidden="1" thickBot="1">
      <c r="A161" s="2052" t="s">
        <v>132</v>
      </c>
      <c r="B161" s="1390">
        <v>45688</v>
      </c>
      <c r="C161" s="3165" t="s">
        <v>262</v>
      </c>
      <c r="D161" s="3354" t="s">
        <v>1365</v>
      </c>
      <c r="E161" s="1524" t="s">
        <v>1292</v>
      </c>
      <c r="F161" s="1524" t="s">
        <v>1366</v>
      </c>
      <c r="I161" s="1001">
        <v>704</v>
      </c>
      <c r="J161" s="3234" t="s">
        <v>1294</v>
      </c>
      <c r="K161" s="71"/>
      <c r="L161" s="71" t="s">
        <v>30</v>
      </c>
      <c r="M161" s="71"/>
      <c r="N161" s="71"/>
      <c r="O161" s="71"/>
      <c r="W161" s="33"/>
    </row>
    <row r="162" spans="1:26" ht="53.25" hidden="1" thickBot="1">
      <c r="A162" s="118" t="s">
        <v>132</v>
      </c>
      <c r="B162" s="1390">
        <v>45688</v>
      </c>
      <c r="C162" s="3165" t="s">
        <v>262</v>
      </c>
      <c r="D162" s="3368"/>
      <c r="E162" s="4814" t="s">
        <v>462</v>
      </c>
      <c r="F162" s="4814" t="s">
        <v>1300</v>
      </c>
      <c r="G162" s="3276"/>
      <c r="H162" s="3276"/>
      <c r="I162" s="3443">
        <v>712</v>
      </c>
      <c r="J162" s="3234" t="s">
        <v>1301</v>
      </c>
      <c r="K162" s="3183" t="s">
        <v>84</v>
      </c>
      <c r="M162" s="71" t="s">
        <v>30</v>
      </c>
      <c r="N162" s="71" t="s">
        <v>30</v>
      </c>
      <c r="O162" s="71"/>
      <c r="P162" s="360" t="s">
        <v>109</v>
      </c>
      <c r="Q162" s="360" t="s">
        <v>1367</v>
      </c>
      <c r="R162" s="360"/>
      <c r="W162" s="33" t="s">
        <v>1368</v>
      </c>
    </row>
    <row r="163" spans="1:26" s="3297" customFormat="1" ht="29.25" hidden="1" thickBot="1">
      <c r="A163" s="118" t="s">
        <v>132</v>
      </c>
      <c r="B163" s="1390">
        <v>45688</v>
      </c>
      <c r="C163" s="3165" t="s">
        <v>262</v>
      </c>
      <c r="D163" s="3354"/>
      <c r="E163" s="3292" t="s">
        <v>1369</v>
      </c>
      <c r="F163" s="3292" t="s">
        <v>1370</v>
      </c>
      <c r="G163" s="3273"/>
      <c r="H163" s="3273"/>
      <c r="I163" s="3462">
        <v>712</v>
      </c>
      <c r="J163" s="3234" t="s">
        <v>1371</v>
      </c>
      <c r="K163" s="3171" t="s">
        <v>84</v>
      </c>
      <c r="L163" s="3273"/>
      <c r="M163" s="33"/>
      <c r="N163" s="33" t="s">
        <v>30</v>
      </c>
      <c r="O163" s="33"/>
      <c r="P163" s="3273"/>
      <c r="Q163" s="3273"/>
      <c r="R163" s="3273"/>
      <c r="S163" s="3273"/>
      <c r="T163" s="3273"/>
      <c r="U163" s="3273"/>
      <c r="V163" s="3273"/>
      <c r="W163" s="33"/>
      <c r="X163" s="3273"/>
      <c r="Y163" s="3274"/>
      <c r="Z163" s="3296"/>
    </row>
    <row r="164" spans="1:26" ht="29.25" hidden="1" thickBot="1">
      <c r="A164" s="1935" t="s">
        <v>132</v>
      </c>
      <c r="B164" s="1936">
        <v>45688</v>
      </c>
      <c r="C164" s="3356" t="s">
        <v>262</v>
      </c>
      <c r="D164" s="3356"/>
      <c r="E164" s="4573" t="s">
        <v>1372</v>
      </c>
      <c r="F164" s="4573" t="s">
        <v>1373</v>
      </c>
      <c r="G164" s="3281"/>
      <c r="H164" s="3281"/>
      <c r="I164" s="3503">
        <v>712</v>
      </c>
      <c r="J164" s="3315" t="s">
        <v>1374</v>
      </c>
      <c r="K164" s="1419"/>
      <c r="L164" s="3281"/>
      <c r="M164" s="64" t="s">
        <v>30</v>
      </c>
      <c r="N164" s="64"/>
      <c r="O164" s="64"/>
      <c r="P164" s="34" t="s">
        <v>0</v>
      </c>
      <c r="Q164" s="34" t="s">
        <v>110</v>
      </c>
      <c r="R164" s="34"/>
      <c r="S164" s="3281"/>
      <c r="T164" s="3281"/>
      <c r="U164" s="3281"/>
      <c r="V164" s="3281"/>
      <c r="W164" s="64" t="s">
        <v>1375</v>
      </c>
      <c r="X164" s="3281"/>
      <c r="Y164" s="3282"/>
    </row>
    <row r="165" spans="1:26" ht="27" hidden="1" thickBot="1">
      <c r="A165" s="1941" t="s">
        <v>132</v>
      </c>
      <c r="B165" s="1300">
        <v>45688</v>
      </c>
      <c r="C165" s="3165" t="s">
        <v>262</v>
      </c>
      <c r="E165" s="1611" t="s">
        <v>169</v>
      </c>
      <c r="F165" s="1611" t="s">
        <v>1376</v>
      </c>
      <c r="I165" s="3182">
        <v>705</v>
      </c>
      <c r="J165" s="3238" t="s">
        <v>664</v>
      </c>
      <c r="K165" s="71"/>
      <c r="L165" s="71" t="s">
        <v>30</v>
      </c>
      <c r="M165" s="71"/>
      <c r="N165" s="71"/>
      <c r="O165" s="71"/>
      <c r="W165" s="33"/>
      <c r="Y165" s="3283"/>
    </row>
    <row r="166" spans="1:26" ht="27" hidden="1" thickBot="1">
      <c r="A166" s="1937" t="s">
        <v>132</v>
      </c>
      <c r="B166" s="1390">
        <v>45688</v>
      </c>
      <c r="C166" s="3165" t="s">
        <v>262</v>
      </c>
      <c r="D166" s="3354" t="s">
        <v>1377</v>
      </c>
      <c r="E166" s="3324" t="s">
        <v>1378</v>
      </c>
      <c r="F166" s="1524" t="s">
        <v>1378</v>
      </c>
      <c r="G166" s="3273"/>
      <c r="H166" s="3273"/>
      <c r="I166" s="923">
        <v>711</v>
      </c>
      <c r="J166" s="3234" t="s">
        <v>1379</v>
      </c>
      <c r="K166" s="71"/>
      <c r="L166" s="33" t="s">
        <v>30</v>
      </c>
      <c r="M166" s="33"/>
      <c r="N166" s="71"/>
      <c r="O166" s="71"/>
      <c r="S166" s="3273"/>
      <c r="T166" s="3273"/>
      <c r="U166" s="33" t="s">
        <v>30</v>
      </c>
      <c r="V166" s="3273"/>
      <c r="W166" s="33"/>
      <c r="Y166" s="3283"/>
    </row>
    <row r="167" spans="1:26" ht="27" hidden="1" thickBot="1">
      <c r="A167" s="1937" t="s">
        <v>25</v>
      </c>
      <c r="B167" s="1390">
        <v>45691</v>
      </c>
      <c r="C167" s="3189">
        <v>6</v>
      </c>
      <c r="D167" s="3190">
        <v>98</v>
      </c>
      <c r="E167" s="4572" t="s">
        <v>339</v>
      </c>
      <c r="F167" s="4572" t="s">
        <v>1380</v>
      </c>
      <c r="G167" s="927" t="s">
        <v>1206</v>
      </c>
      <c r="H167" s="1245" t="s">
        <v>1206</v>
      </c>
      <c r="I167" s="923">
        <v>701</v>
      </c>
      <c r="J167" s="3234" t="s">
        <v>1381</v>
      </c>
      <c r="K167" s="3234"/>
      <c r="L167" s="1001" t="s">
        <v>37</v>
      </c>
      <c r="M167" s="33"/>
      <c r="S167" s="33"/>
      <c r="T167" s="33"/>
      <c r="U167" s="33"/>
      <c r="V167" s="33"/>
      <c r="W167" s="33"/>
      <c r="Y167" s="3283"/>
    </row>
    <row r="168" spans="1:26" ht="29.25" hidden="1" thickBot="1">
      <c r="A168" s="1937" t="s">
        <v>25</v>
      </c>
      <c r="B168" s="1390">
        <v>45691</v>
      </c>
      <c r="C168" s="3165" t="s">
        <v>291</v>
      </c>
      <c r="D168" s="3165" t="s">
        <v>1382</v>
      </c>
      <c r="E168" s="1194" t="s">
        <v>339</v>
      </c>
      <c r="F168" s="1194" t="s">
        <v>79</v>
      </c>
      <c r="G168" s="3109" t="s">
        <v>1199</v>
      </c>
      <c r="H168" s="1245" t="s">
        <v>1206</v>
      </c>
      <c r="I168" s="923">
        <v>710</v>
      </c>
      <c r="J168" s="3238" t="s">
        <v>1383</v>
      </c>
      <c r="K168" s="1520"/>
      <c r="L168" s="923" t="s">
        <v>30</v>
      </c>
      <c r="M168" s="71"/>
      <c r="S168" s="71"/>
      <c r="T168" s="71"/>
      <c r="U168" s="71"/>
      <c r="V168" s="71"/>
      <c r="W168" s="3286"/>
      <c r="Y168" s="3283"/>
    </row>
    <row r="169" spans="1:26" ht="29.25" hidden="1" thickBot="1">
      <c r="A169" s="1937" t="s">
        <v>25</v>
      </c>
      <c r="B169" s="1390">
        <v>45691</v>
      </c>
      <c r="C169" s="3165" t="s">
        <v>291</v>
      </c>
      <c r="D169" s="3165" t="s">
        <v>1384</v>
      </c>
      <c r="E169" s="1194" t="s">
        <v>1065</v>
      </c>
      <c r="F169" s="1194" t="s">
        <v>169</v>
      </c>
      <c r="G169" s="927" t="s">
        <v>1199</v>
      </c>
      <c r="H169" s="1245" t="s">
        <v>1199</v>
      </c>
      <c r="I169" s="3531">
        <v>712</v>
      </c>
      <c r="J169" s="3238" t="s">
        <v>1385</v>
      </c>
      <c r="K169" s="3183" t="s">
        <v>1067</v>
      </c>
      <c r="L169" s="923" t="s">
        <v>37</v>
      </c>
      <c r="M169" s="71"/>
      <c r="S169" s="71"/>
      <c r="T169" s="71"/>
      <c r="U169" s="71"/>
      <c r="V169" s="71"/>
      <c r="W169" s="3286"/>
      <c r="Y169" s="3283"/>
    </row>
    <row r="170" spans="1:26" ht="29.25" hidden="1" thickBot="1">
      <c r="A170" s="1937" t="s">
        <v>25</v>
      </c>
      <c r="B170" s="1390">
        <v>45691</v>
      </c>
      <c r="C170" s="3165" t="s">
        <v>291</v>
      </c>
      <c r="D170" s="3165" t="s">
        <v>1386</v>
      </c>
      <c r="E170" s="1194" t="s">
        <v>405</v>
      </c>
      <c r="F170" s="1194" t="s">
        <v>89</v>
      </c>
      <c r="G170" s="3109" t="s">
        <v>1199</v>
      </c>
      <c r="H170" s="3168" t="s">
        <v>1199</v>
      </c>
      <c r="I170" s="3531">
        <v>712</v>
      </c>
      <c r="J170" s="3238" t="s">
        <v>743</v>
      </c>
      <c r="K170" s="3183" t="s">
        <v>84</v>
      </c>
      <c r="L170" s="923" t="s">
        <v>37</v>
      </c>
      <c r="M170" s="71"/>
      <c r="S170" s="71"/>
      <c r="T170" s="71"/>
      <c r="U170" s="71"/>
      <c r="V170" s="71"/>
      <c r="W170" s="3286"/>
      <c r="Y170" s="3283"/>
    </row>
    <row r="171" spans="1:26" ht="29.25" hidden="1" thickBot="1">
      <c r="A171" s="1937" t="s">
        <v>25</v>
      </c>
      <c r="B171" s="1390">
        <v>45691</v>
      </c>
      <c r="C171" s="3165" t="s">
        <v>291</v>
      </c>
      <c r="D171" s="3165" t="s">
        <v>1387</v>
      </c>
      <c r="E171" s="1194" t="s">
        <v>89</v>
      </c>
      <c r="F171" s="1194" t="s">
        <v>79</v>
      </c>
      <c r="G171" s="3109" t="s">
        <v>1199</v>
      </c>
      <c r="H171" s="3109" t="s">
        <v>1199</v>
      </c>
      <c r="I171" s="3443">
        <v>712</v>
      </c>
      <c r="J171" s="3238" t="s">
        <v>1388</v>
      </c>
      <c r="K171" s="1525"/>
      <c r="L171" s="923" t="s">
        <v>30</v>
      </c>
      <c r="M171" s="71"/>
      <c r="S171" s="71"/>
      <c r="T171" s="71"/>
      <c r="U171" s="71"/>
      <c r="V171" s="71"/>
      <c r="W171" s="3286" t="s">
        <v>1389</v>
      </c>
      <c r="Y171" s="3283"/>
    </row>
    <row r="172" spans="1:26" ht="57.75" hidden="1" thickBot="1">
      <c r="A172" s="1938" t="s">
        <v>25</v>
      </c>
      <c r="B172" s="1312">
        <v>45691</v>
      </c>
      <c r="C172" s="3165" t="s">
        <v>291</v>
      </c>
      <c r="D172" s="3354" t="s">
        <v>1390</v>
      </c>
      <c r="E172" s="4815" t="s">
        <v>1391</v>
      </c>
      <c r="F172" s="4815" t="s">
        <v>1392</v>
      </c>
      <c r="G172" s="3172" t="s">
        <v>1199</v>
      </c>
      <c r="H172" s="3172" t="s">
        <v>1199</v>
      </c>
      <c r="I172" s="923">
        <v>705</v>
      </c>
      <c r="J172" s="3252" t="s">
        <v>1393</v>
      </c>
      <c r="K172" s="1603"/>
      <c r="L172" s="957"/>
      <c r="M172" s="91" t="s">
        <v>37</v>
      </c>
      <c r="N172" s="3284"/>
      <c r="O172" s="91" t="s">
        <v>37</v>
      </c>
      <c r="P172" s="360" t="s">
        <v>109</v>
      </c>
      <c r="Q172" s="3303" t="s">
        <v>323</v>
      </c>
      <c r="R172" s="3303" t="s">
        <v>160</v>
      </c>
      <c r="S172" s="91"/>
      <c r="T172" s="91"/>
      <c r="U172" s="91"/>
      <c r="V172" s="91"/>
      <c r="W172" s="3313" t="s">
        <v>1394</v>
      </c>
      <c r="X172" s="3284"/>
      <c r="Y172" s="3285"/>
    </row>
    <row r="173" spans="1:26" ht="57.75" hidden="1" thickBot="1">
      <c r="A173" s="1935" t="s">
        <v>25</v>
      </c>
      <c r="B173" s="1936">
        <v>45691</v>
      </c>
      <c r="C173" s="3165" t="s">
        <v>291</v>
      </c>
      <c r="D173" s="3355"/>
      <c r="E173" s="1550" t="s">
        <v>1151</v>
      </c>
      <c r="F173" s="1550" t="s">
        <v>1166</v>
      </c>
      <c r="G173" s="972" t="s">
        <v>1199</v>
      </c>
      <c r="H173" s="3323" t="s">
        <v>1199</v>
      </c>
      <c r="I173" s="923">
        <v>705</v>
      </c>
      <c r="J173" s="3270">
        <v>1544</v>
      </c>
      <c r="K173" s="1597"/>
      <c r="L173" s="918"/>
      <c r="M173" s="64"/>
      <c r="N173" s="4945" t="s">
        <v>30</v>
      </c>
      <c r="O173" s="3281"/>
      <c r="S173" s="64"/>
      <c r="T173" s="64"/>
      <c r="U173" s="64"/>
      <c r="V173" s="64"/>
      <c r="W173" s="3325" t="s">
        <v>1394</v>
      </c>
      <c r="X173" s="3281"/>
      <c r="Y173" s="3282"/>
    </row>
    <row r="174" spans="1:26" ht="57.75" hidden="1" thickBot="1">
      <c r="A174" s="1942" t="s">
        <v>25</v>
      </c>
      <c r="B174" s="1301">
        <v>45691</v>
      </c>
      <c r="C174" s="3165" t="s">
        <v>291</v>
      </c>
      <c r="D174" s="3355" t="s">
        <v>1395</v>
      </c>
      <c r="E174" s="4554" t="s">
        <v>1153</v>
      </c>
      <c r="F174" s="4554" t="s">
        <v>1396</v>
      </c>
      <c r="G174" s="1200"/>
      <c r="H174" s="1200"/>
      <c r="I174" s="3443">
        <v>712</v>
      </c>
      <c r="J174" s="3245" t="s">
        <v>1397</v>
      </c>
      <c r="K174" s="3176" t="s">
        <v>84</v>
      </c>
      <c r="L174" s="1009"/>
      <c r="M174" s="97" t="s">
        <v>37</v>
      </c>
      <c r="P174" s="360" t="s">
        <v>0</v>
      </c>
      <c r="Q174" s="360" t="s">
        <v>31</v>
      </c>
      <c r="R174" s="360" t="s">
        <v>1155</v>
      </c>
      <c r="S174" s="97" t="s">
        <v>37</v>
      </c>
      <c r="T174" s="97"/>
      <c r="U174" s="97"/>
      <c r="V174" s="1041"/>
      <c r="W174" s="3288" t="s">
        <v>1398</v>
      </c>
      <c r="Y174" s="3283"/>
    </row>
    <row r="175" spans="1:26" ht="29.25" hidden="1" thickBot="1">
      <c r="A175" s="1942" t="s">
        <v>25</v>
      </c>
      <c r="B175" s="1301">
        <v>45691</v>
      </c>
      <c r="C175" s="3165" t="s">
        <v>291</v>
      </c>
      <c r="D175" s="3355"/>
      <c r="E175" s="4554" t="s">
        <v>1399</v>
      </c>
      <c r="F175" s="4554" t="s">
        <v>1400</v>
      </c>
      <c r="G175" s="4684"/>
      <c r="H175" s="4684"/>
      <c r="I175" s="3443">
        <v>712</v>
      </c>
      <c r="J175" s="3245" t="s">
        <v>1397</v>
      </c>
      <c r="K175" s="3263"/>
      <c r="L175" s="1009"/>
      <c r="M175" s="97"/>
      <c r="N175" s="3160" t="s">
        <v>30</v>
      </c>
      <c r="S175" s="97"/>
      <c r="T175" s="97"/>
      <c r="U175" s="97"/>
      <c r="V175" s="1041"/>
      <c r="W175" s="3288"/>
      <c r="Y175" s="3283"/>
    </row>
    <row r="176" spans="1:26" ht="29.25" hidden="1" thickBot="1">
      <c r="A176" s="1937" t="s">
        <v>67</v>
      </c>
      <c r="B176" s="1390">
        <v>45691</v>
      </c>
      <c r="C176" s="3165" t="s">
        <v>291</v>
      </c>
      <c r="E176" s="1519" t="s">
        <v>1151</v>
      </c>
      <c r="F176" s="1519" t="s">
        <v>1401</v>
      </c>
      <c r="G176" s="1200" t="s">
        <v>1199</v>
      </c>
      <c r="H176" s="1200" t="s">
        <v>1199</v>
      </c>
      <c r="I176" s="3182">
        <v>705</v>
      </c>
      <c r="J176" s="3238" t="s">
        <v>211</v>
      </c>
      <c r="K176" s="1520"/>
      <c r="L176" s="923" t="s">
        <v>37</v>
      </c>
      <c r="M176" s="71"/>
      <c r="S176" s="71"/>
      <c r="T176" s="71"/>
      <c r="U176" s="71" t="s">
        <v>37</v>
      </c>
      <c r="V176" s="71"/>
      <c r="W176" s="3314"/>
      <c r="Y176" s="3283"/>
    </row>
    <row r="177" spans="1:26" ht="57.75" hidden="1" thickBot="1">
      <c r="A177" s="1941" t="s">
        <v>67</v>
      </c>
      <c r="B177" s="1300">
        <v>45692</v>
      </c>
      <c r="C177" s="3165" t="s">
        <v>291</v>
      </c>
      <c r="D177" s="3165" t="s">
        <v>1402</v>
      </c>
      <c r="E177" s="1194" t="s">
        <v>89</v>
      </c>
      <c r="F177" s="1194" t="s">
        <v>1403</v>
      </c>
      <c r="G177" s="927" t="s">
        <v>1199</v>
      </c>
      <c r="H177" s="927" t="s">
        <v>1199</v>
      </c>
      <c r="I177" s="3531">
        <v>712</v>
      </c>
      <c r="J177" s="3238" t="s">
        <v>1404</v>
      </c>
      <c r="K177" s="3183" t="s">
        <v>84</v>
      </c>
      <c r="L177" s="923"/>
      <c r="M177" s="71" t="s">
        <v>37</v>
      </c>
      <c r="P177" s="360" t="s">
        <v>0</v>
      </c>
      <c r="Q177" s="360" t="s">
        <v>187</v>
      </c>
      <c r="R177" s="360" t="s">
        <v>1155</v>
      </c>
      <c r="S177" s="71"/>
      <c r="T177" s="71"/>
      <c r="U177" s="71"/>
      <c r="V177" s="71"/>
      <c r="W177" s="3286" t="s">
        <v>1405</v>
      </c>
      <c r="Y177" s="3283"/>
    </row>
    <row r="178" spans="1:26" ht="29.25" hidden="1" thickBot="1">
      <c r="A178" s="1962" t="s">
        <v>67</v>
      </c>
      <c r="B178" s="1312">
        <v>45692</v>
      </c>
      <c r="C178" s="3165" t="s">
        <v>291</v>
      </c>
      <c r="D178" s="3354"/>
      <c r="E178" s="1514" t="s">
        <v>1153</v>
      </c>
      <c r="F178" s="3328" t="s">
        <v>1406</v>
      </c>
      <c r="G178" s="970" t="s">
        <v>1199</v>
      </c>
      <c r="H178" s="970" t="s">
        <v>1199</v>
      </c>
      <c r="I178" s="3443">
        <v>712</v>
      </c>
      <c r="J178" s="3252" t="s">
        <v>1407</v>
      </c>
      <c r="K178" s="3173" t="s">
        <v>84</v>
      </c>
      <c r="L178" s="957" t="s">
        <v>37</v>
      </c>
      <c r="M178" s="91"/>
      <c r="N178" s="3284" t="s">
        <v>37</v>
      </c>
      <c r="O178" s="3284"/>
      <c r="P178" s="3284"/>
      <c r="Q178" s="3284"/>
      <c r="R178" s="3284"/>
      <c r="S178" s="91"/>
      <c r="T178" s="91" t="s">
        <v>37</v>
      </c>
      <c r="U178" s="91"/>
      <c r="V178" s="91"/>
      <c r="W178" s="3313"/>
      <c r="X178" s="3284"/>
      <c r="Y178" s="3285"/>
    </row>
    <row r="179" spans="1:26" ht="29.25" hidden="1" thickBot="1">
      <c r="A179" s="2070" t="s">
        <v>67</v>
      </c>
      <c r="B179" s="2068">
        <v>45692</v>
      </c>
      <c r="C179" s="3165" t="s">
        <v>291</v>
      </c>
      <c r="D179" s="3368"/>
      <c r="E179" s="3175" t="s">
        <v>1408</v>
      </c>
      <c r="F179" s="3175" t="s">
        <v>1153</v>
      </c>
      <c r="G179" s="1264" t="s">
        <v>1199</v>
      </c>
      <c r="H179" s="1264" t="s">
        <v>1199</v>
      </c>
      <c r="I179" s="3443">
        <v>712</v>
      </c>
      <c r="J179" s="3315" t="s">
        <v>1407</v>
      </c>
      <c r="K179" s="3316" t="s">
        <v>84</v>
      </c>
      <c r="L179" s="1419" t="s">
        <v>37</v>
      </c>
      <c r="M179" s="905"/>
      <c r="N179" s="3281" t="s">
        <v>37</v>
      </c>
      <c r="O179" s="3281"/>
      <c r="P179" s="3281"/>
      <c r="Q179" s="3281"/>
      <c r="R179" s="3281"/>
      <c r="S179" s="905"/>
      <c r="T179" s="905" t="s">
        <v>37</v>
      </c>
      <c r="U179" s="905"/>
      <c r="V179" s="905"/>
      <c r="W179" s="3317"/>
      <c r="X179" s="3281"/>
      <c r="Y179" s="3282"/>
    </row>
    <row r="180" spans="1:26" ht="29.25" hidden="1" thickBot="1">
      <c r="A180" s="1941" t="s">
        <v>67</v>
      </c>
      <c r="B180" s="1300">
        <v>45692</v>
      </c>
      <c r="C180" s="3165" t="s">
        <v>291</v>
      </c>
      <c r="E180" s="2667" t="s">
        <v>1225</v>
      </c>
      <c r="F180" s="2667" t="s">
        <v>1409</v>
      </c>
      <c r="G180" s="979" t="s">
        <v>1206</v>
      </c>
      <c r="H180" s="979" t="s">
        <v>1206</v>
      </c>
      <c r="I180" s="923">
        <v>701</v>
      </c>
      <c r="J180" s="3238" t="s">
        <v>1410</v>
      </c>
      <c r="K180" s="1520"/>
      <c r="L180" s="923" t="s">
        <v>37</v>
      </c>
      <c r="M180" s="71"/>
      <c r="S180" s="71"/>
      <c r="T180" s="71"/>
      <c r="U180" s="71"/>
      <c r="V180" s="71"/>
      <c r="W180" s="3319"/>
      <c r="Y180" s="3283"/>
    </row>
    <row r="181" spans="1:26" ht="29.25" hidden="1" thickBot="1">
      <c r="A181" s="1962" t="s">
        <v>67</v>
      </c>
      <c r="B181" s="1312">
        <v>45692</v>
      </c>
      <c r="C181" s="3165" t="s">
        <v>291</v>
      </c>
      <c r="D181" s="3354" t="s">
        <v>1411</v>
      </c>
      <c r="E181" s="1514" t="s">
        <v>1412</v>
      </c>
      <c r="F181" s="3328" t="s">
        <v>1413</v>
      </c>
      <c r="G181" s="970" t="s">
        <v>1199</v>
      </c>
      <c r="H181" s="970" t="s">
        <v>1199</v>
      </c>
      <c r="I181" s="3443">
        <v>712</v>
      </c>
      <c r="J181" s="3252" t="s">
        <v>1414</v>
      </c>
      <c r="K181" s="1603"/>
      <c r="L181" s="957" t="s">
        <v>37</v>
      </c>
      <c r="M181" s="91"/>
      <c r="N181" s="3284"/>
      <c r="O181" s="3284"/>
      <c r="S181" s="91"/>
      <c r="T181" s="91"/>
      <c r="U181" s="91"/>
      <c r="V181" s="91"/>
      <c r="W181" s="3318"/>
      <c r="X181" s="3284"/>
      <c r="Y181" s="3285"/>
    </row>
    <row r="182" spans="1:26" ht="29.25" hidden="1" thickBot="1">
      <c r="A182" s="1935" t="s">
        <v>85</v>
      </c>
      <c r="B182" s="1936">
        <v>45693</v>
      </c>
      <c r="C182" s="3165" t="s">
        <v>291</v>
      </c>
      <c r="D182" s="3355" t="s">
        <v>1415</v>
      </c>
      <c r="E182" s="1528" t="s">
        <v>169</v>
      </c>
      <c r="F182" s="1528" t="s">
        <v>1065</v>
      </c>
      <c r="G182" s="1265" t="s">
        <v>1199</v>
      </c>
      <c r="H182" s="1265" t="s">
        <v>1199</v>
      </c>
      <c r="I182" s="3528">
        <v>712</v>
      </c>
      <c r="J182" s="3270" t="s">
        <v>1385</v>
      </c>
      <c r="K182" s="3362" t="s">
        <v>174</v>
      </c>
      <c r="L182" s="918" t="s">
        <v>37</v>
      </c>
      <c r="M182" s="64"/>
      <c r="N182" s="3281"/>
      <c r="O182" s="3281"/>
      <c r="P182" s="3281"/>
      <c r="Q182" s="3281"/>
      <c r="R182" s="3281"/>
      <c r="S182" s="64"/>
      <c r="T182" s="64"/>
      <c r="U182" s="64"/>
      <c r="V182" s="64"/>
      <c r="W182" s="3325"/>
      <c r="X182" s="3281"/>
      <c r="Y182" s="3282"/>
    </row>
    <row r="183" spans="1:26" ht="29.25" hidden="1" thickBot="1">
      <c r="A183" s="1941" t="s">
        <v>85</v>
      </c>
      <c r="B183" s="1300">
        <v>45693</v>
      </c>
      <c r="C183" s="3165" t="s">
        <v>291</v>
      </c>
      <c r="E183" s="1194" t="s">
        <v>1153</v>
      </c>
      <c r="F183" s="1194" t="s">
        <v>156</v>
      </c>
      <c r="G183" s="979" t="s">
        <v>1199</v>
      </c>
      <c r="H183" s="979" t="s">
        <v>1199</v>
      </c>
      <c r="I183" s="3443">
        <v>712</v>
      </c>
      <c r="J183" s="3238" t="s">
        <v>1404</v>
      </c>
      <c r="K183" s="3183" t="s">
        <v>84</v>
      </c>
      <c r="L183" s="923" t="s">
        <v>37</v>
      </c>
      <c r="M183" s="71"/>
      <c r="S183" s="71"/>
      <c r="T183" s="71"/>
      <c r="U183" s="71"/>
      <c r="V183" s="71"/>
      <c r="W183" s="3319"/>
      <c r="Y183" s="3283"/>
    </row>
    <row r="184" spans="1:26" ht="29.25" hidden="1" thickBot="1">
      <c r="A184" s="1941" t="s">
        <v>85</v>
      </c>
      <c r="B184" s="1300">
        <v>45693</v>
      </c>
      <c r="C184" s="3165" t="s">
        <v>291</v>
      </c>
      <c r="E184" s="1194" t="s">
        <v>156</v>
      </c>
      <c r="F184" s="1194" t="s">
        <v>1160</v>
      </c>
      <c r="G184" s="1187"/>
      <c r="H184" s="1187"/>
      <c r="I184" s="3443">
        <v>712</v>
      </c>
      <c r="J184" s="3238" t="s">
        <v>1407</v>
      </c>
      <c r="K184" s="3183" t="s">
        <v>84</v>
      </c>
      <c r="L184" s="923"/>
      <c r="M184" s="71"/>
      <c r="N184" s="3160" t="s">
        <v>30</v>
      </c>
      <c r="S184" s="71"/>
      <c r="T184" s="71"/>
      <c r="U184" s="71"/>
      <c r="V184" s="71"/>
      <c r="W184" s="3319" t="s">
        <v>1416</v>
      </c>
      <c r="Y184" s="3283"/>
    </row>
    <row r="185" spans="1:26" ht="57.75" hidden="1" thickBot="1">
      <c r="A185" s="1941" t="s">
        <v>105</v>
      </c>
      <c r="B185" s="1300">
        <v>45693</v>
      </c>
      <c r="C185" s="3165" t="s">
        <v>291</v>
      </c>
      <c r="D185" s="3165" t="s">
        <v>1417</v>
      </c>
      <c r="E185" s="1194" t="s">
        <v>1408</v>
      </c>
      <c r="F185" s="1194" t="s">
        <v>1418</v>
      </c>
      <c r="G185" s="979" t="s">
        <v>1199</v>
      </c>
      <c r="H185" s="979" t="s">
        <v>1199</v>
      </c>
      <c r="I185" s="3531">
        <v>712</v>
      </c>
      <c r="J185" s="3238" t="s">
        <v>1419</v>
      </c>
      <c r="K185" s="3183" t="s">
        <v>84</v>
      </c>
      <c r="L185" s="923"/>
      <c r="M185" s="71" t="s">
        <v>37</v>
      </c>
      <c r="P185" s="360" t="s">
        <v>0</v>
      </c>
      <c r="Q185" s="360" t="s">
        <v>31</v>
      </c>
      <c r="R185" s="360" t="s">
        <v>1155</v>
      </c>
      <c r="S185" s="71"/>
      <c r="T185" s="71" t="s">
        <v>37</v>
      </c>
      <c r="U185" s="71"/>
      <c r="V185" s="71"/>
      <c r="W185" s="3286" t="s">
        <v>1420</v>
      </c>
      <c r="Y185" s="3283"/>
    </row>
    <row r="186" spans="1:26" ht="29.25" hidden="1" thickBot="1">
      <c r="A186" s="1941" t="s">
        <v>105</v>
      </c>
      <c r="B186" s="1300">
        <v>45693</v>
      </c>
      <c r="C186" s="3165" t="s">
        <v>291</v>
      </c>
      <c r="E186" s="1194" t="s">
        <v>1421</v>
      </c>
      <c r="F186" s="1194" t="s">
        <v>1422</v>
      </c>
      <c r="G186" s="3109" t="s">
        <v>1206</v>
      </c>
      <c r="H186" s="3109" t="s">
        <v>1206</v>
      </c>
      <c r="I186" s="3531">
        <v>712</v>
      </c>
      <c r="J186" s="3238" t="s">
        <v>1419</v>
      </c>
      <c r="K186" s="923"/>
      <c r="L186" s="923"/>
      <c r="M186" s="71"/>
      <c r="N186" s="3160" t="s">
        <v>30</v>
      </c>
      <c r="S186" s="71" t="s">
        <v>37</v>
      </c>
      <c r="T186" s="71"/>
      <c r="U186" s="71"/>
      <c r="V186" s="71"/>
      <c r="W186" s="3286" t="s">
        <v>1423</v>
      </c>
      <c r="Y186" s="3283"/>
    </row>
    <row r="187" spans="1:26" ht="57.75" hidden="1" thickBot="1">
      <c r="A187" s="1941" t="s">
        <v>105</v>
      </c>
      <c r="B187" s="1300">
        <v>45694</v>
      </c>
      <c r="C187" s="3165" t="s">
        <v>291</v>
      </c>
      <c r="D187" s="3165" t="s">
        <v>1424</v>
      </c>
      <c r="E187" s="1194" t="s">
        <v>169</v>
      </c>
      <c r="F187" s="1194" t="s">
        <v>334</v>
      </c>
      <c r="G187" s="3109" t="s">
        <v>1206</v>
      </c>
      <c r="H187" s="3109" t="s">
        <v>1206</v>
      </c>
      <c r="I187" s="3182">
        <v>705</v>
      </c>
      <c r="J187" s="3238" t="s">
        <v>1425</v>
      </c>
      <c r="K187" s="923"/>
      <c r="L187" s="923"/>
      <c r="M187" s="71" t="s">
        <v>37</v>
      </c>
      <c r="O187" s="3160" t="s">
        <v>30</v>
      </c>
      <c r="S187" s="71"/>
      <c r="T187" s="71"/>
      <c r="U187" s="71"/>
      <c r="V187" s="71"/>
      <c r="W187" s="3288" t="s">
        <v>1426</v>
      </c>
      <c r="Y187" s="3283"/>
    </row>
    <row r="188" spans="1:26" ht="158.25" hidden="1" thickBot="1">
      <c r="A188" s="1937" t="s">
        <v>105</v>
      </c>
      <c r="B188" s="1300">
        <v>45694</v>
      </c>
      <c r="C188" s="3165" t="s">
        <v>291</v>
      </c>
      <c r="D188" s="3354" t="s">
        <v>1427</v>
      </c>
      <c r="E188" s="1524" t="s">
        <v>79</v>
      </c>
      <c r="F188" s="1524" t="s">
        <v>339</v>
      </c>
      <c r="G188" s="1246" t="s">
        <v>1206</v>
      </c>
      <c r="H188" s="1246" t="s">
        <v>1206</v>
      </c>
      <c r="I188" s="3167">
        <v>710</v>
      </c>
      <c r="J188" s="3234" t="s">
        <v>1383</v>
      </c>
      <c r="K188" s="1525"/>
      <c r="L188" s="1001"/>
      <c r="M188" s="33" t="s">
        <v>37</v>
      </c>
      <c r="O188" s="3160" t="s">
        <v>30</v>
      </c>
      <c r="P188" s="360" t="s">
        <v>109</v>
      </c>
      <c r="Q188" s="360" t="s">
        <v>1428</v>
      </c>
      <c r="R188" s="360" t="s">
        <v>1228</v>
      </c>
      <c r="S188" s="33" t="s">
        <v>37</v>
      </c>
      <c r="T188" s="33"/>
      <c r="U188" s="33"/>
      <c r="V188" s="33"/>
      <c r="W188" s="3288" t="s">
        <v>1429</v>
      </c>
      <c r="X188" s="3166" t="s">
        <v>1430</v>
      </c>
      <c r="Y188" s="3283"/>
      <c r="Z188" s="3258" t="s">
        <v>1431</v>
      </c>
    </row>
    <row r="189" spans="1:26" ht="29.25" hidden="1" thickBot="1">
      <c r="A189" s="1937" t="s">
        <v>105</v>
      </c>
      <c r="B189" s="1300">
        <v>45694</v>
      </c>
      <c r="C189" s="3165" t="s">
        <v>291</v>
      </c>
      <c r="D189" s="3354" t="s">
        <v>1432</v>
      </c>
      <c r="E189" s="2686" t="s">
        <v>339</v>
      </c>
      <c r="F189" s="2686" t="s">
        <v>183</v>
      </c>
      <c r="G189" s="1246" t="s">
        <v>1206</v>
      </c>
      <c r="H189" s="1246" t="s">
        <v>1206</v>
      </c>
      <c r="I189" s="3167">
        <v>709</v>
      </c>
      <c r="J189" s="3234" t="s">
        <v>1433</v>
      </c>
      <c r="K189" s="1525"/>
      <c r="L189" s="1001" t="s">
        <v>37</v>
      </c>
      <c r="M189" s="33"/>
      <c r="S189" s="33"/>
      <c r="T189" s="33"/>
      <c r="U189" s="33"/>
      <c r="V189" s="33"/>
      <c r="W189" s="3286"/>
      <c r="Y189" s="3283"/>
    </row>
    <row r="190" spans="1:26" ht="29.25" hidden="1" thickBot="1">
      <c r="A190" s="1937" t="s">
        <v>105</v>
      </c>
      <c r="B190" s="1390">
        <v>45694</v>
      </c>
      <c r="C190" s="3165" t="s">
        <v>291</v>
      </c>
      <c r="D190" s="3354" t="s">
        <v>1434</v>
      </c>
      <c r="E190" s="3246" t="s">
        <v>1435</v>
      </c>
      <c r="F190" s="3246" t="s">
        <v>516</v>
      </c>
      <c r="G190" s="1246" t="s">
        <v>1206</v>
      </c>
      <c r="H190" s="1246" t="s">
        <v>1206</v>
      </c>
      <c r="I190" s="3167">
        <v>704</v>
      </c>
      <c r="J190" s="3234" t="s">
        <v>1436</v>
      </c>
      <c r="K190" s="1525"/>
      <c r="L190" s="1001" t="s">
        <v>37</v>
      </c>
      <c r="M190" s="33"/>
      <c r="S190" s="33"/>
      <c r="T190" s="33"/>
      <c r="U190" s="33"/>
      <c r="V190" s="33"/>
      <c r="W190" s="3286"/>
      <c r="Y190" s="3283"/>
    </row>
    <row r="191" spans="1:26" ht="27" hidden="1" thickBot="1">
      <c r="A191" s="2140" t="s">
        <v>1437</v>
      </c>
      <c r="B191" s="2141">
        <v>45694</v>
      </c>
      <c r="C191" s="3165" t="s">
        <v>291</v>
      </c>
      <c r="D191" s="3368" t="s">
        <v>1438</v>
      </c>
      <c r="E191" s="3150" t="s">
        <v>1213</v>
      </c>
      <c r="F191" s="3150" t="s">
        <v>306</v>
      </c>
      <c r="G191" s="4882" t="s">
        <v>1199</v>
      </c>
      <c r="H191" s="4882" t="s">
        <v>1199</v>
      </c>
      <c r="I191" s="3327">
        <v>705</v>
      </c>
      <c r="J191" s="3304" t="s">
        <v>529</v>
      </c>
      <c r="K191" s="3236" t="s">
        <v>29</v>
      </c>
      <c r="L191" s="2346" t="s">
        <v>37</v>
      </c>
      <c r="M191" s="2347"/>
      <c r="N191" s="3284"/>
      <c r="O191" s="3284"/>
      <c r="P191" s="3284"/>
      <c r="Q191" s="3284"/>
      <c r="R191" s="3284"/>
      <c r="S191" s="2347"/>
      <c r="T191" s="2347"/>
      <c r="U191" s="2347" t="s">
        <v>37</v>
      </c>
      <c r="V191" s="2347"/>
      <c r="W191" s="294"/>
      <c r="X191" s="3284"/>
      <c r="Y191" s="3285"/>
    </row>
    <row r="192" spans="1:26" ht="29.25" hidden="1" thickBot="1">
      <c r="A192" s="1935" t="s">
        <v>1437</v>
      </c>
      <c r="B192" s="1936">
        <v>45694</v>
      </c>
      <c r="C192" s="3165" t="s">
        <v>291</v>
      </c>
      <c r="D192" s="3355" t="s">
        <v>1439</v>
      </c>
      <c r="E192" s="1540" t="s">
        <v>1213</v>
      </c>
      <c r="F192" s="1540" t="s">
        <v>306</v>
      </c>
      <c r="G192" s="972" t="s">
        <v>1199</v>
      </c>
      <c r="H192" s="972" t="s">
        <v>1199</v>
      </c>
      <c r="I192" s="3321">
        <v>705</v>
      </c>
      <c r="J192" s="3270" t="s">
        <v>1440</v>
      </c>
      <c r="K192" s="1529"/>
      <c r="L192" s="918" t="s">
        <v>37</v>
      </c>
      <c r="M192" s="64"/>
      <c r="N192" s="3281"/>
      <c r="O192" s="3281"/>
      <c r="P192" s="3281"/>
      <c r="Q192" s="3281"/>
      <c r="R192" s="3281"/>
      <c r="S192" s="64"/>
      <c r="T192" s="64"/>
      <c r="U192" s="64" t="s">
        <v>37</v>
      </c>
      <c r="V192" s="64"/>
      <c r="W192" s="3317"/>
      <c r="X192" s="3281"/>
      <c r="Y192" s="3282"/>
    </row>
    <row r="193" spans="1:25" ht="29.25" hidden="1" thickBot="1">
      <c r="A193" s="1941" t="s">
        <v>105</v>
      </c>
      <c r="B193" s="1300">
        <v>45694</v>
      </c>
      <c r="C193" s="3165" t="s">
        <v>291</v>
      </c>
      <c r="E193" s="3320" t="s">
        <v>517</v>
      </c>
      <c r="F193" s="3320" t="s">
        <v>426</v>
      </c>
      <c r="G193" s="979" t="s">
        <v>1206</v>
      </c>
      <c r="H193" s="979" t="s">
        <v>1206</v>
      </c>
      <c r="I193" s="923">
        <v>704</v>
      </c>
      <c r="J193" s="3238" t="s">
        <v>1436</v>
      </c>
      <c r="K193" s="1520"/>
      <c r="L193" s="923" t="s">
        <v>37</v>
      </c>
      <c r="M193" s="71"/>
      <c r="S193" s="71"/>
      <c r="T193" s="71"/>
      <c r="U193" s="71"/>
      <c r="V193" s="71"/>
      <c r="W193" s="3322"/>
      <c r="Y193" s="3283"/>
    </row>
    <row r="194" spans="1:25" ht="29.25" hidden="1" thickBot="1">
      <c r="A194" s="1941" t="s">
        <v>132</v>
      </c>
      <c r="B194" s="1300">
        <v>45695</v>
      </c>
      <c r="C194" s="3165" t="s">
        <v>291</v>
      </c>
      <c r="E194" s="3320" t="s">
        <v>258</v>
      </c>
      <c r="F194" s="3320" t="s">
        <v>1441</v>
      </c>
      <c r="G194" s="979" t="s">
        <v>1206</v>
      </c>
      <c r="H194" s="979" t="s">
        <v>1206</v>
      </c>
      <c r="I194" s="3182">
        <v>704</v>
      </c>
      <c r="J194" s="3238" t="s">
        <v>1436</v>
      </c>
      <c r="K194" s="1520"/>
      <c r="L194" s="923" t="s">
        <v>37</v>
      </c>
      <c r="M194" s="71"/>
      <c r="S194" s="71"/>
      <c r="T194" s="71"/>
      <c r="U194" s="71"/>
      <c r="V194" s="71"/>
      <c r="W194" s="3286"/>
      <c r="Y194" s="3283"/>
    </row>
    <row r="195" spans="1:25" ht="29.25" hidden="1" thickBot="1">
      <c r="A195" s="1941" t="s">
        <v>132</v>
      </c>
      <c r="B195" s="1300">
        <v>45695</v>
      </c>
      <c r="C195" s="3165" t="s">
        <v>291</v>
      </c>
      <c r="D195" s="3165" t="s">
        <v>1442</v>
      </c>
      <c r="E195" s="987" t="s">
        <v>1443</v>
      </c>
      <c r="F195" s="987" t="s">
        <v>1422</v>
      </c>
      <c r="G195" s="979" t="s">
        <v>1199</v>
      </c>
      <c r="H195" s="979" t="s">
        <v>1199</v>
      </c>
      <c r="I195" s="3531">
        <v>712</v>
      </c>
      <c r="J195" s="3238" t="s">
        <v>1419</v>
      </c>
      <c r="K195" s="1520"/>
      <c r="L195" s="923" t="s">
        <v>37</v>
      </c>
      <c r="M195" s="71"/>
      <c r="S195" s="71"/>
      <c r="T195" s="71" t="s">
        <v>37</v>
      </c>
      <c r="U195" s="71"/>
      <c r="V195" s="71"/>
      <c r="W195" s="3322"/>
      <c r="Y195" s="3283"/>
    </row>
    <row r="196" spans="1:25" ht="29.25" hidden="1" thickBot="1">
      <c r="A196" s="1941" t="s">
        <v>132</v>
      </c>
      <c r="B196" s="1300">
        <v>45695</v>
      </c>
      <c r="C196" s="3165" t="s">
        <v>291</v>
      </c>
      <c r="D196" s="3165" t="s">
        <v>391</v>
      </c>
      <c r="E196" s="1194" t="s">
        <v>79</v>
      </c>
      <c r="F196" s="1194" t="s">
        <v>339</v>
      </c>
      <c r="G196" s="927" t="s">
        <v>1444</v>
      </c>
      <c r="H196" s="927" t="s">
        <v>1445</v>
      </c>
      <c r="I196" s="923">
        <v>710</v>
      </c>
      <c r="J196" s="3238" t="s">
        <v>1383</v>
      </c>
      <c r="K196" s="1520"/>
      <c r="L196" s="923" t="s">
        <v>37</v>
      </c>
      <c r="M196" s="71"/>
      <c r="S196" s="71"/>
      <c r="T196" s="71" t="s">
        <v>37</v>
      </c>
      <c r="U196" s="71"/>
      <c r="V196" s="71"/>
      <c r="W196" s="3322"/>
      <c r="Y196" s="3283"/>
    </row>
    <row r="197" spans="1:25" ht="29.25" hidden="1" thickBot="1">
      <c r="A197" s="1941" t="s">
        <v>132</v>
      </c>
      <c r="B197" s="1300">
        <v>45695</v>
      </c>
      <c r="C197" s="3165" t="s">
        <v>291</v>
      </c>
      <c r="E197" s="987" t="s">
        <v>169</v>
      </c>
      <c r="F197" s="987" t="s">
        <v>1446</v>
      </c>
      <c r="G197" s="979" t="s">
        <v>1206</v>
      </c>
      <c r="H197" s="979" t="s">
        <v>1206</v>
      </c>
      <c r="I197" s="923">
        <v>709</v>
      </c>
      <c r="J197" s="3238" t="s">
        <v>1447</v>
      </c>
      <c r="K197" s="1520"/>
      <c r="L197" s="923" t="s">
        <v>37</v>
      </c>
      <c r="M197" s="71"/>
      <c r="S197" s="71"/>
      <c r="T197" s="71"/>
      <c r="U197" s="71"/>
      <c r="V197" s="71"/>
      <c r="W197" s="3322"/>
      <c r="Y197" s="3283"/>
    </row>
    <row r="198" spans="1:25" ht="29.25" hidden="1" thickBot="1">
      <c r="A198" s="1941" t="s">
        <v>132</v>
      </c>
      <c r="B198" s="1300">
        <v>45695</v>
      </c>
      <c r="C198" s="3165" t="s">
        <v>291</v>
      </c>
      <c r="D198" s="3165" t="s">
        <v>394</v>
      </c>
      <c r="E198" s="1194" t="s">
        <v>169</v>
      </c>
      <c r="F198" s="1194" t="s">
        <v>450</v>
      </c>
      <c r="G198" s="979" t="s">
        <v>1199</v>
      </c>
      <c r="H198" s="979" t="s">
        <v>1199</v>
      </c>
      <c r="I198" s="3443">
        <v>712</v>
      </c>
      <c r="J198" s="3238" t="s">
        <v>1448</v>
      </c>
      <c r="K198" s="3183" t="s">
        <v>84</v>
      </c>
      <c r="L198" s="923" t="s">
        <v>37</v>
      </c>
      <c r="M198" s="71"/>
      <c r="S198" s="71"/>
      <c r="T198" s="71"/>
      <c r="U198" s="71"/>
      <c r="V198" s="71"/>
      <c r="W198" s="3322"/>
      <c r="Y198" s="3283"/>
    </row>
    <row r="199" spans="1:25" ht="29.25" hidden="1" thickBot="1">
      <c r="A199" s="1938" t="s">
        <v>132</v>
      </c>
      <c r="B199" s="1312">
        <v>45695</v>
      </c>
      <c r="C199" s="3165" t="s">
        <v>291</v>
      </c>
      <c r="D199" s="3354" t="s">
        <v>398</v>
      </c>
      <c r="E199" s="1514" t="s">
        <v>1413</v>
      </c>
      <c r="F199" s="1514" t="s">
        <v>169</v>
      </c>
      <c r="G199" s="3172" t="s">
        <v>1206</v>
      </c>
      <c r="H199" s="3172" t="s">
        <v>1206</v>
      </c>
      <c r="I199" s="3586">
        <v>712</v>
      </c>
      <c r="J199" s="3252" t="s">
        <v>1449</v>
      </c>
      <c r="K199" s="1603"/>
      <c r="L199" s="957" t="s">
        <v>30</v>
      </c>
      <c r="M199" s="91"/>
      <c r="N199" s="3284"/>
      <c r="O199" s="3284"/>
      <c r="P199" s="3284"/>
      <c r="Q199" s="3284"/>
      <c r="R199" s="3284"/>
      <c r="S199" s="91"/>
      <c r="T199" s="91"/>
      <c r="U199" s="91"/>
      <c r="V199" s="91"/>
      <c r="W199" s="3319" t="s">
        <v>1450</v>
      </c>
      <c r="X199" s="3284"/>
      <c r="Y199" s="3285"/>
    </row>
    <row r="200" spans="1:25" ht="29.25" hidden="1" thickBot="1">
      <c r="A200" s="1942" t="s">
        <v>132</v>
      </c>
      <c r="B200" s="1301">
        <v>45695</v>
      </c>
      <c r="C200" s="3165" t="s">
        <v>291</v>
      </c>
      <c r="D200" s="3355"/>
      <c r="E200" s="1185" t="s">
        <v>169</v>
      </c>
      <c r="F200" s="1185" t="s">
        <v>450</v>
      </c>
      <c r="G200" s="1592" t="s">
        <v>1206</v>
      </c>
      <c r="H200" s="1592" t="s">
        <v>1206</v>
      </c>
      <c r="I200" s="3599">
        <v>712</v>
      </c>
      <c r="J200" s="3245" t="s">
        <v>1451</v>
      </c>
      <c r="K200" s="3236" t="s">
        <v>84</v>
      </c>
      <c r="L200" s="1009" t="s">
        <v>30</v>
      </c>
      <c r="M200" s="97"/>
      <c r="N200" s="3276"/>
      <c r="O200" s="3276"/>
      <c r="P200" s="3276"/>
      <c r="Q200" s="3276"/>
      <c r="R200" s="3276"/>
      <c r="S200" s="97"/>
      <c r="T200" s="97"/>
      <c r="U200" s="97"/>
      <c r="V200" s="97"/>
      <c r="W200" s="4377" t="s">
        <v>1452</v>
      </c>
      <c r="X200" s="3276"/>
      <c r="Y200" s="3277"/>
    </row>
    <row r="201" spans="1:25" ht="29.25" hidden="1" thickBot="1">
      <c r="A201" s="1935" t="s">
        <v>132</v>
      </c>
      <c r="B201" s="1936">
        <v>45695</v>
      </c>
      <c r="C201" s="3165" t="s">
        <v>291</v>
      </c>
      <c r="D201" s="3355" t="s">
        <v>400</v>
      </c>
      <c r="E201" s="1528" t="s">
        <v>1151</v>
      </c>
      <c r="F201" s="1571" t="s">
        <v>1401</v>
      </c>
      <c r="G201" s="3109" t="s">
        <v>1206</v>
      </c>
      <c r="H201" s="3109" t="s">
        <v>1206</v>
      </c>
      <c r="I201" s="2659">
        <v>705</v>
      </c>
      <c r="J201" s="3329" t="s">
        <v>1453</v>
      </c>
      <c r="K201" s="3362" t="s">
        <v>29</v>
      </c>
      <c r="L201" s="918" t="s">
        <v>37</v>
      </c>
      <c r="M201" s="64"/>
      <c r="N201" s="3281"/>
      <c r="O201" s="3281"/>
      <c r="P201" s="3281"/>
      <c r="Q201" s="3281"/>
      <c r="R201" s="3281"/>
      <c r="S201" s="64"/>
      <c r="T201" s="1515"/>
      <c r="U201" s="71" t="s">
        <v>37</v>
      </c>
      <c r="V201" s="71"/>
      <c r="W201" s="4795"/>
    </row>
    <row r="202" spans="1:25" ht="29.25" hidden="1" thickBot="1">
      <c r="A202" s="1941" t="s">
        <v>143</v>
      </c>
      <c r="B202" s="1300">
        <v>45696</v>
      </c>
      <c r="C202" s="3165" t="s">
        <v>291</v>
      </c>
      <c r="D202" s="3165" t="s">
        <v>402</v>
      </c>
      <c r="E202" s="1194" t="s">
        <v>1151</v>
      </c>
      <c r="F202" s="1557" t="s">
        <v>1454</v>
      </c>
      <c r="G202" s="3109" t="s">
        <v>1206</v>
      </c>
      <c r="H202" s="3109" t="s">
        <v>1206</v>
      </c>
      <c r="I202" s="1414">
        <v>705</v>
      </c>
      <c r="J202" s="3330" t="s">
        <v>1455</v>
      </c>
      <c r="K202" s="3183" t="s">
        <v>29</v>
      </c>
      <c r="L202" s="923" t="s">
        <v>37</v>
      </c>
      <c r="M202" s="71"/>
      <c r="S202" s="71"/>
      <c r="T202" s="93"/>
      <c r="U202" s="71" t="s">
        <v>37</v>
      </c>
      <c r="V202" s="71"/>
      <c r="W202" s="4788"/>
    </row>
    <row r="203" spans="1:25" ht="27" hidden="1" thickBot="1">
      <c r="A203" s="1941" t="s">
        <v>25</v>
      </c>
      <c r="B203" s="1300">
        <v>45698</v>
      </c>
      <c r="C203" s="3165" t="s">
        <v>322</v>
      </c>
      <c r="D203" s="3165" t="s">
        <v>404</v>
      </c>
      <c r="E203" s="1194" t="s">
        <v>502</v>
      </c>
      <c r="F203" s="1557" t="s">
        <v>183</v>
      </c>
      <c r="I203" s="1414">
        <v>705</v>
      </c>
      <c r="J203" s="3330" t="s">
        <v>566</v>
      </c>
      <c r="K203" s="3238"/>
      <c r="L203" s="923" t="s">
        <v>37</v>
      </c>
      <c r="M203" s="71"/>
      <c r="N203" s="71"/>
      <c r="O203" s="71"/>
      <c r="P203" s="71"/>
      <c r="Q203" s="71"/>
      <c r="R203" s="71"/>
      <c r="S203" s="71"/>
      <c r="T203" s="93"/>
      <c r="W203" s="3340"/>
    </row>
    <row r="204" spans="1:25" ht="27" hidden="1" thickBot="1">
      <c r="A204" s="1941" t="s">
        <v>25</v>
      </c>
      <c r="B204" s="1300">
        <v>45698</v>
      </c>
      <c r="C204" s="3165" t="s">
        <v>322</v>
      </c>
      <c r="D204" s="3165" t="s">
        <v>409</v>
      </c>
      <c r="E204" s="1194" t="s">
        <v>43</v>
      </c>
      <c r="F204" s="1557" t="s">
        <v>1456</v>
      </c>
      <c r="I204" s="1414">
        <v>703</v>
      </c>
      <c r="J204" s="3330" t="s">
        <v>605</v>
      </c>
      <c r="K204" s="3238"/>
      <c r="L204" s="923" t="s">
        <v>30</v>
      </c>
      <c r="M204" s="71"/>
      <c r="N204" s="71"/>
      <c r="O204" s="71"/>
      <c r="P204" s="71"/>
      <c r="Q204" s="71"/>
      <c r="R204" s="71"/>
      <c r="S204" s="71"/>
      <c r="T204" s="93"/>
      <c r="W204" s="3340"/>
    </row>
    <row r="205" spans="1:25" ht="27" hidden="1" thickBot="1">
      <c r="A205" s="1941" t="s">
        <v>25</v>
      </c>
      <c r="B205" s="1300">
        <v>45698</v>
      </c>
      <c r="C205" s="3165" t="s">
        <v>322</v>
      </c>
      <c r="E205" s="1194" t="s">
        <v>586</v>
      </c>
      <c r="F205" s="1557" t="s">
        <v>1457</v>
      </c>
      <c r="I205" s="1414">
        <v>703</v>
      </c>
      <c r="J205" s="3330" t="s">
        <v>605</v>
      </c>
      <c r="K205" s="3234"/>
      <c r="L205" s="923" t="s">
        <v>30</v>
      </c>
      <c r="M205" s="71"/>
      <c r="N205" s="71"/>
      <c r="O205" s="71"/>
      <c r="P205" s="71"/>
      <c r="Q205" s="71"/>
      <c r="R205" s="71"/>
      <c r="S205" s="71"/>
      <c r="T205" s="93"/>
      <c r="W205" s="3340"/>
    </row>
    <row r="206" spans="1:25" ht="27" hidden="1" thickBot="1">
      <c r="A206" s="1941" t="s">
        <v>25</v>
      </c>
      <c r="B206" s="1300">
        <v>45698</v>
      </c>
      <c r="C206" s="3165" t="s">
        <v>322</v>
      </c>
      <c r="D206" s="3165" t="s">
        <v>411</v>
      </c>
      <c r="E206" s="1194" t="s">
        <v>1065</v>
      </c>
      <c r="F206" s="1557" t="s">
        <v>1217</v>
      </c>
      <c r="I206" s="1414">
        <v>705</v>
      </c>
      <c r="J206" s="3330" t="s">
        <v>1066</v>
      </c>
      <c r="K206" s="3183" t="s">
        <v>1067</v>
      </c>
      <c r="L206" s="923" t="s">
        <v>30</v>
      </c>
      <c r="M206" s="71"/>
      <c r="N206" s="71"/>
      <c r="O206" s="71"/>
      <c r="P206" s="71"/>
      <c r="Q206" s="71"/>
      <c r="R206" s="71"/>
      <c r="S206" s="71"/>
      <c r="T206" s="93"/>
      <c r="W206" s="3340"/>
    </row>
    <row r="207" spans="1:25" ht="105.75" hidden="1" thickBot="1">
      <c r="A207" s="1941" t="s">
        <v>25</v>
      </c>
      <c r="B207" s="1300">
        <v>45698</v>
      </c>
      <c r="C207" s="3165" t="s">
        <v>322</v>
      </c>
      <c r="D207" s="3165" t="s">
        <v>413</v>
      </c>
      <c r="E207" s="1194" t="s">
        <v>1213</v>
      </c>
      <c r="F207" s="1557" t="s">
        <v>263</v>
      </c>
      <c r="I207" s="923">
        <v>705</v>
      </c>
      <c r="J207" s="3330" t="s">
        <v>1458</v>
      </c>
      <c r="K207" s="3171" t="s">
        <v>29</v>
      </c>
      <c r="L207" s="923"/>
      <c r="M207" s="71" t="s">
        <v>37</v>
      </c>
      <c r="N207" s="71"/>
      <c r="O207" s="71"/>
      <c r="P207" s="360" t="s">
        <v>109</v>
      </c>
      <c r="Q207" s="360" t="s">
        <v>110</v>
      </c>
      <c r="R207" s="360" t="s">
        <v>160</v>
      </c>
      <c r="S207" s="71"/>
      <c r="T207" s="93"/>
      <c r="W207" s="3340" t="s">
        <v>1459</v>
      </c>
      <c r="X207" s="3160" t="s">
        <v>1460</v>
      </c>
    </row>
    <row r="208" spans="1:25" ht="27" hidden="1" thickBot="1">
      <c r="A208" s="1941" t="s">
        <v>25</v>
      </c>
      <c r="B208" s="1300">
        <v>45698</v>
      </c>
      <c r="C208" s="3165" t="s">
        <v>322</v>
      </c>
      <c r="E208" s="1194" t="s">
        <v>148</v>
      </c>
      <c r="F208" s="1557" t="s">
        <v>1461</v>
      </c>
      <c r="I208" s="1414">
        <v>705</v>
      </c>
      <c r="J208" s="3330" t="s">
        <v>1458</v>
      </c>
      <c r="K208" s="3238"/>
      <c r="L208" s="923"/>
      <c r="M208" s="71"/>
      <c r="N208" s="71" t="s">
        <v>30</v>
      </c>
      <c r="O208" s="71"/>
      <c r="P208" s="71"/>
      <c r="Q208" s="71"/>
      <c r="R208" s="71"/>
      <c r="S208" s="71"/>
      <c r="T208" s="93"/>
      <c r="W208" s="3340" t="s">
        <v>1462</v>
      </c>
    </row>
    <row r="209" spans="1:24" ht="29.25" hidden="1" thickBot="1">
      <c r="A209" s="1938" t="s">
        <v>25</v>
      </c>
      <c r="B209" s="1312">
        <v>45698</v>
      </c>
      <c r="C209" s="3165" t="s">
        <v>322</v>
      </c>
      <c r="D209" s="3354" t="s">
        <v>416</v>
      </c>
      <c r="E209" s="1514" t="s">
        <v>79</v>
      </c>
      <c r="F209" s="1552" t="s">
        <v>169</v>
      </c>
      <c r="I209" s="3523">
        <v>712</v>
      </c>
      <c r="J209" s="3331" t="s">
        <v>743</v>
      </c>
      <c r="K209" s="3173" t="s">
        <v>84</v>
      </c>
      <c r="L209" s="957" t="s">
        <v>37</v>
      </c>
      <c r="M209" s="91"/>
      <c r="N209" s="91"/>
      <c r="O209" s="91"/>
      <c r="P209" s="91"/>
      <c r="Q209" s="91"/>
      <c r="R209" s="91"/>
      <c r="S209" s="91"/>
      <c r="T209" s="116"/>
      <c r="W209" s="3341"/>
    </row>
    <row r="210" spans="1:24" ht="27" hidden="1" thickBot="1">
      <c r="A210" s="1935" t="s">
        <v>25</v>
      </c>
      <c r="B210" s="1936">
        <v>45698</v>
      </c>
      <c r="C210" s="3165" t="s">
        <v>322</v>
      </c>
      <c r="D210" s="3355" t="s">
        <v>418</v>
      </c>
      <c r="E210" s="1528" t="s">
        <v>1213</v>
      </c>
      <c r="F210" s="1571" t="s">
        <v>1234</v>
      </c>
      <c r="I210" s="2277">
        <v>705</v>
      </c>
      <c r="J210" s="3329" t="s">
        <v>1282</v>
      </c>
      <c r="K210" s="3270"/>
      <c r="L210" s="918" t="s">
        <v>37</v>
      </c>
      <c r="M210" s="64"/>
      <c r="N210" s="64"/>
      <c r="O210" s="64"/>
      <c r="P210" s="64"/>
      <c r="Q210" s="64"/>
      <c r="R210" s="64"/>
      <c r="S210" s="64"/>
      <c r="T210" s="1515"/>
      <c r="W210" s="3339"/>
    </row>
    <row r="211" spans="1:24" ht="27" hidden="1" thickBot="1">
      <c r="A211" s="1938" t="s">
        <v>25</v>
      </c>
      <c r="B211" s="1312">
        <v>45698</v>
      </c>
      <c r="C211" s="3165" t="s">
        <v>322</v>
      </c>
      <c r="D211" s="3354" t="s">
        <v>420</v>
      </c>
      <c r="E211" s="1514" t="s">
        <v>339</v>
      </c>
      <c r="F211" s="1552" t="s">
        <v>1463</v>
      </c>
      <c r="I211" s="2277">
        <v>708</v>
      </c>
      <c r="J211" s="3331" t="s">
        <v>269</v>
      </c>
      <c r="K211" s="3252"/>
      <c r="L211" s="957" t="s">
        <v>37</v>
      </c>
      <c r="M211" s="91"/>
      <c r="N211" s="91"/>
      <c r="O211" s="91"/>
      <c r="P211" s="91"/>
      <c r="Q211" s="91"/>
      <c r="R211" s="91"/>
      <c r="S211" s="91"/>
      <c r="T211" s="116"/>
      <c r="W211" s="3341"/>
    </row>
    <row r="212" spans="1:24" ht="79.5" hidden="1" thickBot="1">
      <c r="A212" s="1935" t="s">
        <v>25</v>
      </c>
      <c r="B212" s="1936">
        <v>45698</v>
      </c>
      <c r="C212" s="3165" t="s">
        <v>322</v>
      </c>
      <c r="D212" s="3355" t="s">
        <v>423</v>
      </c>
      <c r="E212" s="1528" t="s">
        <v>1464</v>
      </c>
      <c r="F212" s="1571" t="s">
        <v>1465</v>
      </c>
      <c r="I212" s="3515">
        <v>701</v>
      </c>
      <c r="J212" s="3329" t="s">
        <v>1466</v>
      </c>
      <c r="K212" s="3270"/>
      <c r="L212" s="918" t="s">
        <v>37</v>
      </c>
      <c r="M212" s="64"/>
      <c r="N212" s="64"/>
      <c r="O212" s="64"/>
      <c r="P212" s="64"/>
      <c r="Q212" s="64"/>
      <c r="R212" s="64"/>
      <c r="S212" s="64"/>
      <c r="T212" s="1515"/>
      <c r="W212" s="3339" t="s">
        <v>1467</v>
      </c>
    </row>
    <row r="213" spans="1:24" ht="29.25" hidden="1" thickBot="1">
      <c r="A213" s="1941" t="s">
        <v>25</v>
      </c>
      <c r="B213" s="1300">
        <v>45698</v>
      </c>
      <c r="C213" s="3165" t="s">
        <v>322</v>
      </c>
      <c r="E213" s="1194" t="s">
        <v>1465</v>
      </c>
      <c r="F213" s="1557" t="s">
        <v>1464</v>
      </c>
      <c r="I213" s="3516">
        <v>701</v>
      </c>
      <c r="J213" s="3330" t="s">
        <v>1468</v>
      </c>
      <c r="K213" s="3238"/>
      <c r="L213" s="923" t="s">
        <v>37</v>
      </c>
      <c r="M213" s="71"/>
      <c r="N213" s="71"/>
      <c r="O213" s="71"/>
      <c r="P213" s="71"/>
      <c r="Q213" s="71"/>
      <c r="R213" s="71"/>
      <c r="S213" s="71"/>
      <c r="T213" s="93"/>
      <c r="W213" s="3340"/>
    </row>
    <row r="214" spans="1:24" ht="27" hidden="1" thickBot="1">
      <c r="A214" s="1941" t="s">
        <v>67</v>
      </c>
      <c r="B214" s="1300">
        <v>45699</v>
      </c>
      <c r="C214" s="3165" t="s">
        <v>322</v>
      </c>
      <c r="E214" s="1194" t="s">
        <v>169</v>
      </c>
      <c r="F214" s="1557" t="s">
        <v>1051</v>
      </c>
      <c r="I214" s="923">
        <v>705</v>
      </c>
      <c r="J214" s="3330" t="s">
        <v>566</v>
      </c>
      <c r="K214" s="3234"/>
      <c r="L214" s="923" t="s">
        <v>37</v>
      </c>
      <c r="M214" s="71"/>
      <c r="N214" s="71"/>
      <c r="O214" s="71"/>
      <c r="P214" s="71"/>
      <c r="Q214" s="71"/>
      <c r="R214" s="71"/>
      <c r="S214" s="71"/>
      <c r="T214" s="93"/>
      <c r="W214" s="3340"/>
    </row>
    <row r="215" spans="1:24" ht="27" hidden="1" thickBot="1">
      <c r="A215" s="1941" t="s">
        <v>67</v>
      </c>
      <c r="B215" s="1300">
        <v>45699</v>
      </c>
      <c r="C215" s="3165" t="s">
        <v>322</v>
      </c>
      <c r="D215" s="3165" t="s">
        <v>429</v>
      </c>
      <c r="E215" s="1194" t="s">
        <v>306</v>
      </c>
      <c r="F215" s="1557" t="s">
        <v>1469</v>
      </c>
      <c r="I215" s="923">
        <v>708</v>
      </c>
      <c r="J215" s="3330" t="s">
        <v>1470</v>
      </c>
      <c r="K215" s="3238"/>
      <c r="L215" s="923" t="s">
        <v>37</v>
      </c>
      <c r="M215" s="71"/>
      <c r="N215" s="71"/>
      <c r="O215" s="71"/>
      <c r="P215" s="71"/>
      <c r="Q215" s="71"/>
      <c r="R215" s="71"/>
      <c r="S215" s="71"/>
      <c r="T215" s="93"/>
      <c r="W215" s="3340"/>
    </row>
    <row r="216" spans="1:24" ht="29.25" hidden="1" thickBot="1">
      <c r="A216" s="1938" t="s">
        <v>67</v>
      </c>
      <c r="B216" s="1312">
        <v>45699</v>
      </c>
      <c r="C216" s="3165" t="s">
        <v>322</v>
      </c>
      <c r="D216" s="3354" t="s">
        <v>432</v>
      </c>
      <c r="E216" s="1514" t="s">
        <v>169</v>
      </c>
      <c r="F216" s="1552" t="s">
        <v>89</v>
      </c>
      <c r="I216" s="3523">
        <v>712</v>
      </c>
      <c r="J216" s="3331" t="s">
        <v>1471</v>
      </c>
      <c r="K216" s="3173" t="s">
        <v>84</v>
      </c>
      <c r="L216" s="957" t="s">
        <v>37</v>
      </c>
      <c r="M216" s="91"/>
      <c r="N216" s="91"/>
      <c r="O216" s="91"/>
      <c r="P216" s="91"/>
      <c r="Q216" s="91"/>
      <c r="R216" s="91"/>
      <c r="S216" s="91"/>
      <c r="T216" s="116"/>
      <c r="W216" s="3341"/>
    </row>
    <row r="217" spans="1:24" ht="29.25" hidden="1" thickBot="1">
      <c r="A217" s="1935" t="s">
        <v>67</v>
      </c>
      <c r="B217" s="1936">
        <v>45699</v>
      </c>
      <c r="C217" s="3165" t="s">
        <v>322</v>
      </c>
      <c r="D217" s="3355" t="s">
        <v>435</v>
      </c>
      <c r="E217" s="1528" t="s">
        <v>182</v>
      </c>
      <c r="F217" s="1571" t="s">
        <v>263</v>
      </c>
      <c r="I217" s="3480">
        <v>712</v>
      </c>
      <c r="J217" s="3329" t="s">
        <v>1472</v>
      </c>
      <c r="K217" s="3362" t="s">
        <v>29</v>
      </c>
      <c r="L217" s="918" t="s">
        <v>37</v>
      </c>
      <c r="M217" s="64"/>
      <c r="N217" s="64"/>
      <c r="O217" s="64"/>
      <c r="P217" s="64"/>
      <c r="Q217" s="64"/>
      <c r="R217" s="64"/>
      <c r="S217" s="64"/>
      <c r="T217" s="1515"/>
      <c r="W217" s="3339"/>
    </row>
    <row r="218" spans="1:24" ht="27" hidden="1" thickBot="1">
      <c r="A218" s="1938" t="s">
        <v>67</v>
      </c>
      <c r="B218" s="1312">
        <v>45699</v>
      </c>
      <c r="C218" s="3165" t="s">
        <v>322</v>
      </c>
      <c r="D218" s="3354" t="s">
        <v>440</v>
      </c>
      <c r="E218" s="1514" t="s">
        <v>1473</v>
      </c>
      <c r="F218" s="1552" t="s">
        <v>1474</v>
      </c>
      <c r="I218" s="2277">
        <v>705</v>
      </c>
      <c r="J218" s="3331" t="s">
        <v>1458</v>
      </c>
      <c r="K218" s="3252"/>
      <c r="L218" s="957" t="s">
        <v>37</v>
      </c>
      <c r="M218" s="91"/>
      <c r="N218" s="91"/>
      <c r="O218" s="91"/>
      <c r="P218" s="91"/>
      <c r="Q218" s="91"/>
      <c r="R218" s="91"/>
      <c r="S218" s="91"/>
      <c r="T218" s="116"/>
      <c r="W218" s="3341"/>
    </row>
    <row r="219" spans="1:24" ht="29.25" hidden="1" thickBot="1">
      <c r="A219" s="2070" t="s">
        <v>67</v>
      </c>
      <c r="B219" s="2068">
        <v>45699</v>
      </c>
      <c r="C219" s="3165" t="s">
        <v>322</v>
      </c>
      <c r="D219" s="3368" t="s">
        <v>443</v>
      </c>
      <c r="E219" s="3175" t="s">
        <v>1464</v>
      </c>
      <c r="F219" s="3335" t="s">
        <v>1465</v>
      </c>
      <c r="I219" s="4613">
        <v>701</v>
      </c>
      <c r="J219" s="3332" t="s">
        <v>1466</v>
      </c>
      <c r="K219" s="3315"/>
      <c r="L219" s="1419" t="s">
        <v>37</v>
      </c>
      <c r="M219" s="905"/>
      <c r="N219" s="905"/>
      <c r="O219" s="905"/>
      <c r="P219" s="905"/>
      <c r="Q219" s="905"/>
      <c r="R219" s="905"/>
      <c r="S219" s="905"/>
      <c r="T219" s="1423"/>
      <c r="W219" s="3342" t="s">
        <v>1475</v>
      </c>
    </row>
    <row r="220" spans="1:24" ht="29.25" hidden="1" thickBot="1">
      <c r="A220" s="76" t="s">
        <v>67</v>
      </c>
      <c r="B220" s="1300">
        <v>45699</v>
      </c>
      <c r="C220" s="3165" t="s">
        <v>322</v>
      </c>
      <c r="E220" s="1194" t="s">
        <v>1465</v>
      </c>
      <c r="F220" s="1194" t="s">
        <v>1464</v>
      </c>
      <c r="I220" s="3443">
        <v>701</v>
      </c>
      <c r="J220" s="3238" t="s">
        <v>1468</v>
      </c>
      <c r="K220" s="3238"/>
      <c r="L220" s="923" t="s">
        <v>37</v>
      </c>
      <c r="M220" s="71"/>
      <c r="N220" s="71"/>
      <c r="O220" s="71"/>
      <c r="P220" s="71"/>
      <c r="Q220" s="71"/>
      <c r="R220" s="71"/>
      <c r="S220" s="71"/>
      <c r="T220" s="71"/>
      <c r="W220" s="71"/>
    </row>
    <row r="221" spans="1:24" ht="27" hidden="1" thickBot="1">
      <c r="A221" s="1941" t="s">
        <v>85</v>
      </c>
      <c r="B221" s="1300">
        <v>45700</v>
      </c>
      <c r="C221" s="3165" t="s">
        <v>322</v>
      </c>
      <c r="E221" s="1194" t="s">
        <v>258</v>
      </c>
      <c r="F221" s="1557" t="s">
        <v>1476</v>
      </c>
      <c r="I221" s="923">
        <v>708</v>
      </c>
      <c r="J221" s="3330" t="s">
        <v>1477</v>
      </c>
      <c r="K221" s="3238"/>
      <c r="L221" s="923" t="s">
        <v>37</v>
      </c>
      <c r="M221" s="71"/>
      <c r="N221" s="71"/>
      <c r="O221" s="71"/>
      <c r="P221" s="71"/>
      <c r="Q221" s="71"/>
      <c r="R221" s="71"/>
      <c r="S221" s="71"/>
      <c r="T221" s="93"/>
      <c r="W221" s="3340"/>
    </row>
    <row r="222" spans="1:24" ht="27" hidden="1" thickBot="1">
      <c r="A222" s="1941" t="s">
        <v>85</v>
      </c>
      <c r="B222" s="1300">
        <v>45700</v>
      </c>
      <c r="C222" s="3165" t="s">
        <v>322</v>
      </c>
      <c r="E222" s="1194" t="s">
        <v>392</v>
      </c>
      <c r="F222" s="1557" t="s">
        <v>1478</v>
      </c>
      <c r="I222" s="1414">
        <v>708</v>
      </c>
      <c r="J222" s="3330" t="s">
        <v>1477</v>
      </c>
      <c r="K222" s="3238"/>
      <c r="L222" s="923" t="s">
        <v>37</v>
      </c>
      <c r="M222" s="71"/>
      <c r="N222" s="71"/>
      <c r="O222" s="71"/>
      <c r="P222" s="71"/>
      <c r="Q222" s="71"/>
      <c r="R222" s="71"/>
      <c r="S222" s="71"/>
      <c r="T222" s="93"/>
      <c r="W222" s="3340"/>
    </row>
    <row r="223" spans="1:24" ht="29.25" hidden="1" thickBot="1">
      <c r="A223" s="1941" t="s">
        <v>85</v>
      </c>
      <c r="B223" s="1300">
        <v>45700</v>
      </c>
      <c r="C223" s="3165" t="s">
        <v>322</v>
      </c>
      <c r="E223" s="1194" t="s">
        <v>148</v>
      </c>
      <c r="F223" s="1557" t="s">
        <v>1446</v>
      </c>
      <c r="I223" s="3516">
        <v>712</v>
      </c>
      <c r="J223" s="3330" t="s">
        <v>1472</v>
      </c>
      <c r="K223" s="3238"/>
      <c r="L223" s="923" t="s">
        <v>37</v>
      </c>
      <c r="M223" s="71"/>
      <c r="N223" s="71"/>
      <c r="O223" s="71"/>
      <c r="P223" s="71"/>
      <c r="Q223" s="71"/>
      <c r="R223" s="71"/>
      <c r="S223" s="71"/>
      <c r="T223" s="93"/>
      <c r="W223" s="3340"/>
    </row>
    <row r="224" spans="1:24" ht="53.25" hidden="1" thickBot="1">
      <c r="A224" s="1941" t="s">
        <v>85</v>
      </c>
      <c r="B224" s="1300">
        <v>45700</v>
      </c>
      <c r="C224" s="3165" t="s">
        <v>322</v>
      </c>
      <c r="D224" s="3165" t="s">
        <v>446</v>
      </c>
      <c r="E224" s="1194" t="s">
        <v>306</v>
      </c>
      <c r="F224" s="1557" t="s">
        <v>1479</v>
      </c>
      <c r="I224" s="1414">
        <v>705</v>
      </c>
      <c r="J224" s="3330" t="s">
        <v>1480</v>
      </c>
      <c r="K224" s="3511" t="s">
        <v>1481</v>
      </c>
      <c r="L224" s="923"/>
      <c r="M224" s="71" t="s">
        <v>37</v>
      </c>
      <c r="N224" s="71"/>
      <c r="O224" s="71"/>
      <c r="P224" s="360" t="s">
        <v>0</v>
      </c>
      <c r="Q224" s="360" t="s">
        <v>31</v>
      </c>
      <c r="R224" s="360" t="s">
        <v>1228</v>
      </c>
      <c r="S224" s="71" t="s">
        <v>37</v>
      </c>
      <c r="T224" s="93"/>
      <c r="W224" s="3340" t="s">
        <v>1482</v>
      </c>
      <c r="X224" s="3166" t="s">
        <v>1483</v>
      </c>
    </row>
    <row r="225" spans="1:23" ht="27" hidden="1" thickBot="1">
      <c r="A225" s="1941" t="s">
        <v>85</v>
      </c>
      <c r="B225" s="1300">
        <v>45700</v>
      </c>
      <c r="C225" s="3165" t="s">
        <v>322</v>
      </c>
      <c r="D225" s="3354" t="s">
        <v>449</v>
      </c>
      <c r="E225" s="1524" t="s">
        <v>169</v>
      </c>
      <c r="F225" s="1598" t="s">
        <v>1065</v>
      </c>
      <c r="I225" s="1601"/>
      <c r="J225" s="3333" t="s">
        <v>1237</v>
      </c>
      <c r="K225" s="3183" t="s">
        <v>1067</v>
      </c>
      <c r="L225" s="1001" t="s">
        <v>37</v>
      </c>
      <c r="M225" s="33"/>
      <c r="N225" s="33"/>
      <c r="O225" s="33"/>
      <c r="P225" s="33"/>
      <c r="Q225" s="33"/>
      <c r="R225" s="33"/>
      <c r="S225" s="33"/>
      <c r="T225" s="1040"/>
      <c r="W225" s="3343"/>
    </row>
    <row r="226" spans="1:23" ht="27" hidden="1" thickBot="1">
      <c r="A226" s="1941" t="s">
        <v>85</v>
      </c>
      <c r="B226" s="1300">
        <v>45700</v>
      </c>
      <c r="C226" s="3165" t="s">
        <v>322</v>
      </c>
      <c r="D226" s="3354" t="s">
        <v>453</v>
      </c>
      <c r="E226" s="1524" t="s">
        <v>392</v>
      </c>
      <c r="F226" s="1598" t="s">
        <v>1484</v>
      </c>
      <c r="I226" s="1601"/>
      <c r="J226" s="3333" t="s">
        <v>1485</v>
      </c>
      <c r="K226" s="3171" t="s">
        <v>627</v>
      </c>
      <c r="L226" s="1001" t="s">
        <v>37</v>
      </c>
      <c r="M226" s="33"/>
      <c r="N226" s="33"/>
      <c r="O226" s="33"/>
      <c r="P226" s="33"/>
      <c r="Q226" s="33"/>
      <c r="R226" s="33"/>
      <c r="S226" s="33"/>
      <c r="T226" s="1040"/>
      <c r="W226" s="3343"/>
    </row>
    <row r="227" spans="1:23" ht="27" hidden="1" thickBot="1">
      <c r="A227" s="1941" t="s">
        <v>85</v>
      </c>
      <c r="B227" s="1300">
        <v>45700</v>
      </c>
      <c r="C227" s="3165" t="s">
        <v>322</v>
      </c>
      <c r="D227" s="3165" t="s">
        <v>456</v>
      </c>
      <c r="E227" s="1194" t="s">
        <v>79</v>
      </c>
      <c r="F227" s="1557" t="s">
        <v>1486</v>
      </c>
      <c r="I227" s="1414">
        <v>705</v>
      </c>
      <c r="J227" s="3330" t="s">
        <v>1487</v>
      </c>
      <c r="K227" s="3171" t="s">
        <v>84</v>
      </c>
      <c r="L227" s="923" t="s">
        <v>37</v>
      </c>
      <c r="M227" s="71"/>
      <c r="N227" s="71"/>
      <c r="O227" s="71"/>
      <c r="P227" s="71"/>
      <c r="Q227" s="71"/>
      <c r="R227" s="71"/>
      <c r="S227" s="71"/>
      <c r="T227" s="93" t="s">
        <v>37</v>
      </c>
      <c r="W227" s="3340"/>
    </row>
    <row r="228" spans="1:23" ht="27" hidden="1" thickBot="1">
      <c r="A228" s="2070" t="s">
        <v>85</v>
      </c>
      <c r="B228" s="2068">
        <v>45700</v>
      </c>
      <c r="C228" s="3165" t="s">
        <v>322</v>
      </c>
      <c r="D228" s="3368" t="s">
        <v>460</v>
      </c>
      <c r="E228" s="3175" t="s">
        <v>1488</v>
      </c>
      <c r="F228" s="3335" t="s">
        <v>1213</v>
      </c>
      <c r="I228" s="2277">
        <v>705</v>
      </c>
      <c r="J228" s="3332" t="s">
        <v>1489</v>
      </c>
      <c r="K228" s="1419"/>
      <c r="L228" s="918" t="s">
        <v>37</v>
      </c>
      <c r="M228" s="64"/>
      <c r="N228" s="64"/>
      <c r="O228" s="64"/>
      <c r="P228" s="64"/>
      <c r="Q228" s="64"/>
      <c r="R228" s="64"/>
      <c r="S228" s="64"/>
      <c r="T228" s="1515" t="s">
        <v>37</v>
      </c>
      <c r="W228" s="3339"/>
    </row>
    <row r="229" spans="1:23" ht="27" hidden="1" thickBot="1">
      <c r="A229" s="1938" t="s">
        <v>85</v>
      </c>
      <c r="B229" s="1312">
        <v>45700</v>
      </c>
      <c r="C229" s="3165" t="s">
        <v>322</v>
      </c>
      <c r="D229" s="3354" t="s">
        <v>464</v>
      </c>
      <c r="E229" s="1514" t="s">
        <v>89</v>
      </c>
      <c r="F229" s="1552" t="s">
        <v>1239</v>
      </c>
      <c r="I229" s="2277">
        <v>705</v>
      </c>
      <c r="J229" s="3331" t="s">
        <v>743</v>
      </c>
      <c r="K229" s="3173" t="s">
        <v>84</v>
      </c>
      <c r="L229" s="957"/>
      <c r="M229" s="91" t="s">
        <v>37</v>
      </c>
      <c r="N229" s="91"/>
      <c r="O229" s="91" t="s">
        <v>30</v>
      </c>
      <c r="P229" s="3303" t="s">
        <v>122</v>
      </c>
      <c r="Q229" s="3303" t="s">
        <v>123</v>
      </c>
      <c r="R229" s="3303" t="s">
        <v>160</v>
      </c>
      <c r="S229" s="91"/>
      <c r="T229" s="116"/>
      <c r="W229" s="3341" t="s">
        <v>1490</v>
      </c>
    </row>
    <row r="230" spans="1:23" ht="29.25" hidden="1" thickBot="1">
      <c r="A230" s="1935" t="s">
        <v>85</v>
      </c>
      <c r="B230" s="1936">
        <v>45700</v>
      </c>
      <c r="C230" s="3165" t="s">
        <v>322</v>
      </c>
      <c r="D230" s="3355" t="s">
        <v>470</v>
      </c>
      <c r="E230" s="1528" t="s">
        <v>1464</v>
      </c>
      <c r="F230" s="3336" t="s">
        <v>1465</v>
      </c>
      <c r="I230" s="3515">
        <v>701</v>
      </c>
      <c r="J230" s="3329" t="s">
        <v>1466</v>
      </c>
      <c r="K230" s="3270"/>
      <c r="L230" s="918" t="s">
        <v>37</v>
      </c>
      <c r="M230" s="64"/>
      <c r="N230" s="64"/>
      <c r="O230" s="64"/>
      <c r="P230" s="64"/>
      <c r="Q230" s="64"/>
      <c r="R230" s="64"/>
      <c r="S230" s="64"/>
      <c r="T230" s="3203"/>
      <c r="W230" s="3344"/>
    </row>
    <row r="231" spans="1:23" ht="29.25" hidden="1" thickBot="1">
      <c r="A231" s="1941" t="s">
        <v>85</v>
      </c>
      <c r="B231" s="1300">
        <v>45700</v>
      </c>
      <c r="C231" s="3165" t="s">
        <v>322</v>
      </c>
      <c r="E231" s="1194" t="s">
        <v>1465</v>
      </c>
      <c r="F231" s="1195" t="s">
        <v>1464</v>
      </c>
      <c r="I231" s="3516">
        <v>701</v>
      </c>
      <c r="J231" s="3330" t="s">
        <v>1468</v>
      </c>
      <c r="K231" s="3234"/>
      <c r="L231" s="923" t="s">
        <v>37</v>
      </c>
      <c r="M231" s="71"/>
      <c r="N231" s="71"/>
      <c r="O231" s="71"/>
      <c r="P231" s="71"/>
      <c r="Q231" s="71"/>
      <c r="R231" s="71"/>
      <c r="S231" s="71"/>
      <c r="T231" s="593"/>
      <c r="W231" s="3345"/>
    </row>
    <row r="232" spans="1:23" ht="27" hidden="1" thickBot="1">
      <c r="A232" s="1941" t="s">
        <v>105</v>
      </c>
      <c r="B232" s="1300">
        <v>45701</v>
      </c>
      <c r="C232" s="3165" t="s">
        <v>322</v>
      </c>
      <c r="E232" s="1194" t="s">
        <v>1491</v>
      </c>
      <c r="F232" s="1557" t="s">
        <v>1492</v>
      </c>
      <c r="I232" s="1414">
        <v>708</v>
      </c>
      <c r="J232" s="3330" t="s">
        <v>1477</v>
      </c>
      <c r="K232" s="3238"/>
      <c r="L232" s="923" t="s">
        <v>37</v>
      </c>
      <c r="M232" s="71"/>
      <c r="N232" s="71"/>
      <c r="O232" s="71"/>
      <c r="P232" s="71"/>
      <c r="Q232" s="71"/>
      <c r="R232" s="71"/>
      <c r="S232" s="71"/>
      <c r="T232" s="93"/>
      <c r="W232" s="3340"/>
    </row>
    <row r="233" spans="1:23" ht="27" hidden="1" thickBot="1">
      <c r="A233" s="1941" t="s">
        <v>105</v>
      </c>
      <c r="B233" s="1300">
        <v>45701</v>
      </c>
      <c r="C233" s="3165" t="s">
        <v>322</v>
      </c>
      <c r="D233" s="3165" t="s">
        <v>472</v>
      </c>
      <c r="E233" s="1194" t="s">
        <v>1239</v>
      </c>
      <c r="F233" s="1195" t="s">
        <v>306</v>
      </c>
      <c r="I233" s="1414">
        <v>705</v>
      </c>
      <c r="J233" s="3330" t="s">
        <v>1493</v>
      </c>
      <c r="K233" s="3183" t="s">
        <v>84</v>
      </c>
      <c r="L233" s="923"/>
      <c r="M233" s="71" t="s">
        <v>37</v>
      </c>
      <c r="N233" s="71"/>
      <c r="O233" s="71" t="s">
        <v>30</v>
      </c>
      <c r="P233" s="360" t="s">
        <v>122</v>
      </c>
      <c r="Q233" s="360" t="s">
        <v>123</v>
      </c>
      <c r="R233" s="360" t="s">
        <v>160</v>
      </c>
      <c r="S233" s="71"/>
      <c r="T233" s="593"/>
      <c r="W233" s="3345" t="s">
        <v>1494</v>
      </c>
    </row>
    <row r="234" spans="1:23" ht="33" hidden="1" customHeight="1">
      <c r="A234" s="1941" t="s">
        <v>1495</v>
      </c>
      <c r="B234" s="1300">
        <v>45701</v>
      </c>
      <c r="C234" s="3165" t="s">
        <v>322</v>
      </c>
      <c r="E234" s="1194" t="s">
        <v>1496</v>
      </c>
      <c r="F234" s="1195" t="s">
        <v>1497</v>
      </c>
      <c r="I234" s="1414">
        <v>705</v>
      </c>
      <c r="J234" s="3330" t="s">
        <v>1480</v>
      </c>
      <c r="K234" s="3238"/>
      <c r="L234" s="923"/>
      <c r="M234" s="71"/>
      <c r="N234" s="71" t="s">
        <v>30</v>
      </c>
      <c r="O234" s="71"/>
      <c r="P234" s="360" t="s">
        <v>0</v>
      </c>
      <c r="Q234" s="360" t="s">
        <v>31</v>
      </c>
      <c r="R234" s="360" t="s">
        <v>1228</v>
      </c>
      <c r="S234" s="71"/>
      <c r="T234" s="593"/>
      <c r="W234" s="3345" t="s">
        <v>1482</v>
      </c>
    </row>
    <row r="235" spans="1:23" ht="27" hidden="1" thickBot="1">
      <c r="A235" s="1941" t="s">
        <v>105</v>
      </c>
      <c r="B235" s="1300">
        <v>45701</v>
      </c>
      <c r="C235" s="3165" t="s">
        <v>322</v>
      </c>
      <c r="E235" s="1194" t="s">
        <v>204</v>
      </c>
      <c r="F235" s="1195" t="s">
        <v>1498</v>
      </c>
      <c r="I235" s="923">
        <v>705</v>
      </c>
      <c r="J235" s="3330" t="s">
        <v>1499</v>
      </c>
      <c r="K235" s="3238"/>
      <c r="L235" s="923"/>
      <c r="M235" s="71"/>
      <c r="N235" s="71"/>
      <c r="O235" s="71"/>
      <c r="P235" s="71"/>
      <c r="Q235" s="71"/>
      <c r="R235" s="71"/>
      <c r="S235" s="71" t="s">
        <v>37</v>
      </c>
      <c r="T235" s="593"/>
      <c r="W235" s="3345"/>
    </row>
    <row r="236" spans="1:23" ht="27" hidden="1" thickBot="1">
      <c r="A236" s="1941" t="s">
        <v>105</v>
      </c>
      <c r="B236" s="1300">
        <v>45701</v>
      </c>
      <c r="C236" s="3165" t="s">
        <v>322</v>
      </c>
      <c r="D236" s="3165" t="s">
        <v>476</v>
      </c>
      <c r="E236" s="1194" t="s">
        <v>80</v>
      </c>
      <c r="F236" s="1195" t="s">
        <v>1500</v>
      </c>
      <c r="I236" s="1414">
        <v>705</v>
      </c>
      <c r="J236" s="3330">
        <v>60020</v>
      </c>
      <c r="K236" s="3238"/>
      <c r="L236" s="923" t="s">
        <v>37</v>
      </c>
      <c r="M236" s="71"/>
      <c r="N236" s="71"/>
      <c r="O236" s="71"/>
      <c r="P236" s="71"/>
      <c r="Q236" s="71"/>
      <c r="R236" s="71"/>
      <c r="S236" s="71"/>
      <c r="T236" s="593"/>
      <c r="W236" s="3345"/>
    </row>
    <row r="237" spans="1:23" ht="29.25" hidden="1" thickBot="1">
      <c r="A237" s="1941" t="s">
        <v>105</v>
      </c>
      <c r="B237" s="1300">
        <v>45701</v>
      </c>
      <c r="C237" s="3165" t="s">
        <v>322</v>
      </c>
      <c r="D237" s="3165" t="s">
        <v>480</v>
      </c>
      <c r="E237" s="1194" t="s">
        <v>89</v>
      </c>
      <c r="F237" s="1195" t="s">
        <v>1501</v>
      </c>
      <c r="I237" s="3516">
        <v>712</v>
      </c>
      <c r="J237" s="3330" t="s">
        <v>1222</v>
      </c>
      <c r="K237" s="3238"/>
      <c r="L237" s="923" t="s">
        <v>37</v>
      </c>
      <c r="M237" s="71"/>
      <c r="N237" s="71"/>
      <c r="O237" s="71"/>
      <c r="P237" s="71"/>
      <c r="Q237" s="71"/>
      <c r="R237" s="71"/>
      <c r="S237" s="71"/>
      <c r="T237" s="593"/>
      <c r="W237" s="3345"/>
    </row>
    <row r="238" spans="1:23" ht="79.5" hidden="1" thickBot="1">
      <c r="A238" s="1938" t="s">
        <v>105</v>
      </c>
      <c r="B238" s="1312">
        <v>45701</v>
      </c>
      <c r="C238" s="3165" t="s">
        <v>322</v>
      </c>
      <c r="D238" s="3354" t="s">
        <v>486</v>
      </c>
      <c r="E238" s="1514" t="s">
        <v>79</v>
      </c>
      <c r="F238" s="3337" t="s">
        <v>1502</v>
      </c>
      <c r="I238" s="2662">
        <v>705</v>
      </c>
      <c r="J238" s="3331" t="s">
        <v>743</v>
      </c>
      <c r="K238" s="3173" t="s">
        <v>84</v>
      </c>
      <c r="L238" s="923"/>
      <c r="M238" s="91" t="s">
        <v>30</v>
      </c>
      <c r="N238" s="91"/>
      <c r="O238" s="91"/>
      <c r="P238" s="3303" t="s">
        <v>122</v>
      </c>
      <c r="Q238" s="3303" t="s">
        <v>122</v>
      </c>
      <c r="R238" s="3303" t="s">
        <v>160</v>
      </c>
      <c r="S238" s="91" t="s">
        <v>37</v>
      </c>
      <c r="T238" s="3202"/>
      <c r="W238" s="3346" t="s">
        <v>1503</v>
      </c>
    </row>
    <row r="239" spans="1:23" ht="27" hidden="1" thickBot="1">
      <c r="A239" s="1942" t="s">
        <v>105</v>
      </c>
      <c r="B239" s="1301">
        <v>45701</v>
      </c>
      <c r="C239" s="3165" t="s">
        <v>322</v>
      </c>
      <c r="D239" s="3355" t="s">
        <v>490</v>
      </c>
      <c r="E239" s="1185" t="s">
        <v>43</v>
      </c>
      <c r="F239" s="3338" t="s">
        <v>306</v>
      </c>
      <c r="I239" s="2663">
        <v>705</v>
      </c>
      <c r="J239" s="3334" t="s">
        <v>151</v>
      </c>
      <c r="K239" s="3267" t="s">
        <v>84</v>
      </c>
      <c r="L239" s="1009" t="s">
        <v>37</v>
      </c>
      <c r="M239" s="97"/>
      <c r="N239" s="97"/>
      <c r="O239" s="97"/>
      <c r="P239" s="97"/>
      <c r="Q239" s="97"/>
      <c r="R239" s="97"/>
      <c r="S239" s="97"/>
      <c r="T239" s="1041"/>
      <c r="W239" s="3347"/>
    </row>
    <row r="240" spans="1:23" ht="27" hidden="1" thickBot="1">
      <c r="A240" s="1941" t="s">
        <v>105</v>
      </c>
      <c r="B240" s="1300">
        <v>45701</v>
      </c>
      <c r="C240" s="3165" t="s">
        <v>322</v>
      </c>
      <c r="D240" s="3165" t="s">
        <v>493</v>
      </c>
      <c r="E240" s="1194" t="s">
        <v>517</v>
      </c>
      <c r="F240" s="1195" t="s">
        <v>889</v>
      </c>
      <c r="I240" s="1414">
        <v>705</v>
      </c>
      <c r="J240" s="3330" t="s">
        <v>1093</v>
      </c>
      <c r="K240" s="3238"/>
      <c r="L240" s="923" t="s">
        <v>37</v>
      </c>
      <c r="M240" s="71"/>
      <c r="N240" s="71"/>
      <c r="O240" s="71"/>
      <c r="P240" s="71"/>
      <c r="Q240" s="71"/>
      <c r="R240" s="71"/>
      <c r="S240" s="71"/>
      <c r="T240" s="593"/>
      <c r="W240" s="3345"/>
    </row>
    <row r="241" spans="1:24" ht="53.25" hidden="1" thickBot="1">
      <c r="A241" s="1941" t="s">
        <v>132</v>
      </c>
      <c r="B241" s="1300">
        <v>45702</v>
      </c>
      <c r="C241" s="3165" t="s">
        <v>322</v>
      </c>
      <c r="E241" s="1194" t="s">
        <v>258</v>
      </c>
      <c r="F241" s="1195" t="s">
        <v>1504</v>
      </c>
      <c r="I241" s="1414">
        <v>705</v>
      </c>
      <c r="J241" s="3330" t="s">
        <v>1505</v>
      </c>
      <c r="K241" s="3238"/>
      <c r="L241" s="923" t="s">
        <v>30</v>
      </c>
      <c r="M241" s="71"/>
      <c r="N241" s="71"/>
      <c r="O241" s="71"/>
      <c r="P241" s="71"/>
      <c r="Q241" s="71"/>
      <c r="R241" s="71"/>
      <c r="S241" s="71"/>
      <c r="T241" s="593"/>
      <c r="W241" s="3345" t="s">
        <v>1506</v>
      </c>
      <c r="X241" s="3160" t="s">
        <v>1507</v>
      </c>
    </row>
    <row r="242" spans="1:24" ht="27" hidden="1" thickBot="1">
      <c r="A242" s="1941" t="s">
        <v>132</v>
      </c>
      <c r="B242" s="1300">
        <v>45702</v>
      </c>
      <c r="C242" s="3165" t="s">
        <v>322</v>
      </c>
      <c r="E242" s="1194" t="s">
        <v>48</v>
      </c>
      <c r="F242" s="1195" t="s">
        <v>240</v>
      </c>
      <c r="I242" s="1414">
        <v>705</v>
      </c>
      <c r="J242" s="3330" t="s">
        <v>1505</v>
      </c>
      <c r="K242" s="3238"/>
      <c r="L242" s="923" t="s">
        <v>30</v>
      </c>
      <c r="M242" s="71"/>
      <c r="N242" s="71"/>
      <c r="O242" s="71"/>
      <c r="P242" s="71"/>
      <c r="Q242" s="71"/>
      <c r="R242" s="71"/>
      <c r="S242" s="71"/>
      <c r="T242" s="593"/>
      <c r="W242" s="3345"/>
    </row>
    <row r="243" spans="1:24" ht="27" hidden="1" thickBot="1">
      <c r="A243" s="1941" t="s">
        <v>132</v>
      </c>
      <c r="B243" s="1300">
        <v>45702</v>
      </c>
      <c r="C243" s="3165" t="s">
        <v>322</v>
      </c>
      <c r="E243" s="1194" t="s">
        <v>273</v>
      </c>
      <c r="F243" s="1195" t="s">
        <v>220</v>
      </c>
      <c r="I243" s="1414">
        <v>705</v>
      </c>
      <c r="J243" s="3330" t="s">
        <v>1508</v>
      </c>
      <c r="K243" s="3234"/>
      <c r="L243" s="923" t="s">
        <v>37</v>
      </c>
      <c r="M243" s="71"/>
      <c r="N243" s="71"/>
      <c r="O243" s="71"/>
      <c r="P243" s="71"/>
      <c r="Q243" s="71"/>
      <c r="R243" s="71"/>
      <c r="S243" s="71"/>
      <c r="T243" s="593"/>
      <c r="W243" s="3345"/>
    </row>
    <row r="244" spans="1:24" ht="27" hidden="1" thickBot="1">
      <c r="A244" s="1941" t="s">
        <v>132</v>
      </c>
      <c r="B244" s="1300">
        <v>45702</v>
      </c>
      <c r="C244" s="3165" t="s">
        <v>322</v>
      </c>
      <c r="D244" s="3750"/>
      <c r="E244" s="1195" t="s">
        <v>1509</v>
      </c>
      <c r="F244" s="1195" t="s">
        <v>1510</v>
      </c>
      <c r="I244" s="1414">
        <v>705</v>
      </c>
      <c r="J244" s="3330" t="s">
        <v>1499</v>
      </c>
      <c r="K244" s="3238"/>
      <c r="L244" s="923"/>
      <c r="M244" s="71"/>
      <c r="N244" s="71" t="s">
        <v>30</v>
      </c>
      <c r="O244" s="71"/>
      <c r="P244" s="360" t="s">
        <v>0</v>
      </c>
      <c r="Q244" s="360" t="s">
        <v>31</v>
      </c>
      <c r="R244" s="360" t="s">
        <v>1228</v>
      </c>
      <c r="S244" s="71"/>
      <c r="T244" s="593"/>
      <c r="W244" s="3345" t="s">
        <v>1511</v>
      </c>
    </row>
    <row r="245" spans="1:24" ht="27" hidden="1" thickBot="1">
      <c r="A245" s="1941" t="s">
        <v>132</v>
      </c>
      <c r="B245" s="1300">
        <v>45702</v>
      </c>
      <c r="C245" s="3165" t="s">
        <v>322</v>
      </c>
      <c r="D245" s="3165" t="s">
        <v>496</v>
      </c>
      <c r="E245" s="1194" t="s">
        <v>1239</v>
      </c>
      <c r="F245" s="1195" t="s">
        <v>306</v>
      </c>
      <c r="I245" s="923">
        <v>705</v>
      </c>
      <c r="J245" s="3330" t="s">
        <v>1493</v>
      </c>
      <c r="K245" s="3183" t="s">
        <v>84</v>
      </c>
      <c r="L245" s="923" t="s">
        <v>37</v>
      </c>
      <c r="M245" s="71"/>
      <c r="N245" s="71"/>
      <c r="O245" s="71"/>
      <c r="P245" s="71"/>
      <c r="Q245" s="71"/>
      <c r="R245" s="71"/>
      <c r="S245" s="71" t="s">
        <v>37</v>
      </c>
      <c r="T245" s="593"/>
      <c r="W245" s="3345"/>
    </row>
    <row r="246" spans="1:24" ht="27" hidden="1" thickBot="1">
      <c r="A246" s="1937" t="s">
        <v>132</v>
      </c>
      <c r="B246" s="1390">
        <v>45702</v>
      </c>
      <c r="C246" s="3165" t="s">
        <v>322</v>
      </c>
      <c r="D246" s="3354" t="s">
        <v>498</v>
      </c>
      <c r="E246" s="1524" t="s">
        <v>1512</v>
      </c>
      <c r="F246" s="1598" t="s">
        <v>1513</v>
      </c>
      <c r="I246" s="923">
        <v>705</v>
      </c>
      <c r="J246" s="3333" t="s">
        <v>1499</v>
      </c>
      <c r="K246" s="3234"/>
      <c r="L246" s="1001"/>
      <c r="M246" s="33"/>
      <c r="N246" s="33" t="s">
        <v>30</v>
      </c>
      <c r="O246" s="33"/>
      <c r="P246" s="4412" t="s">
        <v>0</v>
      </c>
      <c r="Q246" s="4412" t="s">
        <v>31</v>
      </c>
      <c r="R246" s="4412" t="s">
        <v>1228</v>
      </c>
      <c r="S246" s="33"/>
      <c r="T246" s="1040"/>
      <c r="W246" s="3343" t="s">
        <v>1514</v>
      </c>
    </row>
    <row r="247" spans="1:24" ht="29.25" hidden="1" thickBot="1">
      <c r="A247" s="1938" t="s">
        <v>132</v>
      </c>
      <c r="B247" s="1312">
        <v>45702</v>
      </c>
      <c r="C247" s="3165" t="s">
        <v>322</v>
      </c>
      <c r="D247" s="3354" t="s">
        <v>501</v>
      </c>
      <c r="E247" s="1514" t="s">
        <v>517</v>
      </c>
      <c r="F247" s="3337" t="s">
        <v>89</v>
      </c>
      <c r="I247" s="3523">
        <v>712</v>
      </c>
      <c r="J247" s="3331" t="s">
        <v>1515</v>
      </c>
      <c r="K247" s="3173" t="s">
        <v>84</v>
      </c>
      <c r="L247" s="957" t="s">
        <v>37</v>
      </c>
      <c r="M247" s="91"/>
      <c r="N247" s="91"/>
      <c r="O247" s="91"/>
      <c r="P247" s="71"/>
      <c r="Q247" s="71"/>
      <c r="R247" s="71"/>
      <c r="S247" s="91"/>
      <c r="T247" s="3202"/>
      <c r="W247" s="3346"/>
    </row>
    <row r="248" spans="1:24" ht="29.25" hidden="1" thickBot="1">
      <c r="A248" s="1937" t="s">
        <v>132</v>
      </c>
      <c r="B248" s="1390">
        <v>45702</v>
      </c>
      <c r="C248" s="3354" t="s">
        <v>322</v>
      </c>
      <c r="D248" s="3354" t="s">
        <v>507</v>
      </c>
      <c r="E248" s="1524" t="s">
        <v>182</v>
      </c>
      <c r="F248" s="1598" t="s">
        <v>1516</v>
      </c>
      <c r="I248" s="3524">
        <v>712</v>
      </c>
      <c r="J248" s="3333" t="s">
        <v>377</v>
      </c>
      <c r="K248" s="3234"/>
      <c r="L248" s="1001" t="s">
        <v>37</v>
      </c>
      <c r="M248" s="33"/>
      <c r="N248" s="33"/>
      <c r="O248" s="33"/>
      <c r="P248" s="33"/>
      <c r="Q248" s="33"/>
      <c r="R248" s="33"/>
      <c r="S248" s="33"/>
      <c r="T248" s="1040"/>
      <c r="U248" s="3273"/>
      <c r="V248" s="3273"/>
      <c r="W248" s="33"/>
    </row>
    <row r="249" spans="1:24" ht="27" hidden="1" thickBot="1">
      <c r="A249" s="1935" t="s">
        <v>132</v>
      </c>
      <c r="B249" s="1936">
        <v>45702</v>
      </c>
      <c r="C249" s="3356" t="s">
        <v>322</v>
      </c>
      <c r="D249" s="3356" t="s">
        <v>515</v>
      </c>
      <c r="E249" s="1528" t="s">
        <v>381</v>
      </c>
      <c r="F249" s="1571" t="s">
        <v>1182</v>
      </c>
      <c r="G249" s="3254"/>
      <c r="H249" s="3253"/>
      <c r="I249" s="2276">
        <v>707</v>
      </c>
      <c r="J249" s="3270" t="s">
        <v>1517</v>
      </c>
      <c r="K249" s="3270"/>
      <c r="L249" s="918"/>
      <c r="M249" s="64"/>
      <c r="N249" s="64" t="s">
        <v>30</v>
      </c>
      <c r="O249" s="64"/>
      <c r="P249" s="4411" t="s">
        <v>0</v>
      </c>
      <c r="Q249" s="4411" t="s">
        <v>31</v>
      </c>
      <c r="R249" s="4411" t="s">
        <v>1228</v>
      </c>
      <c r="S249" s="64"/>
      <c r="T249" s="64"/>
      <c r="U249" s="3281"/>
      <c r="V249" s="3281"/>
      <c r="W249" s="1515" t="s">
        <v>1518</v>
      </c>
      <c r="X249" s="3254"/>
    </row>
    <row r="250" spans="1:24" ht="27" hidden="1" thickBot="1">
      <c r="A250" s="1941" t="s">
        <v>1519</v>
      </c>
      <c r="B250" s="1300">
        <v>45703</v>
      </c>
      <c r="C250" s="3165" t="s">
        <v>322</v>
      </c>
      <c r="D250" s="3165" t="s">
        <v>520</v>
      </c>
      <c r="E250" s="1194" t="s">
        <v>169</v>
      </c>
      <c r="F250" s="1557" t="s">
        <v>334</v>
      </c>
      <c r="G250" s="3254"/>
      <c r="H250" s="3253"/>
      <c r="I250" s="2277">
        <v>705</v>
      </c>
      <c r="J250" s="3238" t="s">
        <v>1508</v>
      </c>
      <c r="K250" s="3183" t="s">
        <v>84</v>
      </c>
      <c r="L250" s="923" t="s">
        <v>37</v>
      </c>
      <c r="M250" s="71"/>
      <c r="N250" s="71"/>
      <c r="O250" s="71"/>
      <c r="P250" s="71"/>
      <c r="Q250" s="71"/>
      <c r="R250" s="71"/>
      <c r="S250" s="71"/>
      <c r="T250" s="71"/>
      <c r="W250" s="3793"/>
      <c r="X250" s="3254"/>
    </row>
    <row r="251" spans="1:24" ht="27" hidden="1" thickBot="1">
      <c r="A251" s="1941" t="s">
        <v>25</v>
      </c>
      <c r="B251" s="1300">
        <v>45705</v>
      </c>
      <c r="C251" s="3165" t="s">
        <v>390</v>
      </c>
      <c r="D251" s="3165" t="s">
        <v>528</v>
      </c>
      <c r="E251" s="1194" t="s">
        <v>68</v>
      </c>
      <c r="F251" s="1557" t="s">
        <v>306</v>
      </c>
      <c r="G251" s="3254"/>
      <c r="H251" s="3253"/>
      <c r="I251" s="2277">
        <v>705</v>
      </c>
      <c r="J251" s="3238" t="s">
        <v>1520</v>
      </c>
      <c r="K251" s="3183" t="s">
        <v>29</v>
      </c>
      <c r="L251" s="923" t="s">
        <v>37</v>
      </c>
      <c r="M251" s="71"/>
      <c r="S251" s="71"/>
      <c r="T251" s="71"/>
      <c r="U251" s="71"/>
      <c r="W251" s="93"/>
      <c r="X251" s="3254"/>
    </row>
    <row r="252" spans="1:24" ht="27" hidden="1" thickBot="1">
      <c r="A252" s="1941" t="s">
        <v>25</v>
      </c>
      <c r="B252" s="1300">
        <v>45705</v>
      </c>
      <c r="C252" s="3165" t="s">
        <v>390</v>
      </c>
      <c r="D252" s="3165" t="s">
        <v>536</v>
      </c>
      <c r="E252" s="1194" t="s">
        <v>306</v>
      </c>
      <c r="F252" s="1557" t="s">
        <v>306</v>
      </c>
      <c r="G252" s="3254"/>
      <c r="H252" s="3253"/>
      <c r="I252" s="2277">
        <v>705</v>
      </c>
      <c r="J252" s="3238" t="s">
        <v>1521</v>
      </c>
      <c r="K252" s="3183" t="s">
        <v>29</v>
      </c>
      <c r="L252" s="923" t="s">
        <v>37</v>
      </c>
      <c r="M252" s="71"/>
      <c r="S252" s="71"/>
      <c r="T252" s="71"/>
      <c r="U252" s="71"/>
      <c r="W252" s="93"/>
      <c r="X252" s="3254"/>
    </row>
    <row r="253" spans="1:24" ht="27" hidden="1" thickBot="1">
      <c r="A253" s="1941" t="s">
        <v>25</v>
      </c>
      <c r="B253" s="1300">
        <v>45705</v>
      </c>
      <c r="C253" s="3165" t="s">
        <v>390</v>
      </c>
      <c r="D253" s="3165" t="s">
        <v>538</v>
      </c>
      <c r="E253" s="1194" t="s">
        <v>258</v>
      </c>
      <c r="F253" s="1557" t="s">
        <v>1522</v>
      </c>
      <c r="G253" s="3254"/>
      <c r="H253" s="3253"/>
      <c r="I253" s="2277"/>
      <c r="J253" s="3238" t="s">
        <v>1093</v>
      </c>
      <c r="K253" s="3183" t="s">
        <v>84</v>
      </c>
      <c r="L253" s="923" t="s">
        <v>37</v>
      </c>
      <c r="M253" s="71"/>
      <c r="S253" s="71"/>
      <c r="T253" s="71"/>
      <c r="U253" s="71"/>
      <c r="W253" s="93"/>
      <c r="X253" s="3254"/>
    </row>
    <row r="254" spans="1:24" ht="27" hidden="1" thickBot="1">
      <c r="A254" s="1941" t="s">
        <v>25</v>
      </c>
      <c r="B254" s="1300">
        <v>45705</v>
      </c>
      <c r="C254" s="3165" t="s">
        <v>390</v>
      </c>
      <c r="E254" s="1194" t="s">
        <v>596</v>
      </c>
      <c r="F254" s="1557" t="s">
        <v>195</v>
      </c>
      <c r="G254" s="3254"/>
      <c r="H254" s="3253"/>
      <c r="I254" s="2277"/>
      <c r="J254" s="3238" t="s">
        <v>1505</v>
      </c>
      <c r="K254" s="3183" t="s">
        <v>84</v>
      </c>
      <c r="L254" s="923" t="s">
        <v>37</v>
      </c>
      <c r="M254" s="71"/>
      <c r="S254" s="71"/>
      <c r="T254" s="71"/>
      <c r="U254" s="71"/>
      <c r="W254" s="93"/>
      <c r="X254" s="3254"/>
    </row>
    <row r="255" spans="1:24" ht="27" hidden="1" thickBot="1">
      <c r="A255" s="1941" t="s">
        <v>25</v>
      </c>
      <c r="B255" s="1300">
        <v>45705</v>
      </c>
      <c r="C255" s="3165" t="s">
        <v>390</v>
      </c>
      <c r="D255" s="3165" t="s">
        <v>540</v>
      </c>
      <c r="E255" s="1194" t="s">
        <v>1256</v>
      </c>
      <c r="F255" s="1557" t="s">
        <v>169</v>
      </c>
      <c r="G255" s="3254"/>
      <c r="H255" s="3253"/>
      <c r="I255" s="2277">
        <v>712</v>
      </c>
      <c r="J255" s="3238" t="s">
        <v>1066</v>
      </c>
      <c r="K255" s="3183" t="s">
        <v>1067</v>
      </c>
      <c r="L255" s="923" t="s">
        <v>37</v>
      </c>
      <c r="M255" s="71"/>
      <c r="S255" s="71"/>
      <c r="T255" s="71"/>
      <c r="U255" s="71"/>
      <c r="W255" s="93"/>
      <c r="X255" s="3254"/>
    </row>
    <row r="256" spans="1:24" ht="29.25" hidden="1" thickBot="1">
      <c r="A256" s="1941" t="s">
        <v>25</v>
      </c>
      <c r="B256" s="1300">
        <v>45705</v>
      </c>
      <c r="C256" s="3165" t="s">
        <v>390</v>
      </c>
      <c r="D256" s="3165" t="s">
        <v>543</v>
      </c>
      <c r="E256" s="2667" t="s">
        <v>592</v>
      </c>
      <c r="F256" s="2676" t="s">
        <v>593</v>
      </c>
      <c r="G256" s="3254"/>
      <c r="H256" s="3253"/>
      <c r="I256" s="3480">
        <v>701</v>
      </c>
      <c r="J256" s="3238" t="s">
        <v>1524</v>
      </c>
      <c r="K256" s="3238"/>
      <c r="L256" s="923" t="s">
        <v>37</v>
      </c>
      <c r="M256" s="71"/>
      <c r="S256" s="71"/>
      <c r="T256" s="71"/>
      <c r="U256" s="71"/>
      <c r="W256" s="93"/>
      <c r="X256" s="3254"/>
    </row>
    <row r="257" spans="1:25" ht="27" hidden="1" thickBot="1">
      <c r="A257" s="1941" t="s">
        <v>25</v>
      </c>
      <c r="B257" s="1300">
        <v>45705</v>
      </c>
      <c r="C257" s="3165" t="s">
        <v>390</v>
      </c>
      <c r="E257" s="2667" t="s">
        <v>619</v>
      </c>
      <c r="F257" s="2676" t="s">
        <v>620</v>
      </c>
      <c r="G257" s="3254"/>
      <c r="H257" s="3253"/>
      <c r="I257" s="2277"/>
      <c r="J257" s="3238"/>
      <c r="K257" s="3238"/>
      <c r="L257" s="923"/>
      <c r="M257" s="71"/>
      <c r="S257" s="71"/>
      <c r="T257" s="71"/>
      <c r="U257" s="71"/>
      <c r="W257" s="93" t="s">
        <v>1525</v>
      </c>
      <c r="X257" s="3254"/>
    </row>
    <row r="258" spans="1:25" ht="27" hidden="1" thickBot="1">
      <c r="A258" s="1941" t="s">
        <v>25</v>
      </c>
      <c r="B258" s="1300">
        <v>45705</v>
      </c>
      <c r="C258" s="3165" t="s">
        <v>390</v>
      </c>
      <c r="D258" s="3165" t="s">
        <v>546</v>
      </c>
      <c r="E258" s="2667" t="s">
        <v>306</v>
      </c>
      <c r="F258" s="2676" t="s">
        <v>1526</v>
      </c>
      <c r="G258" s="3254"/>
      <c r="H258" s="3253"/>
      <c r="I258" s="2277">
        <v>707</v>
      </c>
      <c r="J258" s="3238" t="s">
        <v>226</v>
      </c>
      <c r="K258" s="3238"/>
      <c r="L258" s="923" t="s">
        <v>37</v>
      </c>
      <c r="M258" s="71"/>
      <c r="S258" s="71"/>
      <c r="T258" s="71"/>
      <c r="U258" s="71"/>
      <c r="W258" s="93"/>
      <c r="X258" s="3254"/>
    </row>
    <row r="259" spans="1:25" ht="27" hidden="1" thickBot="1">
      <c r="A259" s="1937" t="s">
        <v>25</v>
      </c>
      <c r="B259" s="1390">
        <v>45705</v>
      </c>
      <c r="C259" s="3354" t="s">
        <v>390</v>
      </c>
      <c r="D259" s="3354" t="s">
        <v>549</v>
      </c>
      <c r="E259" s="1524" t="s">
        <v>339</v>
      </c>
      <c r="F259" s="1561" t="s">
        <v>258</v>
      </c>
      <c r="G259" s="3254"/>
      <c r="H259" s="3253"/>
      <c r="I259" s="2284">
        <v>709</v>
      </c>
      <c r="J259" s="3234" t="s">
        <v>318</v>
      </c>
      <c r="K259" s="3234"/>
      <c r="L259" s="1001" t="s">
        <v>37</v>
      </c>
      <c r="M259" s="33"/>
      <c r="N259" s="3273"/>
      <c r="O259" s="3273"/>
      <c r="P259" s="24"/>
      <c r="Q259" s="24"/>
      <c r="R259" s="24"/>
      <c r="S259" s="33"/>
      <c r="T259" s="33"/>
      <c r="U259" s="33"/>
      <c r="V259" s="3273"/>
      <c r="W259" s="1429"/>
      <c r="X259" s="3364"/>
      <c r="Y259" s="3274"/>
    </row>
    <row r="260" spans="1:25" ht="27" hidden="1" thickBot="1">
      <c r="A260" s="1935" t="s">
        <v>25</v>
      </c>
      <c r="B260" s="1936">
        <v>45705</v>
      </c>
      <c r="C260" s="3356" t="s">
        <v>390</v>
      </c>
      <c r="D260" s="3356" t="s">
        <v>551</v>
      </c>
      <c r="E260" s="1528" t="s">
        <v>1527</v>
      </c>
      <c r="F260" s="1571" t="s">
        <v>1091</v>
      </c>
      <c r="G260" s="3254"/>
      <c r="H260" s="3253"/>
      <c r="I260" s="2276">
        <v>707</v>
      </c>
      <c r="J260" s="3270" t="s">
        <v>1528</v>
      </c>
      <c r="K260" s="3270"/>
      <c r="L260" s="918"/>
      <c r="M260" s="918" t="s">
        <v>37</v>
      </c>
      <c r="N260" s="918"/>
      <c r="O260" s="3281"/>
      <c r="P260" s="34" t="s">
        <v>0</v>
      </c>
      <c r="Q260" s="34" t="s">
        <v>31</v>
      </c>
      <c r="R260" s="34" t="s">
        <v>38</v>
      </c>
      <c r="S260" s="918" t="s">
        <v>37</v>
      </c>
      <c r="T260" s="64"/>
      <c r="U260" s="64"/>
      <c r="V260" s="3281"/>
      <c r="W260" s="1515" t="s">
        <v>1529</v>
      </c>
      <c r="X260" s="3365"/>
      <c r="Y260" s="3282"/>
    </row>
    <row r="261" spans="1:25" ht="27" hidden="1" thickBot="1">
      <c r="A261" s="1941" t="s">
        <v>25</v>
      </c>
      <c r="B261" s="1300">
        <v>45705</v>
      </c>
      <c r="C261" s="3165" t="s">
        <v>390</v>
      </c>
      <c r="D261" s="3165" t="s">
        <v>555</v>
      </c>
      <c r="E261" s="928" t="s">
        <v>79</v>
      </c>
      <c r="F261" s="3125" t="s">
        <v>1530</v>
      </c>
      <c r="G261" s="3254"/>
      <c r="H261" s="3253"/>
      <c r="I261" s="2277">
        <v>705</v>
      </c>
      <c r="J261" s="3245" t="s">
        <v>1531</v>
      </c>
      <c r="K261" s="3238"/>
      <c r="L261" s="923" t="s">
        <v>37</v>
      </c>
      <c r="M261" s="71"/>
      <c r="P261" s="3273"/>
      <c r="Q261" s="3273"/>
      <c r="R261" s="3273"/>
      <c r="S261" s="71"/>
      <c r="T261" s="71"/>
      <c r="U261" s="71"/>
      <c r="W261" s="93"/>
      <c r="X261" s="3254"/>
      <c r="Y261" s="3283"/>
    </row>
    <row r="262" spans="1:25" ht="53.25" hidden="1" thickBot="1">
      <c r="A262" s="1941" t="s">
        <v>67</v>
      </c>
      <c r="B262" s="1300">
        <v>45706</v>
      </c>
      <c r="C262" s="3165" t="s">
        <v>390</v>
      </c>
      <c r="E262" s="928" t="s">
        <v>1239</v>
      </c>
      <c r="F262" s="3125" t="s">
        <v>1532</v>
      </c>
      <c r="G262" s="3254"/>
      <c r="H262" s="3253"/>
      <c r="I262" s="2277">
        <v>705</v>
      </c>
      <c r="J262" s="3238" t="s">
        <v>1533</v>
      </c>
      <c r="K262" s="3238"/>
      <c r="L262" s="923" t="s">
        <v>37</v>
      </c>
      <c r="M262" s="71"/>
      <c r="O262" s="3253"/>
      <c r="S262" s="3154"/>
      <c r="T262" s="71"/>
      <c r="U262" s="71"/>
      <c r="W262" s="93" t="s">
        <v>1534</v>
      </c>
      <c r="X262" s="3254"/>
      <c r="Y262" s="3283" t="s">
        <v>1535</v>
      </c>
    </row>
    <row r="263" spans="1:25" ht="27" hidden="1" thickBot="1">
      <c r="A263" s="1941" t="s">
        <v>67</v>
      </c>
      <c r="B263" s="1300">
        <v>45706</v>
      </c>
      <c r="C263" s="3165" t="s">
        <v>390</v>
      </c>
      <c r="D263" s="3165" t="s">
        <v>556</v>
      </c>
      <c r="E263" s="1194" t="s">
        <v>79</v>
      </c>
      <c r="F263" s="1557" t="s">
        <v>169</v>
      </c>
      <c r="G263" s="3254"/>
      <c r="H263" s="3253"/>
      <c r="I263" s="2277">
        <v>709</v>
      </c>
      <c r="J263" s="3238" t="s">
        <v>1533</v>
      </c>
      <c r="K263" s="3238"/>
      <c r="L263" s="923" t="s">
        <v>37</v>
      </c>
      <c r="M263" s="923"/>
      <c r="P263" s="3276"/>
      <c r="Q263" s="3276"/>
      <c r="R263" s="3276"/>
      <c r="S263" s="71"/>
      <c r="T263" s="71"/>
      <c r="U263" s="71"/>
      <c r="W263" s="93"/>
      <c r="X263" s="3254"/>
      <c r="Y263" s="3283"/>
    </row>
    <row r="264" spans="1:25" ht="27" hidden="1" thickBot="1">
      <c r="A264" s="1941" t="s">
        <v>67</v>
      </c>
      <c r="B264" s="1300">
        <v>45706</v>
      </c>
      <c r="C264" s="3165" t="s">
        <v>390</v>
      </c>
      <c r="D264" s="3165" t="s">
        <v>558</v>
      </c>
      <c r="E264" s="1194" t="s">
        <v>447</v>
      </c>
      <c r="F264" s="1557" t="s">
        <v>337</v>
      </c>
      <c r="G264" s="3254"/>
      <c r="H264" s="3253"/>
      <c r="I264" s="2277">
        <v>709</v>
      </c>
      <c r="J264" s="3238" t="s">
        <v>1536</v>
      </c>
      <c r="K264" s="3238"/>
      <c r="L264" s="923"/>
      <c r="M264" s="923" t="s">
        <v>37</v>
      </c>
      <c r="P264" s="21" t="s">
        <v>0</v>
      </c>
      <c r="Q264" s="21" t="s">
        <v>31</v>
      </c>
      <c r="R264" s="21" t="s">
        <v>1344</v>
      </c>
      <c r="S264" s="71"/>
      <c r="T264" s="71"/>
      <c r="U264" s="71"/>
      <c r="W264" s="93" t="s">
        <v>1537</v>
      </c>
      <c r="X264" s="3254"/>
      <c r="Y264" s="3283"/>
    </row>
    <row r="265" spans="1:25" ht="27" hidden="1" thickBot="1">
      <c r="A265" s="1941" t="s">
        <v>67</v>
      </c>
      <c r="B265" s="1300">
        <v>45706</v>
      </c>
      <c r="C265" s="3165" t="s">
        <v>390</v>
      </c>
      <c r="E265" s="2667" t="s">
        <v>1538</v>
      </c>
      <c r="F265" s="2676" t="s">
        <v>389</v>
      </c>
      <c r="G265" s="3254"/>
      <c r="H265" s="3253"/>
      <c r="I265" s="2277">
        <v>707</v>
      </c>
      <c r="J265" s="3238" t="s">
        <v>226</v>
      </c>
      <c r="K265" s="3238"/>
      <c r="L265" s="923" t="s">
        <v>37</v>
      </c>
      <c r="M265" s="71"/>
      <c r="S265" s="71"/>
      <c r="T265" s="71"/>
      <c r="U265" s="71"/>
      <c r="W265" s="93"/>
      <c r="X265" s="3254"/>
      <c r="Y265" s="3283"/>
    </row>
    <row r="266" spans="1:25" ht="53.25" hidden="1" thickBot="1">
      <c r="A266" s="1941" t="s">
        <v>67</v>
      </c>
      <c r="B266" s="1300">
        <v>45706</v>
      </c>
      <c r="C266" s="3165" t="s">
        <v>390</v>
      </c>
      <c r="D266" s="3165" t="s">
        <v>560</v>
      </c>
      <c r="E266" s="1194" t="s">
        <v>80</v>
      </c>
      <c r="F266" s="1557" t="s">
        <v>1539</v>
      </c>
      <c r="G266" s="3254"/>
      <c r="H266" s="3253"/>
      <c r="I266" s="2277">
        <v>704</v>
      </c>
      <c r="J266" s="3238" t="s">
        <v>1540</v>
      </c>
      <c r="K266" s="3183" t="s">
        <v>174</v>
      </c>
      <c r="L266" s="923"/>
      <c r="M266" s="923" t="s">
        <v>37</v>
      </c>
      <c r="P266" s="21" t="s">
        <v>231</v>
      </c>
      <c r="Q266" s="21" t="s">
        <v>110</v>
      </c>
      <c r="R266" s="21" t="s">
        <v>1061</v>
      </c>
      <c r="S266" s="71"/>
      <c r="T266" s="71"/>
      <c r="U266" s="71"/>
      <c r="W266" s="93" t="s">
        <v>1541</v>
      </c>
      <c r="X266" s="3254"/>
      <c r="Y266" s="3283"/>
    </row>
    <row r="267" spans="1:25" ht="27" hidden="1" thickBot="1">
      <c r="A267" s="1938" t="s">
        <v>67</v>
      </c>
      <c r="B267" s="1312">
        <v>45706</v>
      </c>
      <c r="C267" s="3357" t="s">
        <v>390</v>
      </c>
      <c r="D267" s="3357" t="s">
        <v>562</v>
      </c>
      <c r="E267" s="1514" t="s">
        <v>63</v>
      </c>
      <c r="F267" s="1552" t="s">
        <v>1234</v>
      </c>
      <c r="G267" s="3254"/>
      <c r="H267" s="3253"/>
      <c r="I267" s="3199">
        <v>705</v>
      </c>
      <c r="J267" s="3252" t="s">
        <v>1542</v>
      </c>
      <c r="K267" s="3173"/>
      <c r="L267" s="957" t="s">
        <v>37</v>
      </c>
      <c r="M267" s="91"/>
      <c r="N267" s="3284"/>
      <c r="O267" s="3284"/>
      <c r="P267" s="3284"/>
      <c r="Q267" s="3284"/>
      <c r="R267" s="3284"/>
      <c r="S267" s="91"/>
      <c r="T267" s="91"/>
      <c r="U267" s="91"/>
      <c r="V267" s="3284"/>
      <c r="W267" s="116"/>
      <c r="X267" s="3366"/>
      <c r="Y267" s="3285"/>
    </row>
    <row r="268" spans="1:25" ht="27" hidden="1" thickBot="1">
      <c r="A268" s="1939" t="s">
        <v>67</v>
      </c>
      <c r="B268" s="1940">
        <v>45706</v>
      </c>
      <c r="C268" s="3355" t="s">
        <v>390</v>
      </c>
      <c r="D268" s="3751" t="s">
        <v>565</v>
      </c>
      <c r="E268" s="4571" t="s">
        <v>1091</v>
      </c>
      <c r="F268" s="4571" t="s">
        <v>258</v>
      </c>
      <c r="G268" s="3254"/>
      <c r="H268" s="3253"/>
      <c r="I268" s="378">
        <v>709</v>
      </c>
      <c r="J268" s="3359" t="s">
        <v>1499</v>
      </c>
      <c r="K268" s="3233"/>
      <c r="L268" s="1593" t="s">
        <v>37</v>
      </c>
      <c r="M268" s="1594"/>
      <c r="N268" s="3276"/>
      <c r="O268" s="3276"/>
      <c r="P268" s="3276"/>
      <c r="Q268" s="3276"/>
      <c r="R268" s="3276"/>
      <c r="S268" s="1594"/>
      <c r="T268" s="1594"/>
      <c r="U268" s="1594"/>
      <c r="V268" s="3276"/>
      <c r="W268" s="3353" t="s">
        <v>1543</v>
      </c>
      <c r="X268" s="3307"/>
      <c r="Y268" s="3277"/>
    </row>
    <row r="269" spans="1:25" ht="27" hidden="1" thickBot="1">
      <c r="A269" s="1941" t="s">
        <v>67</v>
      </c>
      <c r="B269" s="1300">
        <v>45706</v>
      </c>
      <c r="C269" s="3165" t="s">
        <v>390</v>
      </c>
      <c r="D269" s="3165" t="s">
        <v>567</v>
      </c>
      <c r="E269" s="1776" t="s">
        <v>304</v>
      </c>
      <c r="F269" s="3108" t="s">
        <v>275</v>
      </c>
      <c r="G269" s="3254"/>
      <c r="H269" s="3253"/>
      <c r="I269" s="1559">
        <v>709</v>
      </c>
      <c r="J269" s="3265" t="s">
        <v>1499</v>
      </c>
      <c r="K269" s="3238"/>
      <c r="L269" s="923" t="s">
        <v>37</v>
      </c>
      <c r="M269" s="71"/>
      <c r="P269" s="3273"/>
      <c r="Q269" s="3273"/>
      <c r="R269" s="3273"/>
      <c r="S269" s="71"/>
      <c r="T269" s="71"/>
      <c r="U269" s="71"/>
      <c r="W269" s="93"/>
      <c r="X269" s="3254"/>
    </row>
    <row r="270" spans="1:25" ht="53.25" hidden="1" thickBot="1">
      <c r="A270" s="1941" t="s">
        <v>85</v>
      </c>
      <c r="B270" s="1300">
        <v>45707</v>
      </c>
      <c r="C270" s="3165" t="s">
        <v>390</v>
      </c>
      <c r="E270" s="1776" t="s">
        <v>282</v>
      </c>
      <c r="F270" s="3108" t="s">
        <v>373</v>
      </c>
      <c r="G270" s="3254"/>
      <c r="H270" s="3253"/>
      <c r="I270" s="2277">
        <v>709</v>
      </c>
      <c r="J270" s="3265" t="s">
        <v>1499</v>
      </c>
      <c r="K270" s="3238"/>
      <c r="L270" s="923" t="s">
        <v>37</v>
      </c>
      <c r="M270" s="71"/>
      <c r="O270" s="3253"/>
      <c r="S270" s="3154"/>
      <c r="T270" s="71"/>
      <c r="U270" s="71"/>
      <c r="W270" s="93" t="s">
        <v>1544</v>
      </c>
      <c r="X270" s="3254"/>
    </row>
    <row r="271" spans="1:25" ht="27" hidden="1" thickBot="1">
      <c r="A271" s="1941" t="s">
        <v>85</v>
      </c>
      <c r="B271" s="1300">
        <v>45707</v>
      </c>
      <c r="C271" s="3165" t="s">
        <v>390</v>
      </c>
      <c r="E271" s="928" t="s">
        <v>169</v>
      </c>
      <c r="F271" s="3125" t="s">
        <v>1545</v>
      </c>
      <c r="G271" s="3254"/>
      <c r="H271" s="3253"/>
      <c r="I271" s="2277">
        <v>705</v>
      </c>
      <c r="J271" s="3265" t="s">
        <v>1533</v>
      </c>
      <c r="K271" s="3238"/>
      <c r="L271" s="923" t="s">
        <v>37</v>
      </c>
      <c r="M271" s="71"/>
      <c r="O271" s="3253"/>
      <c r="S271" s="3154"/>
      <c r="T271" s="71"/>
      <c r="U271" s="71"/>
      <c r="W271" s="93" t="s">
        <v>1546</v>
      </c>
      <c r="X271" s="3254"/>
    </row>
    <row r="272" spans="1:25" ht="29.25" hidden="1" thickBot="1">
      <c r="A272" s="1941" t="s">
        <v>85</v>
      </c>
      <c r="B272" s="1300">
        <v>45707</v>
      </c>
      <c r="C272" s="3165" t="s">
        <v>390</v>
      </c>
      <c r="D272" s="3165" t="s">
        <v>568</v>
      </c>
      <c r="E272" s="928" t="s">
        <v>1464</v>
      </c>
      <c r="F272" s="3125" t="s">
        <v>593</v>
      </c>
      <c r="G272" s="3254"/>
      <c r="H272" s="3253"/>
      <c r="I272" s="3670">
        <v>701</v>
      </c>
      <c r="J272" s="3265" t="s">
        <v>1547</v>
      </c>
      <c r="K272" s="3238"/>
      <c r="L272" s="923"/>
      <c r="M272" s="71" t="s">
        <v>37</v>
      </c>
      <c r="O272" s="3253"/>
      <c r="P272" s="21" t="s">
        <v>0</v>
      </c>
      <c r="Q272" s="21" t="s">
        <v>31</v>
      </c>
      <c r="R272" s="21" t="s">
        <v>38</v>
      </c>
      <c r="S272" s="3154"/>
      <c r="T272" s="71"/>
      <c r="U272" s="71"/>
      <c r="W272" s="93" t="s">
        <v>1548</v>
      </c>
      <c r="X272" s="3254"/>
    </row>
    <row r="273" spans="1:24" ht="29.25" hidden="1" thickBot="1">
      <c r="A273" s="1941" t="s">
        <v>85</v>
      </c>
      <c r="B273" s="1300">
        <v>45707</v>
      </c>
      <c r="C273" s="3165" t="s">
        <v>390</v>
      </c>
      <c r="D273" s="3165" t="s">
        <v>570</v>
      </c>
      <c r="E273" s="1194" t="s">
        <v>1465</v>
      </c>
      <c r="F273" s="1557" t="s">
        <v>1464</v>
      </c>
      <c r="G273" s="3254"/>
      <c r="H273" s="3253"/>
      <c r="I273" s="3670">
        <v>701</v>
      </c>
      <c r="J273" s="3265" t="s">
        <v>1549</v>
      </c>
      <c r="K273" s="3238"/>
      <c r="L273" s="923"/>
      <c r="M273" s="923"/>
      <c r="N273" s="923" t="s">
        <v>37</v>
      </c>
      <c r="O273" s="3253"/>
      <c r="P273" s="21"/>
      <c r="Q273" s="21"/>
      <c r="R273" s="21"/>
      <c r="S273" s="1569" t="s">
        <v>37</v>
      </c>
      <c r="T273" s="71"/>
      <c r="U273" s="71"/>
      <c r="W273" s="93" t="s">
        <v>37</v>
      </c>
      <c r="X273" s="3254"/>
    </row>
    <row r="274" spans="1:24" ht="27" hidden="1" thickBot="1">
      <c r="A274" s="1941" t="s">
        <v>85</v>
      </c>
      <c r="B274" s="1300">
        <v>45707</v>
      </c>
      <c r="C274" s="3165" t="s">
        <v>390</v>
      </c>
      <c r="E274" s="1194" t="s">
        <v>264</v>
      </c>
      <c r="F274" s="1557" t="s">
        <v>1550</v>
      </c>
      <c r="G274" s="3254"/>
      <c r="H274" s="3253"/>
      <c r="I274" s="923">
        <v>705</v>
      </c>
      <c r="J274" s="3265">
        <v>60086</v>
      </c>
      <c r="K274" s="3238"/>
      <c r="L274" s="923" t="s">
        <v>37</v>
      </c>
      <c r="M274" s="71"/>
      <c r="P274" s="3276"/>
      <c r="Q274" s="3276"/>
      <c r="R274" s="3276"/>
      <c r="S274" s="71"/>
      <c r="T274" s="923"/>
      <c r="U274" s="71"/>
      <c r="W274" s="93"/>
      <c r="X274" s="3254"/>
    </row>
    <row r="275" spans="1:24" ht="27" hidden="1" thickBot="1">
      <c r="A275" s="1941" t="s">
        <v>85</v>
      </c>
      <c r="B275" s="1300">
        <v>45707</v>
      </c>
      <c r="C275" s="3165" t="s">
        <v>390</v>
      </c>
      <c r="D275" s="3165" t="s">
        <v>573</v>
      </c>
      <c r="E275" s="1194" t="s">
        <v>1527</v>
      </c>
      <c r="F275" s="1557" t="s">
        <v>1091</v>
      </c>
      <c r="G275" s="3254"/>
      <c r="H275" s="3253"/>
      <c r="I275" s="1559">
        <v>707</v>
      </c>
      <c r="J275" s="3265" t="s">
        <v>1528</v>
      </c>
      <c r="K275" s="3238"/>
      <c r="L275" s="923"/>
      <c r="M275" s="923"/>
      <c r="P275" s="21"/>
      <c r="Q275" s="21"/>
      <c r="R275" s="21"/>
      <c r="S275" s="923"/>
      <c r="T275" s="923" t="s">
        <v>37</v>
      </c>
      <c r="U275" s="71"/>
      <c r="W275" s="93" t="s">
        <v>1551</v>
      </c>
      <c r="X275" s="3254"/>
    </row>
    <row r="276" spans="1:24" ht="29.25" hidden="1" thickBot="1">
      <c r="A276" s="1941" t="s">
        <v>85</v>
      </c>
      <c r="B276" s="1300">
        <v>45707</v>
      </c>
      <c r="C276" s="3165" t="s">
        <v>390</v>
      </c>
      <c r="D276" s="3165" t="s">
        <v>575</v>
      </c>
      <c r="E276" s="1194" t="s">
        <v>169</v>
      </c>
      <c r="F276" s="1557" t="s">
        <v>1065</v>
      </c>
      <c r="G276" s="3254"/>
      <c r="H276" s="3253"/>
      <c r="I276" s="3670">
        <v>712</v>
      </c>
      <c r="J276" s="3265" t="s">
        <v>1237</v>
      </c>
      <c r="K276" s="3183" t="s">
        <v>1067</v>
      </c>
      <c r="L276" s="923" t="s">
        <v>30</v>
      </c>
      <c r="M276" s="71"/>
      <c r="S276" s="71"/>
      <c r="T276" s="71"/>
      <c r="U276" s="71"/>
      <c r="W276" s="93"/>
      <c r="X276" s="3254"/>
    </row>
    <row r="277" spans="1:24" ht="27" hidden="1" thickBot="1">
      <c r="A277" s="2140" t="s">
        <v>85</v>
      </c>
      <c r="B277" s="2141">
        <v>45707</v>
      </c>
      <c r="C277" s="3357" t="s">
        <v>390</v>
      </c>
      <c r="D277" s="3752" t="s">
        <v>579</v>
      </c>
      <c r="E277" s="3348" t="s">
        <v>1552</v>
      </c>
      <c r="F277" s="3348" t="s">
        <v>306</v>
      </c>
      <c r="G277" s="3254"/>
      <c r="H277" s="3253"/>
      <c r="I277" s="3361"/>
      <c r="J277" s="3349" t="s">
        <v>1553</v>
      </c>
      <c r="K277" s="3236" t="s">
        <v>174</v>
      </c>
      <c r="L277" s="2346" t="s">
        <v>37</v>
      </c>
      <c r="M277" s="2347"/>
      <c r="N277" s="3284"/>
      <c r="O277" s="3284"/>
      <c r="P277" s="3284"/>
      <c r="Q277" s="3284"/>
      <c r="R277" s="3284"/>
      <c r="S277" s="2347"/>
      <c r="T277" s="2347"/>
      <c r="U277" s="2347" t="s">
        <v>37</v>
      </c>
      <c r="V277" s="3284"/>
      <c r="W277" s="3351"/>
      <c r="X277" s="3254"/>
    </row>
    <row r="278" spans="1:24" ht="27" hidden="1" thickBot="1">
      <c r="A278" s="1935" t="s">
        <v>85</v>
      </c>
      <c r="B278" s="1936">
        <v>45707</v>
      </c>
      <c r="C278" s="3356" t="s">
        <v>390</v>
      </c>
      <c r="D278" s="3356"/>
      <c r="E278" s="1528" t="s">
        <v>306</v>
      </c>
      <c r="F278" s="1571" t="s">
        <v>1552</v>
      </c>
      <c r="G278" s="3254"/>
      <c r="H278" s="3253"/>
      <c r="I278" s="2277"/>
      <c r="J278" s="3270" t="s">
        <v>1553</v>
      </c>
      <c r="K278" s="3362" t="s">
        <v>174</v>
      </c>
      <c r="L278" s="918" t="s">
        <v>37</v>
      </c>
      <c r="M278" s="64"/>
      <c r="N278" s="3281"/>
      <c r="O278" s="3281"/>
      <c r="P278" s="3281"/>
      <c r="Q278" s="3281"/>
      <c r="R278" s="3281"/>
      <c r="S278" s="64"/>
      <c r="T278" s="64"/>
      <c r="U278" s="64" t="s">
        <v>37</v>
      </c>
      <c r="V278" s="3281"/>
      <c r="W278" s="1515"/>
      <c r="X278" s="3254"/>
    </row>
    <row r="279" spans="1:24" ht="27" hidden="1" thickBot="1">
      <c r="A279" s="1941" t="s">
        <v>85</v>
      </c>
      <c r="B279" s="1300">
        <v>45707</v>
      </c>
      <c r="C279" s="3165" t="s">
        <v>390</v>
      </c>
      <c r="D279" s="3355" t="s">
        <v>581</v>
      </c>
      <c r="E279" s="1185" t="s">
        <v>339</v>
      </c>
      <c r="F279" s="1757" t="s">
        <v>1554</v>
      </c>
      <c r="G279" s="3254"/>
      <c r="H279" s="3253"/>
      <c r="I279" s="2256">
        <v>702</v>
      </c>
      <c r="J279" s="3245" t="s">
        <v>639</v>
      </c>
      <c r="K279" s="3267" t="s">
        <v>320</v>
      </c>
      <c r="L279" s="923" t="s">
        <v>37</v>
      </c>
      <c r="M279" s="97"/>
      <c r="S279" s="97"/>
      <c r="T279" s="71"/>
      <c r="U279" s="71"/>
      <c r="W279" s="98"/>
      <c r="X279" s="3254"/>
    </row>
    <row r="280" spans="1:24" ht="29.25" hidden="1" thickBot="1">
      <c r="A280" s="1941" t="s">
        <v>105</v>
      </c>
      <c r="B280" s="1300">
        <v>45708</v>
      </c>
      <c r="C280" s="3165" t="s">
        <v>390</v>
      </c>
      <c r="D280" s="3355" t="s">
        <v>583</v>
      </c>
      <c r="E280" s="1185" t="s">
        <v>1464</v>
      </c>
      <c r="F280" s="1757" t="s">
        <v>593</v>
      </c>
      <c r="G280" s="3254"/>
      <c r="H280" s="3253"/>
      <c r="I280" s="3493">
        <v>701</v>
      </c>
      <c r="J280" s="3245"/>
      <c r="K280" s="3245"/>
      <c r="L280" s="923"/>
      <c r="M280" s="97"/>
      <c r="S280" s="97"/>
      <c r="T280" s="71"/>
      <c r="U280" s="71"/>
      <c r="W280" s="98" t="s">
        <v>1555</v>
      </c>
      <c r="X280" s="3254"/>
    </row>
    <row r="281" spans="1:24" ht="27" hidden="1" thickBot="1">
      <c r="A281" s="1941" t="s">
        <v>105</v>
      </c>
      <c r="B281" s="1300">
        <v>45708</v>
      </c>
      <c r="C281" s="3165" t="s">
        <v>390</v>
      </c>
      <c r="D281" s="3165" t="s">
        <v>587</v>
      </c>
      <c r="E281" s="1194" t="s">
        <v>1556</v>
      </c>
      <c r="F281" s="1557" t="s">
        <v>1557</v>
      </c>
      <c r="G281" s="3254"/>
      <c r="H281" s="3253"/>
      <c r="I281" s="2277"/>
      <c r="J281" s="3238" t="s">
        <v>248</v>
      </c>
      <c r="K281" s="3238"/>
      <c r="L281" s="923" t="s">
        <v>37</v>
      </c>
      <c r="M281" s="71"/>
      <c r="S281" s="71"/>
      <c r="T281" s="71" t="s">
        <v>37</v>
      </c>
      <c r="U281" s="71"/>
      <c r="W281" s="93"/>
      <c r="X281" s="3254"/>
    </row>
    <row r="282" spans="1:24" ht="27" hidden="1" thickBot="1">
      <c r="A282" s="1941" t="s">
        <v>105</v>
      </c>
      <c r="B282" s="1300">
        <v>45708</v>
      </c>
      <c r="C282" s="3165" t="s">
        <v>390</v>
      </c>
      <c r="D282" s="3750"/>
      <c r="E282" s="1195" t="s">
        <v>1557</v>
      </c>
      <c r="F282" s="1195" t="s">
        <v>620</v>
      </c>
      <c r="G282" s="3254"/>
      <c r="H282" s="3253"/>
      <c r="I282" s="2277"/>
      <c r="J282" s="3238" t="s">
        <v>248</v>
      </c>
      <c r="K282" s="3238"/>
      <c r="L282" s="923" t="s">
        <v>37</v>
      </c>
      <c r="M282" s="71"/>
      <c r="S282" s="71"/>
      <c r="T282" s="71" t="s">
        <v>37</v>
      </c>
      <c r="U282" s="71"/>
      <c r="W282" s="93"/>
      <c r="X282" s="3254"/>
    </row>
    <row r="283" spans="1:24" ht="29.25" hidden="1" thickBot="1">
      <c r="A283" s="1941" t="s">
        <v>105</v>
      </c>
      <c r="B283" s="1300">
        <v>45708</v>
      </c>
      <c r="C283" s="3165" t="s">
        <v>390</v>
      </c>
      <c r="D283" s="3165" t="s">
        <v>591</v>
      </c>
      <c r="E283" s="1194" t="s">
        <v>1465</v>
      </c>
      <c r="F283" s="1557" t="s">
        <v>1558</v>
      </c>
      <c r="G283" s="3254"/>
      <c r="H283" s="3253"/>
      <c r="I283" s="3480">
        <v>701</v>
      </c>
      <c r="J283" s="3238"/>
      <c r="K283" s="3238"/>
      <c r="L283" s="923" t="s">
        <v>37</v>
      </c>
      <c r="M283" s="71"/>
      <c r="S283" s="71"/>
      <c r="T283" s="71"/>
      <c r="U283" s="71"/>
      <c r="W283" s="93" t="s">
        <v>1555</v>
      </c>
      <c r="X283" s="3254"/>
    </row>
    <row r="284" spans="1:24" ht="27" hidden="1" thickBot="1">
      <c r="A284" s="1941" t="s">
        <v>105</v>
      </c>
      <c r="B284" s="1300">
        <v>45708</v>
      </c>
      <c r="C284" s="3165" t="s">
        <v>390</v>
      </c>
      <c r="D284" s="3165" t="s">
        <v>595</v>
      </c>
      <c r="E284" s="1194" t="s">
        <v>1559</v>
      </c>
      <c r="F284" s="1557"/>
      <c r="G284" s="3254"/>
      <c r="H284" s="3253"/>
      <c r="I284" s="2277">
        <v>707</v>
      </c>
      <c r="J284" s="3238" t="s">
        <v>1560</v>
      </c>
      <c r="K284" s="3238"/>
      <c r="L284" s="923" t="s">
        <v>37</v>
      </c>
      <c r="M284" s="71"/>
      <c r="S284" s="71"/>
      <c r="T284" s="71"/>
      <c r="U284" s="71"/>
      <c r="W284" s="93"/>
      <c r="X284" s="3254"/>
    </row>
    <row r="285" spans="1:24" ht="27" hidden="1" thickBot="1">
      <c r="A285" s="2140" t="s">
        <v>105</v>
      </c>
      <c r="B285" s="2141">
        <v>45708</v>
      </c>
      <c r="C285" s="3357" t="s">
        <v>390</v>
      </c>
      <c r="D285" s="3372" t="s">
        <v>598</v>
      </c>
      <c r="E285" s="3352" t="s">
        <v>1527</v>
      </c>
      <c r="F285" s="3348" t="s">
        <v>1091</v>
      </c>
      <c r="G285" s="3254"/>
      <c r="H285" s="3253"/>
      <c r="I285" s="3360">
        <v>707</v>
      </c>
      <c r="J285" s="3304" t="s">
        <v>1528</v>
      </c>
      <c r="K285" s="3252"/>
      <c r="L285" s="957" t="s">
        <v>37</v>
      </c>
      <c r="M285" s="91"/>
      <c r="N285" s="3284"/>
      <c r="O285" s="3363"/>
      <c r="P285" s="3284"/>
      <c r="Q285" s="3284"/>
      <c r="R285" s="4778"/>
      <c r="S285" s="91"/>
      <c r="T285" s="91"/>
      <c r="U285" s="2347"/>
      <c r="V285" s="3284"/>
      <c r="W285" s="3350"/>
      <c r="X285" s="3254"/>
    </row>
    <row r="286" spans="1:24" ht="27" hidden="1" thickBot="1">
      <c r="A286" s="2070" t="s">
        <v>105</v>
      </c>
      <c r="B286" s="2068">
        <v>45708</v>
      </c>
      <c r="C286" s="3356" t="s">
        <v>390</v>
      </c>
      <c r="D286" s="3753" t="s">
        <v>601</v>
      </c>
      <c r="E286" s="3335" t="s">
        <v>1465</v>
      </c>
      <c r="F286" s="3335" t="s">
        <v>169</v>
      </c>
      <c r="G286" s="3254"/>
      <c r="H286" s="3253"/>
      <c r="I286" s="3358">
        <v>707</v>
      </c>
      <c r="J286" s="3332" t="s">
        <v>1561</v>
      </c>
      <c r="K286" s="3315"/>
      <c r="L286" s="1419" t="s">
        <v>37</v>
      </c>
      <c r="M286" s="905"/>
      <c r="N286" s="3281"/>
      <c r="O286" s="3276"/>
      <c r="P286" s="3276"/>
      <c r="Q286" s="3276"/>
      <c r="R286" s="3276"/>
      <c r="S286" s="1594"/>
      <c r="T286" s="1594"/>
      <c r="U286" s="905"/>
      <c r="V286" s="3281"/>
      <c r="W286" s="3342"/>
      <c r="X286" s="3254"/>
    </row>
    <row r="287" spans="1:24" ht="105.75" hidden="1" thickBot="1">
      <c r="A287" s="1941" t="s">
        <v>105</v>
      </c>
      <c r="B287" s="1300">
        <v>45708</v>
      </c>
      <c r="C287" s="3165" t="s">
        <v>390</v>
      </c>
      <c r="D287" s="3165" t="s">
        <v>603</v>
      </c>
      <c r="E287" s="1194" t="s">
        <v>63</v>
      </c>
      <c r="F287" s="1557" t="s">
        <v>1234</v>
      </c>
      <c r="G287" s="3254"/>
      <c r="H287" s="3253"/>
      <c r="I287" s="2277">
        <v>705</v>
      </c>
      <c r="J287" s="3238" t="s">
        <v>1542</v>
      </c>
      <c r="K287" s="3238"/>
      <c r="L287" s="923" t="s">
        <v>37</v>
      </c>
      <c r="M287" s="923"/>
      <c r="P287" s="21"/>
      <c r="Q287" s="21"/>
      <c r="R287" s="21"/>
      <c r="S287" s="71"/>
      <c r="T287" s="71"/>
      <c r="U287" s="71"/>
      <c r="W287" s="93" t="s">
        <v>1562</v>
      </c>
      <c r="X287" s="3254"/>
    </row>
    <row r="288" spans="1:24" ht="27" hidden="1" thickBot="1">
      <c r="A288" s="1938" t="s">
        <v>132</v>
      </c>
      <c r="B288" s="1312">
        <v>45709</v>
      </c>
      <c r="C288" s="3357" t="s">
        <v>390</v>
      </c>
      <c r="D288" s="3357" t="s">
        <v>607</v>
      </c>
      <c r="E288" s="1514" t="s">
        <v>1563</v>
      </c>
      <c r="F288" s="1552" t="s">
        <v>1564</v>
      </c>
      <c r="G288" s="3254"/>
      <c r="H288" s="3253"/>
      <c r="I288" s="3199">
        <v>709</v>
      </c>
      <c r="J288" s="3252" t="s">
        <v>1565</v>
      </c>
      <c r="K288" s="3252"/>
      <c r="L288" s="957" t="s">
        <v>37</v>
      </c>
      <c r="M288" s="91"/>
      <c r="N288" s="3284"/>
      <c r="O288" s="3284"/>
      <c r="P288" s="3284"/>
      <c r="Q288" s="3284"/>
      <c r="R288" s="3284"/>
      <c r="S288" s="91"/>
      <c r="T288" s="91"/>
      <c r="U288" s="91"/>
      <c r="V288" s="3284"/>
      <c r="W288" s="116"/>
      <c r="X288" s="3254"/>
    </row>
    <row r="289" spans="1:25" ht="53.25" hidden="1" thickBot="1">
      <c r="A289" s="2070" t="s">
        <v>132</v>
      </c>
      <c r="B289" s="2068">
        <v>45709</v>
      </c>
      <c r="C289" s="3375" t="s">
        <v>390</v>
      </c>
      <c r="D289" s="3375" t="s">
        <v>608</v>
      </c>
      <c r="E289" s="3175" t="s">
        <v>169</v>
      </c>
      <c r="F289" s="3335" t="s">
        <v>306</v>
      </c>
      <c r="G289" s="3254"/>
      <c r="H289" s="3253"/>
      <c r="I289" s="3257">
        <v>705</v>
      </c>
      <c r="J289" s="3315">
        <v>60093</v>
      </c>
      <c r="K289" s="3315"/>
      <c r="L289" s="1419" t="s">
        <v>37</v>
      </c>
      <c r="M289" s="905"/>
      <c r="N289" s="3376"/>
      <c r="O289" s="3376"/>
      <c r="P289" s="3376"/>
      <c r="Q289" s="3376"/>
      <c r="R289" s="3376"/>
      <c r="S289" s="905"/>
      <c r="T289" s="905"/>
      <c r="U289" s="905"/>
      <c r="V289" s="3376"/>
      <c r="W289" s="1423" t="s">
        <v>1566</v>
      </c>
      <c r="X289" s="3364"/>
      <c r="Y289" s="3274"/>
    </row>
    <row r="290" spans="1:25" ht="63.6" hidden="1" customHeight="1">
      <c r="A290" s="1935" t="s">
        <v>132</v>
      </c>
      <c r="B290" s="1936">
        <v>45709</v>
      </c>
      <c r="C290" s="3356" t="s">
        <v>390</v>
      </c>
      <c r="D290" s="3356" t="s">
        <v>617</v>
      </c>
      <c r="E290" s="1528" t="s">
        <v>1567</v>
      </c>
      <c r="F290" s="1571" t="s">
        <v>1568</v>
      </c>
      <c r="G290" s="3254"/>
      <c r="H290" s="3253"/>
      <c r="I290" s="2276">
        <v>709</v>
      </c>
      <c r="J290" s="3270" t="s">
        <v>1569</v>
      </c>
      <c r="K290" s="3270"/>
      <c r="L290" s="918" t="s">
        <v>37</v>
      </c>
      <c r="M290" s="64"/>
      <c r="N290" s="3281"/>
      <c r="O290" s="3281"/>
      <c r="P290" s="3281"/>
      <c r="Q290" s="3281"/>
      <c r="R290" s="3281"/>
      <c r="S290" s="64"/>
      <c r="T290" s="64"/>
      <c r="U290" s="64"/>
      <c r="V290" s="3281"/>
      <c r="W290" s="64"/>
      <c r="X290" s="3281"/>
      <c r="Y290" s="3282"/>
    </row>
    <row r="291" spans="1:25" ht="63.6" hidden="1" customHeight="1">
      <c r="A291" s="1937" t="s">
        <v>143</v>
      </c>
      <c r="B291" s="1390">
        <v>45710</v>
      </c>
      <c r="C291" s="3368" t="s">
        <v>390</v>
      </c>
      <c r="D291" s="3368" t="s">
        <v>622</v>
      </c>
      <c r="E291" s="1524" t="s">
        <v>1554</v>
      </c>
      <c r="F291" s="1561" t="s">
        <v>169</v>
      </c>
      <c r="G291" s="3254"/>
      <c r="H291" s="3253"/>
      <c r="I291" s="2284">
        <v>707</v>
      </c>
      <c r="J291" s="3234" t="s">
        <v>1570</v>
      </c>
      <c r="K291" s="3171" t="s">
        <v>84</v>
      </c>
      <c r="L291" s="1001" t="s">
        <v>37</v>
      </c>
      <c r="M291" s="33"/>
      <c r="N291" s="3273"/>
      <c r="O291" s="3273"/>
      <c r="P291" s="3273"/>
      <c r="Q291" s="3273"/>
      <c r="R291" s="3273"/>
      <c r="S291" s="33"/>
      <c r="T291" s="33"/>
      <c r="U291" s="33"/>
      <c r="V291" s="3273"/>
      <c r="W291" s="33"/>
      <c r="X291" s="3273"/>
      <c r="Y291" s="3300"/>
    </row>
    <row r="292" spans="1:25" ht="63.6" hidden="1" customHeight="1">
      <c r="A292" s="1935" t="s">
        <v>25</v>
      </c>
      <c r="B292" s="1936">
        <v>45712</v>
      </c>
      <c r="C292" s="3356" t="s">
        <v>478</v>
      </c>
      <c r="D292" s="3356" t="s">
        <v>624</v>
      </c>
      <c r="E292" s="3369" t="s">
        <v>1571</v>
      </c>
      <c r="F292" s="3370" t="s">
        <v>169</v>
      </c>
      <c r="G292" s="3254"/>
      <c r="H292" s="3253"/>
      <c r="I292" s="2276">
        <v>712</v>
      </c>
      <c r="J292" s="3270" t="s">
        <v>1066</v>
      </c>
      <c r="K292" s="3362" t="s">
        <v>174</v>
      </c>
      <c r="L292" s="918" t="s">
        <v>37</v>
      </c>
      <c r="M292" s="64"/>
      <c r="N292" s="64"/>
      <c r="O292" s="64"/>
      <c r="P292" s="64"/>
      <c r="Q292" s="64"/>
      <c r="R292" s="3281"/>
      <c r="S292" s="3281"/>
      <c r="T292" s="3281"/>
      <c r="U292" s="3281"/>
      <c r="V292" s="3281"/>
      <c r="W292" s="64"/>
      <c r="X292" s="3281"/>
      <c r="Y292" s="3282"/>
    </row>
    <row r="293" spans="1:25" ht="63.6" hidden="1" customHeight="1">
      <c r="A293" s="1941" t="s">
        <v>25</v>
      </c>
      <c r="B293" s="1300">
        <v>45712</v>
      </c>
      <c r="C293" s="3355" t="s">
        <v>478</v>
      </c>
      <c r="D293" s="3355" t="s">
        <v>628</v>
      </c>
      <c r="E293" s="3166" t="s">
        <v>306</v>
      </c>
      <c r="F293" s="3371" t="s">
        <v>1572</v>
      </c>
      <c r="G293" s="3254"/>
      <c r="H293" s="3253"/>
      <c r="I293" s="2277">
        <v>705</v>
      </c>
      <c r="J293" s="3238" t="s">
        <v>1573</v>
      </c>
      <c r="K293" s="49"/>
      <c r="L293" s="923" t="s">
        <v>37</v>
      </c>
      <c r="M293" s="49"/>
      <c r="N293" s="49"/>
      <c r="O293" s="49"/>
      <c r="P293" s="49"/>
      <c r="Q293" s="49"/>
      <c r="W293" s="49"/>
      <c r="Y293" s="3283"/>
    </row>
    <row r="294" spans="1:25" ht="63.6" hidden="1" customHeight="1">
      <c r="A294" s="1941" t="s">
        <v>67</v>
      </c>
      <c r="B294" s="1300">
        <v>45713</v>
      </c>
      <c r="C294" s="3355" t="s">
        <v>478</v>
      </c>
      <c r="D294" s="3355"/>
      <c r="E294" s="3166" t="s">
        <v>169</v>
      </c>
      <c r="F294" s="3371" t="s">
        <v>1574</v>
      </c>
      <c r="G294" s="3254"/>
      <c r="H294" s="3253"/>
      <c r="I294" s="2277">
        <v>705</v>
      </c>
      <c r="J294" s="3238" t="s">
        <v>1575</v>
      </c>
      <c r="K294" s="49"/>
      <c r="L294" s="923" t="s">
        <v>37</v>
      </c>
      <c r="M294" s="79"/>
      <c r="N294" s="49"/>
      <c r="O294" s="49"/>
      <c r="P294" s="49"/>
      <c r="Q294" s="49"/>
      <c r="W294" s="49"/>
      <c r="Y294" s="3283"/>
    </row>
    <row r="295" spans="1:25" ht="63.6" hidden="1" customHeight="1" thickBot="1">
      <c r="A295" s="1938" t="s">
        <v>67</v>
      </c>
      <c r="B295" s="1312">
        <v>45713</v>
      </c>
      <c r="C295" s="3372" t="s">
        <v>478</v>
      </c>
      <c r="D295" s="3372" t="s">
        <v>631</v>
      </c>
      <c r="E295" s="3373" t="s">
        <v>306</v>
      </c>
      <c r="F295" s="3374" t="s">
        <v>1576</v>
      </c>
      <c r="G295" s="3254"/>
      <c r="H295" s="3253"/>
      <c r="I295" s="3199">
        <v>705</v>
      </c>
      <c r="J295" s="3252" t="s">
        <v>211</v>
      </c>
      <c r="K295" s="57"/>
      <c r="L295" s="57"/>
      <c r="M295" s="957" t="s">
        <v>37</v>
      </c>
      <c r="N295" s="57"/>
      <c r="O295" s="57"/>
      <c r="P295" s="35" t="s">
        <v>0</v>
      </c>
      <c r="Q295" s="35" t="s">
        <v>31</v>
      </c>
      <c r="R295" s="35" t="s">
        <v>103</v>
      </c>
      <c r="S295" s="957" t="s">
        <v>37</v>
      </c>
      <c r="T295" s="3284"/>
      <c r="U295" s="3284"/>
      <c r="V295" s="3284"/>
      <c r="W295" s="4950" t="s">
        <v>1577</v>
      </c>
      <c r="X295" s="3284"/>
      <c r="Y295" s="3285"/>
    </row>
    <row r="296" spans="1:25" ht="63.6" hidden="1" customHeight="1">
      <c r="A296" s="1935" t="s">
        <v>67</v>
      </c>
      <c r="B296" s="1936">
        <v>45713</v>
      </c>
      <c r="C296" s="3356" t="s">
        <v>478</v>
      </c>
      <c r="D296" s="3356"/>
      <c r="E296" s="3369" t="s">
        <v>1578</v>
      </c>
      <c r="F296" s="3370" t="s">
        <v>1051</v>
      </c>
      <c r="G296" s="3254"/>
      <c r="H296" s="3253"/>
      <c r="I296" s="2276">
        <v>705</v>
      </c>
      <c r="J296" s="3270" t="s">
        <v>211</v>
      </c>
      <c r="K296" s="55"/>
      <c r="L296" s="55"/>
      <c r="M296" s="918"/>
      <c r="N296" s="55" t="s">
        <v>30</v>
      </c>
      <c r="O296" s="55"/>
      <c r="P296" s="55"/>
      <c r="Q296" s="55"/>
      <c r="R296" s="3281"/>
      <c r="S296" s="918" t="s">
        <v>37</v>
      </c>
      <c r="T296" s="3281"/>
      <c r="U296" s="3281"/>
      <c r="V296" s="3281"/>
      <c r="W296" s="4951" t="s">
        <v>1579</v>
      </c>
      <c r="X296" s="3281"/>
      <c r="Y296" s="3282"/>
    </row>
    <row r="297" spans="1:25" ht="63.6" hidden="1" customHeight="1">
      <c r="A297" s="1941" t="s">
        <v>67</v>
      </c>
      <c r="B297" s="1300">
        <v>45713</v>
      </c>
      <c r="C297" s="3355" t="s">
        <v>478</v>
      </c>
      <c r="D297" s="3355" t="s">
        <v>634</v>
      </c>
      <c r="E297" s="3166" t="s">
        <v>1552</v>
      </c>
      <c r="F297" s="3371" t="s">
        <v>306</v>
      </c>
      <c r="G297" s="3254"/>
      <c r="H297" s="3253"/>
      <c r="I297" s="923">
        <v>705</v>
      </c>
      <c r="J297" s="3238" t="s">
        <v>1173</v>
      </c>
      <c r="K297" s="49"/>
      <c r="L297" s="923" t="s">
        <v>37</v>
      </c>
      <c r="M297" s="49"/>
      <c r="N297" s="49"/>
      <c r="O297" s="49"/>
      <c r="P297" s="49"/>
      <c r="Q297" s="49"/>
      <c r="W297" s="49"/>
      <c r="Y297" s="3283"/>
    </row>
    <row r="298" spans="1:25" ht="63.6" hidden="1" customHeight="1" thickBot="1">
      <c r="A298" s="1941" t="s">
        <v>1323</v>
      </c>
      <c r="B298" s="1300">
        <v>45714</v>
      </c>
      <c r="C298" s="3355" t="s">
        <v>478</v>
      </c>
      <c r="D298" s="3355"/>
      <c r="E298" s="3166" t="s">
        <v>943</v>
      </c>
      <c r="F298" s="3371" t="s">
        <v>1580</v>
      </c>
      <c r="G298" s="3254"/>
      <c r="H298" s="3253"/>
      <c r="I298" s="2277">
        <v>705</v>
      </c>
      <c r="J298" s="3238" t="s">
        <v>1581</v>
      </c>
      <c r="K298" s="49"/>
      <c r="L298" s="923" t="s">
        <v>37</v>
      </c>
      <c r="M298" s="923"/>
      <c r="N298" s="923"/>
      <c r="O298" s="923"/>
      <c r="P298" s="923"/>
      <c r="Q298" s="923"/>
      <c r="W298" s="49"/>
      <c r="Y298" s="3283"/>
    </row>
    <row r="299" spans="1:25" ht="63.6" hidden="1" customHeight="1" thickBot="1">
      <c r="A299" s="1938" t="s">
        <v>85</v>
      </c>
      <c r="B299" s="1312">
        <v>45714</v>
      </c>
      <c r="C299" s="3372" t="s">
        <v>478</v>
      </c>
      <c r="D299" s="3372" t="s">
        <v>636</v>
      </c>
      <c r="E299" s="3373" t="s">
        <v>169</v>
      </c>
      <c r="F299" s="3374" t="s">
        <v>1571</v>
      </c>
      <c r="G299" s="3254"/>
      <c r="H299" s="3253"/>
      <c r="I299" s="3494">
        <v>712</v>
      </c>
      <c r="J299" s="3252" t="s">
        <v>1237</v>
      </c>
      <c r="K299" s="3173" t="s">
        <v>174</v>
      </c>
      <c r="L299" s="957" t="s">
        <v>30</v>
      </c>
      <c r="M299" s="957"/>
      <c r="N299" s="957"/>
      <c r="O299" s="957"/>
      <c r="P299" s="957"/>
      <c r="Q299" s="957"/>
      <c r="R299" s="3284"/>
      <c r="S299" s="3284"/>
      <c r="T299" s="3284"/>
      <c r="U299" s="3284"/>
      <c r="V299" s="3284"/>
      <c r="W299" s="57"/>
      <c r="X299" s="3284"/>
      <c r="Y299" s="3285"/>
    </row>
    <row r="300" spans="1:25" ht="63.6" hidden="1" customHeight="1">
      <c r="A300" s="1935" t="s">
        <v>85</v>
      </c>
      <c r="B300" s="1936">
        <v>45714</v>
      </c>
      <c r="C300" s="3356" t="s">
        <v>478</v>
      </c>
      <c r="D300" s="3356" t="s">
        <v>640</v>
      </c>
      <c r="E300" s="3369" t="s">
        <v>1582</v>
      </c>
      <c r="F300" s="3370" t="s">
        <v>169</v>
      </c>
      <c r="G300" s="3254"/>
      <c r="H300" s="3253"/>
      <c r="I300" s="2276">
        <v>705</v>
      </c>
      <c r="J300" s="3270" t="s">
        <v>1458</v>
      </c>
      <c r="K300" s="55"/>
      <c r="L300" s="918" t="s">
        <v>37</v>
      </c>
      <c r="M300" s="918"/>
      <c r="N300" s="918"/>
      <c r="O300" s="918"/>
      <c r="P300" s="918"/>
      <c r="Q300" s="918"/>
      <c r="R300" s="3281"/>
      <c r="S300" s="3281"/>
      <c r="T300" s="3281"/>
      <c r="U300" s="3281"/>
      <c r="V300" s="3281"/>
      <c r="W300" s="55"/>
      <c r="X300" s="3281"/>
      <c r="Y300" s="3282"/>
    </row>
    <row r="301" spans="1:25" ht="63.6" hidden="1" customHeight="1">
      <c r="A301" s="1941" t="s">
        <v>85</v>
      </c>
      <c r="B301" s="1300">
        <v>45714</v>
      </c>
      <c r="C301" s="3355" t="s">
        <v>478</v>
      </c>
      <c r="D301" s="3355" t="s">
        <v>642</v>
      </c>
      <c r="E301" s="3166" t="s">
        <v>306</v>
      </c>
      <c r="F301" s="3371" t="s">
        <v>1583</v>
      </c>
      <c r="G301" s="3254"/>
      <c r="H301" s="3253"/>
      <c r="I301" s="2277">
        <v>707</v>
      </c>
      <c r="J301" s="3238" t="s">
        <v>566</v>
      </c>
      <c r="K301" s="49"/>
      <c r="L301" s="923" t="s">
        <v>37</v>
      </c>
      <c r="M301" s="923"/>
      <c r="N301" s="923"/>
      <c r="O301" s="923"/>
      <c r="P301" s="923"/>
      <c r="Q301" s="923"/>
      <c r="W301" s="49"/>
      <c r="Y301" s="3283"/>
    </row>
    <row r="302" spans="1:25" ht="63.6" hidden="1" customHeight="1">
      <c r="A302" s="1941" t="s">
        <v>105</v>
      </c>
      <c r="B302" s="1300">
        <v>45715</v>
      </c>
      <c r="C302" s="3355" t="s">
        <v>478</v>
      </c>
      <c r="D302" s="3355"/>
      <c r="E302" s="3166" t="s">
        <v>282</v>
      </c>
      <c r="F302" s="3371" t="s">
        <v>1584</v>
      </c>
      <c r="G302" s="3254"/>
      <c r="H302" s="3253"/>
      <c r="I302" s="2277">
        <v>705</v>
      </c>
      <c r="J302" s="3238" t="s">
        <v>1585</v>
      </c>
      <c r="K302" s="49"/>
      <c r="L302" s="923" t="s">
        <v>37</v>
      </c>
      <c r="M302" s="49"/>
      <c r="N302" s="49"/>
      <c r="O302" s="49"/>
      <c r="P302" s="49"/>
      <c r="Q302" s="49"/>
      <c r="W302" s="49"/>
      <c r="Y302" s="3283"/>
    </row>
    <row r="303" spans="1:25" ht="63.6" hidden="1" customHeight="1">
      <c r="A303" s="1941" t="s">
        <v>105</v>
      </c>
      <c r="B303" s="1300">
        <v>45715</v>
      </c>
      <c r="C303" s="3355" t="s">
        <v>478</v>
      </c>
      <c r="D303" s="3355"/>
      <c r="E303" s="3166" t="s">
        <v>339</v>
      </c>
      <c r="F303" s="3371" t="s">
        <v>1586</v>
      </c>
      <c r="G303" s="3254"/>
      <c r="H303" s="3253"/>
      <c r="I303" s="2284">
        <v>708</v>
      </c>
      <c r="J303" s="3234" t="s">
        <v>1587</v>
      </c>
      <c r="K303" s="51"/>
      <c r="L303" s="923" t="s">
        <v>37</v>
      </c>
      <c r="M303" s="51"/>
      <c r="N303" s="51"/>
      <c r="O303" s="51"/>
      <c r="P303" s="51"/>
      <c r="Q303" s="51"/>
      <c r="W303" s="51"/>
      <c r="Y303" s="3283"/>
    </row>
    <row r="304" spans="1:25" ht="63.6" hidden="1" customHeight="1">
      <c r="A304" s="1941" t="s">
        <v>105</v>
      </c>
      <c r="B304" s="1300">
        <v>45715</v>
      </c>
      <c r="C304" s="3355" t="s">
        <v>478</v>
      </c>
      <c r="D304" s="3355"/>
      <c r="E304" s="3166" t="s">
        <v>169</v>
      </c>
      <c r="F304" s="3371" t="s">
        <v>1588</v>
      </c>
      <c r="G304" s="3254"/>
      <c r="H304" s="3253"/>
      <c r="I304" s="2284">
        <v>708</v>
      </c>
      <c r="J304" s="3234" t="s">
        <v>1587</v>
      </c>
      <c r="K304" s="51"/>
      <c r="L304" s="923"/>
      <c r="M304" s="49" t="s">
        <v>37</v>
      </c>
      <c r="N304" s="51"/>
      <c r="O304" s="51"/>
      <c r="P304" s="21" t="s">
        <v>109</v>
      </c>
      <c r="Q304" s="21" t="s">
        <v>1589</v>
      </c>
      <c r="R304" s="21" t="s">
        <v>1590</v>
      </c>
      <c r="W304" s="4787" t="s">
        <v>1591</v>
      </c>
      <c r="Y304" s="3283" t="s">
        <v>1592</v>
      </c>
    </row>
    <row r="305" spans="1:25" ht="63.6" hidden="1" customHeight="1">
      <c r="A305" s="1937" t="s">
        <v>105</v>
      </c>
      <c r="B305" s="1390">
        <v>45715</v>
      </c>
      <c r="C305" s="3355" t="s">
        <v>478</v>
      </c>
      <c r="D305" s="3355" t="s">
        <v>644</v>
      </c>
      <c r="E305" s="3166" t="s">
        <v>306</v>
      </c>
      <c r="F305" s="3371" t="s">
        <v>1213</v>
      </c>
      <c r="G305" s="3254"/>
      <c r="H305" s="3253"/>
      <c r="I305" s="2284">
        <v>705</v>
      </c>
      <c r="J305" s="3234" t="s">
        <v>1593</v>
      </c>
      <c r="K305" s="51"/>
      <c r="L305" s="923" t="s">
        <v>30</v>
      </c>
      <c r="M305" s="51"/>
      <c r="N305" s="51"/>
      <c r="O305" s="51"/>
      <c r="P305" s="51"/>
      <c r="Q305" s="51"/>
      <c r="U305" s="3160" t="s">
        <v>30</v>
      </c>
      <c r="W305" s="51"/>
      <c r="Y305" s="3283"/>
    </row>
    <row r="306" spans="1:25" ht="63.6" hidden="1" customHeight="1">
      <c r="A306" s="1937" t="s">
        <v>105</v>
      </c>
      <c r="B306" s="1390">
        <v>45715</v>
      </c>
      <c r="C306" s="3355" t="s">
        <v>478</v>
      </c>
      <c r="D306" s="3355" t="s">
        <v>646</v>
      </c>
      <c r="E306" s="3166" t="s">
        <v>1552</v>
      </c>
      <c r="F306" s="3371" t="s">
        <v>306</v>
      </c>
      <c r="G306" s="3254"/>
      <c r="H306" s="3253"/>
      <c r="I306" s="2284">
        <v>705</v>
      </c>
      <c r="J306" s="3234">
        <v>60072</v>
      </c>
      <c r="K306" s="51"/>
      <c r="L306" s="923"/>
      <c r="M306" s="1001" t="s">
        <v>37</v>
      </c>
      <c r="N306" s="51"/>
      <c r="O306" s="49"/>
      <c r="P306" s="24" t="s">
        <v>0</v>
      </c>
      <c r="Q306" s="21" t="s">
        <v>187</v>
      </c>
      <c r="R306" s="21" t="s">
        <v>103</v>
      </c>
      <c r="U306" s="3160" t="s">
        <v>30</v>
      </c>
      <c r="W306" s="3367" t="s">
        <v>1594</v>
      </c>
      <c r="Y306" s="3283"/>
    </row>
    <row r="307" spans="1:25" ht="63.6" hidden="1" customHeight="1" thickBot="1">
      <c r="A307" s="1938" t="s">
        <v>105</v>
      </c>
      <c r="B307" s="1312">
        <v>45715</v>
      </c>
      <c r="C307" s="3372" t="s">
        <v>478</v>
      </c>
      <c r="D307" s="3372" t="s">
        <v>649</v>
      </c>
      <c r="E307" s="3373" t="s">
        <v>273</v>
      </c>
      <c r="F307" s="3374" t="s">
        <v>209</v>
      </c>
      <c r="G307" s="3254"/>
      <c r="H307" s="3253"/>
      <c r="I307" s="3199">
        <v>710</v>
      </c>
      <c r="J307" s="3252" t="s">
        <v>226</v>
      </c>
      <c r="K307" s="57"/>
      <c r="L307" s="957" t="s">
        <v>37</v>
      </c>
      <c r="M307" s="57"/>
      <c r="N307" s="57"/>
      <c r="O307" s="57"/>
      <c r="P307" s="57"/>
      <c r="Q307" s="57"/>
      <c r="R307" s="3284"/>
      <c r="S307" s="3284"/>
      <c r="T307" s="3284"/>
      <c r="U307" s="3284"/>
      <c r="V307" s="3284"/>
      <c r="W307" s="57"/>
      <c r="X307" s="3284"/>
      <c r="Y307" s="3285"/>
    </row>
    <row r="308" spans="1:25" ht="63.6" hidden="1" customHeight="1">
      <c r="A308" s="1935" t="s">
        <v>105</v>
      </c>
      <c r="B308" s="1936">
        <v>45715</v>
      </c>
      <c r="C308" s="3356" t="s">
        <v>478</v>
      </c>
      <c r="D308" s="3356"/>
      <c r="E308" s="3369" t="s">
        <v>169</v>
      </c>
      <c r="F308" s="3370" t="s">
        <v>1595</v>
      </c>
      <c r="G308" s="3254"/>
      <c r="H308" s="3253"/>
      <c r="I308" s="2276">
        <v>710</v>
      </c>
      <c r="J308" s="3270" t="s">
        <v>1596</v>
      </c>
      <c r="K308" s="55"/>
      <c r="L308" s="918" t="s">
        <v>37</v>
      </c>
      <c r="M308" s="55"/>
      <c r="N308" s="55"/>
      <c r="O308" s="918" t="s">
        <v>37</v>
      </c>
      <c r="P308" s="55"/>
      <c r="Q308" s="918"/>
      <c r="R308" s="3281"/>
      <c r="S308" s="3281"/>
      <c r="T308" s="3281"/>
      <c r="U308" s="3281"/>
      <c r="V308" s="3281"/>
      <c r="W308" s="4952" t="s">
        <v>1597</v>
      </c>
      <c r="X308" s="3281"/>
      <c r="Y308" s="3282"/>
    </row>
    <row r="309" spans="1:25" ht="63.6" hidden="1" customHeight="1">
      <c r="A309" s="1941" t="s">
        <v>105</v>
      </c>
      <c r="B309" s="1300">
        <v>45715</v>
      </c>
      <c r="C309" s="3355" t="s">
        <v>478</v>
      </c>
      <c r="D309" s="3355" t="s">
        <v>652</v>
      </c>
      <c r="E309" s="3166" t="s">
        <v>1598</v>
      </c>
      <c r="F309" s="3371" t="s">
        <v>306</v>
      </c>
      <c r="G309" s="3254"/>
      <c r="H309" s="3253"/>
      <c r="I309" s="2277">
        <v>705</v>
      </c>
      <c r="J309" s="3238" t="s">
        <v>1599</v>
      </c>
      <c r="K309" s="3183" t="s">
        <v>84</v>
      </c>
      <c r="L309" s="923" t="s">
        <v>37</v>
      </c>
      <c r="M309" s="49"/>
      <c r="N309" s="49"/>
      <c r="O309" s="49"/>
      <c r="P309" s="49"/>
      <c r="Q309" s="49"/>
      <c r="U309" s="3160" t="s">
        <v>30</v>
      </c>
      <c r="W309" s="51"/>
      <c r="Y309" s="3283"/>
    </row>
    <row r="310" spans="1:25" ht="63.6" hidden="1" customHeight="1">
      <c r="A310" s="1941" t="s">
        <v>132</v>
      </c>
      <c r="B310" s="1300">
        <v>45716</v>
      </c>
      <c r="C310" s="3355" t="s">
        <v>478</v>
      </c>
      <c r="D310" s="3355"/>
      <c r="E310" s="3166" t="s">
        <v>304</v>
      </c>
      <c r="F310" s="3371" t="s">
        <v>1600</v>
      </c>
      <c r="G310" s="3254"/>
      <c r="H310" s="3253"/>
      <c r="I310" s="2284">
        <v>705</v>
      </c>
      <c r="J310" s="3234" t="s">
        <v>1601</v>
      </c>
      <c r="K310" s="51"/>
      <c r="L310" s="923" t="s">
        <v>37</v>
      </c>
      <c r="M310" s="51"/>
      <c r="N310" s="51"/>
      <c r="O310" s="51"/>
      <c r="P310" s="51"/>
      <c r="Q310" s="51"/>
      <c r="W310" s="51"/>
      <c r="Y310" s="3283"/>
    </row>
    <row r="311" spans="1:25" ht="63.6" hidden="1" customHeight="1">
      <c r="A311" s="1941" t="s">
        <v>132</v>
      </c>
      <c r="B311" s="1300">
        <v>45716</v>
      </c>
      <c r="C311" s="3355" t="s">
        <v>478</v>
      </c>
      <c r="D311" s="3355"/>
      <c r="E311" s="3166" t="s">
        <v>204</v>
      </c>
      <c r="F311" s="3371" t="s">
        <v>1602</v>
      </c>
      <c r="G311" s="3254"/>
      <c r="H311" s="3253"/>
      <c r="I311" s="2277">
        <v>705</v>
      </c>
      <c r="J311" s="3234" t="s">
        <v>1601</v>
      </c>
      <c r="K311" s="51"/>
      <c r="L311" s="923" t="s">
        <v>37</v>
      </c>
      <c r="M311" s="49"/>
      <c r="N311" s="51"/>
      <c r="O311" s="49"/>
      <c r="P311" s="51"/>
      <c r="Q311" s="49"/>
      <c r="W311" s="3367"/>
      <c r="Y311" s="3283"/>
    </row>
    <row r="312" spans="1:25" ht="63.6" hidden="1" customHeight="1">
      <c r="A312" s="1941" t="s">
        <v>132</v>
      </c>
      <c r="B312" s="1300">
        <v>45716</v>
      </c>
      <c r="C312" s="3355" t="s">
        <v>478</v>
      </c>
      <c r="D312" s="3355"/>
      <c r="E312" s="3166" t="s">
        <v>106</v>
      </c>
      <c r="F312" s="3371" t="s">
        <v>1603</v>
      </c>
      <c r="G312" s="3254"/>
      <c r="H312" s="3253"/>
      <c r="I312" s="2277">
        <v>710</v>
      </c>
      <c r="J312" s="3234" t="s">
        <v>1596</v>
      </c>
      <c r="K312" s="3171" t="s">
        <v>627</v>
      </c>
      <c r="L312" s="1001" t="s">
        <v>37</v>
      </c>
      <c r="M312" s="49"/>
      <c r="N312" s="51"/>
      <c r="O312" s="49"/>
      <c r="P312" s="51"/>
      <c r="Q312" s="49"/>
      <c r="W312" s="3367"/>
      <c r="Y312" s="3283"/>
    </row>
    <row r="313" spans="1:25" ht="63.6" hidden="1" customHeight="1">
      <c r="A313" s="1941" t="s">
        <v>132</v>
      </c>
      <c r="B313" s="1300">
        <v>45716</v>
      </c>
      <c r="C313" s="3355" t="s">
        <v>478</v>
      </c>
      <c r="D313" s="3355" t="s">
        <v>654</v>
      </c>
      <c r="E313" s="3166" t="s">
        <v>1604</v>
      </c>
      <c r="F313" s="3371" t="s">
        <v>1556</v>
      </c>
      <c r="G313" s="3254"/>
      <c r="H313" s="3253"/>
      <c r="I313" s="3500">
        <v>701</v>
      </c>
      <c r="J313" s="3234" t="s">
        <v>1605</v>
      </c>
      <c r="K313" s="2224"/>
      <c r="L313" s="923" t="s">
        <v>37</v>
      </c>
      <c r="M313" s="1001"/>
      <c r="N313" s="51"/>
      <c r="O313" s="1001" t="s">
        <v>37</v>
      </c>
      <c r="P313" s="51"/>
      <c r="Q313" s="1001"/>
      <c r="W313" s="3367" t="s">
        <v>1606</v>
      </c>
      <c r="Y313" s="3283"/>
    </row>
    <row r="314" spans="1:25" ht="63.6" hidden="1" customHeight="1">
      <c r="A314" s="1941" t="s">
        <v>132</v>
      </c>
      <c r="B314" s="1300">
        <v>45716</v>
      </c>
      <c r="C314" s="3355" t="s">
        <v>478</v>
      </c>
      <c r="D314" s="3355" t="s">
        <v>658</v>
      </c>
      <c r="E314" s="3166" t="s">
        <v>1556</v>
      </c>
      <c r="F314" s="3371" t="s">
        <v>1465</v>
      </c>
      <c r="G314" s="3254"/>
      <c r="H314" s="3253"/>
      <c r="I314" s="3500">
        <v>701</v>
      </c>
      <c r="J314" s="3234" t="s">
        <v>1547</v>
      </c>
      <c r="K314" s="2224"/>
      <c r="L314" s="49" t="s">
        <v>37</v>
      </c>
      <c r="M314" s="1001"/>
      <c r="N314" s="51"/>
      <c r="O314" s="1001" t="s">
        <v>37</v>
      </c>
      <c r="P314" s="51"/>
      <c r="Q314" s="1001"/>
      <c r="U314" s="3160" t="s">
        <v>30</v>
      </c>
      <c r="W314" s="3367"/>
      <c r="Y314" s="3283"/>
    </row>
    <row r="315" spans="1:25" ht="63.6" hidden="1" customHeight="1" thickBot="1">
      <c r="A315" s="1938" t="s">
        <v>132</v>
      </c>
      <c r="B315" s="2708">
        <v>45716</v>
      </c>
      <c r="C315" s="3372" t="s">
        <v>478</v>
      </c>
      <c r="D315" s="3372" t="s">
        <v>662</v>
      </c>
      <c r="E315" s="3373" t="s">
        <v>169</v>
      </c>
      <c r="F315" s="3374" t="s">
        <v>1213</v>
      </c>
      <c r="G315" s="3254"/>
      <c r="H315" s="3253"/>
      <c r="I315" s="3199">
        <v>705</v>
      </c>
      <c r="J315" s="3252" t="s">
        <v>902</v>
      </c>
      <c r="K315" s="3305"/>
      <c r="L315" s="957" t="s">
        <v>37</v>
      </c>
      <c r="M315" s="57"/>
      <c r="N315" s="57"/>
      <c r="O315" s="57"/>
      <c r="P315" s="57"/>
      <c r="Q315" s="57"/>
      <c r="R315" s="3284"/>
      <c r="S315" s="3284"/>
      <c r="T315" s="3284"/>
      <c r="U315" s="3284" t="s">
        <v>30</v>
      </c>
      <c r="V315" s="3284"/>
      <c r="W315" s="57"/>
      <c r="X315" s="3284"/>
      <c r="Y315" s="3285"/>
    </row>
    <row r="316" spans="1:25" ht="62.1" hidden="1" customHeight="1">
      <c r="A316" s="76" t="s">
        <v>132</v>
      </c>
      <c r="B316" s="1300">
        <v>45716</v>
      </c>
      <c r="C316" s="3355" t="s">
        <v>478</v>
      </c>
      <c r="D316" s="3355" t="s">
        <v>668</v>
      </c>
      <c r="E316" s="3166" t="s">
        <v>169</v>
      </c>
      <c r="F316" s="3166" t="s">
        <v>471</v>
      </c>
      <c r="I316" s="923">
        <v>705</v>
      </c>
      <c r="J316" s="3238" t="s">
        <v>1458</v>
      </c>
      <c r="K316" s="2224"/>
      <c r="L316" s="923" t="s">
        <v>37</v>
      </c>
      <c r="M316" s="49"/>
      <c r="N316" s="111"/>
      <c r="O316" s="111"/>
      <c r="P316" s="111"/>
      <c r="Q316" s="111"/>
      <c r="R316" s="3276"/>
      <c r="T316" s="3276"/>
      <c r="U316" s="3276"/>
      <c r="V316" s="3276"/>
      <c r="W316" s="49"/>
      <c r="X316" s="3276"/>
      <c r="Y316" s="3277"/>
    </row>
    <row r="317" spans="1:25" ht="30.95" hidden="1" customHeight="1">
      <c r="A317" s="76" t="s">
        <v>132</v>
      </c>
      <c r="B317" s="1300">
        <v>45716</v>
      </c>
      <c r="C317" s="3355" t="s">
        <v>478</v>
      </c>
      <c r="D317" s="3355"/>
      <c r="E317" s="3166" t="s">
        <v>156</v>
      </c>
      <c r="F317" s="3166" t="s">
        <v>1607</v>
      </c>
      <c r="I317" s="1001">
        <v>708</v>
      </c>
      <c r="J317" s="3238" t="s">
        <v>1608</v>
      </c>
      <c r="K317" s="49"/>
      <c r="L317" s="49"/>
      <c r="M317" s="923" t="s">
        <v>30</v>
      </c>
      <c r="N317" s="49"/>
      <c r="O317" s="49"/>
      <c r="P317" s="21" t="s">
        <v>109</v>
      </c>
      <c r="Q317" s="21" t="s">
        <v>1109</v>
      </c>
      <c r="R317" s="21" t="s">
        <v>1590</v>
      </c>
      <c r="S317" s="923" t="s">
        <v>37</v>
      </c>
      <c r="W317" s="4794" t="s">
        <v>1609</v>
      </c>
      <c r="Y317" s="3156" t="s">
        <v>1610</v>
      </c>
    </row>
    <row r="318" spans="1:25" ht="30.95" hidden="1" customHeight="1">
      <c r="A318" s="3377" t="s">
        <v>25</v>
      </c>
      <c r="B318" s="3378">
        <v>45719</v>
      </c>
      <c r="C318" s="3379" t="s">
        <v>569</v>
      </c>
      <c r="D318" s="3379" t="s">
        <v>674</v>
      </c>
      <c r="E318" s="3409" t="s">
        <v>1571</v>
      </c>
      <c r="F318" s="3409" t="s">
        <v>169</v>
      </c>
      <c r="I318" s="3395">
        <v>712</v>
      </c>
      <c r="J318" s="3389" t="s">
        <v>1066</v>
      </c>
      <c r="K318" s="3403" t="s">
        <v>174</v>
      </c>
      <c r="L318" s="3391" t="s">
        <v>30</v>
      </c>
      <c r="M318" s="3392"/>
      <c r="N318" s="3396"/>
      <c r="O318" s="3396"/>
      <c r="P318" s="3396"/>
      <c r="Q318" s="3396"/>
      <c r="R318" s="3396"/>
      <c r="S318" s="3392"/>
      <c r="T318" s="3396"/>
      <c r="U318" s="3396"/>
      <c r="V318" s="3396"/>
      <c r="W318" s="3435"/>
      <c r="X318" s="3396"/>
      <c r="Y318" s="3397"/>
    </row>
    <row r="319" spans="1:25" ht="32.25" hidden="1" thickBot="1">
      <c r="A319" s="3377" t="s">
        <v>25</v>
      </c>
      <c r="B319" s="3378">
        <v>45719</v>
      </c>
      <c r="C319" s="3379" t="s">
        <v>569</v>
      </c>
      <c r="D319" s="3379" t="s">
        <v>677</v>
      </c>
      <c r="E319" s="3410" t="s">
        <v>306</v>
      </c>
      <c r="F319" s="3410" t="s">
        <v>183</v>
      </c>
      <c r="I319" s="3389">
        <v>705</v>
      </c>
      <c r="J319" s="3389">
        <v>60093</v>
      </c>
      <c r="K319" s="3383"/>
      <c r="L319" s="3391" t="s">
        <v>30</v>
      </c>
      <c r="M319" s="3392"/>
      <c r="N319" s="3396"/>
      <c r="O319" s="3396"/>
      <c r="P319" s="3396"/>
      <c r="Q319" s="3396"/>
      <c r="R319" s="3396"/>
      <c r="S319" s="3392"/>
      <c r="T319" s="3396"/>
      <c r="U319" s="3396"/>
      <c r="V319" s="3396"/>
      <c r="W319" s="3435"/>
      <c r="X319" s="3396"/>
      <c r="Y319" s="3397"/>
    </row>
    <row r="320" spans="1:25" ht="32.25" hidden="1" thickBot="1">
      <c r="A320" s="3377" t="s">
        <v>25</v>
      </c>
      <c r="B320" s="3378">
        <v>45719</v>
      </c>
      <c r="C320" s="3379" t="s">
        <v>569</v>
      </c>
      <c r="D320" s="3379"/>
      <c r="E320" s="3410" t="s">
        <v>169</v>
      </c>
      <c r="F320" s="3410" t="s">
        <v>61</v>
      </c>
      <c r="I320" s="3389">
        <v>705</v>
      </c>
      <c r="J320" s="3389">
        <v>60093</v>
      </c>
      <c r="K320" s="3383"/>
      <c r="L320" s="3391" t="s">
        <v>30</v>
      </c>
      <c r="M320" s="3392"/>
      <c r="N320" s="3396"/>
      <c r="O320" s="3396"/>
      <c r="P320" s="3396"/>
      <c r="Q320" s="3396"/>
      <c r="R320" s="3396"/>
      <c r="S320" s="3392"/>
      <c r="T320" s="3396"/>
      <c r="U320" s="3396"/>
      <c r="V320" s="3396"/>
      <c r="W320" s="3435"/>
      <c r="X320" s="3396"/>
      <c r="Y320" s="3397"/>
    </row>
    <row r="321" spans="1:25" ht="32.25" hidden="1" thickBot="1">
      <c r="A321" s="3377" t="s">
        <v>25</v>
      </c>
      <c r="B321" s="3378">
        <v>45719</v>
      </c>
      <c r="C321" s="3379" t="s">
        <v>569</v>
      </c>
      <c r="D321" s="3379" t="s">
        <v>680</v>
      </c>
      <c r="E321" s="3411" t="s">
        <v>1239</v>
      </c>
      <c r="F321" s="3411" t="s">
        <v>1611</v>
      </c>
      <c r="I321" s="4720">
        <v>706</v>
      </c>
      <c r="J321" s="3389" t="s">
        <v>1612</v>
      </c>
      <c r="K321" s="3390" t="s">
        <v>1613</v>
      </c>
      <c r="L321" s="3391" t="s">
        <v>30</v>
      </c>
      <c r="M321" s="3392"/>
      <c r="N321" s="3396"/>
      <c r="O321" s="3396"/>
      <c r="P321" s="3396"/>
      <c r="Q321" s="3396"/>
      <c r="R321" s="3396"/>
      <c r="S321" s="3392"/>
      <c r="T321" s="3396"/>
      <c r="U321" s="3396"/>
      <c r="V321" s="3396"/>
      <c r="W321" s="3435"/>
      <c r="X321" s="3396"/>
      <c r="Y321" s="3397"/>
    </row>
    <row r="322" spans="1:25" ht="32.25" hidden="1" thickBot="1">
      <c r="A322" s="3377" t="s">
        <v>25</v>
      </c>
      <c r="B322" s="3378">
        <v>45719</v>
      </c>
      <c r="C322" s="3379" t="s">
        <v>569</v>
      </c>
      <c r="D322" s="3379"/>
      <c r="E322" s="3411" t="s">
        <v>537</v>
      </c>
      <c r="F322" s="3411" t="s">
        <v>1614</v>
      </c>
      <c r="I322" s="3389">
        <v>706</v>
      </c>
      <c r="J322" s="3389" t="s">
        <v>1612</v>
      </c>
      <c r="K322" s="3390" t="s">
        <v>1613</v>
      </c>
      <c r="L322" s="3391" t="s">
        <v>30</v>
      </c>
      <c r="M322" s="3392"/>
      <c r="N322" s="3396"/>
      <c r="O322" s="3396"/>
      <c r="P322" s="3396"/>
      <c r="Q322" s="3396"/>
      <c r="R322" s="3396"/>
      <c r="S322" s="3392"/>
      <c r="T322" s="3396"/>
      <c r="U322" s="3396"/>
      <c r="V322" s="3396"/>
      <c r="W322" s="3435"/>
      <c r="X322" s="3396"/>
      <c r="Y322" s="3397"/>
    </row>
    <row r="323" spans="1:25" ht="32.25" hidden="1" thickBot="1">
      <c r="A323" s="3377" t="s">
        <v>25</v>
      </c>
      <c r="B323" s="3378">
        <v>45719</v>
      </c>
      <c r="C323" s="3379" t="s">
        <v>569</v>
      </c>
      <c r="D323" s="3379" t="s">
        <v>683</v>
      </c>
      <c r="E323" s="3408" t="s">
        <v>1465</v>
      </c>
      <c r="F323" s="3408" t="s">
        <v>577</v>
      </c>
      <c r="I323" s="3443">
        <v>701</v>
      </c>
      <c r="J323" s="3389" t="s">
        <v>1615</v>
      </c>
      <c r="K323" s="4754"/>
      <c r="L323" s="3391" t="s">
        <v>30</v>
      </c>
      <c r="M323" s="3392"/>
      <c r="N323" s="3396"/>
      <c r="O323" s="3396"/>
      <c r="P323" s="3396"/>
      <c r="Q323" s="3396"/>
      <c r="R323" s="3396"/>
      <c r="S323" s="3392"/>
      <c r="T323" s="3396"/>
      <c r="U323" s="3396"/>
      <c r="V323" s="3396"/>
      <c r="W323" s="3435"/>
      <c r="X323" s="3396"/>
      <c r="Y323" s="3397"/>
    </row>
    <row r="324" spans="1:25" ht="32.25" hidden="1" thickBot="1">
      <c r="A324" s="3377" t="s">
        <v>25</v>
      </c>
      <c r="B324" s="3378">
        <v>45719</v>
      </c>
      <c r="C324" s="3379" t="s">
        <v>569</v>
      </c>
      <c r="D324" s="3379" t="s">
        <v>687</v>
      </c>
      <c r="E324" s="3408" t="s">
        <v>1616</v>
      </c>
      <c r="F324" s="3408" t="s">
        <v>1617</v>
      </c>
      <c r="I324" s="3389">
        <v>707</v>
      </c>
      <c r="J324" s="3389" t="s">
        <v>1618</v>
      </c>
      <c r="K324" s="4754"/>
      <c r="L324" s="3391" t="s">
        <v>30</v>
      </c>
      <c r="M324" s="3392"/>
      <c r="N324" s="3396"/>
      <c r="O324" s="3396"/>
      <c r="P324" s="3396"/>
      <c r="Q324" s="3396"/>
      <c r="R324" s="3396"/>
      <c r="S324" s="3392"/>
      <c r="T324" s="3396"/>
      <c r="U324" s="3396"/>
      <c r="V324" s="3396"/>
      <c r="W324" s="3435"/>
      <c r="X324" s="3396"/>
      <c r="Y324" s="3397"/>
    </row>
    <row r="325" spans="1:25" ht="32.25" hidden="1" thickBot="1">
      <c r="A325" s="3381" t="s">
        <v>25</v>
      </c>
      <c r="B325" s="3382">
        <v>45719</v>
      </c>
      <c r="C325" s="3379" t="s">
        <v>569</v>
      </c>
      <c r="D325" s="3754" t="s">
        <v>688</v>
      </c>
      <c r="E325" s="3412" t="s">
        <v>79</v>
      </c>
      <c r="F325" s="3412" t="s">
        <v>1619</v>
      </c>
      <c r="I325" s="3398">
        <v>705</v>
      </c>
      <c r="J325" s="3398" t="s">
        <v>1620</v>
      </c>
      <c r="K325" s="3381"/>
      <c r="L325" s="3399" t="s">
        <v>30</v>
      </c>
      <c r="M325" s="3400"/>
      <c r="N325" s="3440"/>
      <c r="O325" s="3440"/>
      <c r="P325" s="3440"/>
      <c r="Q325" s="3440"/>
      <c r="R325" s="3440"/>
      <c r="S325" s="3400"/>
      <c r="T325" s="3440"/>
      <c r="U325" s="3440"/>
      <c r="V325" s="3440"/>
      <c r="W325" s="3437"/>
      <c r="X325" s="3440"/>
      <c r="Y325" s="3441"/>
    </row>
    <row r="326" spans="1:25" ht="32.25" hidden="1" thickBot="1">
      <c r="A326" s="3383" t="s">
        <v>25</v>
      </c>
      <c r="B326" s="3384">
        <v>45719</v>
      </c>
      <c r="C326" s="3379" t="s">
        <v>569</v>
      </c>
      <c r="D326" s="3754" t="s">
        <v>690</v>
      </c>
      <c r="E326" s="3413" t="s">
        <v>1621</v>
      </c>
      <c r="F326" s="3413" t="s">
        <v>659</v>
      </c>
      <c r="I326" s="3395">
        <v>705</v>
      </c>
      <c r="J326" s="3395" t="s">
        <v>1622</v>
      </c>
      <c r="K326" s="3388"/>
      <c r="L326" s="3401"/>
      <c r="M326" s="3402" t="s">
        <v>30</v>
      </c>
      <c r="N326" s="3393"/>
      <c r="O326" s="3393"/>
      <c r="P326" s="119" t="s">
        <v>0</v>
      </c>
      <c r="Q326" s="119" t="s">
        <v>187</v>
      </c>
      <c r="R326" s="119" t="s">
        <v>160</v>
      </c>
      <c r="S326" s="3402" t="s">
        <v>30</v>
      </c>
      <c r="T326" s="3393"/>
      <c r="U326" s="3393"/>
      <c r="V326" s="3393"/>
      <c r="W326" s="3439" t="s">
        <v>1623</v>
      </c>
      <c r="X326" s="3393"/>
      <c r="Y326" s="3394"/>
    </row>
    <row r="327" spans="1:25" ht="32.25" hidden="1" thickBot="1">
      <c r="A327" s="3377" t="s">
        <v>25</v>
      </c>
      <c r="B327" s="3378">
        <v>45719</v>
      </c>
      <c r="C327" s="3379" t="s">
        <v>569</v>
      </c>
      <c r="D327" s="3379" t="s">
        <v>693</v>
      </c>
      <c r="E327" s="3409" t="s">
        <v>1213</v>
      </c>
      <c r="F327" s="3409" t="s">
        <v>306</v>
      </c>
      <c r="I327" s="3389">
        <v>705</v>
      </c>
      <c r="J327" s="3389">
        <v>60072</v>
      </c>
      <c r="K327" s="3377"/>
      <c r="L327" s="3391" t="s">
        <v>30</v>
      </c>
      <c r="M327" s="3392"/>
      <c r="N327" s="3396"/>
      <c r="O327" s="3396"/>
      <c r="P327" s="3396"/>
      <c r="Q327" s="3396"/>
      <c r="R327" s="3396"/>
      <c r="S327" s="3392"/>
      <c r="T327" s="3396"/>
      <c r="U327" s="3396"/>
      <c r="V327" s="3396"/>
      <c r="W327" s="3435"/>
      <c r="X327" s="3396"/>
      <c r="Y327" s="3397"/>
    </row>
    <row r="328" spans="1:25" ht="30.95" hidden="1" customHeight="1">
      <c r="A328" s="3385" t="s">
        <v>180</v>
      </c>
      <c r="B328" s="3378">
        <v>45720</v>
      </c>
      <c r="C328" s="3379" t="s">
        <v>569</v>
      </c>
      <c r="D328" s="3754"/>
      <c r="E328" s="4816" t="s">
        <v>450</v>
      </c>
      <c r="F328" s="3413" t="s">
        <v>1624</v>
      </c>
      <c r="I328" s="3389">
        <v>705</v>
      </c>
      <c r="J328" s="3389" t="s">
        <v>1622</v>
      </c>
      <c r="K328" s="3377"/>
      <c r="L328" s="3392"/>
      <c r="M328" s="3391"/>
      <c r="N328" s="3396" t="s">
        <v>30</v>
      </c>
      <c r="O328" s="3396"/>
      <c r="P328" s="3396"/>
      <c r="Q328" s="3396"/>
      <c r="R328" s="3396"/>
      <c r="S328" s="3391"/>
      <c r="T328" s="3396"/>
      <c r="U328" s="3396"/>
      <c r="V328" s="3396"/>
      <c r="W328" s="3436" t="s">
        <v>1623</v>
      </c>
      <c r="X328" s="3396"/>
      <c r="Y328" s="3397"/>
    </row>
    <row r="329" spans="1:25" ht="30.95" hidden="1" customHeight="1">
      <c r="A329" s="3385" t="s">
        <v>67</v>
      </c>
      <c r="B329" s="3378">
        <v>45720</v>
      </c>
      <c r="C329" s="3379" t="s">
        <v>569</v>
      </c>
      <c r="D329" s="3379"/>
      <c r="E329" s="3411" t="s">
        <v>847</v>
      </c>
      <c r="F329" s="3411" t="s">
        <v>1625</v>
      </c>
      <c r="I329" s="3389">
        <v>706</v>
      </c>
      <c r="J329" s="3389" t="s">
        <v>1626</v>
      </c>
      <c r="K329" s="3403" t="s">
        <v>1613</v>
      </c>
      <c r="L329" s="3391" t="s">
        <v>30</v>
      </c>
      <c r="M329" s="3392"/>
      <c r="N329" s="3396"/>
      <c r="O329" s="3396"/>
      <c r="P329" s="3396"/>
      <c r="Q329" s="3396"/>
      <c r="R329" s="3396"/>
      <c r="S329" s="3392"/>
      <c r="T329" s="3396"/>
      <c r="U329" s="3396"/>
      <c r="V329" s="3396"/>
      <c r="W329" s="3435"/>
      <c r="X329" s="3396"/>
      <c r="Y329" s="3397"/>
    </row>
    <row r="330" spans="1:25" ht="96" hidden="1" customHeight="1">
      <c r="A330" s="3385" t="s">
        <v>67</v>
      </c>
      <c r="B330" s="3378">
        <v>45720</v>
      </c>
      <c r="C330" s="3379" t="s">
        <v>569</v>
      </c>
      <c r="D330" s="3379" t="s">
        <v>694</v>
      </c>
      <c r="E330" s="3409" t="s">
        <v>80</v>
      </c>
      <c r="F330" s="3409" t="s">
        <v>339</v>
      </c>
      <c r="I330" s="3389">
        <v>707</v>
      </c>
      <c r="J330" s="3389" t="s">
        <v>1627</v>
      </c>
      <c r="K330" s="3378"/>
      <c r="L330" s="3378" t="s">
        <v>30</v>
      </c>
      <c r="M330" s="3378"/>
      <c r="N330" s="3396"/>
      <c r="O330" s="3396"/>
      <c r="P330" s="3396"/>
      <c r="Q330" s="3396"/>
      <c r="R330" s="3396"/>
      <c r="S330" s="3378"/>
      <c r="T330" s="3396"/>
      <c r="U330" s="3396"/>
      <c r="V330" s="3396"/>
      <c r="W330" s="3432"/>
      <c r="X330" s="3396"/>
      <c r="Y330" s="3397"/>
    </row>
    <row r="331" spans="1:25" ht="32.25" hidden="1" thickBot="1">
      <c r="A331" s="3385" t="s">
        <v>67</v>
      </c>
      <c r="B331" s="3378">
        <v>45720</v>
      </c>
      <c r="C331" s="3379" t="s">
        <v>569</v>
      </c>
      <c r="D331" s="3379" t="s">
        <v>696</v>
      </c>
      <c r="E331" s="3409" t="s">
        <v>1486</v>
      </c>
      <c r="F331" s="3409" t="s">
        <v>436</v>
      </c>
      <c r="I331" s="3389">
        <v>705</v>
      </c>
      <c r="J331" s="3389" t="s">
        <v>1289</v>
      </c>
      <c r="K331" s="3378"/>
      <c r="L331" s="3378" t="s">
        <v>30</v>
      </c>
      <c r="M331" s="3378"/>
      <c r="N331" s="3396"/>
      <c r="O331" s="3396"/>
      <c r="P331" s="3396"/>
      <c r="Q331" s="3396"/>
      <c r="R331" s="3396"/>
      <c r="S331" s="3378"/>
      <c r="T331" s="3396"/>
      <c r="U331" s="3396"/>
      <c r="V331" s="3396"/>
      <c r="W331" s="3432"/>
      <c r="X331" s="3396"/>
      <c r="Y331" s="3397"/>
    </row>
    <row r="332" spans="1:25" ht="70.5" hidden="1" thickBot="1">
      <c r="A332" s="3385" t="s">
        <v>67</v>
      </c>
      <c r="B332" s="3378">
        <v>45720</v>
      </c>
      <c r="C332" s="3379" t="s">
        <v>569</v>
      </c>
      <c r="D332" s="3754" t="s">
        <v>697</v>
      </c>
      <c r="E332" s="3414" t="s">
        <v>1486</v>
      </c>
      <c r="F332" s="3427" t="s">
        <v>436</v>
      </c>
      <c r="I332" s="3389">
        <v>705</v>
      </c>
      <c r="J332" s="3389" t="s">
        <v>1628</v>
      </c>
      <c r="K332" s="3403" t="s">
        <v>84</v>
      </c>
      <c r="L332" s="3378"/>
      <c r="M332" s="3378" t="s">
        <v>30</v>
      </c>
      <c r="N332" s="3396"/>
      <c r="O332" s="3396"/>
      <c r="P332" s="21" t="s">
        <v>122</v>
      </c>
      <c r="Q332" s="21" t="s">
        <v>123</v>
      </c>
      <c r="R332" s="21" t="s">
        <v>160</v>
      </c>
      <c r="S332" s="3378" t="s">
        <v>30</v>
      </c>
      <c r="T332" s="3396"/>
      <c r="U332" s="3396"/>
      <c r="V332" s="3396"/>
      <c r="W332" s="3432" t="s">
        <v>1629</v>
      </c>
      <c r="X332" s="3396"/>
      <c r="Y332" s="3397"/>
    </row>
    <row r="333" spans="1:25" ht="65.099999999999994" hidden="1" customHeight="1">
      <c r="A333" s="3385" t="s">
        <v>67</v>
      </c>
      <c r="B333" s="3378">
        <v>45720</v>
      </c>
      <c r="C333" s="3379" t="s">
        <v>569</v>
      </c>
      <c r="D333" s="3379" t="s">
        <v>699</v>
      </c>
      <c r="E333" s="3409" t="s">
        <v>1486</v>
      </c>
      <c r="F333" s="3409" t="s">
        <v>140</v>
      </c>
      <c r="I333" s="3389">
        <v>705</v>
      </c>
      <c r="J333" s="3389" t="s">
        <v>1628</v>
      </c>
      <c r="K333" s="3403" t="s">
        <v>1630</v>
      </c>
      <c r="L333" s="3378" t="s">
        <v>30</v>
      </c>
      <c r="M333" s="3378"/>
      <c r="N333" s="3396"/>
      <c r="O333" s="3396"/>
      <c r="P333" s="3396"/>
      <c r="Q333" s="3396"/>
      <c r="R333" s="3396"/>
      <c r="S333" s="3378"/>
      <c r="T333" s="3396"/>
      <c r="U333" s="3396"/>
      <c r="V333" s="3396"/>
      <c r="W333" s="3432" t="s">
        <v>1631</v>
      </c>
      <c r="X333" s="3396"/>
      <c r="Y333" s="3397"/>
    </row>
    <row r="334" spans="1:25" ht="120" hidden="1" customHeight="1" thickBot="1">
      <c r="A334" s="3381" t="s">
        <v>67</v>
      </c>
      <c r="B334" s="3382">
        <v>45720</v>
      </c>
      <c r="C334" s="3379" t="s">
        <v>569</v>
      </c>
      <c r="D334" s="3754" t="s">
        <v>704</v>
      </c>
      <c r="E334" s="4817" t="s">
        <v>1632</v>
      </c>
      <c r="F334" s="4817" t="s">
        <v>183</v>
      </c>
      <c r="I334" s="3398">
        <v>705</v>
      </c>
      <c r="J334" s="3398" t="s">
        <v>1633</v>
      </c>
      <c r="K334" s="3382"/>
      <c r="L334" s="3382" t="s">
        <v>30</v>
      </c>
      <c r="M334" s="3382"/>
      <c r="N334" s="3440"/>
      <c r="O334" s="3440"/>
      <c r="P334" s="3396"/>
      <c r="Q334" s="3396"/>
      <c r="R334" s="3396"/>
      <c r="S334" s="3382"/>
      <c r="T334" s="3440"/>
      <c r="U334" s="3440"/>
      <c r="V334" s="3440"/>
      <c r="W334" s="3433"/>
      <c r="X334" s="3440"/>
      <c r="Y334" s="3441"/>
    </row>
    <row r="335" spans="1:25" ht="32.25" hidden="1" thickBot="1">
      <c r="A335" s="3385" t="s">
        <v>67</v>
      </c>
      <c r="B335" s="3386">
        <v>45720</v>
      </c>
      <c r="C335" s="3379" t="s">
        <v>569</v>
      </c>
      <c r="D335" s="3379" t="s">
        <v>701</v>
      </c>
      <c r="E335" s="3427" t="s">
        <v>306</v>
      </c>
      <c r="F335" s="3427" t="s">
        <v>216</v>
      </c>
      <c r="I335" s="3404">
        <v>705</v>
      </c>
      <c r="J335" s="3404" t="s">
        <v>1634</v>
      </c>
      <c r="K335" s="3386"/>
      <c r="L335" s="3386" t="s">
        <v>30</v>
      </c>
      <c r="M335" s="3386"/>
      <c r="N335" s="3393"/>
      <c r="O335" s="3393"/>
      <c r="P335" s="3393"/>
      <c r="Q335" s="3393"/>
      <c r="R335" s="3393"/>
      <c r="S335" s="3386"/>
      <c r="T335" s="3393"/>
      <c r="U335" s="3393"/>
      <c r="V335" s="3393"/>
      <c r="W335" s="3434"/>
      <c r="X335" s="3393"/>
      <c r="Y335" s="3394"/>
    </row>
    <row r="336" spans="1:25" ht="30.95" hidden="1" customHeight="1">
      <c r="A336" s="3377" t="s">
        <v>67</v>
      </c>
      <c r="B336" s="3378">
        <v>45720</v>
      </c>
      <c r="C336" s="3379" t="s">
        <v>569</v>
      </c>
      <c r="D336" s="3379" t="s">
        <v>703</v>
      </c>
      <c r="E336" s="3417" t="s">
        <v>304</v>
      </c>
      <c r="F336" s="3416" t="s">
        <v>889</v>
      </c>
      <c r="I336" s="3389">
        <v>705</v>
      </c>
      <c r="J336" s="3389" t="s">
        <v>1635</v>
      </c>
      <c r="K336" s="3378"/>
      <c r="L336" s="3378" t="s">
        <v>30</v>
      </c>
      <c r="M336" s="3378" t="s">
        <v>37</v>
      </c>
      <c r="N336" s="3396"/>
      <c r="O336" s="3396"/>
      <c r="P336" s="21" t="s">
        <v>0</v>
      </c>
      <c r="Q336" s="21" t="s">
        <v>31</v>
      </c>
      <c r="R336" s="21" t="s">
        <v>160</v>
      </c>
      <c r="S336" s="3378" t="s">
        <v>30</v>
      </c>
      <c r="T336" s="3396"/>
      <c r="U336" s="3396"/>
      <c r="V336" s="3396"/>
      <c r="W336" s="3432" t="s">
        <v>1636</v>
      </c>
      <c r="X336" s="3396"/>
      <c r="Y336" s="3397"/>
    </row>
    <row r="337" spans="1:292" ht="90" hidden="1" customHeight="1">
      <c r="A337" s="3377" t="s">
        <v>85</v>
      </c>
      <c r="B337" s="3387">
        <v>45721</v>
      </c>
      <c r="C337" s="3379" t="s">
        <v>569</v>
      </c>
      <c r="D337" s="3379"/>
      <c r="E337" s="3417" t="s">
        <v>258</v>
      </c>
      <c r="F337" s="3416" t="s">
        <v>1637</v>
      </c>
      <c r="I337" s="3389">
        <v>705</v>
      </c>
      <c r="J337" s="3389" t="s">
        <v>1635</v>
      </c>
      <c r="K337" s="3378"/>
      <c r="L337" s="3378" t="s">
        <v>30</v>
      </c>
      <c r="M337" s="3378"/>
      <c r="N337" s="3396"/>
      <c r="O337" s="3396"/>
      <c r="P337" s="3396"/>
      <c r="Q337" s="3396"/>
      <c r="R337" s="3396"/>
      <c r="S337" s="3378"/>
      <c r="T337" s="3396"/>
      <c r="U337" s="3396"/>
      <c r="V337" s="3396"/>
      <c r="W337" s="3432"/>
      <c r="X337" s="3396"/>
      <c r="Y337" s="3397"/>
    </row>
    <row r="338" spans="1:292" ht="30.95" hidden="1" customHeight="1">
      <c r="A338" s="3377" t="s">
        <v>85</v>
      </c>
      <c r="B338" s="3387">
        <v>45721</v>
      </c>
      <c r="C338" s="3379" t="s">
        <v>569</v>
      </c>
      <c r="D338" s="3754"/>
      <c r="E338" s="4592" t="s">
        <v>1638</v>
      </c>
      <c r="F338" s="4548" t="s">
        <v>1639</v>
      </c>
      <c r="I338" s="3389">
        <v>705</v>
      </c>
      <c r="J338" s="3395" t="s">
        <v>1640</v>
      </c>
      <c r="K338" s="3395"/>
      <c r="L338" s="3395" t="s">
        <v>37</v>
      </c>
      <c r="M338" s="3405"/>
      <c r="N338" s="3396"/>
      <c r="O338" s="3396"/>
      <c r="P338" s="3396"/>
      <c r="Q338" s="3396"/>
      <c r="R338" s="3396"/>
      <c r="S338" s="3405"/>
      <c r="T338" s="3396"/>
      <c r="U338" s="3396"/>
      <c r="V338" s="3396"/>
      <c r="W338" s="3438"/>
      <c r="X338" s="3396"/>
      <c r="Y338" s="3397"/>
    </row>
    <row r="339" spans="1:292" ht="30.95" hidden="1" customHeight="1">
      <c r="A339" s="3383" t="s">
        <v>85</v>
      </c>
      <c r="B339" s="3384">
        <v>45721</v>
      </c>
      <c r="C339" s="3379" t="s">
        <v>569</v>
      </c>
      <c r="D339" s="3754"/>
      <c r="E339" s="3415" t="s">
        <v>80</v>
      </c>
      <c r="F339" s="3415" t="s">
        <v>1641</v>
      </c>
      <c r="I339" s="3389">
        <v>705</v>
      </c>
      <c r="J339" s="3395" t="s">
        <v>1628</v>
      </c>
      <c r="K339" s="3395"/>
      <c r="L339" s="3384"/>
      <c r="M339" s="3384" t="s">
        <v>37</v>
      </c>
      <c r="N339" s="3396"/>
      <c r="O339" s="3396"/>
      <c r="P339" s="21" t="s">
        <v>109</v>
      </c>
      <c r="Q339" s="21" t="s">
        <v>484</v>
      </c>
      <c r="R339" s="21" t="s">
        <v>160</v>
      </c>
      <c r="S339" s="3384"/>
      <c r="T339" s="3396"/>
      <c r="U339" s="3396"/>
      <c r="V339" s="3396"/>
      <c r="W339" s="4785" t="s">
        <v>1642</v>
      </c>
      <c r="X339" s="3396"/>
      <c r="Y339" s="3397"/>
    </row>
    <row r="340" spans="1:292" ht="30.95" hidden="1" customHeight="1">
      <c r="A340" s="3383" t="s">
        <v>85</v>
      </c>
      <c r="B340" s="3384">
        <v>45721</v>
      </c>
      <c r="C340" s="3379" t="s">
        <v>569</v>
      </c>
      <c r="D340" s="3754"/>
      <c r="E340" s="3418" t="s">
        <v>169</v>
      </c>
      <c r="F340" s="3419" t="s">
        <v>1051</v>
      </c>
      <c r="I340" s="3389">
        <v>705</v>
      </c>
      <c r="J340" s="3395" t="s">
        <v>1633</v>
      </c>
      <c r="K340" s="3395"/>
      <c r="L340" s="3395" t="s">
        <v>30</v>
      </c>
      <c r="M340" s="3405"/>
      <c r="N340" s="3396"/>
      <c r="O340" s="3396"/>
      <c r="P340" s="3396"/>
      <c r="Q340" s="3396"/>
      <c r="R340" s="3396"/>
      <c r="S340" s="3405"/>
      <c r="T340" s="3396"/>
      <c r="U340" s="3396"/>
      <c r="V340" s="3396"/>
      <c r="W340" s="3438"/>
      <c r="X340" s="3396"/>
      <c r="Y340" s="3397"/>
    </row>
    <row r="341" spans="1:292" ht="112.35" hidden="1" customHeight="1" thickBot="1">
      <c r="A341" s="3381" t="s">
        <v>85</v>
      </c>
      <c r="B341" s="3382">
        <v>45721</v>
      </c>
      <c r="C341" s="3379" t="s">
        <v>569</v>
      </c>
      <c r="D341" s="3754" t="s">
        <v>707</v>
      </c>
      <c r="E341" s="4591" t="s">
        <v>169</v>
      </c>
      <c r="F341" s="4655" t="s">
        <v>1571</v>
      </c>
      <c r="I341" s="3447">
        <v>712</v>
      </c>
      <c r="J341" s="3398" t="s">
        <v>1237</v>
      </c>
      <c r="K341" s="3406" t="s">
        <v>174</v>
      </c>
      <c r="L341" s="3398" t="s">
        <v>30</v>
      </c>
      <c r="M341" s="3400"/>
      <c r="N341" s="3440"/>
      <c r="O341" s="3440"/>
      <c r="P341" s="3440"/>
      <c r="Q341" s="3440"/>
      <c r="R341" s="3440"/>
      <c r="S341" s="3400"/>
      <c r="T341" s="3440"/>
      <c r="U341" s="3440"/>
      <c r="V341" s="3440"/>
      <c r="W341" s="3437"/>
      <c r="X341" s="3440"/>
      <c r="Y341" s="3441"/>
    </row>
    <row r="342" spans="1:292" ht="30.95" hidden="1" customHeight="1">
      <c r="A342" s="3385" t="s">
        <v>85</v>
      </c>
      <c r="B342" s="3386">
        <v>45721</v>
      </c>
      <c r="C342" s="3379" t="s">
        <v>569</v>
      </c>
      <c r="D342" s="3379" t="s">
        <v>710</v>
      </c>
      <c r="E342" s="3426" t="s">
        <v>169</v>
      </c>
      <c r="F342" s="4656" t="s">
        <v>169</v>
      </c>
      <c r="I342" s="3456">
        <v>712</v>
      </c>
      <c r="J342" s="3404" t="s">
        <v>1237</v>
      </c>
      <c r="K342" s="4738" t="s">
        <v>174</v>
      </c>
      <c r="L342" s="3404" t="s">
        <v>30</v>
      </c>
      <c r="M342" s="3407"/>
      <c r="N342" s="3393"/>
      <c r="O342" s="3393"/>
      <c r="P342" s="3393"/>
      <c r="Q342" s="3393"/>
      <c r="R342" s="3393"/>
      <c r="S342" s="3407"/>
      <c r="T342" s="3393"/>
      <c r="U342" s="3393"/>
      <c r="V342" s="3393"/>
      <c r="W342" s="4786"/>
      <c r="X342" s="3393"/>
      <c r="Y342" s="3394"/>
    </row>
    <row r="343" spans="1:292" ht="30.95" hidden="1" customHeight="1">
      <c r="A343" s="3385" t="s">
        <v>85</v>
      </c>
      <c r="B343" s="3386">
        <v>45721</v>
      </c>
      <c r="C343" s="3379" t="s">
        <v>569</v>
      </c>
      <c r="D343" s="3379" t="s">
        <v>713</v>
      </c>
      <c r="E343" s="3425" t="s">
        <v>304</v>
      </c>
      <c r="F343" s="3424" t="s">
        <v>889</v>
      </c>
      <c r="I343" s="3389">
        <v>705</v>
      </c>
      <c r="J343" s="3389" t="s">
        <v>1635</v>
      </c>
      <c r="K343" s="3403" t="s">
        <v>84</v>
      </c>
      <c r="L343" s="3386" t="s">
        <v>30</v>
      </c>
      <c r="M343" s="3378"/>
      <c r="N343" s="3396"/>
      <c r="O343" s="3396"/>
      <c r="P343" s="3396"/>
      <c r="Q343" s="3396"/>
      <c r="R343" s="3396"/>
      <c r="S343" s="3378"/>
      <c r="T343" s="3396"/>
      <c r="U343" s="3396"/>
      <c r="V343" s="3396"/>
      <c r="W343" s="3432" t="s">
        <v>1643</v>
      </c>
      <c r="X343" s="3396"/>
      <c r="Y343" s="3397"/>
    </row>
    <row r="344" spans="1:292" ht="30.95" hidden="1" customHeight="1">
      <c r="A344" s="3385" t="s">
        <v>105</v>
      </c>
      <c r="B344" s="3386">
        <v>45722</v>
      </c>
      <c r="C344" s="3379" t="s">
        <v>569</v>
      </c>
      <c r="D344" s="3379"/>
      <c r="E344" s="3422" t="s">
        <v>258</v>
      </c>
      <c r="F344" s="3423" t="s">
        <v>1637</v>
      </c>
      <c r="I344" s="3404">
        <v>705</v>
      </c>
      <c r="J344" s="3404" t="s">
        <v>1635</v>
      </c>
      <c r="K344" s="3386"/>
      <c r="L344" s="3378" t="s">
        <v>30</v>
      </c>
      <c r="M344" s="3386"/>
      <c r="N344" s="3396"/>
      <c r="O344" s="3396"/>
      <c r="P344" s="3396"/>
      <c r="Q344" s="3396"/>
      <c r="R344" s="3396"/>
      <c r="S344" s="3386"/>
      <c r="T344" s="3396"/>
      <c r="U344" s="3396"/>
      <c r="V344" s="3396"/>
      <c r="W344" s="3432"/>
      <c r="X344" s="3396"/>
      <c r="Y344" s="3397"/>
    </row>
    <row r="345" spans="1:292" ht="30.95" hidden="1" customHeight="1">
      <c r="A345" s="3385" t="s">
        <v>105</v>
      </c>
      <c r="B345" s="3378">
        <v>45722</v>
      </c>
      <c r="C345" s="3379" t="s">
        <v>569</v>
      </c>
      <c r="D345" s="3379"/>
      <c r="E345" s="3424" t="s">
        <v>1638</v>
      </c>
      <c r="F345" s="3425" t="s">
        <v>1639</v>
      </c>
      <c r="I345" s="3389">
        <v>705</v>
      </c>
      <c r="J345" s="3389" t="s">
        <v>1640</v>
      </c>
      <c r="K345" s="3389"/>
      <c r="L345" s="3378" t="s">
        <v>30</v>
      </c>
      <c r="M345" s="3392"/>
      <c r="N345" s="3396"/>
      <c r="O345" s="3396"/>
      <c r="P345" s="3396"/>
      <c r="Q345" s="3396"/>
      <c r="R345" s="3396"/>
      <c r="S345" s="3392"/>
      <c r="T345" s="3396"/>
      <c r="U345" s="3396"/>
      <c r="V345" s="3396"/>
      <c r="W345" s="3435"/>
      <c r="X345" s="3396"/>
      <c r="Y345" s="3397"/>
    </row>
    <row r="346" spans="1:292" ht="32.25" hidden="1" thickBot="1">
      <c r="A346" s="3381" t="s">
        <v>105</v>
      </c>
      <c r="B346" s="3382">
        <v>45722</v>
      </c>
      <c r="C346" s="3379" t="s">
        <v>569</v>
      </c>
      <c r="D346" s="3754" t="s">
        <v>716</v>
      </c>
      <c r="E346" s="4591" t="s">
        <v>1644</v>
      </c>
      <c r="F346" s="3412" t="s">
        <v>306</v>
      </c>
      <c r="I346" s="3398">
        <v>705</v>
      </c>
      <c r="J346" s="3398" t="s">
        <v>1622</v>
      </c>
      <c r="K346" s="3398"/>
      <c r="L346" s="3399"/>
      <c r="M346" s="3400"/>
      <c r="N346" s="3440" t="s">
        <v>30</v>
      </c>
      <c r="O346" s="3440"/>
      <c r="P346" s="3440"/>
      <c r="Q346" s="3440"/>
      <c r="R346" s="3440"/>
      <c r="S346" s="3400"/>
      <c r="T346" s="3440"/>
      <c r="U346" s="3440"/>
      <c r="V346" s="3440"/>
      <c r="W346" s="4953" t="s">
        <v>1645</v>
      </c>
      <c r="X346" s="3440"/>
      <c r="Y346" s="3441"/>
    </row>
    <row r="347" spans="1:292" ht="32.25" hidden="1" thickBot="1">
      <c r="A347" s="3388" t="s">
        <v>105</v>
      </c>
      <c r="B347" s="3384">
        <v>45722</v>
      </c>
      <c r="C347" s="3379" t="s">
        <v>569</v>
      </c>
      <c r="D347" s="3754" t="s">
        <v>718</v>
      </c>
      <c r="E347" s="4818" t="s">
        <v>1646</v>
      </c>
      <c r="F347" s="4852" t="s">
        <v>1611</v>
      </c>
      <c r="I347" s="3380">
        <v>707</v>
      </c>
      <c r="J347" s="3395" t="s">
        <v>1647</v>
      </c>
      <c r="K347" s="3404"/>
      <c r="L347" s="3395" t="s">
        <v>30</v>
      </c>
      <c r="M347" s="3401"/>
      <c r="N347" s="3393"/>
      <c r="O347" s="3393"/>
      <c r="P347" s="3393"/>
      <c r="Q347" s="3393"/>
      <c r="R347" s="3393"/>
      <c r="S347" s="3401"/>
      <c r="T347" s="3393"/>
      <c r="U347" s="3393"/>
      <c r="V347" s="3393"/>
      <c r="W347" s="3442"/>
      <c r="X347" s="3393"/>
      <c r="Y347" s="3394"/>
    </row>
    <row r="348" spans="1:292" ht="63.75" hidden="1" thickBot="1">
      <c r="A348" s="3388" t="s">
        <v>105</v>
      </c>
      <c r="B348" s="3384">
        <v>45722</v>
      </c>
      <c r="C348" s="3379" t="s">
        <v>569</v>
      </c>
      <c r="D348" s="3379"/>
      <c r="E348" s="3428" t="s">
        <v>537</v>
      </c>
      <c r="F348" s="3429" t="s">
        <v>1648</v>
      </c>
      <c r="I348" s="3380">
        <v>707</v>
      </c>
      <c r="J348" s="3389" t="s">
        <v>1176</v>
      </c>
      <c r="K348" s="3378"/>
      <c r="L348" s="3389" t="s">
        <v>30</v>
      </c>
      <c r="M348" s="3395"/>
      <c r="N348" s="3396"/>
      <c r="O348" s="3396"/>
      <c r="P348" s="3396"/>
      <c r="Q348" s="3396"/>
      <c r="R348" s="3396"/>
      <c r="S348" s="3392"/>
      <c r="T348" s="3396"/>
      <c r="U348" s="3396"/>
      <c r="V348" s="3396"/>
      <c r="W348" s="3435"/>
      <c r="X348" s="3396"/>
      <c r="Y348" s="3397"/>
    </row>
    <row r="349" spans="1:292" ht="32.25" hidden="1" thickBot="1">
      <c r="A349" s="3385" t="s">
        <v>132</v>
      </c>
      <c r="B349" s="4498">
        <v>45723</v>
      </c>
      <c r="C349" s="3379" t="s">
        <v>569</v>
      </c>
      <c r="D349" s="3379" t="s">
        <v>723</v>
      </c>
      <c r="E349" s="3430" t="s">
        <v>169</v>
      </c>
      <c r="F349" s="3431" t="s">
        <v>169</v>
      </c>
      <c r="I349" s="3443">
        <v>712</v>
      </c>
      <c r="J349" s="3389" t="s">
        <v>1649</v>
      </c>
      <c r="K349" s="3378"/>
      <c r="L349" s="3389" t="s">
        <v>30</v>
      </c>
      <c r="M349" s="3392"/>
      <c r="N349" s="3396"/>
      <c r="O349" s="3396"/>
      <c r="P349" s="3396"/>
      <c r="Q349" s="3396"/>
      <c r="R349" s="3396"/>
      <c r="S349" s="3392"/>
      <c r="T349" s="3396"/>
      <c r="U349" s="3396"/>
      <c r="V349" s="3396"/>
      <c r="W349" s="3435"/>
      <c r="X349" s="3396"/>
      <c r="Y349" s="3397"/>
    </row>
    <row r="350" spans="1:292" ht="144" hidden="1" customHeight="1">
      <c r="A350" s="3388" t="s">
        <v>132</v>
      </c>
      <c r="B350" s="3384">
        <v>45723</v>
      </c>
      <c r="C350" s="3379" t="s">
        <v>569</v>
      </c>
      <c r="D350" s="3754" t="s">
        <v>727</v>
      </c>
      <c r="E350" s="3420" t="s">
        <v>169</v>
      </c>
      <c r="F350" s="3421" t="s">
        <v>1571</v>
      </c>
      <c r="I350" s="3443">
        <v>712</v>
      </c>
      <c r="J350" s="3395" t="s">
        <v>1650</v>
      </c>
      <c r="K350" s="3390" t="s">
        <v>174</v>
      </c>
      <c r="L350" s="4758"/>
      <c r="M350" s="3389" t="s">
        <v>30</v>
      </c>
      <c r="N350" s="3396"/>
      <c r="O350" s="3396"/>
      <c r="P350" s="21" t="s">
        <v>231</v>
      </c>
      <c r="Q350" s="21" t="s">
        <v>232</v>
      </c>
      <c r="R350" s="21" t="s">
        <v>1651</v>
      </c>
      <c r="S350" s="3405"/>
      <c r="T350" s="3396"/>
      <c r="U350" s="3396"/>
      <c r="V350" s="3396"/>
      <c r="W350" s="3438" t="s">
        <v>1652</v>
      </c>
      <c r="X350" s="3396"/>
      <c r="Y350" s="3397"/>
    </row>
    <row r="351" spans="1:292" ht="84" hidden="1" customHeight="1" thickBot="1">
      <c r="A351" s="3381" t="s">
        <v>132</v>
      </c>
      <c r="B351" s="4798">
        <v>45723</v>
      </c>
      <c r="C351" s="3379" t="s">
        <v>569</v>
      </c>
      <c r="D351" s="3754" t="s">
        <v>730</v>
      </c>
      <c r="E351" s="4591" t="s">
        <v>1653</v>
      </c>
      <c r="F351" s="4853" t="s">
        <v>1654</v>
      </c>
      <c r="I351" s="4570">
        <v>705</v>
      </c>
      <c r="J351" s="4570" t="s">
        <v>1655</v>
      </c>
      <c r="K351" s="3381"/>
      <c r="L351" s="3398" t="s">
        <v>30</v>
      </c>
      <c r="M351" s="3400"/>
      <c r="N351" s="3440"/>
      <c r="O351" s="3440"/>
      <c r="P351" s="3440"/>
      <c r="Q351" s="3440"/>
      <c r="R351" s="3440"/>
      <c r="S351" s="3400"/>
      <c r="T351" s="3440"/>
      <c r="U351" s="3440"/>
      <c r="V351" s="3440"/>
      <c r="W351" s="3437" t="s">
        <v>1656</v>
      </c>
      <c r="X351" s="3440"/>
      <c r="Y351" s="3441"/>
    </row>
    <row r="352" spans="1:292" s="3465" customFormat="1" ht="85.5" hidden="1" customHeight="1">
      <c r="A352" s="3377" t="s">
        <v>132</v>
      </c>
      <c r="B352" s="3378">
        <v>45723</v>
      </c>
      <c r="C352" s="4501" t="s">
        <v>569</v>
      </c>
      <c r="D352" s="4501" t="s">
        <v>733</v>
      </c>
      <c r="E352" s="3430" t="s">
        <v>339</v>
      </c>
      <c r="F352" s="3431" t="s">
        <v>204</v>
      </c>
      <c r="G352" s="3160"/>
      <c r="H352" s="3160"/>
      <c r="I352" s="3443">
        <v>712</v>
      </c>
      <c r="J352" s="4928" t="s">
        <v>1627</v>
      </c>
      <c r="K352" s="3377"/>
      <c r="L352" s="3392" t="s">
        <v>37</v>
      </c>
      <c r="M352" s="3389"/>
      <c r="N352" s="3393"/>
      <c r="O352" s="3396"/>
      <c r="P352" s="3393"/>
      <c r="Q352" s="3393"/>
      <c r="R352" s="3393"/>
      <c r="S352" s="3407"/>
      <c r="T352" s="3393"/>
      <c r="U352" s="3396"/>
      <c r="V352" s="3393"/>
      <c r="W352" s="3435" t="s">
        <v>1657</v>
      </c>
      <c r="X352" s="3393"/>
      <c r="Y352" s="3394"/>
      <c r="Z352" s="3258"/>
      <c r="AA352" s="3161"/>
      <c r="AB352" s="3161"/>
      <c r="AC352" s="3161"/>
      <c r="AD352" s="3161"/>
      <c r="AE352" s="3161"/>
      <c r="AF352" s="3161"/>
      <c r="AG352" s="3161"/>
      <c r="AH352" s="3161"/>
      <c r="AI352" s="3161"/>
      <c r="AJ352" s="3161"/>
      <c r="AK352" s="3161"/>
      <c r="AL352" s="3161"/>
      <c r="AM352" s="3161"/>
      <c r="AN352" s="3161"/>
      <c r="AO352" s="3161"/>
      <c r="AP352" s="3161"/>
      <c r="AQ352" s="3161"/>
      <c r="AR352" s="3161"/>
      <c r="AS352" s="3161"/>
      <c r="AT352" s="3161"/>
      <c r="AU352" s="3161"/>
      <c r="AV352" s="3161"/>
      <c r="AW352" s="3161"/>
      <c r="AX352" s="3161"/>
      <c r="AY352" s="3161"/>
      <c r="AZ352" s="3161"/>
      <c r="BA352" s="3161"/>
      <c r="BB352" s="3161"/>
      <c r="BC352" s="3161"/>
      <c r="BD352" s="3161"/>
      <c r="BE352" s="3161"/>
      <c r="BF352" s="3161"/>
      <c r="BG352" s="3161"/>
      <c r="BH352" s="3161"/>
      <c r="BI352" s="3161"/>
      <c r="BJ352" s="3161"/>
      <c r="BK352" s="3161"/>
      <c r="BL352" s="3161"/>
      <c r="BM352" s="3161"/>
      <c r="BN352" s="3161"/>
      <c r="BO352" s="3161"/>
      <c r="BP352" s="3161"/>
      <c r="BQ352" s="3161"/>
      <c r="BR352" s="3161"/>
      <c r="BS352" s="3161"/>
      <c r="BT352" s="3161"/>
      <c r="BU352" s="3161"/>
      <c r="BV352" s="3161"/>
      <c r="BW352" s="3161"/>
      <c r="BX352" s="3161"/>
      <c r="BY352" s="3161"/>
      <c r="BZ352" s="3161"/>
      <c r="CA352" s="3161"/>
      <c r="CB352" s="3161"/>
      <c r="CC352" s="3161"/>
      <c r="CD352" s="3161"/>
      <c r="CE352" s="3161"/>
      <c r="CF352" s="3161"/>
      <c r="CG352" s="3161"/>
      <c r="CH352" s="3161"/>
      <c r="CI352" s="3161"/>
      <c r="CJ352" s="3161"/>
      <c r="CK352" s="3161"/>
      <c r="CL352" s="3161"/>
      <c r="CM352" s="3161"/>
      <c r="CN352" s="3161"/>
      <c r="CO352" s="3161"/>
      <c r="CP352" s="3161"/>
      <c r="CQ352" s="3161"/>
      <c r="CR352" s="3161"/>
      <c r="CS352" s="3161"/>
      <c r="CT352" s="3161"/>
      <c r="CU352" s="3161"/>
      <c r="CV352" s="3161"/>
      <c r="CW352" s="3161"/>
      <c r="CX352" s="3161"/>
      <c r="CY352" s="3161"/>
      <c r="CZ352" s="3161"/>
      <c r="DA352" s="3161"/>
      <c r="DB352" s="3161"/>
      <c r="DC352" s="3161"/>
      <c r="DD352" s="3161"/>
      <c r="DE352" s="3161"/>
      <c r="DF352" s="3161"/>
      <c r="DG352" s="3161"/>
      <c r="DH352" s="3161"/>
      <c r="DI352" s="3161"/>
      <c r="DJ352" s="3161"/>
      <c r="DK352" s="3161"/>
      <c r="DL352" s="3161"/>
      <c r="DM352" s="3161"/>
      <c r="DN352" s="3161"/>
      <c r="DO352" s="3161"/>
      <c r="DP352" s="3161"/>
      <c r="DQ352" s="3161"/>
      <c r="DR352" s="3161"/>
      <c r="DS352" s="3161"/>
      <c r="DT352" s="3161"/>
      <c r="DU352" s="3161"/>
      <c r="DV352" s="3161"/>
      <c r="DW352" s="3161"/>
      <c r="DX352" s="3161"/>
      <c r="DY352" s="3161"/>
      <c r="DZ352" s="3161"/>
      <c r="EA352" s="3161"/>
      <c r="EB352" s="3161"/>
      <c r="EC352" s="3161"/>
      <c r="ED352" s="3161"/>
      <c r="EE352" s="3161"/>
      <c r="EF352" s="3161"/>
      <c r="EG352" s="3161"/>
      <c r="EH352" s="3161"/>
      <c r="EI352" s="3161"/>
      <c r="EJ352" s="3161"/>
      <c r="EK352" s="3161"/>
      <c r="EL352" s="3161"/>
      <c r="EM352" s="3161"/>
      <c r="EN352" s="3161"/>
      <c r="EO352" s="3161"/>
      <c r="EP352" s="3161"/>
      <c r="EQ352" s="3161"/>
      <c r="ER352" s="3161"/>
      <c r="ES352" s="3161"/>
      <c r="ET352" s="3161"/>
      <c r="EU352" s="3161"/>
      <c r="EV352" s="3161"/>
      <c r="EW352" s="3161"/>
      <c r="EX352" s="3161"/>
      <c r="EY352" s="3161"/>
      <c r="EZ352" s="3161"/>
      <c r="FA352" s="3161"/>
      <c r="FB352" s="3161"/>
      <c r="FC352" s="3161"/>
      <c r="FD352" s="3161"/>
      <c r="FE352" s="3161"/>
      <c r="FF352" s="3161"/>
      <c r="FG352" s="3161"/>
      <c r="FH352" s="3161"/>
      <c r="FI352" s="3161"/>
      <c r="FJ352" s="3161"/>
      <c r="FK352" s="3161"/>
      <c r="FL352" s="3161"/>
      <c r="FM352" s="3161"/>
      <c r="FN352" s="3161"/>
      <c r="FO352" s="3161"/>
      <c r="FP352" s="3161"/>
      <c r="FQ352" s="3161"/>
      <c r="FR352" s="3161"/>
      <c r="FS352" s="3161"/>
      <c r="FT352" s="3161"/>
      <c r="FU352" s="3161"/>
      <c r="FV352" s="3161"/>
      <c r="FW352" s="3161"/>
      <c r="FX352" s="3161"/>
      <c r="FY352" s="3161"/>
      <c r="FZ352" s="3161"/>
      <c r="GA352" s="3161"/>
      <c r="GB352" s="3161"/>
      <c r="GC352" s="3161"/>
      <c r="GD352" s="3161"/>
      <c r="GE352" s="3161"/>
      <c r="GF352" s="3161"/>
      <c r="GG352" s="3161"/>
      <c r="GH352" s="3161"/>
      <c r="GI352" s="3161"/>
      <c r="GJ352" s="3161"/>
      <c r="GK352" s="3161"/>
      <c r="GL352" s="3161"/>
      <c r="GM352" s="3161"/>
      <c r="GN352" s="3161"/>
      <c r="GO352" s="3161"/>
      <c r="GP352" s="3161"/>
      <c r="GQ352" s="3161"/>
      <c r="GR352" s="3161"/>
      <c r="GS352" s="3161"/>
      <c r="GT352" s="3161"/>
      <c r="GU352" s="3161"/>
      <c r="GV352" s="3161"/>
      <c r="GW352" s="3161"/>
      <c r="GX352" s="3161"/>
      <c r="GY352" s="3161"/>
      <c r="GZ352" s="3161"/>
      <c r="HA352" s="3161"/>
      <c r="HB352" s="3161"/>
      <c r="HC352" s="3161"/>
      <c r="HD352" s="3161"/>
      <c r="HE352" s="3161"/>
      <c r="HF352" s="3161"/>
      <c r="HG352" s="3161"/>
      <c r="HH352" s="3161"/>
      <c r="HI352" s="3161"/>
      <c r="HJ352" s="3161"/>
      <c r="HK352" s="3161"/>
      <c r="HL352" s="3161"/>
      <c r="HM352" s="3161"/>
      <c r="HN352" s="3161"/>
      <c r="HO352" s="3161"/>
      <c r="HP352" s="3161"/>
      <c r="HQ352" s="3161"/>
      <c r="HR352" s="3161"/>
      <c r="HS352" s="3161"/>
      <c r="HT352" s="3161"/>
      <c r="HU352" s="3161"/>
      <c r="HV352" s="3161"/>
      <c r="HW352" s="3161"/>
      <c r="HX352" s="3161"/>
      <c r="HY352" s="3161"/>
      <c r="HZ352" s="3161"/>
      <c r="IA352" s="3161"/>
      <c r="IB352" s="3161"/>
      <c r="IC352" s="3161"/>
      <c r="ID352" s="3161"/>
      <c r="IE352" s="3161"/>
      <c r="IF352" s="3161"/>
      <c r="IG352" s="3161"/>
      <c r="IH352" s="3161"/>
      <c r="II352" s="3161"/>
      <c r="IJ352" s="3161"/>
      <c r="IK352" s="3161"/>
      <c r="IL352" s="3161"/>
      <c r="IM352" s="3161"/>
      <c r="IN352" s="3161"/>
      <c r="IO352" s="3161"/>
      <c r="IP352" s="3161"/>
      <c r="IQ352" s="3161"/>
      <c r="IR352" s="3161"/>
      <c r="IS352" s="3161"/>
      <c r="IT352" s="3161"/>
      <c r="IU352" s="3161"/>
      <c r="IV352" s="3161"/>
      <c r="IW352" s="3161"/>
      <c r="IX352" s="3161"/>
      <c r="IY352" s="3161"/>
      <c r="IZ352" s="3161"/>
      <c r="JA352" s="3161"/>
      <c r="JB352" s="3161"/>
      <c r="JC352" s="3161"/>
      <c r="JD352" s="3161"/>
      <c r="JE352" s="3161"/>
      <c r="JF352" s="3161"/>
      <c r="JG352" s="3161"/>
      <c r="JH352" s="3161"/>
      <c r="JI352" s="3161"/>
      <c r="JJ352" s="3161"/>
      <c r="JK352" s="3161"/>
      <c r="JL352" s="3161"/>
      <c r="JM352" s="3161"/>
      <c r="JN352" s="3161"/>
      <c r="JO352" s="3161"/>
      <c r="JP352" s="3161"/>
      <c r="JQ352" s="3161"/>
      <c r="JR352" s="3161"/>
      <c r="JS352" s="3161"/>
      <c r="JT352" s="3161"/>
      <c r="JU352" s="3161"/>
      <c r="JV352" s="3161"/>
      <c r="JW352" s="3161"/>
      <c r="JX352" s="3161"/>
      <c r="JY352" s="3161"/>
      <c r="JZ352" s="3161"/>
      <c r="KA352" s="3161"/>
      <c r="KB352" s="3161"/>
      <c r="KC352" s="3161"/>
      <c r="KD352" s="3161"/>
      <c r="KE352" s="3161"/>
      <c r="KF352" s="3161"/>
    </row>
    <row r="353" spans="1:292" s="3465" customFormat="1" ht="28.5" hidden="1" customHeight="1" thickBot="1">
      <c r="A353" s="3377" t="s">
        <v>132</v>
      </c>
      <c r="B353" s="3378">
        <v>45723</v>
      </c>
      <c r="C353" s="4501" t="s">
        <v>569</v>
      </c>
      <c r="D353" s="4501"/>
      <c r="E353" s="3428" t="s">
        <v>1658</v>
      </c>
      <c r="F353" s="3429" t="s">
        <v>1659</v>
      </c>
      <c r="G353" s="3160"/>
      <c r="H353" s="3160"/>
      <c r="I353" s="3380">
        <v>707</v>
      </c>
      <c r="J353" s="3389" t="s">
        <v>1176</v>
      </c>
      <c r="K353" s="3377"/>
      <c r="L353" s="3392" t="s">
        <v>30</v>
      </c>
      <c r="M353" s="3392"/>
      <c r="N353" s="3396"/>
      <c r="O353" s="3396"/>
      <c r="P353" s="3396"/>
      <c r="Q353" s="3396"/>
      <c r="R353" s="3396"/>
      <c r="S353" s="3392"/>
      <c r="T353" s="3396"/>
      <c r="U353" s="3396"/>
      <c r="V353" s="3396"/>
      <c r="W353" s="3435"/>
      <c r="X353" s="3396"/>
      <c r="Y353" s="3397"/>
      <c r="Z353" s="3258"/>
      <c r="AA353" s="3161"/>
      <c r="AB353" s="3161"/>
      <c r="AC353" s="3161"/>
      <c r="AD353" s="3161"/>
      <c r="AE353" s="3161"/>
      <c r="AF353" s="3161"/>
      <c r="AG353" s="3161"/>
      <c r="AH353" s="3161"/>
      <c r="AI353" s="3161"/>
      <c r="AJ353" s="3161"/>
      <c r="AK353" s="3161"/>
      <c r="AL353" s="3161"/>
      <c r="AM353" s="3161"/>
      <c r="AN353" s="3161"/>
      <c r="AO353" s="3161"/>
      <c r="AP353" s="3161"/>
      <c r="AQ353" s="3161"/>
      <c r="AR353" s="3161"/>
      <c r="AS353" s="3161"/>
      <c r="AT353" s="3161"/>
      <c r="AU353" s="3161"/>
      <c r="AV353" s="3161"/>
      <c r="AW353" s="3161"/>
      <c r="AX353" s="3161"/>
      <c r="AY353" s="3161"/>
      <c r="AZ353" s="3161"/>
      <c r="BA353" s="3161"/>
      <c r="BB353" s="3161"/>
      <c r="BC353" s="3161"/>
      <c r="BD353" s="3161"/>
      <c r="BE353" s="3161"/>
      <c r="BF353" s="3161"/>
      <c r="BG353" s="3161"/>
      <c r="BH353" s="3161"/>
      <c r="BI353" s="3161"/>
      <c r="BJ353" s="3161"/>
      <c r="BK353" s="3161"/>
      <c r="BL353" s="3161"/>
      <c r="BM353" s="3161"/>
      <c r="BN353" s="3161"/>
      <c r="BO353" s="3161"/>
      <c r="BP353" s="3161"/>
      <c r="BQ353" s="3161"/>
      <c r="BR353" s="3161"/>
      <c r="BS353" s="3161"/>
      <c r="BT353" s="3161"/>
      <c r="BU353" s="3161"/>
      <c r="BV353" s="3161"/>
      <c r="BW353" s="3161"/>
      <c r="BX353" s="3161"/>
      <c r="BY353" s="3161"/>
      <c r="BZ353" s="3161"/>
      <c r="CA353" s="3161"/>
      <c r="CB353" s="3161"/>
      <c r="CC353" s="3161"/>
      <c r="CD353" s="3161"/>
      <c r="CE353" s="3161"/>
      <c r="CF353" s="3161"/>
      <c r="CG353" s="3161"/>
      <c r="CH353" s="3161"/>
      <c r="CI353" s="3161"/>
      <c r="CJ353" s="3161"/>
      <c r="CK353" s="3161"/>
      <c r="CL353" s="3161"/>
      <c r="CM353" s="3161"/>
      <c r="CN353" s="3161"/>
      <c r="CO353" s="3161"/>
      <c r="CP353" s="3161"/>
      <c r="CQ353" s="3161"/>
      <c r="CR353" s="3161"/>
      <c r="CS353" s="3161"/>
      <c r="CT353" s="3161"/>
      <c r="CU353" s="3161"/>
      <c r="CV353" s="3161"/>
      <c r="CW353" s="3161"/>
      <c r="CX353" s="3161"/>
      <c r="CY353" s="3161"/>
      <c r="CZ353" s="3161"/>
      <c r="DA353" s="3161"/>
      <c r="DB353" s="3161"/>
      <c r="DC353" s="3161"/>
      <c r="DD353" s="3161"/>
      <c r="DE353" s="3161"/>
      <c r="DF353" s="3161"/>
      <c r="DG353" s="3161"/>
      <c r="DH353" s="3161"/>
      <c r="DI353" s="3161"/>
      <c r="DJ353" s="3161"/>
      <c r="DK353" s="3161"/>
      <c r="DL353" s="3161"/>
      <c r="DM353" s="3161"/>
      <c r="DN353" s="3161"/>
      <c r="DO353" s="3161"/>
      <c r="DP353" s="3161"/>
      <c r="DQ353" s="3161"/>
      <c r="DR353" s="3161"/>
      <c r="DS353" s="3161"/>
      <c r="DT353" s="3161"/>
      <c r="DU353" s="3161"/>
      <c r="DV353" s="3161"/>
      <c r="DW353" s="3161"/>
      <c r="DX353" s="3161"/>
      <c r="DY353" s="3161"/>
      <c r="DZ353" s="3161"/>
      <c r="EA353" s="3161"/>
      <c r="EB353" s="3161"/>
      <c r="EC353" s="3161"/>
      <c r="ED353" s="3161"/>
      <c r="EE353" s="3161"/>
      <c r="EF353" s="3161"/>
      <c r="EG353" s="3161"/>
      <c r="EH353" s="3161"/>
      <c r="EI353" s="3161"/>
      <c r="EJ353" s="3161"/>
      <c r="EK353" s="3161"/>
      <c r="EL353" s="3161"/>
      <c r="EM353" s="3161"/>
      <c r="EN353" s="3161"/>
      <c r="EO353" s="3161"/>
      <c r="EP353" s="3161"/>
      <c r="EQ353" s="3161"/>
      <c r="ER353" s="3161"/>
      <c r="ES353" s="3161"/>
      <c r="ET353" s="3161"/>
      <c r="EU353" s="3161"/>
      <c r="EV353" s="3161"/>
      <c r="EW353" s="3161"/>
      <c r="EX353" s="3161"/>
      <c r="EY353" s="3161"/>
      <c r="EZ353" s="3161"/>
      <c r="FA353" s="3161"/>
      <c r="FB353" s="3161"/>
      <c r="FC353" s="3161"/>
      <c r="FD353" s="3161"/>
      <c r="FE353" s="3161"/>
      <c r="FF353" s="3161"/>
      <c r="FG353" s="3161"/>
      <c r="FH353" s="3161"/>
      <c r="FI353" s="3161"/>
      <c r="FJ353" s="3161"/>
      <c r="FK353" s="3161"/>
      <c r="FL353" s="3161"/>
      <c r="FM353" s="3161"/>
      <c r="FN353" s="3161"/>
      <c r="FO353" s="3161"/>
      <c r="FP353" s="3161"/>
      <c r="FQ353" s="3161"/>
      <c r="FR353" s="3161"/>
      <c r="FS353" s="3161"/>
      <c r="FT353" s="3161"/>
      <c r="FU353" s="3161"/>
      <c r="FV353" s="3161"/>
      <c r="FW353" s="3161"/>
      <c r="FX353" s="3161"/>
      <c r="FY353" s="3161"/>
      <c r="FZ353" s="3161"/>
      <c r="GA353" s="3161"/>
      <c r="GB353" s="3161"/>
      <c r="GC353" s="3161"/>
      <c r="GD353" s="3161"/>
      <c r="GE353" s="3161"/>
      <c r="GF353" s="3161"/>
      <c r="GG353" s="3161"/>
      <c r="GH353" s="3161"/>
      <c r="GI353" s="3161"/>
      <c r="GJ353" s="3161"/>
      <c r="GK353" s="3161"/>
      <c r="GL353" s="3161"/>
      <c r="GM353" s="3161"/>
      <c r="GN353" s="3161"/>
      <c r="GO353" s="3161"/>
      <c r="GP353" s="3161"/>
      <c r="GQ353" s="3161"/>
      <c r="GR353" s="3161"/>
      <c r="GS353" s="3161"/>
      <c r="GT353" s="3161"/>
      <c r="GU353" s="3161"/>
      <c r="GV353" s="3161"/>
      <c r="GW353" s="3161"/>
      <c r="GX353" s="3161"/>
      <c r="GY353" s="3161"/>
      <c r="GZ353" s="3161"/>
      <c r="HA353" s="3161"/>
      <c r="HB353" s="3161"/>
      <c r="HC353" s="3161"/>
      <c r="HD353" s="3161"/>
      <c r="HE353" s="3161"/>
      <c r="HF353" s="3161"/>
      <c r="HG353" s="3161"/>
      <c r="HH353" s="3161"/>
      <c r="HI353" s="3161"/>
      <c r="HJ353" s="3161"/>
      <c r="HK353" s="3161"/>
      <c r="HL353" s="3161"/>
      <c r="HM353" s="3161"/>
      <c r="HN353" s="3161"/>
      <c r="HO353" s="3161"/>
      <c r="HP353" s="3161"/>
      <c r="HQ353" s="3161"/>
      <c r="HR353" s="3161"/>
      <c r="HS353" s="3161"/>
      <c r="HT353" s="3161"/>
      <c r="HU353" s="3161"/>
      <c r="HV353" s="3161"/>
      <c r="HW353" s="3161"/>
      <c r="HX353" s="3161"/>
      <c r="HY353" s="3161"/>
      <c r="HZ353" s="3161"/>
      <c r="IA353" s="3161"/>
      <c r="IB353" s="3161"/>
      <c r="IC353" s="3161"/>
      <c r="ID353" s="3161"/>
      <c r="IE353" s="3161"/>
      <c r="IF353" s="3161"/>
      <c r="IG353" s="3161"/>
      <c r="IH353" s="3161"/>
      <c r="II353" s="3161"/>
      <c r="IJ353" s="3161"/>
      <c r="IK353" s="3161"/>
      <c r="IL353" s="3161"/>
      <c r="IM353" s="3161"/>
      <c r="IN353" s="3161"/>
      <c r="IO353" s="3161"/>
      <c r="IP353" s="3161"/>
      <c r="IQ353" s="3161"/>
      <c r="IR353" s="3161"/>
      <c r="IS353" s="3161"/>
      <c r="IT353" s="3161"/>
      <c r="IU353" s="3161"/>
      <c r="IV353" s="3161"/>
      <c r="IW353" s="3161"/>
      <c r="IX353" s="3161"/>
      <c r="IY353" s="3161"/>
      <c r="IZ353" s="3161"/>
      <c r="JA353" s="3161"/>
      <c r="JB353" s="3161"/>
      <c r="JC353" s="3161"/>
      <c r="JD353" s="3161"/>
      <c r="JE353" s="3161"/>
      <c r="JF353" s="3161"/>
      <c r="JG353" s="3161"/>
      <c r="JH353" s="3161"/>
      <c r="JI353" s="3161"/>
      <c r="JJ353" s="3161"/>
      <c r="JK353" s="3161"/>
      <c r="JL353" s="3161"/>
      <c r="JM353" s="3161"/>
      <c r="JN353" s="3161"/>
      <c r="JO353" s="3161"/>
      <c r="JP353" s="3161"/>
      <c r="JQ353" s="3161"/>
      <c r="JR353" s="3161"/>
      <c r="JS353" s="3161"/>
      <c r="JT353" s="3161"/>
      <c r="JU353" s="3161"/>
      <c r="JV353" s="3161"/>
      <c r="JW353" s="3161"/>
      <c r="JX353" s="3161"/>
      <c r="JY353" s="3161"/>
      <c r="JZ353" s="3161"/>
      <c r="KA353" s="3161"/>
      <c r="KB353" s="3161"/>
      <c r="KC353" s="3161"/>
      <c r="KD353" s="3161"/>
      <c r="KE353" s="3161"/>
      <c r="KF353" s="3161"/>
    </row>
    <row r="354" spans="1:292" s="3465" customFormat="1" ht="28.5" hidden="1" customHeight="1">
      <c r="A354" s="3443" t="s">
        <v>25</v>
      </c>
      <c r="B354" s="3444">
        <v>45726</v>
      </c>
      <c r="C354" s="3471">
        <v>11</v>
      </c>
      <c r="D354" s="3471">
        <v>226</v>
      </c>
      <c r="E354" s="4378" t="s">
        <v>1660</v>
      </c>
      <c r="F354" s="4378" t="s">
        <v>1661</v>
      </c>
      <c r="G354" s="3445" t="s">
        <v>1206</v>
      </c>
      <c r="H354" s="3445" t="s">
        <v>1206</v>
      </c>
      <c r="I354" s="3288">
        <v>705</v>
      </c>
      <c r="J354" s="22" t="s">
        <v>1662</v>
      </c>
      <c r="K354" s="3446"/>
      <c r="L354" s="1357" t="s">
        <v>37</v>
      </c>
      <c r="M354" s="1357"/>
      <c r="N354" s="3160"/>
      <c r="O354" s="2959" t="s">
        <v>37</v>
      </c>
      <c r="P354" s="3160"/>
      <c r="Q354" s="3160"/>
      <c r="R354" s="3160"/>
      <c r="S354" s="3160"/>
      <c r="T354" s="3160"/>
      <c r="U354" s="2959"/>
      <c r="V354" s="3160"/>
      <c r="W354" s="3470" t="s">
        <v>1663</v>
      </c>
      <c r="X354" s="3160"/>
      <c r="Y354" s="3156"/>
      <c r="Z354" s="3258"/>
      <c r="AA354" s="3161"/>
      <c r="AB354" s="3161"/>
      <c r="AC354" s="3161"/>
      <c r="AD354" s="3161"/>
      <c r="AE354" s="3161"/>
      <c r="AF354" s="3161"/>
      <c r="AG354" s="3161"/>
      <c r="AH354" s="3161"/>
      <c r="AI354" s="3161"/>
      <c r="AJ354" s="3161"/>
      <c r="AK354" s="3161"/>
      <c r="AL354" s="3161"/>
      <c r="AM354" s="3161"/>
      <c r="AN354" s="3161"/>
      <c r="AO354" s="3161"/>
      <c r="AP354" s="3161"/>
      <c r="AQ354" s="3161"/>
      <c r="AR354" s="3161"/>
      <c r="AS354" s="3161"/>
      <c r="AT354" s="3161"/>
      <c r="AU354" s="3161"/>
      <c r="AV354" s="3161"/>
      <c r="AW354" s="3161"/>
      <c r="AX354" s="3161"/>
      <c r="AY354" s="3161"/>
      <c r="AZ354" s="3161"/>
      <c r="BA354" s="3161"/>
      <c r="BB354" s="3161"/>
      <c r="BC354" s="3161"/>
      <c r="BD354" s="3161"/>
      <c r="BE354" s="3161"/>
      <c r="BF354" s="3161"/>
      <c r="BG354" s="3161"/>
      <c r="BH354" s="3161"/>
      <c r="BI354" s="3161"/>
      <c r="BJ354" s="3161"/>
      <c r="BK354" s="3161"/>
      <c r="BL354" s="3161"/>
      <c r="BM354" s="3161"/>
      <c r="BN354" s="3161"/>
      <c r="BO354" s="3161"/>
      <c r="BP354" s="3161"/>
      <c r="BQ354" s="3161"/>
      <c r="BR354" s="3161"/>
      <c r="BS354" s="3161"/>
      <c r="BT354" s="3161"/>
      <c r="BU354" s="3161"/>
      <c r="BV354" s="3161"/>
      <c r="BW354" s="3161"/>
      <c r="BX354" s="3161"/>
      <c r="BY354" s="3161"/>
      <c r="BZ354" s="3161"/>
      <c r="CA354" s="3161"/>
      <c r="CB354" s="3161"/>
      <c r="CC354" s="3161"/>
      <c r="CD354" s="3161"/>
      <c r="CE354" s="3161"/>
      <c r="CF354" s="3161"/>
      <c r="CG354" s="3161"/>
      <c r="CH354" s="3161"/>
      <c r="CI354" s="3161"/>
      <c r="CJ354" s="3161"/>
      <c r="CK354" s="3161"/>
      <c r="CL354" s="3161"/>
      <c r="CM354" s="3161"/>
      <c r="CN354" s="3161"/>
      <c r="CO354" s="3161"/>
      <c r="CP354" s="3161"/>
      <c r="CQ354" s="3161"/>
      <c r="CR354" s="3161"/>
      <c r="CS354" s="3161"/>
      <c r="CT354" s="3161"/>
      <c r="CU354" s="3161"/>
      <c r="CV354" s="3161"/>
      <c r="CW354" s="3161"/>
      <c r="CX354" s="3161"/>
      <c r="CY354" s="3161"/>
      <c r="CZ354" s="3161"/>
      <c r="DA354" s="3161"/>
      <c r="DB354" s="3161"/>
      <c r="DC354" s="3161"/>
      <c r="DD354" s="3161"/>
      <c r="DE354" s="3161"/>
      <c r="DF354" s="3161"/>
      <c r="DG354" s="3161"/>
      <c r="DH354" s="3161"/>
      <c r="DI354" s="3161"/>
      <c r="DJ354" s="3161"/>
      <c r="DK354" s="3161"/>
      <c r="DL354" s="3161"/>
      <c r="DM354" s="3161"/>
      <c r="DN354" s="3161"/>
      <c r="DO354" s="3161"/>
      <c r="DP354" s="3161"/>
      <c r="DQ354" s="3161"/>
      <c r="DR354" s="3161"/>
      <c r="DS354" s="3161"/>
      <c r="DT354" s="3161"/>
      <c r="DU354" s="3161"/>
      <c r="DV354" s="3161"/>
      <c r="DW354" s="3161"/>
      <c r="DX354" s="3161"/>
      <c r="DY354" s="3161"/>
      <c r="DZ354" s="3161"/>
      <c r="EA354" s="3161"/>
      <c r="EB354" s="3161"/>
      <c r="EC354" s="3161"/>
      <c r="ED354" s="3161"/>
      <c r="EE354" s="3161"/>
      <c r="EF354" s="3161"/>
      <c r="EG354" s="3161"/>
      <c r="EH354" s="3161"/>
      <c r="EI354" s="3161"/>
      <c r="EJ354" s="3161"/>
      <c r="EK354" s="3161"/>
      <c r="EL354" s="3161"/>
      <c r="EM354" s="3161"/>
      <c r="EN354" s="3161"/>
      <c r="EO354" s="3161"/>
      <c r="EP354" s="3161"/>
      <c r="EQ354" s="3161"/>
      <c r="ER354" s="3161"/>
      <c r="ES354" s="3161"/>
      <c r="ET354" s="3161"/>
      <c r="EU354" s="3161"/>
      <c r="EV354" s="3161"/>
      <c r="EW354" s="3161"/>
      <c r="EX354" s="3161"/>
      <c r="EY354" s="3161"/>
      <c r="EZ354" s="3161"/>
      <c r="FA354" s="3161"/>
      <c r="FB354" s="3161"/>
      <c r="FC354" s="3161"/>
      <c r="FD354" s="3161"/>
      <c r="FE354" s="3161"/>
      <c r="FF354" s="3161"/>
      <c r="FG354" s="3161"/>
      <c r="FH354" s="3161"/>
      <c r="FI354" s="3161"/>
      <c r="FJ354" s="3161"/>
      <c r="FK354" s="3161"/>
      <c r="FL354" s="3161"/>
      <c r="FM354" s="3161"/>
      <c r="FN354" s="3161"/>
      <c r="FO354" s="3161"/>
      <c r="FP354" s="3161"/>
      <c r="FQ354" s="3161"/>
      <c r="FR354" s="3161"/>
      <c r="FS354" s="3161"/>
      <c r="FT354" s="3161"/>
      <c r="FU354" s="3161"/>
      <c r="FV354" s="3161"/>
      <c r="FW354" s="3161"/>
      <c r="FX354" s="3161"/>
      <c r="FY354" s="3161"/>
      <c r="FZ354" s="3161"/>
      <c r="GA354" s="3161"/>
      <c r="GB354" s="3161"/>
      <c r="GC354" s="3161"/>
      <c r="GD354" s="3161"/>
      <c r="GE354" s="3161"/>
      <c r="GF354" s="3161"/>
      <c r="GG354" s="3161"/>
      <c r="GH354" s="3161"/>
      <c r="GI354" s="3161"/>
      <c r="GJ354" s="3161"/>
      <c r="GK354" s="3161"/>
      <c r="GL354" s="3161"/>
      <c r="GM354" s="3161"/>
      <c r="GN354" s="3161"/>
      <c r="GO354" s="3161"/>
      <c r="GP354" s="3161"/>
      <c r="GQ354" s="3161"/>
      <c r="GR354" s="3161"/>
      <c r="GS354" s="3161"/>
      <c r="GT354" s="3161"/>
      <c r="GU354" s="3161"/>
      <c r="GV354" s="3161"/>
      <c r="GW354" s="3161"/>
      <c r="GX354" s="3161"/>
      <c r="GY354" s="3161"/>
      <c r="GZ354" s="3161"/>
      <c r="HA354" s="3161"/>
      <c r="HB354" s="3161"/>
      <c r="HC354" s="3161"/>
      <c r="HD354" s="3161"/>
      <c r="HE354" s="3161"/>
      <c r="HF354" s="3161"/>
      <c r="HG354" s="3161"/>
      <c r="HH354" s="3161"/>
      <c r="HI354" s="3161"/>
      <c r="HJ354" s="3161"/>
      <c r="HK354" s="3161"/>
      <c r="HL354" s="3161"/>
      <c r="HM354" s="3161"/>
      <c r="HN354" s="3161"/>
      <c r="HO354" s="3161"/>
      <c r="HP354" s="3161"/>
      <c r="HQ354" s="3161"/>
      <c r="HR354" s="3161"/>
      <c r="HS354" s="3161"/>
      <c r="HT354" s="3161"/>
      <c r="HU354" s="3161"/>
      <c r="HV354" s="3161"/>
      <c r="HW354" s="3161"/>
      <c r="HX354" s="3161"/>
      <c r="HY354" s="3161"/>
      <c r="HZ354" s="3161"/>
      <c r="IA354" s="3161"/>
      <c r="IB354" s="3161"/>
      <c r="IC354" s="3161"/>
      <c r="ID354" s="3161"/>
      <c r="IE354" s="3161"/>
      <c r="IF354" s="3161"/>
      <c r="IG354" s="3161"/>
      <c r="IH354" s="3161"/>
      <c r="II354" s="3161"/>
      <c r="IJ354" s="3161"/>
      <c r="IK354" s="3161"/>
      <c r="IL354" s="3161"/>
      <c r="IM354" s="3161"/>
      <c r="IN354" s="3161"/>
      <c r="IO354" s="3161"/>
      <c r="IP354" s="3161"/>
      <c r="IQ354" s="3161"/>
      <c r="IR354" s="3161"/>
      <c r="IS354" s="3161"/>
      <c r="IT354" s="3161"/>
      <c r="IU354" s="3161"/>
      <c r="IV354" s="3161"/>
      <c r="IW354" s="3161"/>
      <c r="IX354" s="3161"/>
      <c r="IY354" s="3161"/>
      <c r="IZ354" s="3161"/>
      <c r="JA354" s="3161"/>
      <c r="JB354" s="3161"/>
      <c r="JC354" s="3161"/>
      <c r="JD354" s="3161"/>
      <c r="JE354" s="3161"/>
      <c r="JF354" s="3161"/>
      <c r="JG354" s="3161"/>
      <c r="JH354" s="3161"/>
      <c r="JI354" s="3161"/>
      <c r="JJ354" s="3161"/>
      <c r="JK354" s="3161"/>
      <c r="JL354" s="3161"/>
      <c r="JM354" s="3161"/>
      <c r="JN354" s="3161"/>
      <c r="JO354" s="3161"/>
      <c r="JP354" s="3161"/>
      <c r="JQ354" s="3161"/>
      <c r="JR354" s="3161"/>
      <c r="JS354" s="3161"/>
      <c r="JT354" s="3161"/>
      <c r="JU354" s="3161"/>
      <c r="JV354" s="3161"/>
      <c r="JW354" s="3161"/>
      <c r="JX354" s="3161"/>
      <c r="JY354" s="3161"/>
      <c r="JZ354" s="3161"/>
      <c r="KA354" s="3161"/>
      <c r="KB354" s="3161"/>
      <c r="KC354" s="3161"/>
      <c r="KD354" s="3161"/>
      <c r="KE354" s="3161"/>
      <c r="KF354" s="3161"/>
    </row>
    <row r="355" spans="1:292" s="3465" customFormat="1" ht="116.1" hidden="1" customHeight="1" thickBot="1">
      <c r="A355" s="3462" t="s">
        <v>25</v>
      </c>
      <c r="B355" s="3463">
        <v>45726</v>
      </c>
      <c r="C355" s="3471">
        <v>11</v>
      </c>
      <c r="D355" s="3471"/>
      <c r="E355" s="4569" t="s">
        <v>1664</v>
      </c>
      <c r="F355" s="4569" t="s">
        <v>1665</v>
      </c>
      <c r="G355" s="3455" t="s">
        <v>1206</v>
      </c>
      <c r="H355" s="3455" t="s">
        <v>1206</v>
      </c>
      <c r="I355" s="3288">
        <v>705</v>
      </c>
      <c r="J355" s="3464" t="s">
        <v>1662</v>
      </c>
      <c r="K355" s="3464"/>
      <c r="L355" s="1921" t="s">
        <v>30</v>
      </c>
      <c r="M355" s="1921"/>
      <c r="N355" s="3273"/>
      <c r="O355" s="3469"/>
      <c r="P355" s="3161"/>
      <c r="Q355" s="3161"/>
      <c r="R355" s="3161"/>
      <c r="S355" s="3273"/>
      <c r="T355" s="3273"/>
      <c r="U355" s="3469"/>
      <c r="V355" s="3273"/>
      <c r="W355" s="3469"/>
      <c r="X355" s="3273"/>
      <c r="Y355" s="3274"/>
      <c r="Z355" s="3258"/>
      <c r="AA355" s="3161"/>
      <c r="AB355" s="3161"/>
      <c r="AC355" s="3161"/>
      <c r="AD355" s="3161"/>
      <c r="AE355" s="3161"/>
      <c r="AF355" s="3161"/>
      <c r="AG355" s="3161"/>
      <c r="AH355" s="3161"/>
      <c r="AI355" s="3161"/>
      <c r="AJ355" s="3161"/>
      <c r="AK355" s="3161"/>
      <c r="AL355" s="3161"/>
      <c r="AM355" s="3161"/>
      <c r="AN355" s="3161"/>
      <c r="AO355" s="3161"/>
      <c r="AP355" s="3161"/>
      <c r="AQ355" s="3161"/>
      <c r="AR355" s="3161"/>
      <c r="AS355" s="3161"/>
      <c r="AT355" s="3161"/>
      <c r="AU355" s="3161"/>
      <c r="AV355" s="3161"/>
      <c r="AW355" s="3161"/>
      <c r="AX355" s="3161"/>
      <c r="AY355" s="3161"/>
      <c r="AZ355" s="3161"/>
      <c r="BA355" s="3161"/>
      <c r="BB355" s="3161"/>
      <c r="BC355" s="3161"/>
      <c r="BD355" s="3161"/>
      <c r="BE355" s="3161"/>
      <c r="BF355" s="3161"/>
      <c r="BG355" s="3161"/>
      <c r="BH355" s="3161"/>
      <c r="BI355" s="3161"/>
      <c r="BJ355" s="3161"/>
      <c r="BK355" s="3161"/>
      <c r="BL355" s="3161"/>
      <c r="BM355" s="3161"/>
      <c r="BN355" s="3161"/>
      <c r="BO355" s="3161"/>
      <c r="BP355" s="3161"/>
      <c r="BQ355" s="3161"/>
      <c r="BR355" s="3161"/>
      <c r="BS355" s="3161"/>
      <c r="BT355" s="3161"/>
      <c r="BU355" s="3161"/>
      <c r="BV355" s="3161"/>
      <c r="BW355" s="3161"/>
      <c r="BX355" s="3161"/>
      <c r="BY355" s="3161"/>
      <c r="BZ355" s="3161"/>
      <c r="CA355" s="3161"/>
      <c r="CB355" s="3161"/>
      <c r="CC355" s="3161"/>
      <c r="CD355" s="3161"/>
      <c r="CE355" s="3161"/>
      <c r="CF355" s="3161"/>
      <c r="CG355" s="3161"/>
      <c r="CH355" s="3161"/>
      <c r="CI355" s="3161"/>
      <c r="CJ355" s="3161"/>
      <c r="CK355" s="3161"/>
      <c r="CL355" s="3161"/>
      <c r="CM355" s="3161"/>
      <c r="CN355" s="3161"/>
      <c r="CO355" s="3161"/>
      <c r="CP355" s="3161"/>
      <c r="CQ355" s="3161"/>
      <c r="CR355" s="3161"/>
      <c r="CS355" s="3161"/>
      <c r="CT355" s="3161"/>
      <c r="CU355" s="3161"/>
      <c r="CV355" s="3161"/>
      <c r="CW355" s="3161"/>
      <c r="CX355" s="3161"/>
      <c r="CY355" s="3161"/>
      <c r="CZ355" s="3161"/>
      <c r="DA355" s="3161"/>
      <c r="DB355" s="3161"/>
      <c r="DC355" s="3161"/>
      <c r="DD355" s="3161"/>
      <c r="DE355" s="3161"/>
      <c r="DF355" s="3161"/>
      <c r="DG355" s="3161"/>
      <c r="DH355" s="3161"/>
      <c r="DI355" s="3161"/>
      <c r="DJ355" s="3161"/>
      <c r="DK355" s="3161"/>
      <c r="DL355" s="3161"/>
      <c r="DM355" s="3161"/>
      <c r="DN355" s="3161"/>
      <c r="DO355" s="3161"/>
      <c r="DP355" s="3161"/>
      <c r="DQ355" s="3161"/>
      <c r="DR355" s="3161"/>
      <c r="DS355" s="3161"/>
      <c r="DT355" s="3161"/>
      <c r="DU355" s="3161"/>
      <c r="DV355" s="3161"/>
      <c r="DW355" s="3161"/>
      <c r="DX355" s="3161"/>
      <c r="DY355" s="3161"/>
      <c r="DZ355" s="3161"/>
      <c r="EA355" s="3161"/>
      <c r="EB355" s="3161"/>
      <c r="EC355" s="3161"/>
      <c r="ED355" s="3161"/>
      <c r="EE355" s="3161"/>
      <c r="EF355" s="3161"/>
      <c r="EG355" s="3161"/>
      <c r="EH355" s="3161"/>
      <c r="EI355" s="3161"/>
      <c r="EJ355" s="3161"/>
      <c r="EK355" s="3161"/>
      <c r="EL355" s="3161"/>
      <c r="EM355" s="3161"/>
      <c r="EN355" s="3161"/>
      <c r="EO355" s="3161"/>
      <c r="EP355" s="3161"/>
      <c r="EQ355" s="3161"/>
      <c r="ER355" s="3161"/>
      <c r="ES355" s="3161"/>
      <c r="ET355" s="3161"/>
      <c r="EU355" s="3161"/>
      <c r="EV355" s="3161"/>
      <c r="EW355" s="3161"/>
      <c r="EX355" s="3161"/>
      <c r="EY355" s="3161"/>
      <c r="EZ355" s="3161"/>
      <c r="FA355" s="3161"/>
      <c r="FB355" s="3161"/>
      <c r="FC355" s="3161"/>
      <c r="FD355" s="3161"/>
      <c r="FE355" s="3161"/>
      <c r="FF355" s="3161"/>
      <c r="FG355" s="3161"/>
      <c r="FH355" s="3161"/>
      <c r="FI355" s="3161"/>
      <c r="FJ355" s="3161"/>
      <c r="FK355" s="3161"/>
      <c r="FL355" s="3161"/>
      <c r="FM355" s="3161"/>
      <c r="FN355" s="3161"/>
      <c r="FO355" s="3161"/>
      <c r="FP355" s="3161"/>
      <c r="FQ355" s="3161"/>
      <c r="FR355" s="3161"/>
      <c r="FS355" s="3161"/>
      <c r="FT355" s="3161"/>
      <c r="FU355" s="3161"/>
      <c r="FV355" s="3161"/>
      <c r="FW355" s="3161"/>
      <c r="FX355" s="3161"/>
      <c r="FY355" s="3161"/>
      <c r="FZ355" s="3161"/>
      <c r="GA355" s="3161"/>
      <c r="GB355" s="3161"/>
      <c r="GC355" s="3161"/>
      <c r="GD355" s="3161"/>
      <c r="GE355" s="3161"/>
      <c r="GF355" s="3161"/>
      <c r="GG355" s="3161"/>
      <c r="GH355" s="3161"/>
      <c r="GI355" s="3161"/>
      <c r="GJ355" s="3161"/>
      <c r="GK355" s="3161"/>
      <c r="GL355" s="3161"/>
      <c r="GM355" s="3161"/>
      <c r="GN355" s="3161"/>
      <c r="GO355" s="3161"/>
      <c r="GP355" s="3161"/>
      <c r="GQ355" s="3161"/>
      <c r="GR355" s="3161"/>
      <c r="GS355" s="3161"/>
      <c r="GT355" s="3161"/>
      <c r="GU355" s="3161"/>
      <c r="GV355" s="3161"/>
      <c r="GW355" s="3161"/>
      <c r="GX355" s="3161"/>
      <c r="GY355" s="3161"/>
      <c r="GZ355" s="3161"/>
      <c r="HA355" s="3161"/>
      <c r="HB355" s="3161"/>
      <c r="HC355" s="3161"/>
      <c r="HD355" s="3161"/>
      <c r="HE355" s="3161"/>
      <c r="HF355" s="3161"/>
      <c r="HG355" s="3161"/>
      <c r="HH355" s="3161"/>
      <c r="HI355" s="3161"/>
      <c r="HJ355" s="3161"/>
      <c r="HK355" s="3161"/>
      <c r="HL355" s="3161"/>
      <c r="HM355" s="3161"/>
      <c r="HN355" s="3161"/>
      <c r="HO355" s="3161"/>
      <c r="HP355" s="3161"/>
      <c r="HQ355" s="3161"/>
      <c r="HR355" s="3161"/>
      <c r="HS355" s="3161"/>
      <c r="HT355" s="3161"/>
      <c r="HU355" s="3161"/>
      <c r="HV355" s="3161"/>
      <c r="HW355" s="3161"/>
      <c r="HX355" s="3161"/>
      <c r="HY355" s="3161"/>
      <c r="HZ355" s="3161"/>
      <c r="IA355" s="3161"/>
      <c r="IB355" s="3161"/>
      <c r="IC355" s="3161"/>
      <c r="ID355" s="3161"/>
      <c r="IE355" s="3161"/>
      <c r="IF355" s="3161"/>
      <c r="IG355" s="3161"/>
      <c r="IH355" s="3161"/>
      <c r="II355" s="3161"/>
      <c r="IJ355" s="3161"/>
      <c r="IK355" s="3161"/>
      <c r="IL355" s="3161"/>
      <c r="IM355" s="3161"/>
      <c r="IN355" s="3161"/>
      <c r="IO355" s="3161"/>
      <c r="IP355" s="3161"/>
      <c r="IQ355" s="3161"/>
      <c r="IR355" s="3161"/>
      <c r="IS355" s="3161"/>
      <c r="IT355" s="3161"/>
      <c r="IU355" s="3161"/>
      <c r="IV355" s="3161"/>
      <c r="IW355" s="3161"/>
      <c r="IX355" s="3161"/>
      <c r="IY355" s="3161"/>
      <c r="IZ355" s="3161"/>
      <c r="JA355" s="3161"/>
      <c r="JB355" s="3161"/>
      <c r="JC355" s="3161"/>
      <c r="JD355" s="3161"/>
      <c r="JE355" s="3161"/>
      <c r="JF355" s="3161"/>
      <c r="JG355" s="3161"/>
      <c r="JH355" s="3161"/>
      <c r="JI355" s="3161"/>
      <c r="JJ355" s="3161"/>
      <c r="JK355" s="3161"/>
      <c r="JL355" s="3161"/>
      <c r="JM355" s="3161"/>
      <c r="JN355" s="3161"/>
      <c r="JO355" s="3161"/>
      <c r="JP355" s="3161"/>
      <c r="JQ355" s="3161"/>
      <c r="JR355" s="3161"/>
      <c r="JS355" s="3161"/>
      <c r="JT355" s="3161"/>
      <c r="JU355" s="3161"/>
      <c r="JV355" s="3161"/>
      <c r="JW355" s="3161"/>
      <c r="JX355" s="3161"/>
      <c r="JY355" s="3161"/>
      <c r="JZ355" s="3161"/>
      <c r="KA355" s="3161"/>
      <c r="KB355" s="3161"/>
      <c r="KC355" s="3161"/>
      <c r="KD355" s="3161"/>
      <c r="KE355" s="3161"/>
      <c r="KF355" s="3161"/>
    </row>
    <row r="356" spans="1:292" s="3465" customFormat="1" ht="29.25" hidden="1" thickBot="1">
      <c r="A356" s="3477" t="s">
        <v>25</v>
      </c>
      <c r="B356" s="3478">
        <v>45726</v>
      </c>
      <c r="C356" s="3479">
        <v>11</v>
      </c>
      <c r="D356" s="3479">
        <v>227</v>
      </c>
      <c r="E356" s="4392" t="s">
        <v>306</v>
      </c>
      <c r="F356" s="4393" t="s">
        <v>1654</v>
      </c>
      <c r="G356" s="4670" t="s">
        <v>1206</v>
      </c>
      <c r="H356" s="4701" t="s">
        <v>1206</v>
      </c>
      <c r="I356" s="4386">
        <v>705</v>
      </c>
      <c r="J356" s="3483">
        <v>60072</v>
      </c>
      <c r="K356" s="3483"/>
      <c r="L356" s="1979" t="s">
        <v>30</v>
      </c>
      <c r="M356" s="1979"/>
      <c r="N356" s="3281"/>
      <c r="O356" s="3484"/>
      <c r="P356" s="3281"/>
      <c r="Q356" s="3281"/>
      <c r="R356" s="3281"/>
      <c r="S356" s="3281"/>
      <c r="T356" s="3281"/>
      <c r="U356" s="3484"/>
      <c r="V356" s="3281"/>
      <c r="W356" s="3484"/>
      <c r="X356" s="3281"/>
      <c r="Y356" s="3282"/>
      <c r="Z356" s="3258"/>
      <c r="AA356" s="3161"/>
      <c r="AB356" s="3161"/>
      <c r="AC356" s="3161"/>
      <c r="AD356" s="3161"/>
      <c r="AE356" s="3161"/>
      <c r="AF356" s="3161"/>
      <c r="AG356" s="3161"/>
      <c r="AH356" s="3161"/>
      <c r="AI356" s="3161"/>
      <c r="AJ356" s="3161"/>
      <c r="AK356" s="3161"/>
      <c r="AL356" s="3161"/>
      <c r="AM356" s="3161"/>
      <c r="AN356" s="3161"/>
      <c r="AO356" s="3161"/>
      <c r="AP356" s="3161"/>
      <c r="AQ356" s="3161"/>
      <c r="AR356" s="3161"/>
      <c r="AS356" s="3161"/>
      <c r="AT356" s="3161"/>
      <c r="AU356" s="3161"/>
      <c r="AV356" s="3161"/>
      <c r="AW356" s="3161"/>
      <c r="AX356" s="3161"/>
      <c r="AY356" s="3161"/>
      <c r="AZ356" s="3161"/>
      <c r="BA356" s="3161"/>
      <c r="BB356" s="3161"/>
      <c r="BC356" s="3161"/>
      <c r="BD356" s="3161"/>
      <c r="BE356" s="3161"/>
      <c r="BF356" s="3161"/>
      <c r="BG356" s="3161"/>
      <c r="BH356" s="3161"/>
      <c r="BI356" s="3161"/>
      <c r="BJ356" s="3161"/>
      <c r="BK356" s="3161"/>
      <c r="BL356" s="3161"/>
      <c r="BM356" s="3161"/>
      <c r="BN356" s="3161"/>
      <c r="BO356" s="3161"/>
      <c r="BP356" s="3161"/>
      <c r="BQ356" s="3161"/>
      <c r="BR356" s="3161"/>
      <c r="BS356" s="3161"/>
      <c r="BT356" s="3161"/>
      <c r="BU356" s="3161"/>
      <c r="BV356" s="3161"/>
      <c r="BW356" s="3161"/>
      <c r="BX356" s="3161"/>
      <c r="BY356" s="3161"/>
      <c r="BZ356" s="3161"/>
      <c r="CA356" s="3161"/>
      <c r="CB356" s="3161"/>
      <c r="CC356" s="3161"/>
      <c r="CD356" s="3161"/>
      <c r="CE356" s="3161"/>
      <c r="CF356" s="3161"/>
      <c r="CG356" s="3161"/>
      <c r="CH356" s="3161"/>
      <c r="CI356" s="3161"/>
      <c r="CJ356" s="3161"/>
      <c r="CK356" s="3161"/>
      <c r="CL356" s="3161"/>
      <c r="CM356" s="3161"/>
      <c r="CN356" s="3161"/>
      <c r="CO356" s="3161"/>
      <c r="CP356" s="3161"/>
      <c r="CQ356" s="3161"/>
      <c r="CR356" s="3161"/>
      <c r="CS356" s="3161"/>
      <c r="CT356" s="3161"/>
      <c r="CU356" s="3161"/>
      <c r="CV356" s="3161"/>
      <c r="CW356" s="3161"/>
      <c r="CX356" s="3161"/>
      <c r="CY356" s="3161"/>
      <c r="CZ356" s="3161"/>
      <c r="DA356" s="3161"/>
      <c r="DB356" s="3161"/>
      <c r="DC356" s="3161"/>
      <c r="DD356" s="3161"/>
      <c r="DE356" s="3161"/>
      <c r="DF356" s="3161"/>
      <c r="DG356" s="3161"/>
      <c r="DH356" s="3161"/>
      <c r="DI356" s="3161"/>
      <c r="DJ356" s="3161"/>
      <c r="DK356" s="3161"/>
      <c r="DL356" s="3161"/>
      <c r="DM356" s="3161"/>
      <c r="DN356" s="3161"/>
      <c r="DO356" s="3161"/>
      <c r="DP356" s="3161"/>
      <c r="DQ356" s="3161"/>
      <c r="DR356" s="3161"/>
      <c r="DS356" s="3161"/>
      <c r="DT356" s="3161"/>
      <c r="DU356" s="3161"/>
      <c r="DV356" s="3161"/>
      <c r="DW356" s="3161"/>
      <c r="DX356" s="3161"/>
      <c r="DY356" s="3161"/>
      <c r="DZ356" s="3161"/>
      <c r="EA356" s="3161"/>
      <c r="EB356" s="3161"/>
      <c r="EC356" s="3161"/>
      <c r="ED356" s="3161"/>
      <c r="EE356" s="3161"/>
      <c r="EF356" s="3161"/>
      <c r="EG356" s="3161"/>
      <c r="EH356" s="3161"/>
      <c r="EI356" s="3161"/>
      <c r="EJ356" s="3161"/>
      <c r="EK356" s="3161"/>
      <c r="EL356" s="3161"/>
      <c r="EM356" s="3161"/>
      <c r="EN356" s="3161"/>
      <c r="EO356" s="3161"/>
      <c r="EP356" s="3161"/>
      <c r="EQ356" s="3161"/>
      <c r="ER356" s="3161"/>
      <c r="ES356" s="3161"/>
      <c r="ET356" s="3161"/>
      <c r="EU356" s="3161"/>
      <c r="EV356" s="3161"/>
      <c r="EW356" s="3161"/>
      <c r="EX356" s="3161"/>
      <c r="EY356" s="3161"/>
      <c r="EZ356" s="3161"/>
      <c r="FA356" s="3161"/>
      <c r="FB356" s="3161"/>
      <c r="FC356" s="3161"/>
      <c r="FD356" s="3161"/>
      <c r="FE356" s="3161"/>
      <c r="FF356" s="3161"/>
      <c r="FG356" s="3161"/>
      <c r="FH356" s="3161"/>
      <c r="FI356" s="3161"/>
      <c r="FJ356" s="3161"/>
      <c r="FK356" s="3161"/>
      <c r="FL356" s="3161"/>
      <c r="FM356" s="3161"/>
      <c r="FN356" s="3161"/>
      <c r="FO356" s="3161"/>
      <c r="FP356" s="3161"/>
      <c r="FQ356" s="3161"/>
      <c r="FR356" s="3161"/>
      <c r="FS356" s="3161"/>
      <c r="FT356" s="3161"/>
      <c r="FU356" s="3161"/>
      <c r="FV356" s="3161"/>
      <c r="FW356" s="3161"/>
      <c r="FX356" s="3161"/>
      <c r="FY356" s="3161"/>
      <c r="FZ356" s="3161"/>
      <c r="GA356" s="3161"/>
      <c r="GB356" s="3161"/>
      <c r="GC356" s="3161"/>
      <c r="GD356" s="3161"/>
      <c r="GE356" s="3161"/>
      <c r="GF356" s="3161"/>
      <c r="GG356" s="3161"/>
      <c r="GH356" s="3161"/>
      <c r="GI356" s="3161"/>
      <c r="GJ356" s="3161"/>
      <c r="GK356" s="3161"/>
      <c r="GL356" s="3161"/>
      <c r="GM356" s="3161"/>
      <c r="GN356" s="3161"/>
      <c r="GO356" s="3161"/>
      <c r="GP356" s="3161"/>
      <c r="GQ356" s="3161"/>
      <c r="GR356" s="3161"/>
      <c r="GS356" s="3161"/>
      <c r="GT356" s="3161"/>
      <c r="GU356" s="3161"/>
      <c r="GV356" s="3161"/>
      <c r="GW356" s="3161"/>
      <c r="GX356" s="3161"/>
      <c r="GY356" s="3161"/>
      <c r="GZ356" s="3161"/>
      <c r="HA356" s="3161"/>
      <c r="HB356" s="3161"/>
      <c r="HC356" s="3161"/>
      <c r="HD356" s="3161"/>
      <c r="HE356" s="3161"/>
      <c r="HF356" s="3161"/>
      <c r="HG356" s="3161"/>
      <c r="HH356" s="3161"/>
      <c r="HI356" s="3161"/>
      <c r="HJ356" s="3161"/>
      <c r="HK356" s="3161"/>
      <c r="HL356" s="3161"/>
      <c r="HM356" s="3161"/>
      <c r="HN356" s="3161"/>
      <c r="HO356" s="3161"/>
      <c r="HP356" s="3161"/>
      <c r="HQ356" s="3161"/>
      <c r="HR356" s="3161"/>
      <c r="HS356" s="3161"/>
      <c r="HT356" s="3161"/>
      <c r="HU356" s="3161"/>
      <c r="HV356" s="3161"/>
      <c r="HW356" s="3161"/>
      <c r="HX356" s="3161"/>
      <c r="HY356" s="3161"/>
      <c r="HZ356" s="3161"/>
      <c r="IA356" s="3161"/>
      <c r="IB356" s="3161"/>
      <c r="IC356" s="3161"/>
      <c r="ID356" s="3161"/>
      <c r="IE356" s="3161"/>
      <c r="IF356" s="3161"/>
      <c r="IG356" s="3161"/>
      <c r="IH356" s="3161"/>
      <c r="II356" s="3161"/>
      <c r="IJ356" s="3161"/>
      <c r="IK356" s="3161"/>
      <c r="IL356" s="3161"/>
      <c r="IM356" s="3161"/>
      <c r="IN356" s="3161"/>
      <c r="IO356" s="3161"/>
      <c r="IP356" s="3161"/>
      <c r="IQ356" s="3161"/>
      <c r="IR356" s="3161"/>
      <c r="IS356" s="3161"/>
      <c r="IT356" s="3161"/>
      <c r="IU356" s="3161"/>
      <c r="IV356" s="3161"/>
      <c r="IW356" s="3161"/>
      <c r="IX356" s="3161"/>
      <c r="IY356" s="3161"/>
      <c r="IZ356" s="3161"/>
      <c r="JA356" s="3161"/>
      <c r="JB356" s="3161"/>
      <c r="JC356" s="3161"/>
      <c r="JD356" s="3161"/>
      <c r="JE356" s="3161"/>
      <c r="JF356" s="3161"/>
      <c r="JG356" s="3161"/>
      <c r="JH356" s="3161"/>
      <c r="JI356" s="3161"/>
      <c r="JJ356" s="3161"/>
      <c r="JK356" s="3161"/>
      <c r="JL356" s="3161"/>
      <c r="JM356" s="3161"/>
      <c r="JN356" s="3161"/>
      <c r="JO356" s="3161"/>
      <c r="JP356" s="3161"/>
      <c r="JQ356" s="3161"/>
      <c r="JR356" s="3161"/>
      <c r="JS356" s="3161"/>
      <c r="JT356" s="3161"/>
      <c r="JU356" s="3161"/>
      <c r="JV356" s="3161"/>
      <c r="JW356" s="3161"/>
      <c r="JX356" s="3161"/>
      <c r="JY356" s="3161"/>
      <c r="JZ356" s="3161"/>
      <c r="KA356" s="3161"/>
      <c r="KB356" s="3161"/>
      <c r="KC356" s="3161"/>
      <c r="KD356" s="3161"/>
      <c r="KE356" s="3161"/>
      <c r="KF356" s="3161"/>
    </row>
    <row r="357" spans="1:292" s="3465" customFormat="1" ht="114.75" hidden="1" thickBot="1">
      <c r="A357" s="3480" t="s">
        <v>25</v>
      </c>
      <c r="B357" s="3444">
        <v>45726</v>
      </c>
      <c r="C357" s="3471">
        <v>11</v>
      </c>
      <c r="D357" s="3471">
        <v>228</v>
      </c>
      <c r="E357" s="4379" t="s">
        <v>1654</v>
      </c>
      <c r="F357" s="4396" t="s">
        <v>306</v>
      </c>
      <c r="G357" s="3474" t="s">
        <v>1206</v>
      </c>
      <c r="H357" s="3472" t="s">
        <v>1206</v>
      </c>
      <c r="I357" s="3288">
        <v>705</v>
      </c>
      <c r="J357" s="3446" t="s">
        <v>1666</v>
      </c>
      <c r="K357" s="3446"/>
      <c r="L357" s="1357"/>
      <c r="M357" s="1357" t="s">
        <v>37</v>
      </c>
      <c r="N357" s="3160"/>
      <c r="O357" s="2959"/>
      <c r="P357" s="21" t="s">
        <v>109</v>
      </c>
      <c r="Q357" s="21" t="s">
        <v>300</v>
      </c>
      <c r="R357" s="21" t="s">
        <v>160</v>
      </c>
      <c r="S357" s="3160"/>
      <c r="T357" s="3160"/>
      <c r="U357" s="2959"/>
      <c r="V357" s="3160"/>
      <c r="W357" s="3470" t="s">
        <v>1667</v>
      </c>
      <c r="X357" s="3160"/>
      <c r="Y357" s="3283"/>
      <c r="Z357" s="3258"/>
      <c r="AA357" s="3161"/>
      <c r="AB357" s="3161"/>
      <c r="AC357" s="3161"/>
      <c r="AD357" s="3161"/>
      <c r="AE357" s="3161"/>
      <c r="AF357" s="3161"/>
      <c r="AG357" s="3161"/>
      <c r="AH357" s="3161"/>
      <c r="AI357" s="3161"/>
      <c r="AJ357" s="3161"/>
      <c r="AK357" s="3161"/>
      <c r="AL357" s="3161"/>
      <c r="AM357" s="3161"/>
      <c r="AN357" s="3161"/>
      <c r="AO357" s="3161"/>
      <c r="AP357" s="3161"/>
      <c r="AQ357" s="3161"/>
      <c r="AR357" s="3161"/>
      <c r="AS357" s="3161"/>
      <c r="AT357" s="3161"/>
      <c r="AU357" s="3161"/>
      <c r="AV357" s="3161"/>
      <c r="AW357" s="3161"/>
      <c r="AX357" s="3161"/>
      <c r="AY357" s="3161"/>
      <c r="AZ357" s="3161"/>
      <c r="BA357" s="3161"/>
      <c r="BB357" s="3161"/>
      <c r="BC357" s="3161"/>
      <c r="BD357" s="3161"/>
      <c r="BE357" s="3161"/>
      <c r="BF357" s="3161"/>
      <c r="BG357" s="3161"/>
      <c r="BH357" s="3161"/>
      <c r="BI357" s="3161"/>
      <c r="BJ357" s="3161"/>
      <c r="BK357" s="3161"/>
      <c r="BL357" s="3161"/>
      <c r="BM357" s="3161"/>
      <c r="BN357" s="3161"/>
      <c r="BO357" s="3161"/>
      <c r="BP357" s="3161"/>
      <c r="BQ357" s="3161"/>
      <c r="BR357" s="3161"/>
      <c r="BS357" s="3161"/>
      <c r="BT357" s="3161"/>
      <c r="BU357" s="3161"/>
      <c r="BV357" s="3161"/>
      <c r="BW357" s="3161"/>
      <c r="BX357" s="3161"/>
      <c r="BY357" s="3161"/>
      <c r="BZ357" s="3161"/>
      <c r="CA357" s="3161"/>
      <c r="CB357" s="3161"/>
      <c r="CC357" s="3161"/>
      <c r="CD357" s="3161"/>
      <c r="CE357" s="3161"/>
      <c r="CF357" s="3161"/>
      <c r="CG357" s="3161"/>
      <c r="CH357" s="3161"/>
      <c r="CI357" s="3161"/>
      <c r="CJ357" s="3161"/>
      <c r="CK357" s="3161"/>
      <c r="CL357" s="3161"/>
      <c r="CM357" s="3161"/>
      <c r="CN357" s="3161"/>
      <c r="CO357" s="3161"/>
      <c r="CP357" s="3161"/>
      <c r="CQ357" s="3161"/>
      <c r="CR357" s="3161"/>
      <c r="CS357" s="3161"/>
      <c r="CT357" s="3161"/>
      <c r="CU357" s="3161"/>
      <c r="CV357" s="3161"/>
      <c r="CW357" s="3161"/>
      <c r="CX357" s="3161"/>
      <c r="CY357" s="3161"/>
      <c r="CZ357" s="3161"/>
      <c r="DA357" s="3161"/>
      <c r="DB357" s="3161"/>
      <c r="DC357" s="3161"/>
      <c r="DD357" s="3161"/>
      <c r="DE357" s="3161"/>
      <c r="DF357" s="3161"/>
      <c r="DG357" s="3161"/>
      <c r="DH357" s="3161"/>
      <c r="DI357" s="3161"/>
      <c r="DJ357" s="3161"/>
      <c r="DK357" s="3161"/>
      <c r="DL357" s="3161"/>
      <c r="DM357" s="3161"/>
      <c r="DN357" s="3161"/>
      <c r="DO357" s="3161"/>
      <c r="DP357" s="3161"/>
      <c r="DQ357" s="3161"/>
      <c r="DR357" s="3161"/>
      <c r="DS357" s="3161"/>
      <c r="DT357" s="3161"/>
      <c r="DU357" s="3161"/>
      <c r="DV357" s="3161"/>
      <c r="DW357" s="3161"/>
      <c r="DX357" s="3161"/>
      <c r="DY357" s="3161"/>
      <c r="DZ357" s="3161"/>
      <c r="EA357" s="3161"/>
      <c r="EB357" s="3161"/>
      <c r="EC357" s="3161"/>
      <c r="ED357" s="3161"/>
      <c r="EE357" s="3161"/>
      <c r="EF357" s="3161"/>
      <c r="EG357" s="3161"/>
      <c r="EH357" s="3161"/>
      <c r="EI357" s="3161"/>
      <c r="EJ357" s="3161"/>
      <c r="EK357" s="3161"/>
      <c r="EL357" s="3161"/>
      <c r="EM357" s="3161"/>
      <c r="EN357" s="3161"/>
      <c r="EO357" s="3161"/>
      <c r="EP357" s="3161"/>
      <c r="EQ357" s="3161"/>
      <c r="ER357" s="3161"/>
      <c r="ES357" s="3161"/>
      <c r="ET357" s="3161"/>
      <c r="EU357" s="3161"/>
      <c r="EV357" s="3161"/>
      <c r="EW357" s="3161"/>
      <c r="EX357" s="3161"/>
      <c r="EY357" s="3161"/>
      <c r="EZ357" s="3161"/>
      <c r="FA357" s="3161"/>
      <c r="FB357" s="3161"/>
      <c r="FC357" s="3161"/>
      <c r="FD357" s="3161"/>
      <c r="FE357" s="3161"/>
      <c r="FF357" s="3161"/>
      <c r="FG357" s="3161"/>
      <c r="FH357" s="3161"/>
      <c r="FI357" s="3161"/>
      <c r="FJ357" s="3161"/>
      <c r="FK357" s="3161"/>
      <c r="FL357" s="3161"/>
      <c r="FM357" s="3161"/>
      <c r="FN357" s="3161"/>
      <c r="FO357" s="3161"/>
      <c r="FP357" s="3161"/>
      <c r="FQ357" s="3161"/>
      <c r="FR357" s="3161"/>
      <c r="FS357" s="3161"/>
      <c r="FT357" s="3161"/>
      <c r="FU357" s="3161"/>
      <c r="FV357" s="3161"/>
      <c r="FW357" s="3161"/>
      <c r="FX357" s="3161"/>
      <c r="FY357" s="3161"/>
      <c r="FZ357" s="3161"/>
      <c r="GA357" s="3161"/>
      <c r="GB357" s="3161"/>
      <c r="GC357" s="3161"/>
      <c r="GD357" s="3161"/>
      <c r="GE357" s="3161"/>
      <c r="GF357" s="3161"/>
      <c r="GG357" s="3161"/>
      <c r="GH357" s="3161"/>
      <c r="GI357" s="3161"/>
      <c r="GJ357" s="3161"/>
      <c r="GK357" s="3161"/>
      <c r="GL357" s="3161"/>
      <c r="GM357" s="3161"/>
      <c r="GN357" s="3161"/>
      <c r="GO357" s="3161"/>
      <c r="GP357" s="3161"/>
      <c r="GQ357" s="3161"/>
      <c r="GR357" s="3161"/>
      <c r="GS357" s="3161"/>
      <c r="GT357" s="3161"/>
      <c r="GU357" s="3161"/>
      <c r="GV357" s="3161"/>
      <c r="GW357" s="3161"/>
      <c r="GX357" s="3161"/>
      <c r="GY357" s="3161"/>
      <c r="GZ357" s="3161"/>
      <c r="HA357" s="3161"/>
      <c r="HB357" s="3161"/>
      <c r="HC357" s="3161"/>
      <c r="HD357" s="3161"/>
      <c r="HE357" s="3161"/>
      <c r="HF357" s="3161"/>
      <c r="HG357" s="3161"/>
      <c r="HH357" s="3161"/>
      <c r="HI357" s="3161"/>
      <c r="HJ357" s="3161"/>
      <c r="HK357" s="3161"/>
      <c r="HL357" s="3161"/>
      <c r="HM357" s="3161"/>
      <c r="HN357" s="3161"/>
      <c r="HO357" s="3161"/>
      <c r="HP357" s="3161"/>
      <c r="HQ357" s="3161"/>
      <c r="HR357" s="3161"/>
      <c r="HS357" s="3161"/>
      <c r="HT357" s="3161"/>
      <c r="HU357" s="3161"/>
      <c r="HV357" s="3161"/>
      <c r="HW357" s="3161"/>
      <c r="HX357" s="3161"/>
      <c r="HY357" s="3161"/>
      <c r="HZ357" s="3161"/>
      <c r="IA357" s="3161"/>
      <c r="IB357" s="3161"/>
      <c r="IC357" s="3161"/>
      <c r="ID357" s="3161"/>
      <c r="IE357" s="3161"/>
      <c r="IF357" s="3161"/>
      <c r="IG357" s="3161"/>
      <c r="IH357" s="3161"/>
      <c r="II357" s="3161"/>
      <c r="IJ357" s="3161"/>
      <c r="IK357" s="3161"/>
      <c r="IL357" s="3161"/>
      <c r="IM357" s="3161"/>
      <c r="IN357" s="3161"/>
      <c r="IO357" s="3161"/>
      <c r="IP357" s="3161"/>
      <c r="IQ357" s="3161"/>
      <c r="IR357" s="3161"/>
      <c r="IS357" s="3161"/>
      <c r="IT357" s="3161"/>
      <c r="IU357" s="3161"/>
      <c r="IV357" s="3161"/>
      <c r="IW357" s="3161"/>
      <c r="IX357" s="3161"/>
      <c r="IY357" s="3161"/>
      <c r="IZ357" s="3161"/>
      <c r="JA357" s="3161"/>
      <c r="JB357" s="3161"/>
      <c r="JC357" s="3161"/>
      <c r="JD357" s="3161"/>
      <c r="JE357" s="3161"/>
      <c r="JF357" s="3161"/>
      <c r="JG357" s="3161"/>
      <c r="JH357" s="3161"/>
      <c r="JI357" s="3161"/>
      <c r="JJ357" s="3161"/>
      <c r="JK357" s="3161"/>
      <c r="JL357" s="3161"/>
      <c r="JM357" s="3161"/>
      <c r="JN357" s="3161"/>
      <c r="JO357" s="3161"/>
      <c r="JP357" s="3161"/>
      <c r="JQ357" s="3161"/>
      <c r="JR357" s="3161"/>
      <c r="JS357" s="3161"/>
      <c r="JT357" s="3161"/>
      <c r="JU357" s="3161"/>
      <c r="JV357" s="3161"/>
      <c r="JW357" s="3161"/>
      <c r="JX357" s="3161"/>
      <c r="JY357" s="3161"/>
      <c r="JZ357" s="3161"/>
      <c r="KA357" s="3161"/>
      <c r="KB357" s="3161"/>
      <c r="KC357" s="3161"/>
      <c r="KD357" s="3161"/>
      <c r="KE357" s="3161"/>
      <c r="KF357" s="3161"/>
    </row>
    <row r="358" spans="1:292" s="3465" customFormat="1" ht="29.25" hidden="1" thickBot="1">
      <c r="A358" s="3480" t="s">
        <v>67</v>
      </c>
      <c r="B358" s="3444">
        <v>45727</v>
      </c>
      <c r="C358" s="3471">
        <v>11</v>
      </c>
      <c r="D358" s="3471">
        <v>229</v>
      </c>
      <c r="E358" s="4384" t="s">
        <v>1464</v>
      </c>
      <c r="F358" s="4385" t="s">
        <v>1465</v>
      </c>
      <c r="G358" s="3474" t="s">
        <v>1206</v>
      </c>
      <c r="H358" s="3472" t="s">
        <v>1206</v>
      </c>
      <c r="I358" s="3480">
        <v>701</v>
      </c>
      <c r="J358" s="3446" t="s">
        <v>1547</v>
      </c>
      <c r="K358" s="3446"/>
      <c r="L358" s="1357" t="s">
        <v>37</v>
      </c>
      <c r="M358" s="1357"/>
      <c r="N358" s="3160"/>
      <c r="O358" s="2959" t="s">
        <v>37</v>
      </c>
      <c r="P358" s="3160"/>
      <c r="Q358" s="3160"/>
      <c r="R358" s="3160"/>
      <c r="S358" s="3160"/>
      <c r="T358" s="3160"/>
      <c r="U358" s="2959"/>
      <c r="V358" s="3160"/>
      <c r="W358" s="2959" t="s">
        <v>1668</v>
      </c>
      <c r="X358" s="3160"/>
      <c r="Y358" s="3283"/>
      <c r="Z358" s="3258"/>
      <c r="AA358" s="3161"/>
      <c r="AB358" s="3161"/>
      <c r="AC358" s="3161"/>
      <c r="AD358" s="3161"/>
      <c r="AE358" s="3161"/>
      <c r="AF358" s="3161"/>
      <c r="AG358" s="3161"/>
      <c r="AH358" s="3161"/>
      <c r="AI358" s="3161"/>
      <c r="AJ358" s="3161"/>
      <c r="AK358" s="3161"/>
      <c r="AL358" s="3161"/>
      <c r="AM358" s="3161"/>
      <c r="AN358" s="3161"/>
      <c r="AO358" s="3161"/>
      <c r="AP358" s="3161"/>
      <c r="AQ358" s="3161"/>
      <c r="AR358" s="3161"/>
      <c r="AS358" s="3161"/>
      <c r="AT358" s="3161"/>
      <c r="AU358" s="3161"/>
      <c r="AV358" s="3161"/>
      <c r="AW358" s="3161"/>
      <c r="AX358" s="3161"/>
      <c r="AY358" s="3161"/>
      <c r="AZ358" s="3161"/>
      <c r="BA358" s="3161"/>
      <c r="BB358" s="3161"/>
      <c r="BC358" s="3161"/>
      <c r="BD358" s="3161"/>
      <c r="BE358" s="3161"/>
      <c r="BF358" s="3161"/>
      <c r="BG358" s="3161"/>
      <c r="BH358" s="3161"/>
      <c r="BI358" s="3161"/>
      <c r="BJ358" s="3161"/>
      <c r="BK358" s="3161"/>
      <c r="BL358" s="3161"/>
      <c r="BM358" s="3161"/>
      <c r="BN358" s="3161"/>
      <c r="BO358" s="3161"/>
      <c r="BP358" s="3161"/>
      <c r="BQ358" s="3161"/>
      <c r="BR358" s="3161"/>
      <c r="BS358" s="3161"/>
      <c r="BT358" s="3161"/>
      <c r="BU358" s="3161"/>
      <c r="BV358" s="3161"/>
      <c r="BW358" s="3161"/>
      <c r="BX358" s="3161"/>
      <c r="BY358" s="3161"/>
      <c r="BZ358" s="3161"/>
      <c r="CA358" s="3161"/>
      <c r="CB358" s="3161"/>
      <c r="CC358" s="3161"/>
      <c r="CD358" s="3161"/>
      <c r="CE358" s="3161"/>
      <c r="CF358" s="3161"/>
      <c r="CG358" s="3161"/>
      <c r="CH358" s="3161"/>
      <c r="CI358" s="3161"/>
      <c r="CJ358" s="3161"/>
      <c r="CK358" s="3161"/>
      <c r="CL358" s="3161"/>
      <c r="CM358" s="3161"/>
      <c r="CN358" s="3161"/>
      <c r="CO358" s="3161"/>
      <c r="CP358" s="3161"/>
      <c r="CQ358" s="3161"/>
      <c r="CR358" s="3161"/>
      <c r="CS358" s="3161"/>
      <c r="CT358" s="3161"/>
      <c r="CU358" s="3161"/>
      <c r="CV358" s="3161"/>
      <c r="CW358" s="3161"/>
      <c r="CX358" s="3161"/>
      <c r="CY358" s="3161"/>
      <c r="CZ358" s="3161"/>
      <c r="DA358" s="3161"/>
      <c r="DB358" s="3161"/>
      <c r="DC358" s="3161"/>
      <c r="DD358" s="3161"/>
      <c r="DE358" s="3161"/>
      <c r="DF358" s="3161"/>
      <c r="DG358" s="3161"/>
      <c r="DH358" s="3161"/>
      <c r="DI358" s="3161"/>
      <c r="DJ358" s="3161"/>
      <c r="DK358" s="3161"/>
      <c r="DL358" s="3161"/>
      <c r="DM358" s="3161"/>
      <c r="DN358" s="3161"/>
      <c r="DO358" s="3161"/>
      <c r="DP358" s="3161"/>
      <c r="DQ358" s="3161"/>
      <c r="DR358" s="3161"/>
      <c r="DS358" s="3161"/>
      <c r="DT358" s="3161"/>
      <c r="DU358" s="3161"/>
      <c r="DV358" s="3161"/>
      <c r="DW358" s="3161"/>
      <c r="DX358" s="3161"/>
      <c r="DY358" s="3161"/>
      <c r="DZ358" s="3161"/>
      <c r="EA358" s="3161"/>
      <c r="EB358" s="3161"/>
      <c r="EC358" s="3161"/>
      <c r="ED358" s="3161"/>
      <c r="EE358" s="3161"/>
      <c r="EF358" s="3161"/>
      <c r="EG358" s="3161"/>
      <c r="EH358" s="3161"/>
      <c r="EI358" s="3161"/>
      <c r="EJ358" s="3161"/>
      <c r="EK358" s="3161"/>
      <c r="EL358" s="3161"/>
      <c r="EM358" s="3161"/>
      <c r="EN358" s="3161"/>
      <c r="EO358" s="3161"/>
      <c r="EP358" s="3161"/>
      <c r="EQ358" s="3161"/>
      <c r="ER358" s="3161"/>
      <c r="ES358" s="3161"/>
      <c r="ET358" s="3161"/>
      <c r="EU358" s="3161"/>
      <c r="EV358" s="3161"/>
      <c r="EW358" s="3161"/>
      <c r="EX358" s="3161"/>
      <c r="EY358" s="3161"/>
      <c r="EZ358" s="3161"/>
      <c r="FA358" s="3161"/>
      <c r="FB358" s="3161"/>
      <c r="FC358" s="3161"/>
      <c r="FD358" s="3161"/>
      <c r="FE358" s="3161"/>
      <c r="FF358" s="3161"/>
      <c r="FG358" s="3161"/>
      <c r="FH358" s="3161"/>
      <c r="FI358" s="3161"/>
      <c r="FJ358" s="3161"/>
      <c r="FK358" s="3161"/>
      <c r="FL358" s="3161"/>
      <c r="FM358" s="3161"/>
      <c r="FN358" s="3161"/>
      <c r="FO358" s="3161"/>
      <c r="FP358" s="3161"/>
      <c r="FQ358" s="3161"/>
      <c r="FR358" s="3161"/>
      <c r="FS358" s="3161"/>
      <c r="FT358" s="3161"/>
      <c r="FU358" s="3161"/>
      <c r="FV358" s="3161"/>
      <c r="FW358" s="3161"/>
      <c r="FX358" s="3161"/>
      <c r="FY358" s="3161"/>
      <c r="FZ358" s="3161"/>
      <c r="GA358" s="3161"/>
      <c r="GB358" s="3161"/>
      <c r="GC358" s="3161"/>
      <c r="GD358" s="3161"/>
      <c r="GE358" s="3161"/>
      <c r="GF358" s="3161"/>
      <c r="GG358" s="3161"/>
      <c r="GH358" s="3161"/>
      <c r="GI358" s="3161"/>
      <c r="GJ358" s="3161"/>
      <c r="GK358" s="3161"/>
      <c r="GL358" s="3161"/>
      <c r="GM358" s="3161"/>
      <c r="GN358" s="3161"/>
      <c r="GO358" s="3161"/>
      <c r="GP358" s="3161"/>
      <c r="GQ358" s="3161"/>
      <c r="GR358" s="3161"/>
      <c r="GS358" s="3161"/>
      <c r="GT358" s="3161"/>
      <c r="GU358" s="3161"/>
      <c r="GV358" s="3161"/>
      <c r="GW358" s="3161"/>
      <c r="GX358" s="3161"/>
      <c r="GY358" s="3161"/>
      <c r="GZ358" s="3161"/>
      <c r="HA358" s="3161"/>
      <c r="HB358" s="3161"/>
      <c r="HC358" s="3161"/>
      <c r="HD358" s="3161"/>
      <c r="HE358" s="3161"/>
      <c r="HF358" s="3161"/>
      <c r="HG358" s="3161"/>
      <c r="HH358" s="3161"/>
      <c r="HI358" s="3161"/>
      <c r="HJ358" s="3161"/>
      <c r="HK358" s="3161"/>
      <c r="HL358" s="3161"/>
      <c r="HM358" s="3161"/>
      <c r="HN358" s="3161"/>
      <c r="HO358" s="3161"/>
      <c r="HP358" s="3161"/>
      <c r="HQ358" s="3161"/>
      <c r="HR358" s="3161"/>
      <c r="HS358" s="3161"/>
      <c r="HT358" s="3161"/>
      <c r="HU358" s="3161"/>
      <c r="HV358" s="3161"/>
      <c r="HW358" s="3161"/>
      <c r="HX358" s="3161"/>
      <c r="HY358" s="3161"/>
      <c r="HZ358" s="3161"/>
      <c r="IA358" s="3161"/>
      <c r="IB358" s="3161"/>
      <c r="IC358" s="3161"/>
      <c r="ID358" s="3161"/>
      <c r="IE358" s="3161"/>
      <c r="IF358" s="3161"/>
      <c r="IG358" s="3161"/>
      <c r="IH358" s="3161"/>
      <c r="II358" s="3161"/>
      <c r="IJ358" s="3161"/>
      <c r="IK358" s="3161"/>
      <c r="IL358" s="3161"/>
      <c r="IM358" s="3161"/>
      <c r="IN358" s="3161"/>
      <c r="IO358" s="3161"/>
      <c r="IP358" s="3161"/>
      <c r="IQ358" s="3161"/>
      <c r="IR358" s="3161"/>
      <c r="IS358" s="3161"/>
      <c r="IT358" s="3161"/>
      <c r="IU358" s="3161"/>
      <c r="IV358" s="3161"/>
      <c r="IW358" s="3161"/>
      <c r="IX358" s="3161"/>
      <c r="IY358" s="3161"/>
      <c r="IZ358" s="3161"/>
      <c r="JA358" s="3161"/>
      <c r="JB358" s="3161"/>
      <c r="JC358" s="3161"/>
      <c r="JD358" s="3161"/>
      <c r="JE358" s="3161"/>
      <c r="JF358" s="3161"/>
      <c r="JG358" s="3161"/>
      <c r="JH358" s="3161"/>
      <c r="JI358" s="3161"/>
      <c r="JJ358" s="3161"/>
      <c r="JK358" s="3161"/>
      <c r="JL358" s="3161"/>
      <c r="JM358" s="3161"/>
      <c r="JN358" s="3161"/>
      <c r="JO358" s="3161"/>
      <c r="JP358" s="3161"/>
      <c r="JQ358" s="3161"/>
      <c r="JR358" s="3161"/>
      <c r="JS358" s="3161"/>
      <c r="JT358" s="3161"/>
      <c r="JU358" s="3161"/>
      <c r="JV358" s="3161"/>
      <c r="JW358" s="3161"/>
      <c r="JX358" s="3161"/>
      <c r="JY358" s="3161"/>
      <c r="JZ358" s="3161"/>
      <c r="KA358" s="3161"/>
      <c r="KB358" s="3161"/>
      <c r="KC358" s="3161"/>
      <c r="KD358" s="3161"/>
      <c r="KE358" s="3161"/>
      <c r="KF358" s="3161"/>
    </row>
    <row r="359" spans="1:292" s="3465" customFormat="1" ht="29.25" hidden="1" thickBot="1">
      <c r="A359" s="3481" t="s">
        <v>67</v>
      </c>
      <c r="B359" s="3451">
        <v>45727</v>
      </c>
      <c r="C359" s="3482">
        <v>11</v>
      </c>
      <c r="D359" s="3755"/>
      <c r="E359" s="4547" t="s">
        <v>1465</v>
      </c>
      <c r="F359" s="4626" t="s">
        <v>1464</v>
      </c>
      <c r="G359" s="4694" t="s">
        <v>1206</v>
      </c>
      <c r="H359" s="4700" t="s">
        <v>1206</v>
      </c>
      <c r="I359" s="3481">
        <v>701</v>
      </c>
      <c r="J359" s="3452" t="s">
        <v>1615</v>
      </c>
      <c r="K359" s="3452"/>
      <c r="L359" s="3467"/>
      <c r="M359" s="3467"/>
      <c r="N359" s="3284"/>
      <c r="O359" s="3468"/>
      <c r="P359" s="3284"/>
      <c r="Q359" s="3284"/>
      <c r="R359" s="3284"/>
      <c r="S359" s="3284"/>
      <c r="T359" s="3284"/>
      <c r="U359" s="3468"/>
      <c r="V359" s="3284"/>
      <c r="W359" s="3468"/>
      <c r="X359" s="3284"/>
      <c r="Y359" s="3285"/>
      <c r="Z359" s="3258"/>
      <c r="AA359" s="3161"/>
      <c r="AB359" s="3161"/>
      <c r="AC359" s="3161"/>
      <c r="AD359" s="3161"/>
      <c r="AE359" s="3161"/>
      <c r="AF359" s="3161"/>
      <c r="AG359" s="3161"/>
      <c r="AH359" s="3161"/>
      <c r="AI359" s="3161"/>
      <c r="AJ359" s="3161"/>
      <c r="AK359" s="3161"/>
      <c r="AL359" s="3161"/>
      <c r="AM359" s="3161"/>
      <c r="AN359" s="3161"/>
      <c r="AO359" s="3161"/>
      <c r="AP359" s="3161"/>
      <c r="AQ359" s="3161"/>
      <c r="AR359" s="3161"/>
      <c r="AS359" s="3161"/>
      <c r="AT359" s="3161"/>
      <c r="AU359" s="3161"/>
      <c r="AV359" s="3161"/>
      <c r="AW359" s="3161"/>
      <c r="AX359" s="3161"/>
      <c r="AY359" s="3161"/>
      <c r="AZ359" s="3161"/>
      <c r="BA359" s="3161"/>
      <c r="BB359" s="3161"/>
      <c r="BC359" s="3161"/>
      <c r="BD359" s="3161"/>
      <c r="BE359" s="3161"/>
      <c r="BF359" s="3161"/>
      <c r="BG359" s="3161"/>
      <c r="BH359" s="3161"/>
      <c r="BI359" s="3161"/>
      <c r="BJ359" s="3161"/>
      <c r="BK359" s="3161"/>
      <c r="BL359" s="3161"/>
      <c r="BM359" s="3161"/>
      <c r="BN359" s="3161"/>
      <c r="BO359" s="3161"/>
      <c r="BP359" s="3161"/>
      <c r="BQ359" s="3161"/>
      <c r="BR359" s="3161"/>
      <c r="BS359" s="3161"/>
      <c r="BT359" s="3161"/>
      <c r="BU359" s="3161"/>
      <c r="BV359" s="3161"/>
      <c r="BW359" s="3161"/>
      <c r="BX359" s="3161"/>
      <c r="BY359" s="3161"/>
      <c r="BZ359" s="3161"/>
      <c r="CA359" s="3161"/>
      <c r="CB359" s="3161"/>
      <c r="CC359" s="3161"/>
      <c r="CD359" s="3161"/>
      <c r="CE359" s="3161"/>
      <c r="CF359" s="3161"/>
      <c r="CG359" s="3161"/>
      <c r="CH359" s="3161"/>
      <c r="CI359" s="3161"/>
      <c r="CJ359" s="3161"/>
      <c r="CK359" s="3161"/>
      <c r="CL359" s="3161"/>
      <c r="CM359" s="3161"/>
      <c r="CN359" s="3161"/>
      <c r="CO359" s="3161"/>
      <c r="CP359" s="3161"/>
      <c r="CQ359" s="3161"/>
      <c r="CR359" s="3161"/>
      <c r="CS359" s="3161"/>
      <c r="CT359" s="3161"/>
      <c r="CU359" s="3161"/>
      <c r="CV359" s="3161"/>
      <c r="CW359" s="3161"/>
      <c r="CX359" s="3161"/>
      <c r="CY359" s="3161"/>
      <c r="CZ359" s="3161"/>
      <c r="DA359" s="3161"/>
      <c r="DB359" s="3161"/>
      <c r="DC359" s="3161"/>
      <c r="DD359" s="3161"/>
      <c r="DE359" s="3161"/>
      <c r="DF359" s="3161"/>
      <c r="DG359" s="3161"/>
      <c r="DH359" s="3161"/>
      <c r="DI359" s="3161"/>
      <c r="DJ359" s="3161"/>
      <c r="DK359" s="3161"/>
      <c r="DL359" s="3161"/>
      <c r="DM359" s="3161"/>
      <c r="DN359" s="3161"/>
      <c r="DO359" s="3161"/>
      <c r="DP359" s="3161"/>
      <c r="DQ359" s="3161"/>
      <c r="DR359" s="3161"/>
      <c r="DS359" s="3161"/>
      <c r="DT359" s="3161"/>
      <c r="DU359" s="3161"/>
      <c r="DV359" s="3161"/>
      <c r="DW359" s="3161"/>
      <c r="DX359" s="3161"/>
      <c r="DY359" s="3161"/>
      <c r="DZ359" s="3161"/>
      <c r="EA359" s="3161"/>
      <c r="EB359" s="3161"/>
      <c r="EC359" s="3161"/>
      <c r="ED359" s="3161"/>
      <c r="EE359" s="3161"/>
      <c r="EF359" s="3161"/>
      <c r="EG359" s="3161"/>
      <c r="EH359" s="3161"/>
      <c r="EI359" s="3161"/>
      <c r="EJ359" s="3161"/>
      <c r="EK359" s="3161"/>
      <c r="EL359" s="3161"/>
      <c r="EM359" s="3161"/>
      <c r="EN359" s="3161"/>
      <c r="EO359" s="3161"/>
      <c r="EP359" s="3161"/>
      <c r="EQ359" s="3161"/>
      <c r="ER359" s="3161"/>
      <c r="ES359" s="3161"/>
      <c r="ET359" s="3161"/>
      <c r="EU359" s="3161"/>
      <c r="EV359" s="3161"/>
      <c r="EW359" s="3161"/>
      <c r="EX359" s="3161"/>
      <c r="EY359" s="3161"/>
      <c r="EZ359" s="3161"/>
      <c r="FA359" s="3161"/>
      <c r="FB359" s="3161"/>
      <c r="FC359" s="3161"/>
      <c r="FD359" s="3161"/>
      <c r="FE359" s="3161"/>
      <c r="FF359" s="3161"/>
      <c r="FG359" s="3161"/>
      <c r="FH359" s="3161"/>
      <c r="FI359" s="3161"/>
      <c r="FJ359" s="3161"/>
      <c r="FK359" s="3161"/>
      <c r="FL359" s="3161"/>
      <c r="FM359" s="3161"/>
      <c r="FN359" s="3161"/>
      <c r="FO359" s="3161"/>
      <c r="FP359" s="3161"/>
      <c r="FQ359" s="3161"/>
      <c r="FR359" s="3161"/>
      <c r="FS359" s="3161"/>
      <c r="FT359" s="3161"/>
      <c r="FU359" s="3161"/>
      <c r="FV359" s="3161"/>
      <c r="FW359" s="3161"/>
      <c r="FX359" s="3161"/>
      <c r="FY359" s="3161"/>
      <c r="FZ359" s="3161"/>
      <c r="GA359" s="3161"/>
      <c r="GB359" s="3161"/>
      <c r="GC359" s="3161"/>
      <c r="GD359" s="3161"/>
      <c r="GE359" s="3161"/>
      <c r="GF359" s="3161"/>
      <c r="GG359" s="3161"/>
      <c r="GH359" s="3161"/>
      <c r="GI359" s="3161"/>
      <c r="GJ359" s="3161"/>
      <c r="GK359" s="3161"/>
      <c r="GL359" s="3161"/>
      <c r="GM359" s="3161"/>
      <c r="GN359" s="3161"/>
      <c r="GO359" s="3161"/>
      <c r="GP359" s="3161"/>
      <c r="GQ359" s="3161"/>
      <c r="GR359" s="3161"/>
      <c r="GS359" s="3161"/>
      <c r="GT359" s="3161"/>
      <c r="GU359" s="3161"/>
      <c r="GV359" s="3161"/>
      <c r="GW359" s="3161"/>
      <c r="GX359" s="3161"/>
      <c r="GY359" s="3161"/>
      <c r="GZ359" s="3161"/>
      <c r="HA359" s="3161"/>
      <c r="HB359" s="3161"/>
      <c r="HC359" s="3161"/>
      <c r="HD359" s="3161"/>
      <c r="HE359" s="3161"/>
      <c r="HF359" s="3161"/>
      <c r="HG359" s="3161"/>
      <c r="HH359" s="3161"/>
      <c r="HI359" s="3161"/>
      <c r="HJ359" s="3161"/>
      <c r="HK359" s="3161"/>
      <c r="HL359" s="3161"/>
      <c r="HM359" s="3161"/>
      <c r="HN359" s="3161"/>
      <c r="HO359" s="3161"/>
      <c r="HP359" s="3161"/>
      <c r="HQ359" s="3161"/>
      <c r="HR359" s="3161"/>
      <c r="HS359" s="3161"/>
      <c r="HT359" s="3161"/>
      <c r="HU359" s="3161"/>
      <c r="HV359" s="3161"/>
      <c r="HW359" s="3161"/>
      <c r="HX359" s="3161"/>
      <c r="HY359" s="3161"/>
      <c r="HZ359" s="3161"/>
      <c r="IA359" s="3161"/>
      <c r="IB359" s="3161"/>
      <c r="IC359" s="3161"/>
      <c r="ID359" s="3161"/>
      <c r="IE359" s="3161"/>
      <c r="IF359" s="3161"/>
      <c r="IG359" s="3161"/>
      <c r="IH359" s="3161"/>
      <c r="II359" s="3161"/>
      <c r="IJ359" s="3161"/>
      <c r="IK359" s="3161"/>
      <c r="IL359" s="3161"/>
      <c r="IM359" s="3161"/>
      <c r="IN359" s="3161"/>
      <c r="IO359" s="3161"/>
      <c r="IP359" s="3161"/>
      <c r="IQ359" s="3161"/>
      <c r="IR359" s="3161"/>
      <c r="IS359" s="3161"/>
      <c r="IT359" s="3161"/>
      <c r="IU359" s="3161"/>
      <c r="IV359" s="3161"/>
      <c r="IW359" s="3161"/>
      <c r="IX359" s="3161"/>
      <c r="IY359" s="3161"/>
      <c r="IZ359" s="3161"/>
      <c r="JA359" s="3161"/>
      <c r="JB359" s="3161"/>
      <c r="JC359" s="3161"/>
      <c r="JD359" s="3161"/>
      <c r="JE359" s="3161"/>
      <c r="JF359" s="3161"/>
      <c r="JG359" s="3161"/>
      <c r="JH359" s="3161"/>
      <c r="JI359" s="3161"/>
      <c r="JJ359" s="3161"/>
      <c r="JK359" s="3161"/>
      <c r="JL359" s="3161"/>
      <c r="JM359" s="3161"/>
      <c r="JN359" s="3161"/>
      <c r="JO359" s="3161"/>
      <c r="JP359" s="3161"/>
      <c r="JQ359" s="3161"/>
      <c r="JR359" s="3161"/>
      <c r="JS359" s="3161"/>
      <c r="JT359" s="3161"/>
      <c r="JU359" s="3161"/>
      <c r="JV359" s="3161"/>
      <c r="JW359" s="3161"/>
      <c r="JX359" s="3161"/>
      <c r="JY359" s="3161"/>
      <c r="JZ359" s="3161"/>
      <c r="KA359" s="3161"/>
      <c r="KB359" s="3161"/>
      <c r="KC359" s="3161"/>
      <c r="KD359" s="3161"/>
      <c r="KE359" s="3161"/>
      <c r="KF359" s="3161"/>
    </row>
    <row r="360" spans="1:292" s="3465" customFormat="1" ht="29.25" hidden="1" thickBot="1">
      <c r="A360" s="3456" t="s">
        <v>67</v>
      </c>
      <c r="B360" s="3457">
        <v>45727</v>
      </c>
      <c r="C360" s="3476">
        <v>11</v>
      </c>
      <c r="D360" s="3476">
        <v>230</v>
      </c>
      <c r="E360" s="4546" t="s">
        <v>306</v>
      </c>
      <c r="F360" s="4546" t="s">
        <v>1213</v>
      </c>
      <c r="G360" s="3450" t="s">
        <v>1206</v>
      </c>
      <c r="H360" s="3450" t="s">
        <v>1206</v>
      </c>
      <c r="I360" s="3288">
        <v>705</v>
      </c>
      <c r="J360" s="3458" t="s">
        <v>1669</v>
      </c>
      <c r="K360" s="3458"/>
      <c r="L360" s="1891" t="s">
        <v>37</v>
      </c>
      <c r="M360" s="1891"/>
      <c r="N360" s="3276"/>
      <c r="O360" s="2958"/>
      <c r="P360" s="3276"/>
      <c r="Q360" s="3276"/>
      <c r="R360" s="3276"/>
      <c r="S360" s="3276"/>
      <c r="T360" s="3276"/>
      <c r="U360" s="2958"/>
      <c r="V360" s="3276"/>
      <c r="W360" s="2958"/>
      <c r="X360" s="3276"/>
      <c r="Y360" s="3277"/>
      <c r="Z360" s="3258"/>
      <c r="AA360" s="3161"/>
      <c r="AB360" s="3161"/>
      <c r="AC360" s="3161"/>
      <c r="AD360" s="3161"/>
      <c r="AE360" s="3161"/>
      <c r="AF360" s="3161"/>
      <c r="AG360" s="3161"/>
      <c r="AH360" s="3161"/>
      <c r="AI360" s="3161"/>
      <c r="AJ360" s="3161"/>
      <c r="AK360" s="3161"/>
      <c r="AL360" s="3161"/>
      <c r="AM360" s="3161"/>
      <c r="AN360" s="3161"/>
      <c r="AO360" s="3161"/>
      <c r="AP360" s="3161"/>
      <c r="AQ360" s="3161"/>
      <c r="AR360" s="3161"/>
      <c r="AS360" s="3161"/>
      <c r="AT360" s="3161"/>
      <c r="AU360" s="3161"/>
      <c r="AV360" s="3161"/>
      <c r="AW360" s="3161"/>
      <c r="AX360" s="3161"/>
      <c r="AY360" s="3161"/>
      <c r="AZ360" s="3161"/>
      <c r="BA360" s="3161"/>
      <c r="BB360" s="3161"/>
      <c r="BC360" s="3161"/>
      <c r="BD360" s="3161"/>
      <c r="BE360" s="3161"/>
      <c r="BF360" s="3161"/>
      <c r="BG360" s="3161"/>
      <c r="BH360" s="3161"/>
      <c r="BI360" s="3161"/>
      <c r="BJ360" s="3161"/>
      <c r="BK360" s="3161"/>
      <c r="BL360" s="3161"/>
      <c r="BM360" s="3161"/>
      <c r="BN360" s="3161"/>
      <c r="BO360" s="3161"/>
      <c r="BP360" s="3161"/>
      <c r="BQ360" s="3161"/>
      <c r="BR360" s="3161"/>
      <c r="BS360" s="3161"/>
      <c r="BT360" s="3161"/>
      <c r="BU360" s="3161"/>
      <c r="BV360" s="3161"/>
      <c r="BW360" s="3161"/>
      <c r="BX360" s="3161"/>
      <c r="BY360" s="3161"/>
      <c r="BZ360" s="3161"/>
      <c r="CA360" s="3161"/>
      <c r="CB360" s="3161"/>
      <c r="CC360" s="3161"/>
      <c r="CD360" s="3161"/>
      <c r="CE360" s="3161"/>
      <c r="CF360" s="3161"/>
      <c r="CG360" s="3161"/>
      <c r="CH360" s="3161"/>
      <c r="CI360" s="3161"/>
      <c r="CJ360" s="3161"/>
      <c r="CK360" s="3161"/>
      <c r="CL360" s="3161"/>
      <c r="CM360" s="3161"/>
      <c r="CN360" s="3161"/>
      <c r="CO360" s="3161"/>
      <c r="CP360" s="3161"/>
      <c r="CQ360" s="3161"/>
      <c r="CR360" s="3161"/>
      <c r="CS360" s="3161"/>
      <c r="CT360" s="3161"/>
      <c r="CU360" s="3161"/>
      <c r="CV360" s="3161"/>
      <c r="CW360" s="3161"/>
      <c r="CX360" s="3161"/>
      <c r="CY360" s="3161"/>
      <c r="CZ360" s="3161"/>
      <c r="DA360" s="3161"/>
      <c r="DB360" s="3161"/>
      <c r="DC360" s="3161"/>
      <c r="DD360" s="3161"/>
      <c r="DE360" s="3161"/>
      <c r="DF360" s="3161"/>
      <c r="DG360" s="3161"/>
      <c r="DH360" s="3161"/>
      <c r="DI360" s="3161"/>
      <c r="DJ360" s="3161"/>
      <c r="DK360" s="3161"/>
      <c r="DL360" s="3161"/>
      <c r="DM360" s="3161"/>
      <c r="DN360" s="3161"/>
      <c r="DO360" s="3161"/>
      <c r="DP360" s="3161"/>
      <c r="DQ360" s="3161"/>
      <c r="DR360" s="3161"/>
      <c r="DS360" s="3161"/>
      <c r="DT360" s="3161"/>
      <c r="DU360" s="3161"/>
      <c r="DV360" s="3161"/>
      <c r="DW360" s="3161"/>
      <c r="DX360" s="3161"/>
      <c r="DY360" s="3161"/>
      <c r="DZ360" s="3161"/>
      <c r="EA360" s="3161"/>
      <c r="EB360" s="3161"/>
      <c r="EC360" s="3161"/>
      <c r="ED360" s="3161"/>
      <c r="EE360" s="3161"/>
      <c r="EF360" s="3161"/>
      <c r="EG360" s="3161"/>
      <c r="EH360" s="3161"/>
      <c r="EI360" s="3161"/>
      <c r="EJ360" s="3161"/>
      <c r="EK360" s="3161"/>
      <c r="EL360" s="3161"/>
      <c r="EM360" s="3161"/>
      <c r="EN360" s="3161"/>
      <c r="EO360" s="3161"/>
      <c r="EP360" s="3161"/>
      <c r="EQ360" s="3161"/>
      <c r="ER360" s="3161"/>
      <c r="ES360" s="3161"/>
      <c r="ET360" s="3161"/>
      <c r="EU360" s="3161"/>
      <c r="EV360" s="3161"/>
      <c r="EW360" s="3161"/>
      <c r="EX360" s="3161"/>
      <c r="EY360" s="3161"/>
      <c r="EZ360" s="3161"/>
      <c r="FA360" s="3161"/>
      <c r="FB360" s="3161"/>
      <c r="FC360" s="3161"/>
      <c r="FD360" s="3161"/>
      <c r="FE360" s="3161"/>
      <c r="FF360" s="3161"/>
      <c r="FG360" s="3161"/>
      <c r="FH360" s="3161"/>
      <c r="FI360" s="3161"/>
      <c r="FJ360" s="3161"/>
      <c r="FK360" s="3161"/>
      <c r="FL360" s="3161"/>
      <c r="FM360" s="3161"/>
      <c r="FN360" s="3161"/>
      <c r="FO360" s="3161"/>
      <c r="FP360" s="3161"/>
      <c r="FQ360" s="3161"/>
      <c r="FR360" s="3161"/>
      <c r="FS360" s="3161"/>
      <c r="FT360" s="3161"/>
      <c r="FU360" s="3161"/>
      <c r="FV360" s="3161"/>
      <c r="FW360" s="3161"/>
      <c r="FX360" s="3161"/>
      <c r="FY360" s="3161"/>
      <c r="FZ360" s="3161"/>
      <c r="GA360" s="3161"/>
      <c r="GB360" s="3161"/>
      <c r="GC360" s="3161"/>
      <c r="GD360" s="3161"/>
      <c r="GE360" s="3161"/>
      <c r="GF360" s="3161"/>
      <c r="GG360" s="3161"/>
      <c r="GH360" s="3161"/>
      <c r="GI360" s="3161"/>
      <c r="GJ360" s="3161"/>
      <c r="GK360" s="3161"/>
      <c r="GL360" s="3161"/>
      <c r="GM360" s="3161"/>
      <c r="GN360" s="3161"/>
      <c r="GO360" s="3161"/>
      <c r="GP360" s="3161"/>
      <c r="GQ360" s="3161"/>
      <c r="GR360" s="3161"/>
      <c r="GS360" s="3161"/>
      <c r="GT360" s="3161"/>
      <c r="GU360" s="3161"/>
      <c r="GV360" s="3161"/>
      <c r="GW360" s="3161"/>
      <c r="GX360" s="3161"/>
      <c r="GY360" s="3161"/>
      <c r="GZ360" s="3161"/>
      <c r="HA360" s="3161"/>
      <c r="HB360" s="3161"/>
      <c r="HC360" s="3161"/>
      <c r="HD360" s="3161"/>
      <c r="HE360" s="3161"/>
      <c r="HF360" s="3161"/>
      <c r="HG360" s="3161"/>
      <c r="HH360" s="3161"/>
      <c r="HI360" s="3161"/>
      <c r="HJ360" s="3161"/>
      <c r="HK360" s="3161"/>
      <c r="HL360" s="3161"/>
      <c r="HM360" s="3161"/>
      <c r="HN360" s="3161"/>
      <c r="HO360" s="3161"/>
      <c r="HP360" s="3161"/>
      <c r="HQ360" s="3161"/>
      <c r="HR360" s="3161"/>
      <c r="HS360" s="3161"/>
      <c r="HT360" s="3161"/>
      <c r="HU360" s="3161"/>
      <c r="HV360" s="3161"/>
      <c r="HW360" s="3161"/>
      <c r="HX360" s="3161"/>
      <c r="HY360" s="3161"/>
      <c r="HZ360" s="3161"/>
      <c r="IA360" s="3161"/>
      <c r="IB360" s="3161"/>
      <c r="IC360" s="3161"/>
      <c r="ID360" s="3161"/>
      <c r="IE360" s="3161"/>
      <c r="IF360" s="3161"/>
      <c r="IG360" s="3161"/>
      <c r="IH360" s="3161"/>
      <c r="II360" s="3161"/>
      <c r="IJ360" s="3161"/>
      <c r="IK360" s="3161"/>
      <c r="IL360" s="3161"/>
      <c r="IM360" s="3161"/>
      <c r="IN360" s="3161"/>
      <c r="IO360" s="3161"/>
      <c r="IP360" s="3161"/>
      <c r="IQ360" s="3161"/>
      <c r="IR360" s="3161"/>
      <c r="IS360" s="3161"/>
      <c r="IT360" s="3161"/>
      <c r="IU360" s="3161"/>
      <c r="IV360" s="3161"/>
      <c r="IW360" s="3161"/>
      <c r="IX360" s="3161"/>
      <c r="IY360" s="3161"/>
      <c r="IZ360" s="3161"/>
      <c r="JA360" s="3161"/>
      <c r="JB360" s="3161"/>
      <c r="JC360" s="3161"/>
      <c r="JD360" s="3161"/>
      <c r="JE360" s="3161"/>
      <c r="JF360" s="3161"/>
      <c r="JG360" s="3161"/>
      <c r="JH360" s="3161"/>
      <c r="JI360" s="3161"/>
      <c r="JJ360" s="3161"/>
      <c r="JK360" s="3161"/>
      <c r="JL360" s="3161"/>
      <c r="JM360" s="3161"/>
      <c r="JN360" s="3161"/>
      <c r="JO360" s="3161"/>
      <c r="JP360" s="3161"/>
      <c r="JQ360" s="3161"/>
      <c r="JR360" s="3161"/>
      <c r="JS360" s="3161"/>
      <c r="JT360" s="3161"/>
      <c r="JU360" s="3161"/>
      <c r="JV360" s="3161"/>
      <c r="JW360" s="3161"/>
      <c r="JX360" s="3161"/>
      <c r="JY360" s="3161"/>
      <c r="JZ360" s="3161"/>
      <c r="KA360" s="3161"/>
      <c r="KB360" s="3161"/>
      <c r="KC360" s="3161"/>
      <c r="KD360" s="3161"/>
      <c r="KE360" s="3161"/>
      <c r="KF360" s="3161"/>
    </row>
    <row r="361" spans="1:292" s="3465" customFormat="1" ht="29.25" hidden="1" thickBot="1">
      <c r="A361" s="3443" t="s">
        <v>67</v>
      </c>
      <c r="B361" s="3444">
        <v>45727</v>
      </c>
      <c r="C361" s="3471">
        <v>11</v>
      </c>
      <c r="D361" s="3471"/>
      <c r="E361" s="4387" t="s">
        <v>1213</v>
      </c>
      <c r="F361" s="4387" t="s">
        <v>306</v>
      </c>
      <c r="G361" s="3453" t="s">
        <v>1199</v>
      </c>
      <c r="H361" s="3453" t="s">
        <v>1199</v>
      </c>
      <c r="I361" s="3288">
        <v>705</v>
      </c>
      <c r="J361" s="3446" t="s">
        <v>1669</v>
      </c>
      <c r="K361" s="3446"/>
      <c r="L361" s="1357" t="s">
        <v>37</v>
      </c>
      <c r="M361" s="1357"/>
      <c r="N361" s="3160"/>
      <c r="O361" s="2959"/>
      <c r="P361" s="3160"/>
      <c r="Q361" s="3160"/>
      <c r="R361" s="3160"/>
      <c r="S361" s="3160"/>
      <c r="T361" s="3160"/>
      <c r="U361" s="2959"/>
      <c r="V361" s="3160"/>
      <c r="W361" s="2959"/>
      <c r="X361" s="3160"/>
      <c r="Y361" s="3156"/>
      <c r="Z361" s="3258"/>
      <c r="AA361" s="3161"/>
      <c r="AB361" s="3161"/>
      <c r="AC361" s="3161"/>
      <c r="AD361" s="3161"/>
      <c r="AE361" s="3161"/>
      <c r="AF361" s="3161"/>
      <c r="AG361" s="3161"/>
      <c r="AH361" s="3161"/>
      <c r="AI361" s="3161"/>
      <c r="AJ361" s="3161"/>
      <c r="AK361" s="3161"/>
      <c r="AL361" s="3161"/>
      <c r="AM361" s="3161"/>
      <c r="AN361" s="3161"/>
      <c r="AO361" s="3161"/>
      <c r="AP361" s="3161"/>
      <c r="AQ361" s="3161"/>
      <c r="AR361" s="3161"/>
      <c r="AS361" s="3161"/>
      <c r="AT361" s="3161"/>
      <c r="AU361" s="3161"/>
      <c r="AV361" s="3161"/>
      <c r="AW361" s="3161"/>
      <c r="AX361" s="3161"/>
      <c r="AY361" s="3161"/>
      <c r="AZ361" s="3161"/>
      <c r="BA361" s="3161"/>
      <c r="BB361" s="3161"/>
      <c r="BC361" s="3161"/>
      <c r="BD361" s="3161"/>
      <c r="BE361" s="3161"/>
      <c r="BF361" s="3161"/>
      <c r="BG361" s="3161"/>
      <c r="BH361" s="3161"/>
      <c r="BI361" s="3161"/>
      <c r="BJ361" s="3161"/>
      <c r="BK361" s="3161"/>
      <c r="BL361" s="3161"/>
      <c r="BM361" s="3161"/>
      <c r="BN361" s="3161"/>
      <c r="BO361" s="3161"/>
      <c r="BP361" s="3161"/>
      <c r="BQ361" s="3161"/>
      <c r="BR361" s="3161"/>
      <c r="BS361" s="3161"/>
      <c r="BT361" s="3161"/>
      <c r="BU361" s="3161"/>
      <c r="BV361" s="3161"/>
      <c r="BW361" s="3161"/>
      <c r="BX361" s="3161"/>
      <c r="BY361" s="3161"/>
      <c r="BZ361" s="3161"/>
      <c r="CA361" s="3161"/>
      <c r="CB361" s="3161"/>
      <c r="CC361" s="3161"/>
      <c r="CD361" s="3161"/>
      <c r="CE361" s="3161"/>
      <c r="CF361" s="3161"/>
      <c r="CG361" s="3161"/>
      <c r="CH361" s="3161"/>
      <c r="CI361" s="3161"/>
      <c r="CJ361" s="3161"/>
      <c r="CK361" s="3161"/>
      <c r="CL361" s="3161"/>
      <c r="CM361" s="3161"/>
      <c r="CN361" s="3161"/>
      <c r="CO361" s="3161"/>
      <c r="CP361" s="3161"/>
      <c r="CQ361" s="3161"/>
      <c r="CR361" s="3161"/>
      <c r="CS361" s="3161"/>
      <c r="CT361" s="3161"/>
      <c r="CU361" s="3161"/>
      <c r="CV361" s="3161"/>
      <c r="CW361" s="3161"/>
      <c r="CX361" s="3161"/>
      <c r="CY361" s="3161"/>
      <c r="CZ361" s="3161"/>
      <c r="DA361" s="3161"/>
      <c r="DB361" s="3161"/>
      <c r="DC361" s="3161"/>
      <c r="DD361" s="3161"/>
      <c r="DE361" s="3161"/>
      <c r="DF361" s="3161"/>
      <c r="DG361" s="3161"/>
      <c r="DH361" s="3161"/>
      <c r="DI361" s="3161"/>
      <c r="DJ361" s="3161"/>
      <c r="DK361" s="3161"/>
      <c r="DL361" s="3161"/>
      <c r="DM361" s="3161"/>
      <c r="DN361" s="3161"/>
      <c r="DO361" s="3161"/>
      <c r="DP361" s="3161"/>
      <c r="DQ361" s="3161"/>
      <c r="DR361" s="3161"/>
      <c r="DS361" s="3161"/>
      <c r="DT361" s="3161"/>
      <c r="DU361" s="3161"/>
      <c r="DV361" s="3161"/>
      <c r="DW361" s="3161"/>
      <c r="DX361" s="3161"/>
      <c r="DY361" s="3161"/>
      <c r="DZ361" s="3161"/>
      <c r="EA361" s="3161"/>
      <c r="EB361" s="3161"/>
      <c r="EC361" s="3161"/>
      <c r="ED361" s="3161"/>
      <c r="EE361" s="3161"/>
      <c r="EF361" s="3161"/>
      <c r="EG361" s="3161"/>
      <c r="EH361" s="3161"/>
      <c r="EI361" s="3161"/>
      <c r="EJ361" s="3161"/>
      <c r="EK361" s="3161"/>
      <c r="EL361" s="3161"/>
      <c r="EM361" s="3161"/>
      <c r="EN361" s="3161"/>
      <c r="EO361" s="3161"/>
      <c r="EP361" s="3161"/>
      <c r="EQ361" s="3161"/>
      <c r="ER361" s="3161"/>
      <c r="ES361" s="3161"/>
      <c r="ET361" s="3161"/>
      <c r="EU361" s="3161"/>
      <c r="EV361" s="3161"/>
      <c r="EW361" s="3161"/>
      <c r="EX361" s="3161"/>
      <c r="EY361" s="3161"/>
      <c r="EZ361" s="3161"/>
      <c r="FA361" s="3161"/>
      <c r="FB361" s="3161"/>
      <c r="FC361" s="3161"/>
      <c r="FD361" s="3161"/>
      <c r="FE361" s="3161"/>
      <c r="FF361" s="3161"/>
      <c r="FG361" s="3161"/>
      <c r="FH361" s="3161"/>
      <c r="FI361" s="3161"/>
      <c r="FJ361" s="3161"/>
      <c r="FK361" s="3161"/>
      <c r="FL361" s="3161"/>
      <c r="FM361" s="3161"/>
      <c r="FN361" s="3161"/>
      <c r="FO361" s="3161"/>
      <c r="FP361" s="3161"/>
      <c r="FQ361" s="3161"/>
      <c r="FR361" s="3161"/>
      <c r="FS361" s="3161"/>
      <c r="FT361" s="3161"/>
      <c r="FU361" s="3161"/>
      <c r="FV361" s="3161"/>
      <c r="FW361" s="3161"/>
      <c r="FX361" s="3161"/>
      <c r="FY361" s="3161"/>
      <c r="FZ361" s="3161"/>
      <c r="GA361" s="3161"/>
      <c r="GB361" s="3161"/>
      <c r="GC361" s="3161"/>
      <c r="GD361" s="3161"/>
      <c r="GE361" s="3161"/>
      <c r="GF361" s="3161"/>
      <c r="GG361" s="3161"/>
      <c r="GH361" s="3161"/>
      <c r="GI361" s="3161"/>
      <c r="GJ361" s="3161"/>
      <c r="GK361" s="3161"/>
      <c r="GL361" s="3161"/>
      <c r="GM361" s="3161"/>
      <c r="GN361" s="3161"/>
      <c r="GO361" s="3161"/>
      <c r="GP361" s="3161"/>
      <c r="GQ361" s="3161"/>
      <c r="GR361" s="3161"/>
      <c r="GS361" s="3161"/>
      <c r="GT361" s="3161"/>
      <c r="GU361" s="3161"/>
      <c r="GV361" s="3161"/>
      <c r="GW361" s="3161"/>
      <c r="GX361" s="3161"/>
      <c r="GY361" s="3161"/>
      <c r="GZ361" s="3161"/>
      <c r="HA361" s="3161"/>
      <c r="HB361" s="3161"/>
      <c r="HC361" s="3161"/>
      <c r="HD361" s="3161"/>
      <c r="HE361" s="3161"/>
      <c r="HF361" s="3161"/>
      <c r="HG361" s="3161"/>
      <c r="HH361" s="3161"/>
      <c r="HI361" s="3161"/>
      <c r="HJ361" s="3161"/>
      <c r="HK361" s="3161"/>
      <c r="HL361" s="3161"/>
      <c r="HM361" s="3161"/>
      <c r="HN361" s="3161"/>
      <c r="HO361" s="3161"/>
      <c r="HP361" s="3161"/>
      <c r="HQ361" s="3161"/>
      <c r="HR361" s="3161"/>
      <c r="HS361" s="3161"/>
      <c r="HT361" s="3161"/>
      <c r="HU361" s="3161"/>
      <c r="HV361" s="3161"/>
      <c r="HW361" s="3161"/>
      <c r="HX361" s="3161"/>
      <c r="HY361" s="3161"/>
      <c r="HZ361" s="3161"/>
      <c r="IA361" s="3161"/>
      <c r="IB361" s="3161"/>
      <c r="IC361" s="3161"/>
      <c r="ID361" s="3161"/>
      <c r="IE361" s="3161"/>
      <c r="IF361" s="3161"/>
      <c r="IG361" s="3161"/>
      <c r="IH361" s="3161"/>
      <c r="II361" s="3161"/>
      <c r="IJ361" s="3161"/>
      <c r="IK361" s="3161"/>
      <c r="IL361" s="3161"/>
      <c r="IM361" s="3161"/>
      <c r="IN361" s="3161"/>
      <c r="IO361" s="3161"/>
      <c r="IP361" s="3161"/>
      <c r="IQ361" s="3161"/>
      <c r="IR361" s="3161"/>
      <c r="IS361" s="3161"/>
      <c r="IT361" s="3161"/>
      <c r="IU361" s="3161"/>
      <c r="IV361" s="3161"/>
      <c r="IW361" s="3161"/>
      <c r="IX361" s="3161"/>
      <c r="IY361" s="3161"/>
      <c r="IZ361" s="3161"/>
      <c r="JA361" s="3161"/>
      <c r="JB361" s="3161"/>
      <c r="JC361" s="3161"/>
      <c r="JD361" s="3161"/>
      <c r="JE361" s="3161"/>
      <c r="JF361" s="3161"/>
      <c r="JG361" s="3161"/>
      <c r="JH361" s="3161"/>
      <c r="JI361" s="3161"/>
      <c r="JJ361" s="3161"/>
      <c r="JK361" s="3161"/>
      <c r="JL361" s="3161"/>
      <c r="JM361" s="3161"/>
      <c r="JN361" s="3161"/>
      <c r="JO361" s="3161"/>
      <c r="JP361" s="3161"/>
      <c r="JQ361" s="3161"/>
      <c r="JR361" s="3161"/>
      <c r="JS361" s="3161"/>
      <c r="JT361" s="3161"/>
      <c r="JU361" s="3161"/>
      <c r="JV361" s="3161"/>
      <c r="JW361" s="3161"/>
      <c r="JX361" s="3161"/>
      <c r="JY361" s="3161"/>
      <c r="JZ361" s="3161"/>
      <c r="KA361" s="3161"/>
      <c r="KB361" s="3161"/>
      <c r="KC361" s="3161"/>
      <c r="KD361" s="3161"/>
      <c r="KE361" s="3161"/>
      <c r="KF361" s="3161"/>
    </row>
    <row r="362" spans="1:292" s="3465" customFormat="1" ht="29.25" hidden="1" thickBot="1">
      <c r="A362" s="3443" t="s">
        <v>85</v>
      </c>
      <c r="B362" s="3444">
        <v>45728</v>
      </c>
      <c r="C362" s="3471">
        <v>11</v>
      </c>
      <c r="D362" s="3471">
        <v>231</v>
      </c>
      <c r="E362" s="4379" t="s">
        <v>80</v>
      </c>
      <c r="F362" s="4379" t="s">
        <v>204</v>
      </c>
      <c r="G362" s="3445" t="s">
        <v>1206</v>
      </c>
      <c r="H362" s="3445" t="s">
        <v>1206</v>
      </c>
      <c r="I362" s="3443">
        <v>712</v>
      </c>
      <c r="J362" s="3446">
        <v>60093</v>
      </c>
      <c r="K362" s="3446"/>
      <c r="L362" s="1357" t="s">
        <v>30</v>
      </c>
      <c r="M362" s="1357"/>
      <c r="N362" s="3160"/>
      <c r="O362" s="2959"/>
      <c r="P362" s="3160"/>
      <c r="Q362" s="3160"/>
      <c r="R362" s="3160"/>
      <c r="S362" s="3160"/>
      <c r="T362" s="3160"/>
      <c r="U362" s="2959"/>
      <c r="V362" s="3160"/>
      <c r="W362" s="2959"/>
      <c r="X362" s="3160"/>
      <c r="Y362" s="3156"/>
      <c r="Z362" s="3258"/>
      <c r="AA362" s="3161"/>
      <c r="AB362" s="3161"/>
      <c r="AC362" s="3161"/>
      <c r="AD362" s="3161"/>
      <c r="AE362" s="3161"/>
      <c r="AF362" s="3161"/>
      <c r="AG362" s="3161"/>
      <c r="AH362" s="3161"/>
      <c r="AI362" s="3161"/>
      <c r="AJ362" s="3161"/>
      <c r="AK362" s="3161"/>
      <c r="AL362" s="3161"/>
      <c r="AM362" s="3161"/>
      <c r="AN362" s="3161"/>
      <c r="AO362" s="3161"/>
      <c r="AP362" s="3161"/>
      <c r="AQ362" s="3161"/>
      <c r="AR362" s="3161"/>
      <c r="AS362" s="3161"/>
      <c r="AT362" s="3161"/>
      <c r="AU362" s="3161"/>
      <c r="AV362" s="3161"/>
      <c r="AW362" s="3161"/>
      <c r="AX362" s="3161"/>
      <c r="AY362" s="3161"/>
      <c r="AZ362" s="3161"/>
      <c r="BA362" s="3161"/>
      <c r="BB362" s="3161"/>
      <c r="BC362" s="3161"/>
      <c r="BD362" s="3161"/>
      <c r="BE362" s="3161"/>
      <c r="BF362" s="3161"/>
      <c r="BG362" s="3161"/>
      <c r="BH362" s="3161"/>
      <c r="BI362" s="3161"/>
      <c r="BJ362" s="3161"/>
      <c r="BK362" s="3161"/>
      <c r="BL362" s="3161"/>
      <c r="BM362" s="3161"/>
      <c r="BN362" s="3161"/>
      <c r="BO362" s="3161"/>
      <c r="BP362" s="3161"/>
      <c r="BQ362" s="3161"/>
      <c r="BR362" s="3161"/>
      <c r="BS362" s="3161"/>
      <c r="BT362" s="3161"/>
      <c r="BU362" s="3161"/>
      <c r="BV362" s="3161"/>
      <c r="BW362" s="3161"/>
      <c r="BX362" s="3161"/>
      <c r="BY362" s="3161"/>
      <c r="BZ362" s="3161"/>
      <c r="CA362" s="3161"/>
      <c r="CB362" s="3161"/>
      <c r="CC362" s="3161"/>
      <c r="CD362" s="3161"/>
      <c r="CE362" s="3161"/>
      <c r="CF362" s="3161"/>
      <c r="CG362" s="3161"/>
      <c r="CH362" s="3161"/>
      <c r="CI362" s="3161"/>
      <c r="CJ362" s="3161"/>
      <c r="CK362" s="3161"/>
      <c r="CL362" s="3161"/>
      <c r="CM362" s="3161"/>
      <c r="CN362" s="3161"/>
      <c r="CO362" s="3161"/>
      <c r="CP362" s="3161"/>
      <c r="CQ362" s="3161"/>
      <c r="CR362" s="3161"/>
      <c r="CS362" s="3161"/>
      <c r="CT362" s="3161"/>
      <c r="CU362" s="3161"/>
      <c r="CV362" s="3161"/>
      <c r="CW362" s="3161"/>
      <c r="CX362" s="3161"/>
      <c r="CY362" s="3161"/>
      <c r="CZ362" s="3161"/>
      <c r="DA362" s="3161"/>
      <c r="DB362" s="3161"/>
      <c r="DC362" s="3161"/>
      <c r="DD362" s="3161"/>
      <c r="DE362" s="3161"/>
      <c r="DF362" s="3161"/>
      <c r="DG362" s="3161"/>
      <c r="DH362" s="3161"/>
      <c r="DI362" s="3161"/>
      <c r="DJ362" s="3161"/>
      <c r="DK362" s="3161"/>
      <c r="DL362" s="3161"/>
      <c r="DM362" s="3161"/>
      <c r="DN362" s="3161"/>
      <c r="DO362" s="3161"/>
      <c r="DP362" s="3161"/>
      <c r="DQ362" s="3161"/>
      <c r="DR362" s="3161"/>
      <c r="DS362" s="3161"/>
      <c r="DT362" s="3161"/>
      <c r="DU362" s="3161"/>
      <c r="DV362" s="3161"/>
      <c r="DW362" s="3161"/>
      <c r="DX362" s="3161"/>
      <c r="DY362" s="3161"/>
      <c r="DZ362" s="3161"/>
      <c r="EA362" s="3161"/>
      <c r="EB362" s="3161"/>
      <c r="EC362" s="3161"/>
      <c r="ED362" s="3161"/>
      <c r="EE362" s="3161"/>
      <c r="EF362" s="3161"/>
      <c r="EG362" s="3161"/>
      <c r="EH362" s="3161"/>
      <c r="EI362" s="3161"/>
      <c r="EJ362" s="3161"/>
      <c r="EK362" s="3161"/>
      <c r="EL362" s="3161"/>
      <c r="EM362" s="3161"/>
      <c r="EN362" s="3161"/>
      <c r="EO362" s="3161"/>
      <c r="EP362" s="3161"/>
      <c r="EQ362" s="3161"/>
      <c r="ER362" s="3161"/>
      <c r="ES362" s="3161"/>
      <c r="ET362" s="3161"/>
      <c r="EU362" s="3161"/>
      <c r="EV362" s="3161"/>
      <c r="EW362" s="3161"/>
      <c r="EX362" s="3161"/>
      <c r="EY362" s="3161"/>
      <c r="EZ362" s="3161"/>
      <c r="FA362" s="3161"/>
      <c r="FB362" s="3161"/>
      <c r="FC362" s="3161"/>
      <c r="FD362" s="3161"/>
      <c r="FE362" s="3161"/>
      <c r="FF362" s="3161"/>
      <c r="FG362" s="3161"/>
      <c r="FH362" s="3161"/>
      <c r="FI362" s="3161"/>
      <c r="FJ362" s="3161"/>
      <c r="FK362" s="3161"/>
      <c r="FL362" s="3161"/>
      <c r="FM362" s="3161"/>
      <c r="FN362" s="3161"/>
      <c r="FO362" s="3161"/>
      <c r="FP362" s="3161"/>
      <c r="FQ362" s="3161"/>
      <c r="FR362" s="3161"/>
      <c r="FS362" s="3161"/>
      <c r="FT362" s="3161"/>
      <c r="FU362" s="3161"/>
      <c r="FV362" s="3161"/>
      <c r="FW362" s="3161"/>
      <c r="FX362" s="3161"/>
      <c r="FY362" s="3161"/>
      <c r="FZ362" s="3161"/>
      <c r="GA362" s="3161"/>
      <c r="GB362" s="3161"/>
      <c r="GC362" s="3161"/>
      <c r="GD362" s="3161"/>
      <c r="GE362" s="3161"/>
      <c r="GF362" s="3161"/>
      <c r="GG362" s="3161"/>
      <c r="GH362" s="3161"/>
      <c r="GI362" s="3161"/>
      <c r="GJ362" s="3161"/>
      <c r="GK362" s="3161"/>
      <c r="GL362" s="3161"/>
      <c r="GM362" s="3161"/>
      <c r="GN362" s="3161"/>
      <c r="GO362" s="3161"/>
      <c r="GP362" s="3161"/>
      <c r="GQ362" s="3161"/>
      <c r="GR362" s="3161"/>
      <c r="GS362" s="3161"/>
      <c r="GT362" s="3161"/>
      <c r="GU362" s="3161"/>
      <c r="GV362" s="3161"/>
      <c r="GW362" s="3161"/>
      <c r="GX362" s="3161"/>
      <c r="GY362" s="3161"/>
      <c r="GZ362" s="3161"/>
      <c r="HA362" s="3161"/>
      <c r="HB362" s="3161"/>
      <c r="HC362" s="3161"/>
      <c r="HD362" s="3161"/>
      <c r="HE362" s="3161"/>
      <c r="HF362" s="3161"/>
      <c r="HG362" s="3161"/>
      <c r="HH362" s="3161"/>
      <c r="HI362" s="3161"/>
      <c r="HJ362" s="3161"/>
      <c r="HK362" s="3161"/>
      <c r="HL362" s="3161"/>
      <c r="HM362" s="3161"/>
      <c r="HN362" s="3161"/>
      <c r="HO362" s="3161"/>
      <c r="HP362" s="3161"/>
      <c r="HQ362" s="3161"/>
      <c r="HR362" s="3161"/>
      <c r="HS362" s="3161"/>
      <c r="HT362" s="3161"/>
      <c r="HU362" s="3161"/>
      <c r="HV362" s="3161"/>
      <c r="HW362" s="3161"/>
      <c r="HX362" s="3161"/>
      <c r="HY362" s="3161"/>
      <c r="HZ362" s="3161"/>
      <c r="IA362" s="3161"/>
      <c r="IB362" s="3161"/>
      <c r="IC362" s="3161"/>
      <c r="ID362" s="3161"/>
      <c r="IE362" s="3161"/>
      <c r="IF362" s="3161"/>
      <c r="IG362" s="3161"/>
      <c r="IH362" s="3161"/>
      <c r="II362" s="3161"/>
      <c r="IJ362" s="3161"/>
      <c r="IK362" s="3161"/>
      <c r="IL362" s="3161"/>
      <c r="IM362" s="3161"/>
      <c r="IN362" s="3161"/>
      <c r="IO362" s="3161"/>
      <c r="IP362" s="3161"/>
      <c r="IQ362" s="3161"/>
      <c r="IR362" s="3161"/>
      <c r="IS362" s="3161"/>
      <c r="IT362" s="3161"/>
      <c r="IU362" s="3161"/>
      <c r="IV362" s="3161"/>
      <c r="IW362" s="3161"/>
      <c r="IX362" s="3161"/>
      <c r="IY362" s="3161"/>
      <c r="IZ362" s="3161"/>
      <c r="JA362" s="3161"/>
      <c r="JB362" s="3161"/>
      <c r="JC362" s="3161"/>
      <c r="JD362" s="3161"/>
      <c r="JE362" s="3161"/>
      <c r="JF362" s="3161"/>
      <c r="JG362" s="3161"/>
      <c r="JH362" s="3161"/>
      <c r="JI362" s="3161"/>
      <c r="JJ362" s="3161"/>
      <c r="JK362" s="3161"/>
      <c r="JL362" s="3161"/>
      <c r="JM362" s="3161"/>
      <c r="JN362" s="3161"/>
      <c r="JO362" s="3161"/>
      <c r="JP362" s="3161"/>
      <c r="JQ362" s="3161"/>
      <c r="JR362" s="3161"/>
      <c r="JS362" s="3161"/>
      <c r="JT362" s="3161"/>
      <c r="JU362" s="3161"/>
      <c r="JV362" s="3161"/>
      <c r="JW362" s="3161"/>
      <c r="JX362" s="3161"/>
      <c r="JY362" s="3161"/>
      <c r="JZ362" s="3161"/>
      <c r="KA362" s="3161"/>
      <c r="KB362" s="3161"/>
      <c r="KC362" s="3161"/>
      <c r="KD362" s="3161"/>
      <c r="KE362" s="3161"/>
      <c r="KF362" s="3161"/>
    </row>
    <row r="363" spans="1:292" s="3465" customFormat="1" ht="29.25" hidden="1" thickBot="1">
      <c r="A363" s="3443" t="s">
        <v>85</v>
      </c>
      <c r="B363" s="3444">
        <v>45728</v>
      </c>
      <c r="C363" s="3471">
        <v>11</v>
      </c>
      <c r="D363" s="3471">
        <v>232</v>
      </c>
      <c r="E363" s="4379" t="s">
        <v>586</v>
      </c>
      <c r="F363" s="4379" t="s">
        <v>258</v>
      </c>
      <c r="G363" s="3445" t="s">
        <v>1206</v>
      </c>
      <c r="H363" s="3450" t="s">
        <v>1206</v>
      </c>
      <c r="I363" s="3288">
        <v>709</v>
      </c>
      <c r="J363" s="3446" t="s">
        <v>1670</v>
      </c>
      <c r="K363" s="3446"/>
      <c r="L363" s="1357" t="s">
        <v>30</v>
      </c>
      <c r="M363" s="1357"/>
      <c r="N363" s="3160"/>
      <c r="O363" s="2959"/>
      <c r="P363" s="3160"/>
      <c r="Q363" s="3160"/>
      <c r="R363" s="3160"/>
      <c r="S363" s="3160"/>
      <c r="T363" s="3160"/>
      <c r="U363" s="2959"/>
      <c r="V363" s="3160"/>
      <c r="W363" s="2959"/>
      <c r="X363" s="3160"/>
      <c r="Y363" s="3156"/>
      <c r="Z363" s="3258"/>
      <c r="AA363" s="3161"/>
      <c r="AB363" s="3161"/>
      <c r="AC363" s="3161"/>
      <c r="AD363" s="3161"/>
      <c r="AE363" s="3161"/>
      <c r="AF363" s="3161"/>
      <c r="AG363" s="3161"/>
      <c r="AH363" s="3161"/>
      <c r="AI363" s="3161"/>
      <c r="AJ363" s="3161"/>
      <c r="AK363" s="3161"/>
      <c r="AL363" s="3161"/>
      <c r="AM363" s="3161"/>
      <c r="AN363" s="3161"/>
      <c r="AO363" s="3161"/>
      <c r="AP363" s="3161"/>
      <c r="AQ363" s="3161"/>
      <c r="AR363" s="3161"/>
      <c r="AS363" s="3161"/>
      <c r="AT363" s="3161"/>
      <c r="AU363" s="3161"/>
      <c r="AV363" s="3161"/>
      <c r="AW363" s="3161"/>
      <c r="AX363" s="3161"/>
      <c r="AY363" s="3161"/>
      <c r="AZ363" s="3161"/>
      <c r="BA363" s="3161"/>
      <c r="BB363" s="3161"/>
      <c r="BC363" s="3161"/>
      <c r="BD363" s="3161"/>
      <c r="BE363" s="3161"/>
      <c r="BF363" s="3161"/>
      <c r="BG363" s="3161"/>
      <c r="BH363" s="3161"/>
      <c r="BI363" s="3161"/>
      <c r="BJ363" s="3161"/>
      <c r="BK363" s="3161"/>
      <c r="BL363" s="3161"/>
      <c r="BM363" s="3161"/>
      <c r="BN363" s="3161"/>
      <c r="BO363" s="3161"/>
      <c r="BP363" s="3161"/>
      <c r="BQ363" s="3161"/>
      <c r="BR363" s="3161"/>
      <c r="BS363" s="3161"/>
      <c r="BT363" s="3161"/>
      <c r="BU363" s="3161"/>
      <c r="BV363" s="3161"/>
      <c r="BW363" s="3161"/>
      <c r="BX363" s="3161"/>
      <c r="BY363" s="3161"/>
      <c r="BZ363" s="3161"/>
      <c r="CA363" s="3161"/>
      <c r="CB363" s="3161"/>
      <c r="CC363" s="3161"/>
      <c r="CD363" s="3161"/>
      <c r="CE363" s="3161"/>
      <c r="CF363" s="3161"/>
      <c r="CG363" s="3161"/>
      <c r="CH363" s="3161"/>
      <c r="CI363" s="3161"/>
      <c r="CJ363" s="3161"/>
      <c r="CK363" s="3161"/>
      <c r="CL363" s="3161"/>
      <c r="CM363" s="3161"/>
      <c r="CN363" s="3161"/>
      <c r="CO363" s="3161"/>
      <c r="CP363" s="3161"/>
      <c r="CQ363" s="3161"/>
      <c r="CR363" s="3161"/>
      <c r="CS363" s="3161"/>
      <c r="CT363" s="3161"/>
      <c r="CU363" s="3161"/>
      <c r="CV363" s="3161"/>
      <c r="CW363" s="3161"/>
      <c r="CX363" s="3161"/>
      <c r="CY363" s="3161"/>
      <c r="CZ363" s="3161"/>
      <c r="DA363" s="3161"/>
      <c r="DB363" s="3161"/>
      <c r="DC363" s="3161"/>
      <c r="DD363" s="3161"/>
      <c r="DE363" s="3161"/>
      <c r="DF363" s="3161"/>
      <c r="DG363" s="3161"/>
      <c r="DH363" s="3161"/>
      <c r="DI363" s="3161"/>
      <c r="DJ363" s="3161"/>
      <c r="DK363" s="3161"/>
      <c r="DL363" s="3161"/>
      <c r="DM363" s="3161"/>
      <c r="DN363" s="3161"/>
      <c r="DO363" s="3161"/>
      <c r="DP363" s="3161"/>
      <c r="DQ363" s="3161"/>
      <c r="DR363" s="3161"/>
      <c r="DS363" s="3161"/>
      <c r="DT363" s="3161"/>
      <c r="DU363" s="3161"/>
      <c r="DV363" s="3161"/>
      <c r="DW363" s="3161"/>
      <c r="DX363" s="3161"/>
      <c r="DY363" s="3161"/>
      <c r="DZ363" s="3161"/>
      <c r="EA363" s="3161"/>
      <c r="EB363" s="3161"/>
      <c r="EC363" s="3161"/>
      <c r="ED363" s="3161"/>
      <c r="EE363" s="3161"/>
      <c r="EF363" s="3161"/>
      <c r="EG363" s="3161"/>
      <c r="EH363" s="3161"/>
      <c r="EI363" s="3161"/>
      <c r="EJ363" s="3161"/>
      <c r="EK363" s="3161"/>
      <c r="EL363" s="3161"/>
      <c r="EM363" s="3161"/>
      <c r="EN363" s="3161"/>
      <c r="EO363" s="3161"/>
      <c r="EP363" s="3161"/>
      <c r="EQ363" s="3161"/>
      <c r="ER363" s="3161"/>
      <c r="ES363" s="3161"/>
      <c r="ET363" s="3161"/>
      <c r="EU363" s="3161"/>
      <c r="EV363" s="3161"/>
      <c r="EW363" s="3161"/>
      <c r="EX363" s="3161"/>
      <c r="EY363" s="3161"/>
      <c r="EZ363" s="3161"/>
      <c r="FA363" s="3161"/>
      <c r="FB363" s="3161"/>
      <c r="FC363" s="3161"/>
      <c r="FD363" s="3161"/>
      <c r="FE363" s="3161"/>
      <c r="FF363" s="3161"/>
      <c r="FG363" s="3161"/>
      <c r="FH363" s="3161"/>
      <c r="FI363" s="3161"/>
      <c r="FJ363" s="3161"/>
      <c r="FK363" s="3161"/>
      <c r="FL363" s="3161"/>
      <c r="FM363" s="3161"/>
      <c r="FN363" s="3161"/>
      <c r="FO363" s="3161"/>
      <c r="FP363" s="3161"/>
      <c r="FQ363" s="3161"/>
      <c r="FR363" s="3161"/>
      <c r="FS363" s="3161"/>
      <c r="FT363" s="3161"/>
      <c r="FU363" s="3161"/>
      <c r="FV363" s="3161"/>
      <c r="FW363" s="3161"/>
      <c r="FX363" s="3161"/>
      <c r="FY363" s="3161"/>
      <c r="FZ363" s="3161"/>
      <c r="GA363" s="3161"/>
      <c r="GB363" s="3161"/>
      <c r="GC363" s="3161"/>
      <c r="GD363" s="3161"/>
      <c r="GE363" s="3161"/>
      <c r="GF363" s="3161"/>
      <c r="GG363" s="3161"/>
      <c r="GH363" s="3161"/>
      <c r="GI363" s="3161"/>
      <c r="GJ363" s="3161"/>
      <c r="GK363" s="3161"/>
      <c r="GL363" s="3161"/>
      <c r="GM363" s="3161"/>
      <c r="GN363" s="3161"/>
      <c r="GO363" s="3161"/>
      <c r="GP363" s="3161"/>
      <c r="GQ363" s="3161"/>
      <c r="GR363" s="3161"/>
      <c r="GS363" s="3161"/>
      <c r="GT363" s="3161"/>
      <c r="GU363" s="3161"/>
      <c r="GV363" s="3161"/>
      <c r="GW363" s="3161"/>
      <c r="GX363" s="3161"/>
      <c r="GY363" s="3161"/>
      <c r="GZ363" s="3161"/>
      <c r="HA363" s="3161"/>
      <c r="HB363" s="3161"/>
      <c r="HC363" s="3161"/>
      <c r="HD363" s="3161"/>
      <c r="HE363" s="3161"/>
      <c r="HF363" s="3161"/>
      <c r="HG363" s="3161"/>
      <c r="HH363" s="3161"/>
      <c r="HI363" s="3161"/>
      <c r="HJ363" s="3161"/>
      <c r="HK363" s="3161"/>
      <c r="HL363" s="3161"/>
      <c r="HM363" s="3161"/>
      <c r="HN363" s="3161"/>
      <c r="HO363" s="3161"/>
      <c r="HP363" s="3161"/>
      <c r="HQ363" s="3161"/>
      <c r="HR363" s="3161"/>
      <c r="HS363" s="3161"/>
      <c r="HT363" s="3161"/>
      <c r="HU363" s="3161"/>
      <c r="HV363" s="3161"/>
      <c r="HW363" s="3161"/>
      <c r="HX363" s="3161"/>
      <c r="HY363" s="3161"/>
      <c r="HZ363" s="3161"/>
      <c r="IA363" s="3161"/>
      <c r="IB363" s="3161"/>
      <c r="IC363" s="3161"/>
      <c r="ID363" s="3161"/>
      <c r="IE363" s="3161"/>
      <c r="IF363" s="3161"/>
      <c r="IG363" s="3161"/>
      <c r="IH363" s="3161"/>
      <c r="II363" s="3161"/>
      <c r="IJ363" s="3161"/>
      <c r="IK363" s="3161"/>
      <c r="IL363" s="3161"/>
      <c r="IM363" s="3161"/>
      <c r="IN363" s="3161"/>
      <c r="IO363" s="3161"/>
      <c r="IP363" s="3161"/>
      <c r="IQ363" s="3161"/>
      <c r="IR363" s="3161"/>
      <c r="IS363" s="3161"/>
      <c r="IT363" s="3161"/>
      <c r="IU363" s="3161"/>
      <c r="IV363" s="3161"/>
      <c r="IW363" s="3161"/>
      <c r="IX363" s="3161"/>
      <c r="IY363" s="3161"/>
      <c r="IZ363" s="3161"/>
      <c r="JA363" s="3161"/>
      <c r="JB363" s="3161"/>
      <c r="JC363" s="3161"/>
      <c r="JD363" s="3161"/>
      <c r="JE363" s="3161"/>
      <c r="JF363" s="3161"/>
      <c r="JG363" s="3161"/>
      <c r="JH363" s="3161"/>
      <c r="JI363" s="3161"/>
      <c r="JJ363" s="3161"/>
      <c r="JK363" s="3161"/>
      <c r="JL363" s="3161"/>
      <c r="JM363" s="3161"/>
      <c r="JN363" s="3161"/>
      <c r="JO363" s="3161"/>
      <c r="JP363" s="3161"/>
      <c r="JQ363" s="3161"/>
      <c r="JR363" s="3161"/>
      <c r="JS363" s="3161"/>
      <c r="JT363" s="3161"/>
      <c r="JU363" s="3161"/>
      <c r="JV363" s="3161"/>
      <c r="JW363" s="3161"/>
      <c r="JX363" s="3161"/>
      <c r="JY363" s="3161"/>
      <c r="JZ363" s="3161"/>
      <c r="KA363" s="3161"/>
      <c r="KB363" s="3161"/>
      <c r="KC363" s="3161"/>
      <c r="KD363" s="3161"/>
      <c r="KE363" s="3161"/>
      <c r="KF363" s="3161"/>
    </row>
    <row r="364" spans="1:292" s="3465" customFormat="1" ht="57.75" hidden="1" thickBot="1">
      <c r="A364" s="3443" t="s">
        <v>85</v>
      </c>
      <c r="B364" s="3444">
        <v>45728</v>
      </c>
      <c r="C364" s="3471">
        <v>11</v>
      </c>
      <c r="D364" s="3471">
        <v>233</v>
      </c>
      <c r="E364" s="4379" t="s">
        <v>1621</v>
      </c>
      <c r="F364" s="4379" t="s">
        <v>306</v>
      </c>
      <c r="G364" s="3453" t="s">
        <v>1199</v>
      </c>
      <c r="H364" s="3453" t="s">
        <v>1199</v>
      </c>
      <c r="I364" s="3288">
        <v>705</v>
      </c>
      <c r="J364" s="3446" t="s">
        <v>1671</v>
      </c>
      <c r="K364" s="3446"/>
      <c r="L364" s="1357" t="s">
        <v>30</v>
      </c>
      <c r="M364" s="1357"/>
      <c r="N364" s="3160"/>
      <c r="O364" s="2959" t="s">
        <v>37</v>
      </c>
      <c r="P364" s="3160"/>
      <c r="Q364" s="3160"/>
      <c r="R364" s="3160"/>
      <c r="S364" s="3160"/>
      <c r="T364" s="3160"/>
      <c r="U364" s="2959" t="s">
        <v>37</v>
      </c>
      <c r="V364" s="3160"/>
      <c r="W364" s="3470" t="s">
        <v>1672</v>
      </c>
      <c r="X364" s="3160"/>
      <c r="Y364" s="3156" t="s">
        <v>1673</v>
      </c>
      <c r="Z364" s="3258"/>
      <c r="AA364" s="3161"/>
      <c r="AB364" s="3161"/>
      <c r="AC364" s="3161"/>
      <c r="AD364" s="3161"/>
      <c r="AE364" s="3161"/>
      <c r="AF364" s="3161"/>
      <c r="AG364" s="3161"/>
      <c r="AH364" s="3161"/>
      <c r="AI364" s="3161"/>
      <c r="AJ364" s="3161"/>
      <c r="AK364" s="3161"/>
      <c r="AL364" s="3161"/>
      <c r="AM364" s="3161"/>
      <c r="AN364" s="3161"/>
      <c r="AO364" s="3161"/>
      <c r="AP364" s="3161"/>
      <c r="AQ364" s="3161"/>
      <c r="AR364" s="3161"/>
      <c r="AS364" s="3161"/>
      <c r="AT364" s="3161"/>
      <c r="AU364" s="3161"/>
      <c r="AV364" s="3161"/>
      <c r="AW364" s="3161"/>
      <c r="AX364" s="3161"/>
      <c r="AY364" s="3161"/>
      <c r="AZ364" s="3161"/>
      <c r="BA364" s="3161"/>
      <c r="BB364" s="3161"/>
      <c r="BC364" s="3161"/>
      <c r="BD364" s="3161"/>
      <c r="BE364" s="3161"/>
      <c r="BF364" s="3161"/>
      <c r="BG364" s="3161"/>
      <c r="BH364" s="3161"/>
      <c r="BI364" s="3161"/>
      <c r="BJ364" s="3161"/>
      <c r="BK364" s="3161"/>
      <c r="BL364" s="3161"/>
      <c r="BM364" s="3161"/>
      <c r="BN364" s="3161"/>
      <c r="BO364" s="3161"/>
      <c r="BP364" s="3161"/>
      <c r="BQ364" s="3161"/>
      <c r="BR364" s="3161"/>
      <c r="BS364" s="3161"/>
      <c r="BT364" s="3161"/>
      <c r="BU364" s="3161"/>
      <c r="BV364" s="3161"/>
      <c r="BW364" s="3161"/>
      <c r="BX364" s="3161"/>
      <c r="BY364" s="3161"/>
      <c r="BZ364" s="3161"/>
      <c r="CA364" s="3161"/>
      <c r="CB364" s="3161"/>
      <c r="CC364" s="3161"/>
      <c r="CD364" s="3161"/>
      <c r="CE364" s="3161"/>
      <c r="CF364" s="3161"/>
      <c r="CG364" s="3161"/>
      <c r="CH364" s="3161"/>
      <c r="CI364" s="3161"/>
      <c r="CJ364" s="3161"/>
      <c r="CK364" s="3161"/>
      <c r="CL364" s="3161"/>
      <c r="CM364" s="3161"/>
      <c r="CN364" s="3161"/>
      <c r="CO364" s="3161"/>
      <c r="CP364" s="3161"/>
      <c r="CQ364" s="3161"/>
      <c r="CR364" s="3161"/>
      <c r="CS364" s="3161"/>
      <c r="CT364" s="3161"/>
      <c r="CU364" s="3161"/>
      <c r="CV364" s="3161"/>
      <c r="CW364" s="3161"/>
      <c r="CX364" s="3161"/>
      <c r="CY364" s="3161"/>
      <c r="CZ364" s="3161"/>
      <c r="DA364" s="3161"/>
      <c r="DB364" s="3161"/>
      <c r="DC364" s="3161"/>
      <c r="DD364" s="3161"/>
      <c r="DE364" s="3161"/>
      <c r="DF364" s="3161"/>
      <c r="DG364" s="3161"/>
      <c r="DH364" s="3161"/>
      <c r="DI364" s="3161"/>
      <c r="DJ364" s="3161"/>
      <c r="DK364" s="3161"/>
      <c r="DL364" s="3161"/>
      <c r="DM364" s="3161"/>
      <c r="DN364" s="3161"/>
      <c r="DO364" s="3161"/>
      <c r="DP364" s="3161"/>
      <c r="DQ364" s="3161"/>
      <c r="DR364" s="3161"/>
      <c r="DS364" s="3161"/>
      <c r="DT364" s="3161"/>
      <c r="DU364" s="3161"/>
      <c r="DV364" s="3161"/>
      <c r="DW364" s="3161"/>
      <c r="DX364" s="3161"/>
      <c r="DY364" s="3161"/>
      <c r="DZ364" s="3161"/>
      <c r="EA364" s="3161"/>
      <c r="EB364" s="3161"/>
      <c r="EC364" s="3161"/>
      <c r="ED364" s="3161"/>
      <c r="EE364" s="3161"/>
      <c r="EF364" s="3161"/>
      <c r="EG364" s="3161"/>
      <c r="EH364" s="3161"/>
      <c r="EI364" s="3161"/>
      <c r="EJ364" s="3161"/>
      <c r="EK364" s="3161"/>
      <c r="EL364" s="3161"/>
      <c r="EM364" s="3161"/>
      <c r="EN364" s="3161"/>
      <c r="EO364" s="3161"/>
      <c r="EP364" s="3161"/>
      <c r="EQ364" s="3161"/>
      <c r="ER364" s="3161"/>
      <c r="ES364" s="3161"/>
      <c r="ET364" s="3161"/>
      <c r="EU364" s="3161"/>
      <c r="EV364" s="3161"/>
      <c r="EW364" s="3161"/>
      <c r="EX364" s="3161"/>
      <c r="EY364" s="3161"/>
      <c r="EZ364" s="3161"/>
      <c r="FA364" s="3161"/>
      <c r="FB364" s="3161"/>
      <c r="FC364" s="3161"/>
      <c r="FD364" s="3161"/>
      <c r="FE364" s="3161"/>
      <c r="FF364" s="3161"/>
      <c r="FG364" s="3161"/>
      <c r="FH364" s="3161"/>
      <c r="FI364" s="3161"/>
      <c r="FJ364" s="3161"/>
      <c r="FK364" s="3161"/>
      <c r="FL364" s="3161"/>
      <c r="FM364" s="3161"/>
      <c r="FN364" s="3161"/>
      <c r="FO364" s="3161"/>
      <c r="FP364" s="3161"/>
      <c r="FQ364" s="3161"/>
      <c r="FR364" s="3161"/>
      <c r="FS364" s="3161"/>
      <c r="FT364" s="3161"/>
      <c r="FU364" s="3161"/>
      <c r="FV364" s="3161"/>
      <c r="FW364" s="3161"/>
      <c r="FX364" s="3161"/>
      <c r="FY364" s="3161"/>
      <c r="FZ364" s="3161"/>
      <c r="GA364" s="3161"/>
      <c r="GB364" s="3161"/>
      <c r="GC364" s="3161"/>
      <c r="GD364" s="3161"/>
      <c r="GE364" s="3161"/>
      <c r="GF364" s="3161"/>
      <c r="GG364" s="3161"/>
      <c r="GH364" s="3161"/>
      <c r="GI364" s="3161"/>
      <c r="GJ364" s="3161"/>
      <c r="GK364" s="3161"/>
      <c r="GL364" s="3161"/>
      <c r="GM364" s="3161"/>
      <c r="GN364" s="3161"/>
      <c r="GO364" s="3161"/>
      <c r="GP364" s="3161"/>
      <c r="GQ364" s="3161"/>
      <c r="GR364" s="3161"/>
      <c r="GS364" s="3161"/>
      <c r="GT364" s="3161"/>
      <c r="GU364" s="3161"/>
      <c r="GV364" s="3161"/>
      <c r="GW364" s="3161"/>
      <c r="GX364" s="3161"/>
      <c r="GY364" s="3161"/>
      <c r="GZ364" s="3161"/>
      <c r="HA364" s="3161"/>
      <c r="HB364" s="3161"/>
      <c r="HC364" s="3161"/>
      <c r="HD364" s="3161"/>
      <c r="HE364" s="3161"/>
      <c r="HF364" s="3161"/>
      <c r="HG364" s="3161"/>
      <c r="HH364" s="3161"/>
      <c r="HI364" s="3161"/>
      <c r="HJ364" s="3161"/>
      <c r="HK364" s="3161"/>
      <c r="HL364" s="3161"/>
      <c r="HM364" s="3161"/>
      <c r="HN364" s="3161"/>
      <c r="HO364" s="3161"/>
      <c r="HP364" s="3161"/>
      <c r="HQ364" s="3161"/>
      <c r="HR364" s="3161"/>
      <c r="HS364" s="3161"/>
      <c r="HT364" s="3161"/>
      <c r="HU364" s="3161"/>
      <c r="HV364" s="3161"/>
      <c r="HW364" s="3161"/>
      <c r="HX364" s="3161"/>
      <c r="HY364" s="3161"/>
      <c r="HZ364" s="3161"/>
      <c r="IA364" s="3161"/>
      <c r="IB364" s="3161"/>
      <c r="IC364" s="3161"/>
      <c r="ID364" s="3161"/>
      <c r="IE364" s="3161"/>
      <c r="IF364" s="3161"/>
      <c r="IG364" s="3161"/>
      <c r="IH364" s="3161"/>
      <c r="II364" s="3161"/>
      <c r="IJ364" s="3161"/>
      <c r="IK364" s="3161"/>
      <c r="IL364" s="3161"/>
      <c r="IM364" s="3161"/>
      <c r="IN364" s="3161"/>
      <c r="IO364" s="3161"/>
      <c r="IP364" s="3161"/>
      <c r="IQ364" s="3161"/>
      <c r="IR364" s="3161"/>
      <c r="IS364" s="3161"/>
      <c r="IT364" s="3161"/>
      <c r="IU364" s="3161"/>
      <c r="IV364" s="3161"/>
      <c r="IW364" s="3161"/>
      <c r="IX364" s="3161"/>
      <c r="IY364" s="3161"/>
      <c r="IZ364" s="3161"/>
      <c r="JA364" s="3161"/>
      <c r="JB364" s="3161"/>
      <c r="JC364" s="3161"/>
      <c r="JD364" s="3161"/>
      <c r="JE364" s="3161"/>
      <c r="JF364" s="3161"/>
      <c r="JG364" s="3161"/>
      <c r="JH364" s="3161"/>
      <c r="JI364" s="3161"/>
      <c r="JJ364" s="3161"/>
      <c r="JK364" s="3161"/>
      <c r="JL364" s="3161"/>
      <c r="JM364" s="3161"/>
      <c r="JN364" s="3161"/>
      <c r="JO364" s="3161"/>
      <c r="JP364" s="3161"/>
      <c r="JQ364" s="3161"/>
      <c r="JR364" s="3161"/>
      <c r="JS364" s="3161"/>
      <c r="JT364" s="3161"/>
      <c r="JU364" s="3161"/>
      <c r="JV364" s="3161"/>
      <c r="JW364" s="3161"/>
      <c r="JX364" s="3161"/>
      <c r="JY364" s="3161"/>
      <c r="JZ364" s="3161"/>
      <c r="KA364" s="3161"/>
      <c r="KB364" s="3161"/>
      <c r="KC364" s="3161"/>
      <c r="KD364" s="3161"/>
      <c r="KE364" s="3161"/>
      <c r="KF364" s="3161"/>
    </row>
    <row r="365" spans="1:292" s="3465" customFormat="1" ht="29.25" hidden="1" thickBot="1">
      <c r="A365" s="3443" t="s">
        <v>85</v>
      </c>
      <c r="B365" s="3444">
        <v>45728</v>
      </c>
      <c r="C365" s="3471">
        <v>11</v>
      </c>
      <c r="D365" s="3471">
        <v>234</v>
      </c>
      <c r="E365" s="4379" t="s">
        <v>306</v>
      </c>
      <c r="F365" s="4379" t="s">
        <v>258</v>
      </c>
      <c r="G365" s="3453" t="s">
        <v>1199</v>
      </c>
      <c r="H365" s="3453" t="s">
        <v>1199</v>
      </c>
      <c r="I365" s="3288">
        <v>709</v>
      </c>
      <c r="J365" s="3446" t="s">
        <v>260</v>
      </c>
      <c r="K365" s="3446"/>
      <c r="L365" s="1357" t="s">
        <v>30</v>
      </c>
      <c r="M365" s="1357"/>
      <c r="N365" s="3160"/>
      <c r="O365" s="2959"/>
      <c r="P365" s="3160"/>
      <c r="Q365" s="3160"/>
      <c r="R365" s="3160"/>
      <c r="S365" s="3160"/>
      <c r="T365" s="3160"/>
      <c r="U365" s="2959" t="s">
        <v>37</v>
      </c>
      <c r="V365" s="3160"/>
      <c r="W365" s="2959"/>
      <c r="X365" s="3160"/>
      <c r="Y365" s="3156"/>
      <c r="Z365" s="3258"/>
      <c r="AA365" s="3161"/>
      <c r="AB365" s="3161"/>
      <c r="AC365" s="3161"/>
      <c r="AD365" s="3161"/>
      <c r="AE365" s="3161"/>
      <c r="AF365" s="3161"/>
      <c r="AG365" s="3161"/>
      <c r="AH365" s="3161"/>
      <c r="AI365" s="3161"/>
      <c r="AJ365" s="3161"/>
      <c r="AK365" s="3161"/>
      <c r="AL365" s="3161"/>
      <c r="AM365" s="3161"/>
      <c r="AN365" s="3161"/>
      <c r="AO365" s="3161"/>
      <c r="AP365" s="3161"/>
      <c r="AQ365" s="3161"/>
      <c r="AR365" s="3161"/>
      <c r="AS365" s="3161"/>
      <c r="AT365" s="3161"/>
      <c r="AU365" s="3161"/>
      <c r="AV365" s="3161"/>
      <c r="AW365" s="3161"/>
      <c r="AX365" s="3161"/>
      <c r="AY365" s="3161"/>
      <c r="AZ365" s="3161"/>
      <c r="BA365" s="3161"/>
      <c r="BB365" s="3161"/>
      <c r="BC365" s="3161"/>
      <c r="BD365" s="3161"/>
      <c r="BE365" s="3161"/>
      <c r="BF365" s="3161"/>
      <c r="BG365" s="3161"/>
      <c r="BH365" s="3161"/>
      <c r="BI365" s="3161"/>
      <c r="BJ365" s="3161"/>
      <c r="BK365" s="3161"/>
      <c r="BL365" s="3161"/>
      <c r="BM365" s="3161"/>
      <c r="BN365" s="3161"/>
      <c r="BO365" s="3161"/>
      <c r="BP365" s="3161"/>
      <c r="BQ365" s="3161"/>
      <c r="BR365" s="3161"/>
      <c r="BS365" s="3161"/>
      <c r="BT365" s="3161"/>
      <c r="BU365" s="3161"/>
      <c r="BV365" s="3161"/>
      <c r="BW365" s="3161"/>
      <c r="BX365" s="3161"/>
      <c r="BY365" s="3161"/>
      <c r="BZ365" s="3161"/>
      <c r="CA365" s="3161"/>
      <c r="CB365" s="3161"/>
      <c r="CC365" s="3161"/>
      <c r="CD365" s="3161"/>
      <c r="CE365" s="3161"/>
      <c r="CF365" s="3161"/>
      <c r="CG365" s="3161"/>
      <c r="CH365" s="3161"/>
      <c r="CI365" s="3161"/>
      <c r="CJ365" s="3161"/>
      <c r="CK365" s="3161"/>
      <c r="CL365" s="3161"/>
      <c r="CM365" s="3161"/>
      <c r="CN365" s="3161"/>
      <c r="CO365" s="3161"/>
      <c r="CP365" s="3161"/>
      <c r="CQ365" s="3161"/>
      <c r="CR365" s="3161"/>
      <c r="CS365" s="3161"/>
      <c r="CT365" s="3161"/>
      <c r="CU365" s="3161"/>
      <c r="CV365" s="3161"/>
      <c r="CW365" s="3161"/>
      <c r="CX365" s="3161"/>
      <c r="CY365" s="3161"/>
      <c r="CZ365" s="3161"/>
      <c r="DA365" s="3161"/>
      <c r="DB365" s="3161"/>
      <c r="DC365" s="3161"/>
      <c r="DD365" s="3161"/>
      <c r="DE365" s="3161"/>
      <c r="DF365" s="3161"/>
      <c r="DG365" s="3161"/>
      <c r="DH365" s="3161"/>
      <c r="DI365" s="3161"/>
      <c r="DJ365" s="3161"/>
      <c r="DK365" s="3161"/>
      <c r="DL365" s="3161"/>
      <c r="DM365" s="3161"/>
      <c r="DN365" s="3161"/>
      <c r="DO365" s="3161"/>
      <c r="DP365" s="3161"/>
      <c r="DQ365" s="3161"/>
      <c r="DR365" s="3161"/>
      <c r="DS365" s="3161"/>
      <c r="DT365" s="3161"/>
      <c r="DU365" s="3161"/>
      <c r="DV365" s="3161"/>
      <c r="DW365" s="3161"/>
      <c r="DX365" s="3161"/>
      <c r="DY365" s="3161"/>
      <c r="DZ365" s="3161"/>
      <c r="EA365" s="3161"/>
      <c r="EB365" s="3161"/>
      <c r="EC365" s="3161"/>
      <c r="ED365" s="3161"/>
      <c r="EE365" s="3161"/>
      <c r="EF365" s="3161"/>
      <c r="EG365" s="3161"/>
      <c r="EH365" s="3161"/>
      <c r="EI365" s="3161"/>
      <c r="EJ365" s="3161"/>
      <c r="EK365" s="3161"/>
      <c r="EL365" s="3161"/>
      <c r="EM365" s="3161"/>
      <c r="EN365" s="3161"/>
      <c r="EO365" s="3161"/>
      <c r="EP365" s="3161"/>
      <c r="EQ365" s="3161"/>
      <c r="ER365" s="3161"/>
      <c r="ES365" s="3161"/>
      <c r="ET365" s="3161"/>
      <c r="EU365" s="3161"/>
      <c r="EV365" s="3161"/>
      <c r="EW365" s="3161"/>
      <c r="EX365" s="3161"/>
      <c r="EY365" s="3161"/>
      <c r="EZ365" s="3161"/>
      <c r="FA365" s="3161"/>
      <c r="FB365" s="3161"/>
      <c r="FC365" s="3161"/>
      <c r="FD365" s="3161"/>
      <c r="FE365" s="3161"/>
      <c r="FF365" s="3161"/>
      <c r="FG365" s="3161"/>
      <c r="FH365" s="3161"/>
      <c r="FI365" s="3161"/>
      <c r="FJ365" s="3161"/>
      <c r="FK365" s="3161"/>
      <c r="FL365" s="3161"/>
      <c r="FM365" s="3161"/>
      <c r="FN365" s="3161"/>
      <c r="FO365" s="3161"/>
      <c r="FP365" s="3161"/>
      <c r="FQ365" s="3161"/>
      <c r="FR365" s="3161"/>
      <c r="FS365" s="3161"/>
      <c r="FT365" s="3161"/>
      <c r="FU365" s="3161"/>
      <c r="FV365" s="3161"/>
      <c r="FW365" s="3161"/>
      <c r="FX365" s="3161"/>
      <c r="FY365" s="3161"/>
      <c r="FZ365" s="3161"/>
      <c r="GA365" s="3161"/>
      <c r="GB365" s="3161"/>
      <c r="GC365" s="3161"/>
      <c r="GD365" s="3161"/>
      <c r="GE365" s="3161"/>
      <c r="GF365" s="3161"/>
      <c r="GG365" s="3161"/>
      <c r="GH365" s="3161"/>
      <c r="GI365" s="3161"/>
      <c r="GJ365" s="3161"/>
      <c r="GK365" s="3161"/>
      <c r="GL365" s="3161"/>
      <c r="GM365" s="3161"/>
      <c r="GN365" s="3161"/>
      <c r="GO365" s="3161"/>
      <c r="GP365" s="3161"/>
      <c r="GQ365" s="3161"/>
      <c r="GR365" s="3161"/>
      <c r="GS365" s="3161"/>
      <c r="GT365" s="3161"/>
      <c r="GU365" s="3161"/>
      <c r="GV365" s="3161"/>
      <c r="GW365" s="3161"/>
      <c r="GX365" s="3161"/>
      <c r="GY365" s="3161"/>
      <c r="GZ365" s="3161"/>
      <c r="HA365" s="3161"/>
      <c r="HB365" s="3161"/>
      <c r="HC365" s="3161"/>
      <c r="HD365" s="3161"/>
      <c r="HE365" s="3161"/>
      <c r="HF365" s="3161"/>
      <c r="HG365" s="3161"/>
      <c r="HH365" s="3161"/>
      <c r="HI365" s="3161"/>
      <c r="HJ365" s="3161"/>
      <c r="HK365" s="3161"/>
      <c r="HL365" s="3161"/>
      <c r="HM365" s="3161"/>
      <c r="HN365" s="3161"/>
      <c r="HO365" s="3161"/>
      <c r="HP365" s="3161"/>
      <c r="HQ365" s="3161"/>
      <c r="HR365" s="3161"/>
      <c r="HS365" s="3161"/>
      <c r="HT365" s="3161"/>
      <c r="HU365" s="3161"/>
      <c r="HV365" s="3161"/>
      <c r="HW365" s="3161"/>
      <c r="HX365" s="3161"/>
      <c r="HY365" s="3161"/>
      <c r="HZ365" s="3161"/>
      <c r="IA365" s="3161"/>
      <c r="IB365" s="3161"/>
      <c r="IC365" s="3161"/>
      <c r="ID365" s="3161"/>
      <c r="IE365" s="3161"/>
      <c r="IF365" s="3161"/>
      <c r="IG365" s="3161"/>
      <c r="IH365" s="3161"/>
      <c r="II365" s="3161"/>
      <c r="IJ365" s="3161"/>
      <c r="IK365" s="3161"/>
      <c r="IL365" s="3161"/>
      <c r="IM365" s="3161"/>
      <c r="IN365" s="3161"/>
      <c r="IO365" s="3161"/>
      <c r="IP365" s="3161"/>
      <c r="IQ365" s="3161"/>
      <c r="IR365" s="3161"/>
      <c r="IS365" s="3161"/>
      <c r="IT365" s="3161"/>
      <c r="IU365" s="3161"/>
      <c r="IV365" s="3161"/>
      <c r="IW365" s="3161"/>
      <c r="IX365" s="3161"/>
      <c r="IY365" s="3161"/>
      <c r="IZ365" s="3161"/>
      <c r="JA365" s="3161"/>
      <c r="JB365" s="3161"/>
      <c r="JC365" s="3161"/>
      <c r="JD365" s="3161"/>
      <c r="JE365" s="3161"/>
      <c r="JF365" s="3161"/>
      <c r="JG365" s="3161"/>
      <c r="JH365" s="3161"/>
      <c r="JI365" s="3161"/>
      <c r="JJ365" s="3161"/>
      <c r="JK365" s="3161"/>
      <c r="JL365" s="3161"/>
      <c r="JM365" s="3161"/>
      <c r="JN365" s="3161"/>
      <c r="JO365" s="3161"/>
      <c r="JP365" s="3161"/>
      <c r="JQ365" s="3161"/>
      <c r="JR365" s="3161"/>
      <c r="JS365" s="3161"/>
      <c r="JT365" s="3161"/>
      <c r="JU365" s="3161"/>
      <c r="JV365" s="3161"/>
      <c r="JW365" s="3161"/>
      <c r="JX365" s="3161"/>
      <c r="JY365" s="3161"/>
      <c r="JZ365" s="3161"/>
      <c r="KA365" s="3161"/>
      <c r="KB365" s="3161"/>
      <c r="KC365" s="3161"/>
      <c r="KD365" s="3161"/>
      <c r="KE365" s="3161"/>
      <c r="KF365" s="3161"/>
    </row>
    <row r="366" spans="1:292" s="3465" customFormat="1" ht="57.75" hidden="1" thickBot="1">
      <c r="A366" s="3443" t="s">
        <v>85</v>
      </c>
      <c r="B366" s="3444">
        <v>45728</v>
      </c>
      <c r="C366" s="3471">
        <v>11</v>
      </c>
      <c r="D366" s="3471">
        <v>235</v>
      </c>
      <c r="E366" s="4390" t="s">
        <v>273</v>
      </c>
      <c r="F366" s="4390" t="s">
        <v>586</v>
      </c>
      <c r="G366" s="3453" t="s">
        <v>1206</v>
      </c>
      <c r="H366" s="3453" t="s">
        <v>1199</v>
      </c>
      <c r="I366" s="3288">
        <v>703</v>
      </c>
      <c r="J366" s="3446" t="s">
        <v>1674</v>
      </c>
      <c r="K366" s="3446"/>
      <c r="L366" s="1357" t="s">
        <v>30</v>
      </c>
      <c r="M366" s="1357"/>
      <c r="N366" s="3160"/>
      <c r="O366" s="2959" t="s">
        <v>37</v>
      </c>
      <c r="P366" s="3160"/>
      <c r="Q366" s="3160"/>
      <c r="R366" s="3160"/>
      <c r="S366" s="3160"/>
      <c r="T366" s="3160"/>
      <c r="U366" s="2959" t="s">
        <v>37</v>
      </c>
      <c r="V366" s="3160"/>
      <c r="W366" s="3470" t="s">
        <v>1675</v>
      </c>
      <c r="X366" s="3160"/>
      <c r="Y366" s="3156"/>
      <c r="Z366" s="3258"/>
      <c r="AA366" s="3161"/>
      <c r="AB366" s="3161"/>
      <c r="AC366" s="3161"/>
      <c r="AD366" s="3161"/>
      <c r="AE366" s="3161"/>
      <c r="AF366" s="3161"/>
      <c r="AG366" s="3161"/>
      <c r="AH366" s="3161"/>
      <c r="AI366" s="3161"/>
      <c r="AJ366" s="3161"/>
      <c r="AK366" s="3161"/>
      <c r="AL366" s="3161"/>
      <c r="AM366" s="3161"/>
      <c r="AN366" s="3161"/>
      <c r="AO366" s="3161"/>
      <c r="AP366" s="3161"/>
      <c r="AQ366" s="3161"/>
      <c r="AR366" s="3161"/>
      <c r="AS366" s="3161"/>
      <c r="AT366" s="3161"/>
      <c r="AU366" s="3161"/>
      <c r="AV366" s="3161"/>
      <c r="AW366" s="3161"/>
      <c r="AX366" s="3161"/>
      <c r="AY366" s="3161"/>
      <c r="AZ366" s="3161"/>
      <c r="BA366" s="3161"/>
      <c r="BB366" s="3161"/>
      <c r="BC366" s="3161"/>
      <c r="BD366" s="3161"/>
      <c r="BE366" s="3161"/>
      <c r="BF366" s="3161"/>
      <c r="BG366" s="3161"/>
      <c r="BH366" s="3161"/>
      <c r="BI366" s="3161"/>
      <c r="BJ366" s="3161"/>
      <c r="BK366" s="3161"/>
      <c r="BL366" s="3161"/>
      <c r="BM366" s="3161"/>
      <c r="BN366" s="3161"/>
      <c r="BO366" s="3161"/>
      <c r="BP366" s="3161"/>
      <c r="BQ366" s="3161"/>
      <c r="BR366" s="3161"/>
      <c r="BS366" s="3161"/>
      <c r="BT366" s="3161"/>
      <c r="BU366" s="3161"/>
      <c r="BV366" s="3161"/>
      <c r="BW366" s="3161"/>
      <c r="BX366" s="3161"/>
      <c r="BY366" s="3161"/>
      <c r="BZ366" s="3161"/>
      <c r="CA366" s="3161"/>
      <c r="CB366" s="3161"/>
      <c r="CC366" s="3161"/>
      <c r="CD366" s="3161"/>
      <c r="CE366" s="3161"/>
      <c r="CF366" s="3161"/>
      <c r="CG366" s="3161"/>
      <c r="CH366" s="3161"/>
      <c r="CI366" s="3161"/>
      <c r="CJ366" s="3161"/>
      <c r="CK366" s="3161"/>
      <c r="CL366" s="3161"/>
      <c r="CM366" s="3161"/>
      <c r="CN366" s="3161"/>
      <c r="CO366" s="3161"/>
      <c r="CP366" s="3161"/>
      <c r="CQ366" s="3161"/>
      <c r="CR366" s="3161"/>
      <c r="CS366" s="3161"/>
      <c r="CT366" s="3161"/>
      <c r="CU366" s="3161"/>
      <c r="CV366" s="3161"/>
      <c r="CW366" s="3161"/>
      <c r="CX366" s="3161"/>
      <c r="CY366" s="3161"/>
      <c r="CZ366" s="3161"/>
      <c r="DA366" s="3161"/>
      <c r="DB366" s="3161"/>
      <c r="DC366" s="3161"/>
      <c r="DD366" s="3161"/>
      <c r="DE366" s="3161"/>
      <c r="DF366" s="3161"/>
      <c r="DG366" s="3161"/>
      <c r="DH366" s="3161"/>
      <c r="DI366" s="3161"/>
      <c r="DJ366" s="3161"/>
      <c r="DK366" s="3161"/>
      <c r="DL366" s="3161"/>
      <c r="DM366" s="3161"/>
      <c r="DN366" s="3161"/>
      <c r="DO366" s="3161"/>
      <c r="DP366" s="3161"/>
      <c r="DQ366" s="3161"/>
      <c r="DR366" s="3161"/>
      <c r="DS366" s="3161"/>
      <c r="DT366" s="3161"/>
      <c r="DU366" s="3161"/>
      <c r="DV366" s="3161"/>
      <c r="DW366" s="3161"/>
      <c r="DX366" s="3161"/>
      <c r="DY366" s="3161"/>
      <c r="DZ366" s="3161"/>
      <c r="EA366" s="3161"/>
      <c r="EB366" s="3161"/>
      <c r="EC366" s="3161"/>
      <c r="ED366" s="3161"/>
      <c r="EE366" s="3161"/>
      <c r="EF366" s="3161"/>
      <c r="EG366" s="3161"/>
      <c r="EH366" s="3161"/>
      <c r="EI366" s="3161"/>
      <c r="EJ366" s="3161"/>
      <c r="EK366" s="3161"/>
      <c r="EL366" s="3161"/>
      <c r="EM366" s="3161"/>
      <c r="EN366" s="3161"/>
      <c r="EO366" s="3161"/>
      <c r="EP366" s="3161"/>
      <c r="EQ366" s="3161"/>
      <c r="ER366" s="3161"/>
      <c r="ES366" s="3161"/>
      <c r="ET366" s="3161"/>
      <c r="EU366" s="3161"/>
      <c r="EV366" s="3161"/>
      <c r="EW366" s="3161"/>
      <c r="EX366" s="3161"/>
      <c r="EY366" s="3161"/>
      <c r="EZ366" s="3161"/>
      <c r="FA366" s="3161"/>
      <c r="FB366" s="3161"/>
      <c r="FC366" s="3161"/>
      <c r="FD366" s="3161"/>
      <c r="FE366" s="3161"/>
      <c r="FF366" s="3161"/>
      <c r="FG366" s="3161"/>
      <c r="FH366" s="3161"/>
      <c r="FI366" s="3161"/>
      <c r="FJ366" s="3161"/>
      <c r="FK366" s="3161"/>
      <c r="FL366" s="3161"/>
      <c r="FM366" s="3161"/>
      <c r="FN366" s="3161"/>
      <c r="FO366" s="3161"/>
      <c r="FP366" s="3161"/>
      <c r="FQ366" s="3161"/>
      <c r="FR366" s="3161"/>
      <c r="FS366" s="3161"/>
      <c r="FT366" s="3161"/>
      <c r="FU366" s="3161"/>
      <c r="FV366" s="3161"/>
      <c r="FW366" s="3161"/>
      <c r="FX366" s="3161"/>
      <c r="FY366" s="3161"/>
      <c r="FZ366" s="3161"/>
      <c r="GA366" s="3161"/>
      <c r="GB366" s="3161"/>
      <c r="GC366" s="3161"/>
      <c r="GD366" s="3161"/>
      <c r="GE366" s="3161"/>
      <c r="GF366" s="3161"/>
      <c r="GG366" s="3161"/>
      <c r="GH366" s="3161"/>
      <c r="GI366" s="3161"/>
      <c r="GJ366" s="3161"/>
      <c r="GK366" s="3161"/>
      <c r="GL366" s="3161"/>
      <c r="GM366" s="3161"/>
      <c r="GN366" s="3161"/>
      <c r="GO366" s="3161"/>
      <c r="GP366" s="3161"/>
      <c r="GQ366" s="3161"/>
      <c r="GR366" s="3161"/>
      <c r="GS366" s="3161"/>
      <c r="GT366" s="3161"/>
      <c r="GU366" s="3161"/>
      <c r="GV366" s="3161"/>
      <c r="GW366" s="3161"/>
      <c r="GX366" s="3161"/>
      <c r="GY366" s="3161"/>
      <c r="GZ366" s="3161"/>
      <c r="HA366" s="3161"/>
      <c r="HB366" s="3161"/>
      <c r="HC366" s="3161"/>
      <c r="HD366" s="3161"/>
      <c r="HE366" s="3161"/>
      <c r="HF366" s="3161"/>
      <c r="HG366" s="3161"/>
      <c r="HH366" s="3161"/>
      <c r="HI366" s="3161"/>
      <c r="HJ366" s="3161"/>
      <c r="HK366" s="3161"/>
      <c r="HL366" s="3161"/>
      <c r="HM366" s="3161"/>
      <c r="HN366" s="3161"/>
      <c r="HO366" s="3161"/>
      <c r="HP366" s="3161"/>
      <c r="HQ366" s="3161"/>
      <c r="HR366" s="3161"/>
      <c r="HS366" s="3161"/>
      <c r="HT366" s="3161"/>
      <c r="HU366" s="3161"/>
      <c r="HV366" s="3161"/>
      <c r="HW366" s="3161"/>
      <c r="HX366" s="3161"/>
      <c r="HY366" s="3161"/>
      <c r="HZ366" s="3161"/>
      <c r="IA366" s="3161"/>
      <c r="IB366" s="3161"/>
      <c r="IC366" s="3161"/>
      <c r="ID366" s="3161"/>
      <c r="IE366" s="3161"/>
      <c r="IF366" s="3161"/>
      <c r="IG366" s="3161"/>
      <c r="IH366" s="3161"/>
      <c r="II366" s="3161"/>
      <c r="IJ366" s="3161"/>
      <c r="IK366" s="3161"/>
      <c r="IL366" s="3161"/>
      <c r="IM366" s="3161"/>
      <c r="IN366" s="3161"/>
      <c r="IO366" s="3161"/>
      <c r="IP366" s="3161"/>
      <c r="IQ366" s="3161"/>
      <c r="IR366" s="3161"/>
      <c r="IS366" s="3161"/>
      <c r="IT366" s="3161"/>
      <c r="IU366" s="3161"/>
      <c r="IV366" s="3161"/>
      <c r="IW366" s="3161"/>
      <c r="IX366" s="3161"/>
      <c r="IY366" s="3161"/>
      <c r="IZ366" s="3161"/>
      <c r="JA366" s="3161"/>
      <c r="JB366" s="3161"/>
      <c r="JC366" s="3161"/>
      <c r="JD366" s="3161"/>
      <c r="JE366" s="3161"/>
      <c r="JF366" s="3161"/>
      <c r="JG366" s="3161"/>
      <c r="JH366" s="3161"/>
      <c r="JI366" s="3161"/>
      <c r="JJ366" s="3161"/>
      <c r="JK366" s="3161"/>
      <c r="JL366" s="3161"/>
      <c r="JM366" s="3161"/>
      <c r="JN366" s="3161"/>
      <c r="JO366" s="3161"/>
      <c r="JP366" s="3161"/>
      <c r="JQ366" s="3161"/>
      <c r="JR366" s="3161"/>
      <c r="JS366" s="3161"/>
      <c r="JT366" s="3161"/>
      <c r="JU366" s="3161"/>
      <c r="JV366" s="3161"/>
      <c r="JW366" s="3161"/>
      <c r="JX366" s="3161"/>
      <c r="JY366" s="3161"/>
      <c r="JZ366" s="3161"/>
      <c r="KA366" s="3161"/>
      <c r="KB366" s="3161"/>
      <c r="KC366" s="3161"/>
      <c r="KD366" s="3161"/>
      <c r="KE366" s="3161"/>
      <c r="KF366" s="3161"/>
    </row>
    <row r="367" spans="1:292" s="3465" customFormat="1" ht="29.25" hidden="1" thickBot="1">
      <c r="A367" s="3443" t="s">
        <v>85</v>
      </c>
      <c r="B367" s="3444">
        <v>45728</v>
      </c>
      <c r="C367" s="3471">
        <v>11</v>
      </c>
      <c r="D367" s="3471"/>
      <c r="E367" s="4390" t="s">
        <v>586</v>
      </c>
      <c r="F367" s="4390" t="s">
        <v>273</v>
      </c>
      <c r="G367" s="3453" t="s">
        <v>1206</v>
      </c>
      <c r="H367" s="3453" t="s">
        <v>1206</v>
      </c>
      <c r="I367" s="3288">
        <v>703</v>
      </c>
      <c r="J367" s="3446" t="s">
        <v>1674</v>
      </c>
      <c r="K367" s="3446"/>
      <c r="L367" s="1357" t="s">
        <v>30</v>
      </c>
      <c r="M367" s="1357"/>
      <c r="N367" s="3160"/>
      <c r="O367" s="2959"/>
      <c r="P367" s="3160"/>
      <c r="Q367" s="3160"/>
      <c r="R367" s="3160"/>
      <c r="S367" s="3160"/>
      <c r="T367" s="3160"/>
      <c r="U367" s="2959" t="s">
        <v>37</v>
      </c>
      <c r="V367" s="3160"/>
      <c r="W367" s="2959" t="s">
        <v>1676</v>
      </c>
      <c r="X367" s="3160"/>
      <c r="Y367" s="3156"/>
      <c r="Z367" s="3258"/>
      <c r="AA367" s="3161"/>
      <c r="AB367" s="3161"/>
      <c r="AC367" s="3161"/>
      <c r="AD367" s="3161"/>
      <c r="AE367" s="3161"/>
      <c r="AF367" s="3161"/>
      <c r="AG367" s="3161"/>
      <c r="AH367" s="3161"/>
      <c r="AI367" s="3161"/>
      <c r="AJ367" s="3161"/>
      <c r="AK367" s="3161"/>
      <c r="AL367" s="3161"/>
      <c r="AM367" s="3161"/>
      <c r="AN367" s="3161"/>
      <c r="AO367" s="3161"/>
      <c r="AP367" s="3161"/>
      <c r="AQ367" s="3161"/>
      <c r="AR367" s="3161"/>
      <c r="AS367" s="3161"/>
      <c r="AT367" s="3161"/>
      <c r="AU367" s="3161"/>
      <c r="AV367" s="3161"/>
      <c r="AW367" s="3161"/>
      <c r="AX367" s="3161"/>
      <c r="AY367" s="3161"/>
      <c r="AZ367" s="3161"/>
      <c r="BA367" s="3161"/>
      <c r="BB367" s="3161"/>
      <c r="BC367" s="3161"/>
      <c r="BD367" s="3161"/>
      <c r="BE367" s="3161"/>
      <c r="BF367" s="3161"/>
      <c r="BG367" s="3161"/>
      <c r="BH367" s="3161"/>
      <c r="BI367" s="3161"/>
      <c r="BJ367" s="3161"/>
      <c r="BK367" s="3161"/>
      <c r="BL367" s="3161"/>
      <c r="BM367" s="3161"/>
      <c r="BN367" s="3161"/>
      <c r="BO367" s="3161"/>
      <c r="BP367" s="3161"/>
      <c r="BQ367" s="3161"/>
      <c r="BR367" s="3161"/>
      <c r="BS367" s="3161"/>
      <c r="BT367" s="3161"/>
      <c r="BU367" s="3161"/>
      <c r="BV367" s="3161"/>
      <c r="BW367" s="3161"/>
      <c r="BX367" s="3161"/>
      <c r="BY367" s="3161"/>
      <c r="BZ367" s="3161"/>
      <c r="CA367" s="3161"/>
      <c r="CB367" s="3161"/>
      <c r="CC367" s="3161"/>
      <c r="CD367" s="3161"/>
      <c r="CE367" s="3161"/>
      <c r="CF367" s="3161"/>
      <c r="CG367" s="3161"/>
      <c r="CH367" s="3161"/>
      <c r="CI367" s="3161"/>
      <c r="CJ367" s="3161"/>
      <c r="CK367" s="3161"/>
      <c r="CL367" s="3161"/>
      <c r="CM367" s="3161"/>
      <c r="CN367" s="3161"/>
      <c r="CO367" s="3161"/>
      <c r="CP367" s="3161"/>
      <c r="CQ367" s="3161"/>
      <c r="CR367" s="3161"/>
      <c r="CS367" s="3161"/>
      <c r="CT367" s="3161"/>
      <c r="CU367" s="3161"/>
      <c r="CV367" s="3161"/>
      <c r="CW367" s="3161"/>
      <c r="CX367" s="3161"/>
      <c r="CY367" s="3161"/>
      <c r="CZ367" s="3161"/>
      <c r="DA367" s="3161"/>
      <c r="DB367" s="3161"/>
      <c r="DC367" s="3161"/>
      <c r="DD367" s="3161"/>
      <c r="DE367" s="3161"/>
      <c r="DF367" s="3161"/>
      <c r="DG367" s="3161"/>
      <c r="DH367" s="3161"/>
      <c r="DI367" s="3161"/>
      <c r="DJ367" s="3161"/>
      <c r="DK367" s="3161"/>
      <c r="DL367" s="3161"/>
      <c r="DM367" s="3161"/>
      <c r="DN367" s="3161"/>
      <c r="DO367" s="3161"/>
      <c r="DP367" s="3161"/>
      <c r="DQ367" s="3161"/>
      <c r="DR367" s="3161"/>
      <c r="DS367" s="3161"/>
      <c r="DT367" s="3161"/>
      <c r="DU367" s="3161"/>
      <c r="DV367" s="3161"/>
      <c r="DW367" s="3161"/>
      <c r="DX367" s="3161"/>
      <c r="DY367" s="3161"/>
      <c r="DZ367" s="3161"/>
      <c r="EA367" s="3161"/>
      <c r="EB367" s="3161"/>
      <c r="EC367" s="3161"/>
      <c r="ED367" s="3161"/>
      <c r="EE367" s="3161"/>
      <c r="EF367" s="3161"/>
      <c r="EG367" s="3161"/>
      <c r="EH367" s="3161"/>
      <c r="EI367" s="3161"/>
      <c r="EJ367" s="3161"/>
      <c r="EK367" s="3161"/>
      <c r="EL367" s="3161"/>
      <c r="EM367" s="3161"/>
      <c r="EN367" s="3161"/>
      <c r="EO367" s="3161"/>
      <c r="EP367" s="3161"/>
      <c r="EQ367" s="3161"/>
      <c r="ER367" s="3161"/>
      <c r="ES367" s="3161"/>
      <c r="ET367" s="3161"/>
      <c r="EU367" s="3161"/>
      <c r="EV367" s="3161"/>
      <c r="EW367" s="3161"/>
      <c r="EX367" s="3161"/>
      <c r="EY367" s="3161"/>
      <c r="EZ367" s="3161"/>
      <c r="FA367" s="3161"/>
      <c r="FB367" s="3161"/>
      <c r="FC367" s="3161"/>
      <c r="FD367" s="3161"/>
      <c r="FE367" s="3161"/>
      <c r="FF367" s="3161"/>
      <c r="FG367" s="3161"/>
      <c r="FH367" s="3161"/>
      <c r="FI367" s="3161"/>
      <c r="FJ367" s="3161"/>
      <c r="FK367" s="3161"/>
      <c r="FL367" s="3161"/>
      <c r="FM367" s="3161"/>
      <c r="FN367" s="3161"/>
      <c r="FO367" s="3161"/>
      <c r="FP367" s="3161"/>
      <c r="FQ367" s="3161"/>
      <c r="FR367" s="3161"/>
      <c r="FS367" s="3161"/>
      <c r="FT367" s="3161"/>
      <c r="FU367" s="3161"/>
      <c r="FV367" s="3161"/>
      <c r="FW367" s="3161"/>
      <c r="FX367" s="3161"/>
      <c r="FY367" s="3161"/>
      <c r="FZ367" s="3161"/>
      <c r="GA367" s="3161"/>
      <c r="GB367" s="3161"/>
      <c r="GC367" s="3161"/>
      <c r="GD367" s="3161"/>
      <c r="GE367" s="3161"/>
      <c r="GF367" s="3161"/>
      <c r="GG367" s="3161"/>
      <c r="GH367" s="3161"/>
      <c r="GI367" s="3161"/>
      <c r="GJ367" s="3161"/>
      <c r="GK367" s="3161"/>
      <c r="GL367" s="3161"/>
      <c r="GM367" s="3161"/>
      <c r="GN367" s="3161"/>
      <c r="GO367" s="3161"/>
      <c r="GP367" s="3161"/>
      <c r="GQ367" s="3161"/>
      <c r="GR367" s="3161"/>
      <c r="GS367" s="3161"/>
      <c r="GT367" s="3161"/>
      <c r="GU367" s="3161"/>
      <c r="GV367" s="3161"/>
      <c r="GW367" s="3161"/>
      <c r="GX367" s="3161"/>
      <c r="GY367" s="3161"/>
      <c r="GZ367" s="3161"/>
      <c r="HA367" s="3161"/>
      <c r="HB367" s="3161"/>
      <c r="HC367" s="3161"/>
      <c r="HD367" s="3161"/>
      <c r="HE367" s="3161"/>
      <c r="HF367" s="3161"/>
      <c r="HG367" s="3161"/>
      <c r="HH367" s="3161"/>
      <c r="HI367" s="3161"/>
      <c r="HJ367" s="3161"/>
      <c r="HK367" s="3161"/>
      <c r="HL367" s="3161"/>
      <c r="HM367" s="3161"/>
      <c r="HN367" s="3161"/>
      <c r="HO367" s="3161"/>
      <c r="HP367" s="3161"/>
      <c r="HQ367" s="3161"/>
      <c r="HR367" s="3161"/>
      <c r="HS367" s="3161"/>
      <c r="HT367" s="3161"/>
      <c r="HU367" s="3161"/>
      <c r="HV367" s="3161"/>
      <c r="HW367" s="3161"/>
      <c r="HX367" s="3161"/>
      <c r="HY367" s="3161"/>
      <c r="HZ367" s="3161"/>
      <c r="IA367" s="3161"/>
      <c r="IB367" s="3161"/>
      <c r="IC367" s="3161"/>
      <c r="ID367" s="3161"/>
      <c r="IE367" s="3161"/>
      <c r="IF367" s="3161"/>
      <c r="IG367" s="3161"/>
      <c r="IH367" s="3161"/>
      <c r="II367" s="3161"/>
      <c r="IJ367" s="3161"/>
      <c r="IK367" s="3161"/>
      <c r="IL367" s="3161"/>
      <c r="IM367" s="3161"/>
      <c r="IN367" s="3161"/>
      <c r="IO367" s="3161"/>
      <c r="IP367" s="3161"/>
      <c r="IQ367" s="3161"/>
      <c r="IR367" s="3161"/>
      <c r="IS367" s="3161"/>
      <c r="IT367" s="3161"/>
      <c r="IU367" s="3161"/>
      <c r="IV367" s="3161"/>
      <c r="IW367" s="3161"/>
      <c r="IX367" s="3161"/>
      <c r="IY367" s="3161"/>
      <c r="IZ367" s="3161"/>
      <c r="JA367" s="3161"/>
      <c r="JB367" s="3161"/>
      <c r="JC367" s="3161"/>
      <c r="JD367" s="3161"/>
      <c r="JE367" s="3161"/>
      <c r="JF367" s="3161"/>
      <c r="JG367" s="3161"/>
      <c r="JH367" s="3161"/>
      <c r="JI367" s="3161"/>
      <c r="JJ367" s="3161"/>
      <c r="JK367" s="3161"/>
      <c r="JL367" s="3161"/>
      <c r="JM367" s="3161"/>
      <c r="JN367" s="3161"/>
      <c r="JO367" s="3161"/>
      <c r="JP367" s="3161"/>
      <c r="JQ367" s="3161"/>
      <c r="JR367" s="3161"/>
      <c r="JS367" s="3161"/>
      <c r="JT367" s="3161"/>
      <c r="JU367" s="3161"/>
      <c r="JV367" s="3161"/>
      <c r="JW367" s="3161"/>
      <c r="JX367" s="3161"/>
      <c r="JY367" s="3161"/>
      <c r="JZ367" s="3161"/>
      <c r="KA367" s="3161"/>
      <c r="KB367" s="3161"/>
      <c r="KC367" s="3161"/>
      <c r="KD367" s="3161"/>
      <c r="KE367" s="3161"/>
      <c r="KF367" s="3161"/>
    </row>
    <row r="368" spans="1:292" s="3465" customFormat="1" ht="29.25" hidden="1" thickBot="1">
      <c r="A368" s="3443" t="s">
        <v>85</v>
      </c>
      <c r="B368" s="3444">
        <v>45728</v>
      </c>
      <c r="C368" s="3471">
        <v>11</v>
      </c>
      <c r="D368" s="3471">
        <v>236</v>
      </c>
      <c r="E368" s="4391" t="s">
        <v>306</v>
      </c>
      <c r="F368" s="4391" t="s">
        <v>1213</v>
      </c>
      <c r="G368" s="3453" t="s">
        <v>1199</v>
      </c>
      <c r="H368" s="3453" t="s">
        <v>1199</v>
      </c>
      <c r="I368" s="4386">
        <v>705</v>
      </c>
      <c r="J368" s="3446" t="s">
        <v>1677</v>
      </c>
      <c r="K368" s="3446"/>
      <c r="L368" s="1357" t="s">
        <v>30</v>
      </c>
      <c r="M368" s="1357"/>
      <c r="N368" s="3160"/>
      <c r="O368" s="2959"/>
      <c r="P368" s="3160"/>
      <c r="Q368" s="3160"/>
      <c r="R368" s="3160"/>
      <c r="S368" s="3160"/>
      <c r="T368" s="3160"/>
      <c r="U368" s="2959"/>
      <c r="V368" s="3160"/>
      <c r="W368" s="2959" t="s">
        <v>1678</v>
      </c>
      <c r="X368" s="3160"/>
      <c r="Y368" s="3156"/>
      <c r="Z368" s="3258"/>
      <c r="AA368" s="3161"/>
      <c r="AB368" s="3161"/>
      <c r="AC368" s="3161"/>
      <c r="AD368" s="3161"/>
      <c r="AE368" s="3161"/>
      <c r="AF368" s="3161"/>
      <c r="AG368" s="3161"/>
      <c r="AH368" s="3161"/>
      <c r="AI368" s="3161"/>
      <c r="AJ368" s="3161"/>
      <c r="AK368" s="3161"/>
      <c r="AL368" s="3161"/>
      <c r="AM368" s="3161"/>
      <c r="AN368" s="3161"/>
      <c r="AO368" s="3161"/>
      <c r="AP368" s="3161"/>
      <c r="AQ368" s="3161"/>
      <c r="AR368" s="3161"/>
      <c r="AS368" s="3161"/>
      <c r="AT368" s="3161"/>
      <c r="AU368" s="3161"/>
      <c r="AV368" s="3161"/>
      <c r="AW368" s="3161"/>
      <c r="AX368" s="3161"/>
      <c r="AY368" s="3161"/>
      <c r="AZ368" s="3161"/>
      <c r="BA368" s="3161"/>
      <c r="BB368" s="3161"/>
      <c r="BC368" s="3161"/>
      <c r="BD368" s="3161"/>
      <c r="BE368" s="3161"/>
      <c r="BF368" s="3161"/>
      <c r="BG368" s="3161"/>
      <c r="BH368" s="3161"/>
      <c r="BI368" s="3161"/>
      <c r="BJ368" s="3161"/>
      <c r="BK368" s="3161"/>
      <c r="BL368" s="3161"/>
      <c r="BM368" s="3161"/>
      <c r="BN368" s="3161"/>
      <c r="BO368" s="3161"/>
      <c r="BP368" s="3161"/>
      <c r="BQ368" s="3161"/>
      <c r="BR368" s="3161"/>
      <c r="BS368" s="3161"/>
      <c r="BT368" s="3161"/>
      <c r="BU368" s="3161"/>
      <c r="BV368" s="3161"/>
      <c r="BW368" s="3161"/>
      <c r="BX368" s="3161"/>
      <c r="BY368" s="3161"/>
      <c r="BZ368" s="3161"/>
      <c r="CA368" s="3161"/>
      <c r="CB368" s="3161"/>
      <c r="CC368" s="3161"/>
      <c r="CD368" s="3161"/>
      <c r="CE368" s="3161"/>
      <c r="CF368" s="3161"/>
      <c r="CG368" s="3161"/>
      <c r="CH368" s="3161"/>
      <c r="CI368" s="3161"/>
      <c r="CJ368" s="3161"/>
      <c r="CK368" s="3161"/>
      <c r="CL368" s="3161"/>
      <c r="CM368" s="3161"/>
      <c r="CN368" s="3161"/>
      <c r="CO368" s="3161"/>
      <c r="CP368" s="3161"/>
      <c r="CQ368" s="3161"/>
      <c r="CR368" s="3161"/>
      <c r="CS368" s="3161"/>
      <c r="CT368" s="3161"/>
      <c r="CU368" s="3161"/>
      <c r="CV368" s="3161"/>
      <c r="CW368" s="3161"/>
      <c r="CX368" s="3161"/>
      <c r="CY368" s="3161"/>
      <c r="CZ368" s="3161"/>
      <c r="DA368" s="3161"/>
      <c r="DB368" s="3161"/>
      <c r="DC368" s="3161"/>
      <c r="DD368" s="3161"/>
      <c r="DE368" s="3161"/>
      <c r="DF368" s="3161"/>
      <c r="DG368" s="3161"/>
      <c r="DH368" s="3161"/>
      <c r="DI368" s="3161"/>
      <c r="DJ368" s="3161"/>
      <c r="DK368" s="3161"/>
      <c r="DL368" s="3161"/>
      <c r="DM368" s="3161"/>
      <c r="DN368" s="3161"/>
      <c r="DO368" s="3161"/>
      <c r="DP368" s="3161"/>
      <c r="DQ368" s="3161"/>
      <c r="DR368" s="3161"/>
      <c r="DS368" s="3161"/>
      <c r="DT368" s="3161"/>
      <c r="DU368" s="3161"/>
      <c r="DV368" s="3161"/>
      <c r="DW368" s="3161"/>
      <c r="DX368" s="3161"/>
      <c r="DY368" s="3161"/>
      <c r="DZ368" s="3161"/>
      <c r="EA368" s="3161"/>
      <c r="EB368" s="3161"/>
      <c r="EC368" s="3161"/>
      <c r="ED368" s="3161"/>
      <c r="EE368" s="3161"/>
      <c r="EF368" s="3161"/>
      <c r="EG368" s="3161"/>
      <c r="EH368" s="3161"/>
      <c r="EI368" s="3161"/>
      <c r="EJ368" s="3161"/>
      <c r="EK368" s="3161"/>
      <c r="EL368" s="3161"/>
      <c r="EM368" s="3161"/>
      <c r="EN368" s="3161"/>
      <c r="EO368" s="3161"/>
      <c r="EP368" s="3161"/>
      <c r="EQ368" s="3161"/>
      <c r="ER368" s="3161"/>
      <c r="ES368" s="3161"/>
      <c r="ET368" s="3161"/>
      <c r="EU368" s="3161"/>
      <c r="EV368" s="3161"/>
      <c r="EW368" s="3161"/>
      <c r="EX368" s="3161"/>
      <c r="EY368" s="3161"/>
      <c r="EZ368" s="3161"/>
      <c r="FA368" s="3161"/>
      <c r="FB368" s="3161"/>
      <c r="FC368" s="3161"/>
      <c r="FD368" s="3161"/>
      <c r="FE368" s="3161"/>
      <c r="FF368" s="3161"/>
      <c r="FG368" s="3161"/>
      <c r="FH368" s="3161"/>
      <c r="FI368" s="3161"/>
      <c r="FJ368" s="3161"/>
      <c r="FK368" s="3161"/>
      <c r="FL368" s="3161"/>
      <c r="FM368" s="3161"/>
      <c r="FN368" s="3161"/>
      <c r="FO368" s="3161"/>
      <c r="FP368" s="3161"/>
      <c r="FQ368" s="3161"/>
      <c r="FR368" s="3161"/>
      <c r="FS368" s="3161"/>
      <c r="FT368" s="3161"/>
      <c r="FU368" s="3161"/>
      <c r="FV368" s="3161"/>
      <c r="FW368" s="3161"/>
      <c r="FX368" s="3161"/>
      <c r="FY368" s="3161"/>
      <c r="FZ368" s="3161"/>
      <c r="GA368" s="3161"/>
      <c r="GB368" s="3161"/>
      <c r="GC368" s="3161"/>
      <c r="GD368" s="3161"/>
      <c r="GE368" s="3161"/>
      <c r="GF368" s="3161"/>
      <c r="GG368" s="3161"/>
      <c r="GH368" s="3161"/>
      <c r="GI368" s="3161"/>
      <c r="GJ368" s="3161"/>
      <c r="GK368" s="3161"/>
      <c r="GL368" s="3161"/>
      <c r="GM368" s="3161"/>
      <c r="GN368" s="3161"/>
      <c r="GO368" s="3161"/>
      <c r="GP368" s="3161"/>
      <c r="GQ368" s="3161"/>
      <c r="GR368" s="3161"/>
      <c r="GS368" s="3161"/>
      <c r="GT368" s="3161"/>
      <c r="GU368" s="3161"/>
      <c r="GV368" s="3161"/>
      <c r="GW368" s="3161"/>
      <c r="GX368" s="3161"/>
      <c r="GY368" s="3161"/>
      <c r="GZ368" s="3161"/>
      <c r="HA368" s="3161"/>
      <c r="HB368" s="3161"/>
      <c r="HC368" s="3161"/>
      <c r="HD368" s="3161"/>
      <c r="HE368" s="3161"/>
      <c r="HF368" s="3161"/>
      <c r="HG368" s="3161"/>
      <c r="HH368" s="3161"/>
      <c r="HI368" s="3161"/>
      <c r="HJ368" s="3161"/>
      <c r="HK368" s="3161"/>
      <c r="HL368" s="3161"/>
      <c r="HM368" s="3161"/>
      <c r="HN368" s="3161"/>
      <c r="HO368" s="3161"/>
      <c r="HP368" s="3161"/>
      <c r="HQ368" s="3161"/>
      <c r="HR368" s="3161"/>
      <c r="HS368" s="3161"/>
      <c r="HT368" s="3161"/>
      <c r="HU368" s="3161"/>
      <c r="HV368" s="3161"/>
      <c r="HW368" s="3161"/>
      <c r="HX368" s="3161"/>
      <c r="HY368" s="3161"/>
      <c r="HZ368" s="3161"/>
      <c r="IA368" s="3161"/>
      <c r="IB368" s="3161"/>
      <c r="IC368" s="3161"/>
      <c r="ID368" s="3161"/>
      <c r="IE368" s="3161"/>
      <c r="IF368" s="3161"/>
      <c r="IG368" s="3161"/>
      <c r="IH368" s="3161"/>
      <c r="II368" s="3161"/>
      <c r="IJ368" s="3161"/>
      <c r="IK368" s="3161"/>
      <c r="IL368" s="3161"/>
      <c r="IM368" s="3161"/>
      <c r="IN368" s="3161"/>
      <c r="IO368" s="3161"/>
      <c r="IP368" s="3161"/>
      <c r="IQ368" s="3161"/>
      <c r="IR368" s="3161"/>
      <c r="IS368" s="3161"/>
      <c r="IT368" s="3161"/>
      <c r="IU368" s="3161"/>
      <c r="IV368" s="3161"/>
      <c r="IW368" s="3161"/>
      <c r="IX368" s="3161"/>
      <c r="IY368" s="3161"/>
      <c r="IZ368" s="3161"/>
      <c r="JA368" s="3161"/>
      <c r="JB368" s="3161"/>
      <c r="JC368" s="3161"/>
      <c r="JD368" s="3161"/>
      <c r="JE368" s="3161"/>
      <c r="JF368" s="3161"/>
      <c r="JG368" s="3161"/>
      <c r="JH368" s="3161"/>
      <c r="JI368" s="3161"/>
      <c r="JJ368" s="3161"/>
      <c r="JK368" s="3161"/>
      <c r="JL368" s="3161"/>
      <c r="JM368" s="3161"/>
      <c r="JN368" s="3161"/>
      <c r="JO368" s="3161"/>
      <c r="JP368" s="3161"/>
      <c r="JQ368" s="3161"/>
      <c r="JR368" s="3161"/>
      <c r="JS368" s="3161"/>
      <c r="JT368" s="3161"/>
      <c r="JU368" s="3161"/>
      <c r="JV368" s="3161"/>
      <c r="JW368" s="3161"/>
      <c r="JX368" s="3161"/>
      <c r="JY368" s="3161"/>
      <c r="JZ368" s="3161"/>
      <c r="KA368" s="3161"/>
      <c r="KB368" s="3161"/>
      <c r="KC368" s="3161"/>
      <c r="KD368" s="3161"/>
      <c r="KE368" s="3161"/>
      <c r="KF368" s="3161"/>
    </row>
    <row r="369" spans="1:26" s="3465" customFormat="1" ht="29.25" hidden="1" thickBot="1">
      <c r="A369" s="3462" t="s">
        <v>85</v>
      </c>
      <c r="B369" s="3463">
        <v>45728</v>
      </c>
      <c r="C369" s="3471">
        <v>11</v>
      </c>
      <c r="D369" s="3471"/>
      <c r="E369" s="4590" t="s">
        <v>1213</v>
      </c>
      <c r="F369" s="4590" t="s">
        <v>306</v>
      </c>
      <c r="G369" s="4665" t="s">
        <v>1206</v>
      </c>
      <c r="H369" s="4665" t="s">
        <v>1206</v>
      </c>
      <c r="I369" s="4386">
        <v>705</v>
      </c>
      <c r="J369" s="3464" t="s">
        <v>1679</v>
      </c>
      <c r="K369" s="3464"/>
      <c r="L369" s="1921" t="s">
        <v>30</v>
      </c>
      <c r="M369" s="1921"/>
      <c r="N369" s="3273"/>
      <c r="O369" s="3469"/>
      <c r="P369" s="3273"/>
      <c r="Q369" s="3273"/>
      <c r="R369" s="3273"/>
      <c r="S369" s="3273"/>
      <c r="T369" s="3273"/>
      <c r="U369" s="3469"/>
      <c r="V369" s="3273"/>
      <c r="W369" s="3469" t="s">
        <v>1678</v>
      </c>
      <c r="X369" s="3273"/>
      <c r="Y369" s="3274"/>
      <c r="Z369" s="3258"/>
    </row>
    <row r="370" spans="1:26" s="3465" customFormat="1" ht="29.25" hidden="1" thickBot="1">
      <c r="A370" s="3477" t="s">
        <v>85</v>
      </c>
      <c r="B370" s="3478">
        <v>45728</v>
      </c>
      <c r="C370" s="3479">
        <v>11</v>
      </c>
      <c r="D370" s="3479">
        <v>237</v>
      </c>
      <c r="E370" s="4381" t="s">
        <v>1464</v>
      </c>
      <c r="F370" s="4382" t="s">
        <v>1465</v>
      </c>
      <c r="G370" s="3490" t="s">
        <v>1206</v>
      </c>
      <c r="H370" s="3485" t="s">
        <v>1206</v>
      </c>
      <c r="I370" s="3477">
        <v>701</v>
      </c>
      <c r="J370" s="3483" t="s">
        <v>1547</v>
      </c>
      <c r="K370" s="4737"/>
      <c r="L370" s="1979" t="s">
        <v>30</v>
      </c>
      <c r="M370" s="1979"/>
      <c r="N370" s="3281"/>
      <c r="O370" s="3484"/>
      <c r="P370" s="3281"/>
      <c r="Q370" s="3281"/>
      <c r="R370" s="3281"/>
      <c r="S370" s="3281"/>
      <c r="T370" s="3281"/>
      <c r="U370" s="3484"/>
      <c r="V370" s="3281"/>
      <c r="W370" s="3484"/>
      <c r="X370" s="3281"/>
      <c r="Y370" s="3282"/>
      <c r="Z370" s="3258"/>
    </row>
    <row r="371" spans="1:26" s="3465" customFormat="1" ht="29.25" hidden="1" thickBot="1">
      <c r="A371" s="3480" t="s">
        <v>85</v>
      </c>
      <c r="B371" s="3444">
        <v>45728</v>
      </c>
      <c r="C371" s="3471">
        <v>11</v>
      </c>
      <c r="D371" s="3471"/>
      <c r="E371" s="4384" t="s">
        <v>1465</v>
      </c>
      <c r="F371" s="4385" t="s">
        <v>1464</v>
      </c>
      <c r="G371" s="3473" t="s">
        <v>1206</v>
      </c>
      <c r="H371" s="3488" t="s">
        <v>1206</v>
      </c>
      <c r="I371" s="3480">
        <v>701</v>
      </c>
      <c r="J371" s="3446" t="s">
        <v>1615</v>
      </c>
      <c r="K371" s="3446"/>
      <c r="L371" s="1357" t="s">
        <v>30</v>
      </c>
      <c r="M371" s="1357"/>
      <c r="N371" s="3160"/>
      <c r="O371" s="2959"/>
      <c r="P371" s="3160"/>
      <c r="Q371" s="3160"/>
      <c r="R371" s="3160"/>
      <c r="S371" s="3160"/>
      <c r="T371" s="3160"/>
      <c r="U371" s="2959"/>
      <c r="V371" s="3160"/>
      <c r="W371" s="2959"/>
      <c r="X371" s="3160"/>
      <c r="Y371" s="3283"/>
      <c r="Z371" s="3258"/>
    </row>
    <row r="372" spans="1:26" s="3465" customFormat="1" ht="29.25" hidden="1" thickBot="1">
      <c r="A372" s="3493" t="s">
        <v>105</v>
      </c>
      <c r="B372" s="3457">
        <v>45729</v>
      </c>
      <c r="C372" s="3471">
        <v>11</v>
      </c>
      <c r="D372" s="3476">
        <v>238</v>
      </c>
      <c r="E372" s="4389" t="s">
        <v>1571</v>
      </c>
      <c r="F372" s="4394" t="s">
        <v>169</v>
      </c>
      <c r="G372" s="3497" t="s">
        <v>1199</v>
      </c>
      <c r="H372" s="3495" t="s">
        <v>1199</v>
      </c>
      <c r="I372" s="4395">
        <v>712</v>
      </c>
      <c r="J372" s="3458" t="s">
        <v>1066</v>
      </c>
      <c r="K372" s="4931" t="s">
        <v>174</v>
      </c>
      <c r="L372" s="1357" t="s">
        <v>37</v>
      </c>
      <c r="M372" s="1891"/>
      <c r="N372" s="3160"/>
      <c r="O372" s="2958"/>
      <c r="P372" s="3160"/>
      <c r="Q372" s="3160"/>
      <c r="R372" s="3160"/>
      <c r="S372" s="3160"/>
      <c r="T372" s="3160"/>
      <c r="U372" s="2958"/>
      <c r="V372" s="3160"/>
      <c r="W372" s="2958"/>
      <c r="X372" s="3160"/>
      <c r="Y372" s="3283"/>
      <c r="Z372" s="3258"/>
    </row>
    <row r="373" spans="1:26" s="3465" customFormat="1" ht="29.25" hidden="1" thickBot="1">
      <c r="A373" s="3480" t="s">
        <v>105</v>
      </c>
      <c r="B373" s="3444">
        <v>45729</v>
      </c>
      <c r="C373" s="3471">
        <v>11</v>
      </c>
      <c r="D373" s="3471">
        <v>239</v>
      </c>
      <c r="E373" s="4387" t="s">
        <v>306</v>
      </c>
      <c r="F373" s="4388" t="s">
        <v>169</v>
      </c>
      <c r="G373" s="3498" t="s">
        <v>1199</v>
      </c>
      <c r="H373" s="3496" t="s">
        <v>1199</v>
      </c>
      <c r="I373" s="3288">
        <v>705</v>
      </c>
      <c r="J373" s="3459" t="s">
        <v>1680</v>
      </c>
      <c r="K373" s="3446"/>
      <c r="L373" s="1357" t="s">
        <v>37</v>
      </c>
      <c r="M373" s="1357"/>
      <c r="N373" s="3160"/>
      <c r="O373" s="2959"/>
      <c r="P373" s="3160"/>
      <c r="Q373" s="3160"/>
      <c r="R373" s="3160"/>
      <c r="S373" s="3160"/>
      <c r="T373" s="3160"/>
      <c r="U373" s="2959"/>
      <c r="V373" s="3160"/>
      <c r="W373" s="2959" t="s">
        <v>1681</v>
      </c>
      <c r="X373" s="3160"/>
      <c r="Y373" s="3283"/>
      <c r="Z373" s="3258"/>
    </row>
    <row r="374" spans="1:26" s="3465" customFormat="1" ht="29.25" hidden="1" thickBot="1">
      <c r="A374" s="3493" t="s">
        <v>105</v>
      </c>
      <c r="B374" s="3457">
        <v>45729</v>
      </c>
      <c r="C374" s="3471">
        <v>11</v>
      </c>
      <c r="D374" s="3476">
        <v>240</v>
      </c>
      <c r="E374" s="4389" t="s">
        <v>1682</v>
      </c>
      <c r="F374" s="4394" t="s">
        <v>491</v>
      </c>
      <c r="G374" s="3497" t="s">
        <v>1206</v>
      </c>
      <c r="H374" s="3495" t="s">
        <v>1206</v>
      </c>
      <c r="I374" s="4386">
        <v>708</v>
      </c>
      <c r="J374" s="3458" t="s">
        <v>639</v>
      </c>
      <c r="K374" s="3458"/>
      <c r="L374" s="1891" t="s">
        <v>37</v>
      </c>
      <c r="M374" s="1891"/>
      <c r="N374" s="3160"/>
      <c r="O374" s="2958"/>
      <c r="P374" s="3160"/>
      <c r="Q374" s="3160"/>
      <c r="R374" s="3160"/>
      <c r="S374" s="3160"/>
      <c r="T374" s="3160"/>
      <c r="U374" s="2958"/>
      <c r="V374" s="3160"/>
      <c r="W374" s="2958"/>
      <c r="X374" s="3160"/>
      <c r="Y374" s="3283"/>
      <c r="Z374" s="3258"/>
    </row>
    <row r="375" spans="1:26" s="3465" customFormat="1" ht="29.25" hidden="1" thickBot="1">
      <c r="A375" s="3480" t="s">
        <v>105</v>
      </c>
      <c r="B375" s="3444">
        <v>45729</v>
      </c>
      <c r="C375" s="3471">
        <v>11</v>
      </c>
      <c r="D375" s="3471">
        <v>241</v>
      </c>
      <c r="E375" s="4379" t="s">
        <v>306</v>
      </c>
      <c r="F375" s="4396" t="s">
        <v>1213</v>
      </c>
      <c r="G375" s="3499" t="s">
        <v>1206</v>
      </c>
      <c r="H375" s="4715" t="s">
        <v>1199</v>
      </c>
      <c r="I375" s="3288">
        <v>705</v>
      </c>
      <c r="J375" s="3446" t="s">
        <v>1683</v>
      </c>
      <c r="K375" s="3446"/>
      <c r="L375" s="1357" t="s">
        <v>37</v>
      </c>
      <c r="M375" s="1357"/>
      <c r="N375" s="3160"/>
      <c r="O375" s="2959"/>
      <c r="P375" s="3160"/>
      <c r="Q375" s="3160"/>
      <c r="R375" s="3160"/>
      <c r="S375" s="3160"/>
      <c r="T375" s="3160"/>
      <c r="U375" s="2959"/>
      <c r="V375" s="3160"/>
      <c r="W375" s="2959"/>
      <c r="X375" s="3160"/>
      <c r="Y375" s="3283"/>
      <c r="Z375" s="3258"/>
    </row>
    <row r="376" spans="1:26" s="3465" customFormat="1" ht="29.25" hidden="1" thickBot="1">
      <c r="A376" s="3494" t="s">
        <v>105</v>
      </c>
      <c r="B376" s="3460">
        <v>45729</v>
      </c>
      <c r="C376" s="3482">
        <v>11</v>
      </c>
      <c r="D376" s="3756"/>
      <c r="E376" s="4568" t="s">
        <v>1213</v>
      </c>
      <c r="F376" s="4639" t="s">
        <v>306</v>
      </c>
      <c r="G376" s="4683" t="s">
        <v>1199</v>
      </c>
      <c r="H376" s="4707" t="s">
        <v>1199</v>
      </c>
      <c r="I376" s="3288">
        <v>705</v>
      </c>
      <c r="J376" s="3449" t="s">
        <v>1684</v>
      </c>
      <c r="K376" s="3449"/>
      <c r="L376" s="1907" t="s">
        <v>37</v>
      </c>
      <c r="M376" s="1907"/>
      <c r="N376" s="3284"/>
      <c r="O376" s="3466"/>
      <c r="P376" s="3284"/>
      <c r="Q376" s="3284"/>
      <c r="R376" s="3284"/>
      <c r="S376" s="3284"/>
      <c r="T376" s="3284"/>
      <c r="U376" s="3466"/>
      <c r="V376" s="3284"/>
      <c r="W376" s="3466"/>
      <c r="X376" s="3284"/>
      <c r="Y376" s="3285"/>
      <c r="Z376" s="3258"/>
    </row>
    <row r="377" spans="1:26" s="3465" customFormat="1" ht="29.25" hidden="1" thickBot="1">
      <c r="A377" s="3477" t="s">
        <v>105</v>
      </c>
      <c r="B377" s="3478">
        <v>45729</v>
      </c>
      <c r="C377" s="3479">
        <v>11</v>
      </c>
      <c r="D377" s="3479">
        <v>242</v>
      </c>
      <c r="E377" s="4381" t="s">
        <v>1464</v>
      </c>
      <c r="F377" s="4382" t="s">
        <v>1465</v>
      </c>
      <c r="G377" s="3490" t="s">
        <v>1206</v>
      </c>
      <c r="H377" s="4908" t="s">
        <v>1199</v>
      </c>
      <c r="I377" s="3477">
        <v>701</v>
      </c>
      <c r="J377" s="3483" t="s">
        <v>1547</v>
      </c>
      <c r="K377" s="4737"/>
      <c r="L377" s="1979" t="s">
        <v>37</v>
      </c>
      <c r="M377" s="1979"/>
      <c r="N377" s="3281"/>
      <c r="O377" s="3484"/>
      <c r="P377" s="3281"/>
      <c r="Q377" s="3281"/>
      <c r="R377" s="3281"/>
      <c r="S377" s="3281"/>
      <c r="T377" s="3281"/>
      <c r="U377" s="3484"/>
      <c r="V377" s="3281"/>
      <c r="W377" s="3484"/>
      <c r="X377" s="3281"/>
      <c r="Y377" s="3282"/>
      <c r="Z377" s="3258"/>
    </row>
    <row r="378" spans="1:26" s="3465" customFormat="1" ht="29.25" hidden="1" thickBot="1">
      <c r="A378" s="3493" t="s">
        <v>105</v>
      </c>
      <c r="B378" s="3457">
        <v>45729</v>
      </c>
      <c r="C378" s="3471">
        <v>11</v>
      </c>
      <c r="D378" s="3476"/>
      <c r="E378" s="4567" t="s">
        <v>1465</v>
      </c>
      <c r="F378" s="4638" t="s">
        <v>1464</v>
      </c>
      <c r="G378" s="3490" t="s">
        <v>1206</v>
      </c>
      <c r="H378" s="3487" t="s">
        <v>1199</v>
      </c>
      <c r="I378" s="3493">
        <v>701</v>
      </c>
      <c r="J378" s="3458" t="s">
        <v>1615</v>
      </c>
      <c r="K378" s="3461"/>
      <c r="L378" s="1891" t="s">
        <v>37</v>
      </c>
      <c r="M378" s="1891"/>
      <c r="N378" s="3160"/>
      <c r="O378" s="2958"/>
      <c r="P378" s="3160"/>
      <c r="Q378" s="3160"/>
      <c r="R378" s="3160"/>
      <c r="S378" s="3160"/>
      <c r="T378" s="3160"/>
      <c r="U378" s="2958"/>
      <c r="V378" s="3160"/>
      <c r="W378" s="2958"/>
      <c r="X378" s="3160"/>
      <c r="Y378" s="3283"/>
      <c r="Z378" s="3258"/>
    </row>
    <row r="379" spans="1:26" s="3465" customFormat="1" ht="53.25" hidden="1" thickBot="1">
      <c r="A379" s="3493" t="s">
        <v>132</v>
      </c>
      <c r="B379" s="3457">
        <v>45730</v>
      </c>
      <c r="C379" s="3471">
        <v>11</v>
      </c>
      <c r="D379" s="3476">
        <v>243</v>
      </c>
      <c r="E379" s="4389" t="s">
        <v>306</v>
      </c>
      <c r="F379" s="4394" t="s">
        <v>1685</v>
      </c>
      <c r="G379" s="3490" t="s">
        <v>1199</v>
      </c>
      <c r="H379" s="3488" t="s">
        <v>1199</v>
      </c>
      <c r="I379" s="3288">
        <v>705</v>
      </c>
      <c r="J379" s="3458">
        <v>1544</v>
      </c>
      <c r="K379" s="4932" t="s">
        <v>114</v>
      </c>
      <c r="L379" s="1891"/>
      <c r="M379" s="1891" t="s">
        <v>37</v>
      </c>
      <c r="N379" s="3160"/>
      <c r="O379" s="2958"/>
      <c r="P379" s="24" t="s">
        <v>0</v>
      </c>
      <c r="Q379" s="24" t="s">
        <v>31</v>
      </c>
      <c r="R379" s="24" t="s">
        <v>58</v>
      </c>
      <c r="S379" s="3160">
        <v>1</v>
      </c>
      <c r="T379" s="3160"/>
      <c r="U379" s="2958" t="s">
        <v>37</v>
      </c>
      <c r="V379" s="3160"/>
      <c r="W379" s="2958" t="s">
        <v>1687</v>
      </c>
      <c r="X379" s="3160"/>
      <c r="Y379" s="3283"/>
      <c r="Z379" s="3258"/>
    </row>
    <row r="380" spans="1:26" s="3465" customFormat="1" ht="29.25" hidden="1" thickBot="1">
      <c r="A380" s="3480" t="s">
        <v>132</v>
      </c>
      <c r="B380" s="3444">
        <v>45730</v>
      </c>
      <c r="C380" s="3471">
        <v>11</v>
      </c>
      <c r="D380" s="3471"/>
      <c r="E380" s="4379" t="s">
        <v>1254</v>
      </c>
      <c r="F380" s="4396" t="s">
        <v>304</v>
      </c>
      <c r="G380" s="4695"/>
      <c r="H380" s="3486"/>
      <c r="I380" s="3288">
        <v>705</v>
      </c>
      <c r="J380" s="3446">
        <v>1544</v>
      </c>
      <c r="K380" s="3446"/>
      <c r="L380" s="1357"/>
      <c r="M380" s="1357"/>
      <c r="N380" s="3160" t="s">
        <v>37</v>
      </c>
      <c r="O380" s="3504"/>
      <c r="P380" s="3160"/>
      <c r="Q380" s="3160"/>
      <c r="R380" s="3160"/>
      <c r="S380" s="3254"/>
      <c r="T380" s="3160"/>
      <c r="U380" s="2959"/>
      <c r="V380" s="3160"/>
      <c r="W380" s="2959"/>
      <c r="X380" s="3160"/>
      <c r="Y380" s="3283"/>
      <c r="Z380" s="3258"/>
    </row>
    <row r="381" spans="1:26" s="3465" customFormat="1" ht="29.25" hidden="1" thickBot="1">
      <c r="A381" s="3480" t="s">
        <v>132</v>
      </c>
      <c r="B381" s="3444">
        <v>45730</v>
      </c>
      <c r="C381" s="3471">
        <v>11</v>
      </c>
      <c r="D381" s="3471">
        <v>244</v>
      </c>
      <c r="E381" s="4379" t="s">
        <v>491</v>
      </c>
      <c r="F381" s="4396" t="s">
        <v>537</v>
      </c>
      <c r="G381" s="3473" t="s">
        <v>1206</v>
      </c>
      <c r="H381" s="4909" t="s">
        <v>1199</v>
      </c>
      <c r="I381" s="3288">
        <v>708</v>
      </c>
      <c r="J381" s="3446" t="s">
        <v>639</v>
      </c>
      <c r="K381" s="3446"/>
      <c r="L381" s="1357" t="s">
        <v>37</v>
      </c>
      <c r="M381" s="1357"/>
      <c r="N381" s="3160"/>
      <c r="O381" s="3504"/>
      <c r="P381" s="3160"/>
      <c r="Q381" s="3160"/>
      <c r="R381" s="3160"/>
      <c r="S381" s="3254"/>
      <c r="T381" s="3160"/>
      <c r="U381" s="2959"/>
      <c r="V381" s="3160"/>
      <c r="W381" s="2959"/>
      <c r="X381" s="3160"/>
      <c r="Y381" s="3283"/>
      <c r="Z381" s="3258"/>
    </row>
    <row r="382" spans="1:26" s="3465" customFormat="1" ht="29.25" hidden="1" thickBot="1">
      <c r="A382" s="3480" t="s">
        <v>132</v>
      </c>
      <c r="B382" s="3444">
        <v>45730</v>
      </c>
      <c r="C382" s="3471">
        <v>11</v>
      </c>
      <c r="D382" s="3471">
        <v>245</v>
      </c>
      <c r="E382" s="4379" t="s">
        <v>169</v>
      </c>
      <c r="F382" s="4396" t="s">
        <v>1688</v>
      </c>
      <c r="G382" s="4670" t="s">
        <v>1206</v>
      </c>
      <c r="H382" s="3488" t="s">
        <v>1206</v>
      </c>
      <c r="I382" s="3288">
        <v>705</v>
      </c>
      <c r="J382" s="3446" t="s">
        <v>1680</v>
      </c>
      <c r="K382" s="3446"/>
      <c r="L382" s="1357" t="s">
        <v>37</v>
      </c>
      <c r="M382" s="1357"/>
      <c r="N382" s="3160"/>
      <c r="O382" s="2959"/>
      <c r="P382" s="3276"/>
      <c r="Q382" s="3276"/>
      <c r="R382" s="3276"/>
      <c r="S382" s="3160"/>
      <c r="T382" s="3160"/>
      <c r="U382" s="2959"/>
      <c r="V382" s="3160"/>
      <c r="W382" s="2959"/>
      <c r="X382" s="3160"/>
      <c r="Y382" s="3283"/>
      <c r="Z382" s="3258"/>
    </row>
    <row r="383" spans="1:26" s="3465" customFormat="1" ht="92.85" hidden="1" customHeight="1">
      <c r="A383" s="3480" t="s">
        <v>132</v>
      </c>
      <c r="B383" s="3444">
        <v>45730</v>
      </c>
      <c r="C383" s="3471">
        <v>11</v>
      </c>
      <c r="D383" s="3471">
        <v>246</v>
      </c>
      <c r="E383" s="4379" t="s">
        <v>258</v>
      </c>
      <c r="F383" s="4396" t="s">
        <v>204</v>
      </c>
      <c r="G383" s="3473" t="s">
        <v>1206</v>
      </c>
      <c r="H383" s="4909" t="s">
        <v>1199</v>
      </c>
      <c r="I383" s="3480">
        <v>712</v>
      </c>
      <c r="J383" s="3446" t="s">
        <v>1499</v>
      </c>
      <c r="K383" s="3446"/>
      <c r="L383" s="1357"/>
      <c r="M383" s="1357" t="s">
        <v>30</v>
      </c>
      <c r="N383" s="3160"/>
      <c r="O383" s="2959"/>
      <c r="P383" s="21" t="s">
        <v>0</v>
      </c>
      <c r="Q383" s="21" t="s">
        <v>31</v>
      </c>
      <c r="R383" s="21" t="s">
        <v>1651</v>
      </c>
      <c r="S383" s="3160"/>
      <c r="T383" s="3160"/>
      <c r="U383" s="2959"/>
      <c r="V383" s="3160"/>
      <c r="W383" s="3470" t="s">
        <v>1689</v>
      </c>
      <c r="X383" s="3160"/>
      <c r="Y383" s="3283" t="s">
        <v>1690</v>
      </c>
      <c r="Z383" s="3258"/>
    </row>
    <row r="384" spans="1:26" s="3465" customFormat="1" ht="29.25" hidden="1" thickBot="1">
      <c r="A384" s="3500" t="s">
        <v>132</v>
      </c>
      <c r="B384" s="3463">
        <v>45730</v>
      </c>
      <c r="C384" s="3471">
        <v>11</v>
      </c>
      <c r="D384" s="3757">
        <v>247</v>
      </c>
      <c r="E384" s="4397" t="s">
        <v>306</v>
      </c>
      <c r="F384" s="4398" t="s">
        <v>1691</v>
      </c>
      <c r="G384" s="3492" t="s">
        <v>1206</v>
      </c>
      <c r="H384" s="3489" t="s">
        <v>1206</v>
      </c>
      <c r="I384" s="3443">
        <v>712</v>
      </c>
      <c r="J384" s="3501" t="s">
        <v>1692</v>
      </c>
      <c r="K384" s="3464"/>
      <c r="L384" s="1921" t="s">
        <v>37</v>
      </c>
      <c r="M384" s="1921"/>
      <c r="N384" s="3273"/>
      <c r="O384" s="3469"/>
      <c r="P384" s="3273"/>
      <c r="Q384" s="3273"/>
      <c r="R384" s="3273"/>
      <c r="S384" s="3273"/>
      <c r="T384" s="3273"/>
      <c r="U384" s="3469"/>
      <c r="V384" s="3273"/>
      <c r="W384" s="3469"/>
      <c r="X384" s="3273"/>
      <c r="Y384" s="3300"/>
      <c r="Z384" s="3258"/>
    </row>
    <row r="385" spans="1:292" s="3465" customFormat="1" ht="57.75" hidden="1" thickBot="1">
      <c r="A385" s="3477" t="s">
        <v>132</v>
      </c>
      <c r="B385" s="3478">
        <v>45730</v>
      </c>
      <c r="C385" s="3502">
        <v>11</v>
      </c>
      <c r="D385" s="3502">
        <v>248</v>
      </c>
      <c r="E385" s="4392" t="s">
        <v>258</v>
      </c>
      <c r="F385" s="4393" t="s">
        <v>1693</v>
      </c>
      <c r="G385" s="4883" t="s">
        <v>1199</v>
      </c>
      <c r="H385" s="4910" t="s">
        <v>1199</v>
      </c>
      <c r="I385" s="4383">
        <v>707</v>
      </c>
      <c r="J385" s="3483" t="s">
        <v>260</v>
      </c>
      <c r="K385" s="3483"/>
      <c r="L385" s="1979" t="s">
        <v>37</v>
      </c>
      <c r="M385" s="1979"/>
      <c r="N385" s="3281"/>
      <c r="O385" s="3484"/>
      <c r="P385" s="3281"/>
      <c r="Q385" s="3281"/>
      <c r="R385" s="3281"/>
      <c r="S385" s="3281"/>
      <c r="T385" s="3281"/>
      <c r="U385" s="3484"/>
      <c r="V385" s="3281"/>
      <c r="W385" s="4793" t="s">
        <v>1694</v>
      </c>
      <c r="X385" s="3281"/>
      <c r="Y385" s="3282"/>
      <c r="Z385" s="3258"/>
      <c r="AA385" s="3161"/>
      <c r="AB385" s="3161"/>
      <c r="AC385" s="3161"/>
      <c r="AD385" s="3161"/>
      <c r="AE385" s="3161"/>
      <c r="AF385" s="3161"/>
      <c r="AG385" s="3161"/>
      <c r="AH385" s="3161"/>
      <c r="AI385" s="3161"/>
      <c r="AJ385" s="3161"/>
      <c r="AK385" s="3161"/>
      <c r="AL385" s="3161"/>
      <c r="AM385" s="3161"/>
      <c r="AN385" s="3161"/>
      <c r="AO385" s="3161"/>
      <c r="AP385" s="3161"/>
      <c r="AQ385" s="3161"/>
      <c r="AR385" s="3161"/>
      <c r="AS385" s="3161"/>
      <c r="AT385" s="3161"/>
      <c r="AU385" s="3161"/>
      <c r="AV385" s="3161"/>
      <c r="AW385" s="3161"/>
      <c r="AX385" s="3161"/>
      <c r="AY385" s="3161"/>
      <c r="AZ385" s="3161"/>
      <c r="BA385" s="3161"/>
      <c r="BB385" s="3161"/>
      <c r="BC385" s="3161"/>
      <c r="BD385" s="3161"/>
      <c r="BE385" s="3161"/>
      <c r="BF385" s="3161"/>
      <c r="BG385" s="3161"/>
      <c r="BH385" s="3161"/>
      <c r="BI385" s="3161"/>
      <c r="BJ385" s="3161"/>
      <c r="BK385" s="3161"/>
      <c r="BL385" s="3161"/>
      <c r="BM385" s="3161"/>
      <c r="BN385" s="3161"/>
      <c r="BO385" s="3161"/>
      <c r="BP385" s="3161"/>
      <c r="BQ385" s="3161"/>
      <c r="BR385" s="3161"/>
      <c r="BS385" s="3161"/>
      <c r="BT385" s="3161"/>
      <c r="BU385" s="3161"/>
      <c r="BV385" s="3161"/>
      <c r="BW385" s="3161"/>
      <c r="BX385" s="3161"/>
      <c r="BY385" s="3161"/>
      <c r="BZ385" s="3161"/>
      <c r="CA385" s="3161"/>
      <c r="CB385" s="3161"/>
      <c r="CC385" s="3161"/>
      <c r="CD385" s="3161"/>
      <c r="CE385" s="3161"/>
      <c r="CF385" s="3161"/>
      <c r="CG385" s="3161"/>
      <c r="CH385" s="3161"/>
      <c r="CI385" s="3161"/>
      <c r="CJ385" s="3161"/>
      <c r="CK385" s="3161"/>
      <c r="CL385" s="3161"/>
      <c r="CM385" s="3161"/>
      <c r="CN385" s="3161"/>
      <c r="CO385" s="3161"/>
      <c r="CP385" s="3161"/>
      <c r="CQ385" s="3161"/>
      <c r="CR385" s="3161"/>
      <c r="CS385" s="3161"/>
      <c r="CT385" s="3161"/>
      <c r="CU385" s="3161"/>
      <c r="CV385" s="3161"/>
      <c r="CW385" s="3161"/>
      <c r="CX385" s="3161"/>
      <c r="CY385" s="3161"/>
      <c r="CZ385" s="3161"/>
      <c r="DA385" s="3161"/>
      <c r="DB385" s="3161"/>
      <c r="DC385" s="3161"/>
      <c r="DD385" s="3161"/>
      <c r="DE385" s="3161"/>
      <c r="DF385" s="3161"/>
      <c r="DG385" s="3161"/>
      <c r="DH385" s="3161"/>
      <c r="DI385" s="3161"/>
      <c r="DJ385" s="3161"/>
      <c r="DK385" s="3161"/>
      <c r="DL385" s="3161"/>
      <c r="DM385" s="3161"/>
      <c r="DN385" s="3161"/>
      <c r="DO385" s="3161"/>
      <c r="DP385" s="3161"/>
      <c r="DQ385" s="3161"/>
      <c r="DR385" s="3161"/>
      <c r="DS385" s="3161"/>
      <c r="DT385" s="3161"/>
      <c r="DU385" s="3161"/>
      <c r="DV385" s="3161"/>
      <c r="DW385" s="3161"/>
      <c r="DX385" s="3161"/>
      <c r="DY385" s="3161"/>
      <c r="DZ385" s="3161"/>
      <c r="EA385" s="3161"/>
      <c r="EB385" s="3161"/>
      <c r="EC385" s="3161"/>
      <c r="ED385" s="3161"/>
      <c r="EE385" s="3161"/>
      <c r="EF385" s="3161"/>
      <c r="EG385" s="3161"/>
      <c r="EH385" s="3161"/>
      <c r="EI385" s="3161"/>
      <c r="EJ385" s="3161"/>
      <c r="EK385" s="3161"/>
      <c r="EL385" s="3161"/>
      <c r="EM385" s="3161"/>
      <c r="EN385" s="3161"/>
      <c r="EO385" s="3161"/>
      <c r="EP385" s="3161"/>
      <c r="EQ385" s="3161"/>
      <c r="ER385" s="3161"/>
      <c r="ES385" s="3161"/>
      <c r="ET385" s="3161"/>
      <c r="EU385" s="3161"/>
      <c r="EV385" s="3161"/>
      <c r="EW385" s="3161"/>
      <c r="EX385" s="3161"/>
      <c r="EY385" s="3161"/>
      <c r="EZ385" s="3161"/>
      <c r="FA385" s="3161"/>
      <c r="FB385" s="3161"/>
      <c r="FC385" s="3161"/>
      <c r="FD385" s="3161"/>
      <c r="FE385" s="3161"/>
      <c r="FF385" s="3161"/>
      <c r="FG385" s="3161"/>
      <c r="FH385" s="3161"/>
      <c r="FI385" s="3161"/>
      <c r="FJ385" s="3161"/>
      <c r="FK385" s="3161"/>
      <c r="FL385" s="3161"/>
      <c r="FM385" s="3161"/>
      <c r="FN385" s="3161"/>
      <c r="FO385" s="3161"/>
      <c r="FP385" s="3161"/>
      <c r="FQ385" s="3161"/>
      <c r="FR385" s="3161"/>
      <c r="FS385" s="3161"/>
      <c r="FT385" s="3161"/>
      <c r="FU385" s="3161"/>
      <c r="FV385" s="3161"/>
      <c r="FW385" s="3161"/>
      <c r="FX385" s="3161"/>
      <c r="FY385" s="3161"/>
      <c r="FZ385" s="3161"/>
      <c r="GA385" s="3161"/>
      <c r="GB385" s="3161"/>
      <c r="GC385" s="3161"/>
      <c r="GD385" s="3161"/>
      <c r="GE385" s="3161"/>
      <c r="GF385" s="3161"/>
      <c r="GG385" s="3161"/>
      <c r="GH385" s="3161"/>
      <c r="GI385" s="3161"/>
      <c r="GJ385" s="3161"/>
      <c r="GK385" s="3161"/>
      <c r="GL385" s="3161"/>
      <c r="GM385" s="3161"/>
      <c r="GN385" s="3161"/>
      <c r="GO385" s="3161"/>
      <c r="GP385" s="3161"/>
      <c r="GQ385" s="3161"/>
      <c r="GR385" s="3161"/>
      <c r="GS385" s="3161"/>
      <c r="GT385" s="3161"/>
      <c r="GU385" s="3161"/>
      <c r="GV385" s="3161"/>
      <c r="GW385" s="3161"/>
      <c r="GX385" s="3161"/>
      <c r="GY385" s="3161"/>
      <c r="GZ385" s="3161"/>
      <c r="HA385" s="3161"/>
      <c r="HB385" s="3161"/>
      <c r="HC385" s="3161"/>
      <c r="HD385" s="3161"/>
      <c r="HE385" s="3161"/>
      <c r="HF385" s="3161"/>
      <c r="HG385" s="3161"/>
      <c r="HH385" s="3161"/>
      <c r="HI385" s="3161"/>
      <c r="HJ385" s="3161"/>
      <c r="HK385" s="3161"/>
      <c r="HL385" s="3161"/>
      <c r="HM385" s="3161"/>
      <c r="HN385" s="3161"/>
      <c r="HO385" s="3161"/>
      <c r="HP385" s="3161"/>
      <c r="HQ385" s="3161"/>
      <c r="HR385" s="3161"/>
      <c r="HS385" s="3161"/>
      <c r="HT385" s="3161"/>
      <c r="HU385" s="3161"/>
      <c r="HV385" s="3161"/>
      <c r="HW385" s="3161"/>
      <c r="HX385" s="3161"/>
      <c r="HY385" s="3161"/>
      <c r="HZ385" s="3161"/>
      <c r="IA385" s="3161"/>
      <c r="IB385" s="3161"/>
      <c r="IC385" s="3161"/>
      <c r="ID385" s="3161"/>
      <c r="IE385" s="3161"/>
      <c r="IF385" s="3161"/>
      <c r="IG385" s="3161"/>
      <c r="IH385" s="3161"/>
      <c r="II385" s="3161"/>
      <c r="IJ385" s="3161"/>
      <c r="IK385" s="3161"/>
      <c r="IL385" s="3161"/>
      <c r="IM385" s="3161"/>
      <c r="IN385" s="3161"/>
      <c r="IO385" s="3161"/>
      <c r="IP385" s="3161"/>
      <c r="IQ385" s="3161"/>
      <c r="IR385" s="3161"/>
      <c r="IS385" s="3161"/>
      <c r="IT385" s="3161"/>
      <c r="IU385" s="3161"/>
      <c r="IV385" s="3161"/>
      <c r="IW385" s="3161"/>
      <c r="IX385" s="3161"/>
      <c r="IY385" s="3161"/>
      <c r="IZ385" s="3161"/>
      <c r="JA385" s="3161"/>
      <c r="JB385" s="3161"/>
      <c r="JC385" s="3161"/>
      <c r="JD385" s="3161"/>
      <c r="JE385" s="3161"/>
      <c r="JF385" s="3161"/>
      <c r="JG385" s="3161"/>
      <c r="JH385" s="3161"/>
      <c r="JI385" s="3161"/>
      <c r="JJ385" s="3161"/>
      <c r="JK385" s="3161"/>
      <c r="JL385" s="3161"/>
      <c r="JM385" s="3161"/>
      <c r="JN385" s="3161"/>
      <c r="JO385" s="3161"/>
      <c r="JP385" s="3161"/>
      <c r="JQ385" s="3161"/>
      <c r="JR385" s="3161"/>
      <c r="JS385" s="3161"/>
      <c r="JT385" s="3161"/>
      <c r="JU385" s="3161"/>
      <c r="JV385" s="3161"/>
      <c r="JW385" s="3161"/>
      <c r="JX385" s="3161"/>
      <c r="JY385" s="3161"/>
      <c r="JZ385" s="3161"/>
      <c r="KA385" s="3161"/>
      <c r="KB385" s="3161"/>
      <c r="KC385" s="3161"/>
      <c r="KD385" s="3161"/>
      <c r="KE385" s="3161"/>
      <c r="KF385" s="3161"/>
    </row>
    <row r="386" spans="1:292" s="3465" customFormat="1" ht="57.75" hidden="1" thickBot="1">
      <c r="A386" s="3500" t="s">
        <v>132</v>
      </c>
      <c r="B386" s="3463">
        <v>45730</v>
      </c>
      <c r="C386" s="3471">
        <v>11</v>
      </c>
      <c r="D386" s="3471">
        <v>249</v>
      </c>
      <c r="E386" s="4380" t="s">
        <v>924</v>
      </c>
      <c r="F386" s="4398" t="s">
        <v>216</v>
      </c>
      <c r="G386" s="4884" t="s">
        <v>1206</v>
      </c>
      <c r="H386" s="3489" t="s">
        <v>1206</v>
      </c>
      <c r="I386" s="3500">
        <v>712</v>
      </c>
      <c r="J386" s="3464" t="s">
        <v>1695</v>
      </c>
      <c r="K386" s="3464"/>
      <c r="L386" s="1921"/>
      <c r="M386" s="1921"/>
      <c r="N386" s="3273"/>
      <c r="O386" s="3469" t="s">
        <v>37</v>
      </c>
      <c r="P386" s="3273"/>
      <c r="Q386" s="3273"/>
      <c r="R386" s="3273"/>
      <c r="S386" s="3273"/>
      <c r="T386" s="3273"/>
      <c r="U386" s="3469"/>
      <c r="V386" s="3273"/>
      <c r="W386" s="3475" t="s">
        <v>1696</v>
      </c>
      <c r="X386" s="3273"/>
      <c r="Y386" s="3300"/>
      <c r="Z386" s="3258"/>
      <c r="AA386" s="3161"/>
      <c r="AB386" s="3161"/>
      <c r="AC386" s="3161"/>
      <c r="AD386" s="3161"/>
      <c r="AE386" s="3161"/>
      <c r="AF386" s="3161"/>
      <c r="AG386" s="3161"/>
      <c r="AH386" s="3161"/>
      <c r="AI386" s="3161"/>
      <c r="AJ386" s="3161"/>
      <c r="AK386" s="3161"/>
      <c r="AL386" s="3161"/>
      <c r="AM386" s="3161"/>
      <c r="AN386" s="3161"/>
      <c r="AO386" s="3161"/>
      <c r="AP386" s="3161"/>
      <c r="AQ386" s="3161"/>
      <c r="AR386" s="3161"/>
      <c r="AS386" s="3161"/>
      <c r="AT386" s="3161"/>
      <c r="AU386" s="3161"/>
      <c r="AV386" s="3161"/>
      <c r="AW386" s="3161"/>
      <c r="AX386" s="3161"/>
      <c r="AY386" s="3161"/>
      <c r="AZ386" s="3161"/>
      <c r="BA386" s="3161"/>
      <c r="BB386" s="3161"/>
      <c r="BC386" s="3161"/>
      <c r="BD386" s="3161"/>
      <c r="BE386" s="3161"/>
      <c r="BF386" s="3161"/>
      <c r="BG386" s="3161"/>
      <c r="BH386" s="3161"/>
      <c r="BI386" s="3161"/>
      <c r="BJ386" s="3161"/>
      <c r="BK386" s="3161"/>
      <c r="BL386" s="3161"/>
      <c r="BM386" s="3161"/>
      <c r="BN386" s="3161"/>
      <c r="BO386" s="3161"/>
      <c r="BP386" s="3161"/>
      <c r="BQ386" s="3161"/>
      <c r="BR386" s="3161"/>
      <c r="BS386" s="3161"/>
      <c r="BT386" s="3161"/>
      <c r="BU386" s="3161"/>
      <c r="BV386" s="3161"/>
      <c r="BW386" s="3161"/>
      <c r="BX386" s="3161"/>
      <c r="BY386" s="3161"/>
      <c r="BZ386" s="3161"/>
      <c r="CA386" s="3161"/>
      <c r="CB386" s="3161"/>
      <c r="CC386" s="3161"/>
      <c r="CD386" s="3161"/>
      <c r="CE386" s="3161"/>
      <c r="CF386" s="3161"/>
      <c r="CG386" s="3161"/>
      <c r="CH386" s="3161"/>
      <c r="CI386" s="3161"/>
      <c r="CJ386" s="3161"/>
      <c r="CK386" s="3161"/>
      <c r="CL386" s="3161"/>
      <c r="CM386" s="3161"/>
      <c r="CN386" s="3161"/>
      <c r="CO386" s="3161"/>
      <c r="CP386" s="3161"/>
      <c r="CQ386" s="3161"/>
      <c r="CR386" s="3161"/>
      <c r="CS386" s="3161"/>
      <c r="CT386" s="3161"/>
      <c r="CU386" s="3161"/>
      <c r="CV386" s="3161"/>
      <c r="CW386" s="3161"/>
      <c r="CX386" s="3161"/>
      <c r="CY386" s="3161"/>
      <c r="CZ386" s="3161"/>
      <c r="DA386" s="3161"/>
      <c r="DB386" s="3161"/>
      <c r="DC386" s="3161"/>
      <c r="DD386" s="3161"/>
      <c r="DE386" s="3161"/>
      <c r="DF386" s="3161"/>
      <c r="DG386" s="3161"/>
      <c r="DH386" s="3161"/>
      <c r="DI386" s="3161"/>
      <c r="DJ386" s="3161"/>
      <c r="DK386" s="3161"/>
      <c r="DL386" s="3161"/>
      <c r="DM386" s="3161"/>
      <c r="DN386" s="3161"/>
      <c r="DO386" s="3161"/>
      <c r="DP386" s="3161"/>
      <c r="DQ386" s="3161"/>
      <c r="DR386" s="3161"/>
      <c r="DS386" s="3161"/>
      <c r="DT386" s="3161"/>
      <c r="DU386" s="3161"/>
      <c r="DV386" s="3161"/>
      <c r="DW386" s="3161"/>
      <c r="DX386" s="3161"/>
      <c r="DY386" s="3161"/>
      <c r="DZ386" s="3161"/>
      <c r="EA386" s="3161"/>
      <c r="EB386" s="3161"/>
      <c r="EC386" s="3161"/>
      <c r="ED386" s="3161"/>
      <c r="EE386" s="3161"/>
      <c r="EF386" s="3161"/>
      <c r="EG386" s="3161"/>
      <c r="EH386" s="3161"/>
      <c r="EI386" s="3161"/>
      <c r="EJ386" s="3161"/>
      <c r="EK386" s="3161"/>
      <c r="EL386" s="3161"/>
      <c r="EM386" s="3161"/>
      <c r="EN386" s="3161"/>
      <c r="EO386" s="3161"/>
      <c r="EP386" s="3161"/>
      <c r="EQ386" s="3161"/>
      <c r="ER386" s="3161"/>
      <c r="ES386" s="3161"/>
      <c r="ET386" s="3161"/>
      <c r="EU386" s="3161"/>
      <c r="EV386" s="3161"/>
      <c r="EW386" s="3161"/>
      <c r="EX386" s="3161"/>
      <c r="EY386" s="3161"/>
      <c r="EZ386" s="3161"/>
      <c r="FA386" s="3161"/>
      <c r="FB386" s="3161"/>
      <c r="FC386" s="3161"/>
      <c r="FD386" s="3161"/>
      <c r="FE386" s="3161"/>
      <c r="FF386" s="3161"/>
      <c r="FG386" s="3161"/>
      <c r="FH386" s="3161"/>
      <c r="FI386" s="3161"/>
      <c r="FJ386" s="3161"/>
      <c r="FK386" s="3161"/>
      <c r="FL386" s="3161"/>
      <c r="FM386" s="3161"/>
      <c r="FN386" s="3161"/>
      <c r="FO386" s="3161"/>
      <c r="FP386" s="3161"/>
      <c r="FQ386" s="3161"/>
      <c r="FR386" s="3161"/>
      <c r="FS386" s="3161"/>
      <c r="FT386" s="3161"/>
      <c r="FU386" s="3161"/>
      <c r="FV386" s="3161"/>
      <c r="FW386" s="3161"/>
      <c r="FX386" s="3161"/>
      <c r="FY386" s="3161"/>
      <c r="FZ386" s="3161"/>
      <c r="GA386" s="3161"/>
      <c r="GB386" s="3161"/>
      <c r="GC386" s="3161"/>
      <c r="GD386" s="3161"/>
      <c r="GE386" s="3161"/>
      <c r="GF386" s="3161"/>
      <c r="GG386" s="3161"/>
      <c r="GH386" s="3161"/>
      <c r="GI386" s="3161"/>
      <c r="GJ386" s="3161"/>
      <c r="GK386" s="3161"/>
      <c r="GL386" s="3161"/>
      <c r="GM386" s="3161"/>
      <c r="GN386" s="3161"/>
      <c r="GO386" s="3161"/>
      <c r="GP386" s="3161"/>
      <c r="GQ386" s="3161"/>
      <c r="GR386" s="3161"/>
      <c r="GS386" s="3161"/>
      <c r="GT386" s="3161"/>
      <c r="GU386" s="3161"/>
      <c r="GV386" s="3161"/>
      <c r="GW386" s="3161"/>
      <c r="GX386" s="3161"/>
      <c r="GY386" s="3161"/>
      <c r="GZ386" s="3161"/>
      <c r="HA386" s="3161"/>
      <c r="HB386" s="3161"/>
      <c r="HC386" s="3161"/>
      <c r="HD386" s="3161"/>
      <c r="HE386" s="3161"/>
      <c r="HF386" s="3161"/>
      <c r="HG386" s="3161"/>
      <c r="HH386" s="3161"/>
      <c r="HI386" s="3161"/>
      <c r="HJ386" s="3161"/>
      <c r="HK386" s="3161"/>
      <c r="HL386" s="3161"/>
      <c r="HM386" s="3161"/>
      <c r="HN386" s="3161"/>
      <c r="HO386" s="3161"/>
      <c r="HP386" s="3161"/>
      <c r="HQ386" s="3161"/>
      <c r="HR386" s="3161"/>
      <c r="HS386" s="3161"/>
      <c r="HT386" s="3161"/>
      <c r="HU386" s="3161"/>
      <c r="HV386" s="3161"/>
      <c r="HW386" s="3161"/>
      <c r="HX386" s="3161"/>
      <c r="HY386" s="3161"/>
      <c r="HZ386" s="3161"/>
      <c r="IA386" s="3161"/>
      <c r="IB386" s="3161"/>
      <c r="IC386" s="3161"/>
      <c r="ID386" s="3161"/>
      <c r="IE386" s="3161"/>
      <c r="IF386" s="3161"/>
      <c r="IG386" s="3161"/>
      <c r="IH386" s="3161"/>
      <c r="II386" s="3161"/>
      <c r="IJ386" s="3161"/>
      <c r="IK386" s="3161"/>
      <c r="IL386" s="3161"/>
      <c r="IM386" s="3161"/>
      <c r="IN386" s="3161"/>
      <c r="IO386" s="3161"/>
      <c r="IP386" s="3161"/>
      <c r="IQ386" s="3161"/>
      <c r="IR386" s="3161"/>
      <c r="IS386" s="3161"/>
      <c r="IT386" s="3161"/>
      <c r="IU386" s="3161"/>
      <c r="IV386" s="3161"/>
      <c r="IW386" s="3161"/>
      <c r="IX386" s="3161"/>
      <c r="IY386" s="3161"/>
      <c r="IZ386" s="3161"/>
      <c r="JA386" s="3161"/>
      <c r="JB386" s="3161"/>
      <c r="JC386" s="3161"/>
      <c r="JD386" s="3161"/>
      <c r="JE386" s="3161"/>
      <c r="JF386" s="3161"/>
      <c r="JG386" s="3161"/>
      <c r="JH386" s="3161"/>
      <c r="JI386" s="3161"/>
      <c r="JJ386" s="3161"/>
      <c r="JK386" s="3161"/>
      <c r="JL386" s="3161"/>
      <c r="JM386" s="3161"/>
      <c r="JN386" s="3161"/>
      <c r="JO386" s="3161"/>
      <c r="JP386" s="3161"/>
      <c r="JQ386" s="3161"/>
      <c r="JR386" s="3161"/>
      <c r="JS386" s="3161"/>
      <c r="JT386" s="3161"/>
      <c r="JU386" s="3161"/>
      <c r="JV386" s="3161"/>
      <c r="JW386" s="3161"/>
      <c r="JX386" s="3161"/>
      <c r="JY386" s="3161"/>
      <c r="JZ386" s="3161"/>
      <c r="KA386" s="3161"/>
      <c r="KB386" s="3161"/>
      <c r="KC386" s="3161"/>
      <c r="KD386" s="3161"/>
      <c r="KE386" s="3161"/>
      <c r="KF386" s="3161"/>
    </row>
    <row r="387" spans="1:292" ht="119.25" hidden="1" customHeight="1">
      <c r="A387" s="3477" t="s">
        <v>1697</v>
      </c>
      <c r="B387" s="3478">
        <v>45731</v>
      </c>
      <c r="C387" s="3502">
        <v>11</v>
      </c>
      <c r="D387" s="3502">
        <v>250</v>
      </c>
      <c r="E387" s="4392" t="s">
        <v>1238</v>
      </c>
      <c r="F387" s="4393" t="s">
        <v>1698</v>
      </c>
      <c r="G387" s="3473" t="s">
        <v>1199</v>
      </c>
      <c r="H387" s="3488" t="s">
        <v>1199</v>
      </c>
      <c r="I387" s="4383">
        <v>705</v>
      </c>
      <c r="J387" s="3483" t="s">
        <v>1699</v>
      </c>
      <c r="K387" s="3483"/>
      <c r="L387" s="3503" t="s">
        <v>37</v>
      </c>
      <c r="M387" s="3484"/>
      <c r="N387" s="3281"/>
      <c r="O387" s="3484"/>
      <c r="P387" s="3281"/>
      <c r="Q387" s="3281"/>
      <c r="R387" s="3281"/>
      <c r="S387" s="3281"/>
      <c r="T387" s="3281"/>
      <c r="U387" s="3484"/>
      <c r="V387" s="3281"/>
      <c r="W387" s="3484"/>
      <c r="X387" s="3281"/>
      <c r="Y387" s="3282"/>
    </row>
    <row r="388" spans="1:292" ht="29.25" hidden="1" thickBot="1">
      <c r="A388" s="3480" t="s">
        <v>1697</v>
      </c>
      <c r="B388" s="3444">
        <v>45731</v>
      </c>
      <c r="C388" s="4500">
        <v>11</v>
      </c>
      <c r="D388" s="4500">
        <v>251</v>
      </c>
      <c r="E388" s="4379" t="s">
        <v>306</v>
      </c>
      <c r="F388" s="4396" t="s">
        <v>450</v>
      </c>
      <c r="G388" s="3473"/>
      <c r="H388" s="3488"/>
      <c r="I388" s="4386"/>
      <c r="J388" s="3446" t="s">
        <v>1700</v>
      </c>
      <c r="K388" s="3446"/>
      <c r="L388" s="3443"/>
      <c r="M388" s="2959"/>
      <c r="O388" s="2959"/>
      <c r="U388" s="2959" t="s">
        <v>37</v>
      </c>
      <c r="W388" s="2959"/>
      <c r="Y388" s="3283"/>
    </row>
    <row r="389" spans="1:292" ht="114.75" hidden="1" thickBot="1">
      <c r="A389" s="3480" t="s">
        <v>25</v>
      </c>
      <c r="B389" s="3444">
        <v>45733</v>
      </c>
      <c r="C389" s="3513" t="s">
        <v>709</v>
      </c>
      <c r="D389" s="3513" t="s">
        <v>822</v>
      </c>
      <c r="E389" s="3443" t="s">
        <v>204</v>
      </c>
      <c r="F389" s="3516" t="s">
        <v>1701</v>
      </c>
      <c r="G389" s="3254"/>
      <c r="H389" s="3253"/>
      <c r="I389" s="3480">
        <v>707</v>
      </c>
      <c r="J389" s="3443" t="s">
        <v>1499</v>
      </c>
      <c r="L389" s="3443"/>
      <c r="M389" s="3443" t="s">
        <v>37</v>
      </c>
      <c r="N389" s="3443"/>
      <c r="O389" s="3443"/>
      <c r="P389" s="21" t="s">
        <v>109</v>
      </c>
      <c r="Q389" s="21" t="s">
        <v>255</v>
      </c>
      <c r="R389" s="21" t="s">
        <v>38</v>
      </c>
      <c r="S389" s="3443"/>
      <c r="W389" s="3507" t="s">
        <v>1702</v>
      </c>
      <c r="Y389" s="3283"/>
    </row>
    <row r="390" spans="1:292" ht="29.25" hidden="1" thickBot="1">
      <c r="A390" s="3480" t="s">
        <v>25</v>
      </c>
      <c r="B390" s="3444">
        <v>45733</v>
      </c>
      <c r="C390" s="3513" t="s">
        <v>709</v>
      </c>
      <c r="D390" s="3513" t="s">
        <v>826</v>
      </c>
      <c r="E390" s="3443" t="s">
        <v>43</v>
      </c>
      <c r="F390" s="3516" t="s">
        <v>1703</v>
      </c>
      <c r="G390" s="3254"/>
      <c r="H390" s="3253"/>
      <c r="I390" s="3480">
        <v>704</v>
      </c>
      <c r="J390" s="3443" t="s">
        <v>1704</v>
      </c>
      <c r="L390" s="3443" t="s">
        <v>37</v>
      </c>
      <c r="M390" s="3443"/>
      <c r="N390" s="3443"/>
      <c r="O390" s="3443"/>
      <c r="S390" s="3443"/>
      <c r="W390" s="3443"/>
      <c r="Y390" s="3283"/>
    </row>
    <row r="391" spans="1:292" ht="29.25" hidden="1" thickBot="1">
      <c r="A391" s="3480" t="s">
        <v>25</v>
      </c>
      <c r="B391" s="3444">
        <v>45733</v>
      </c>
      <c r="C391" s="3513" t="s">
        <v>709</v>
      </c>
      <c r="D391" s="3513" t="s">
        <v>831</v>
      </c>
      <c r="E391" s="3507" t="s">
        <v>1705</v>
      </c>
      <c r="F391" s="3516" t="s">
        <v>306</v>
      </c>
      <c r="G391" s="3254"/>
      <c r="H391" s="3253"/>
      <c r="I391" s="3480">
        <v>705</v>
      </c>
      <c r="J391" s="3443" t="s">
        <v>1706</v>
      </c>
      <c r="L391" s="3443" t="s">
        <v>37</v>
      </c>
      <c r="M391" s="3443"/>
      <c r="N391" s="3443"/>
      <c r="O391" s="3443"/>
      <c r="S391" s="3443"/>
      <c r="W391" s="3443"/>
      <c r="Y391" s="3283"/>
    </row>
    <row r="392" spans="1:292" ht="29.25" hidden="1" thickBot="1">
      <c r="A392" s="3480" t="s">
        <v>25</v>
      </c>
      <c r="B392" s="3444">
        <v>45733</v>
      </c>
      <c r="C392" s="3513" t="s">
        <v>709</v>
      </c>
      <c r="D392" s="3513" t="s">
        <v>833</v>
      </c>
      <c r="E392" s="3443" t="s">
        <v>204</v>
      </c>
      <c r="F392" s="3516" t="s">
        <v>659</v>
      </c>
      <c r="G392" s="3254"/>
      <c r="H392" s="3253"/>
      <c r="I392" s="3480">
        <v>705</v>
      </c>
      <c r="J392" s="3443" t="s">
        <v>1683</v>
      </c>
      <c r="K392" s="4736"/>
      <c r="L392" s="3443" t="s">
        <v>37</v>
      </c>
      <c r="M392" s="3443"/>
      <c r="N392" s="3443"/>
      <c r="O392" s="3443"/>
      <c r="S392" s="3443"/>
      <c r="W392" s="3443"/>
      <c r="Y392" s="3283"/>
    </row>
    <row r="393" spans="1:292" ht="29.25" hidden="1" thickBot="1">
      <c r="A393" s="3480" t="s">
        <v>25</v>
      </c>
      <c r="B393" s="3444">
        <v>45733</v>
      </c>
      <c r="C393" s="3513" t="s">
        <v>709</v>
      </c>
      <c r="D393" s="3513"/>
      <c r="E393" s="3443" t="s">
        <v>450</v>
      </c>
      <c r="F393" s="3516" t="s">
        <v>89</v>
      </c>
      <c r="G393" s="3254"/>
      <c r="H393" s="3253"/>
      <c r="I393" s="3480">
        <v>705</v>
      </c>
      <c r="J393" s="3443" t="s">
        <v>1683</v>
      </c>
      <c r="L393" s="3443" t="s">
        <v>37</v>
      </c>
      <c r="M393" s="3443"/>
      <c r="N393" s="3443"/>
      <c r="O393" s="3443"/>
      <c r="S393" s="3443"/>
      <c r="W393" s="3443"/>
      <c r="Y393" s="3283"/>
    </row>
    <row r="394" spans="1:292" ht="57.75" hidden="1" thickBot="1">
      <c r="A394" s="3500" t="s">
        <v>25</v>
      </c>
      <c r="B394" s="3463">
        <v>45733</v>
      </c>
      <c r="C394" s="3520" t="s">
        <v>709</v>
      </c>
      <c r="D394" s="3520" t="s">
        <v>836</v>
      </c>
      <c r="E394" s="3462" t="s">
        <v>450</v>
      </c>
      <c r="F394" s="3524" t="s">
        <v>204</v>
      </c>
      <c r="G394" s="3254"/>
      <c r="H394" s="3253"/>
      <c r="I394" s="3480">
        <v>705</v>
      </c>
      <c r="J394" s="3462">
        <v>1544</v>
      </c>
      <c r="K394" s="4933" t="s">
        <v>114</v>
      </c>
      <c r="L394" s="3462"/>
      <c r="M394" s="3462" t="s">
        <v>37</v>
      </c>
      <c r="N394" s="3462"/>
      <c r="O394" s="3462"/>
      <c r="P394" s="24" t="s">
        <v>109</v>
      </c>
      <c r="Q394" s="24" t="s">
        <v>1268</v>
      </c>
      <c r="R394" s="24" t="s">
        <v>160</v>
      </c>
      <c r="S394" s="3462"/>
      <c r="T394" s="3273"/>
      <c r="U394" s="3273"/>
      <c r="V394" s="3273"/>
      <c r="W394" s="3636" t="s">
        <v>1707</v>
      </c>
      <c r="X394" s="3284"/>
      <c r="Y394" s="3285"/>
    </row>
    <row r="395" spans="1:292" ht="129.75" hidden="1" customHeight="1">
      <c r="A395" s="3477" t="s">
        <v>25</v>
      </c>
      <c r="B395" s="3478">
        <v>45733</v>
      </c>
      <c r="C395" s="3514" t="s">
        <v>709</v>
      </c>
      <c r="D395" s="3514" t="s">
        <v>839</v>
      </c>
      <c r="E395" s="3525" t="s">
        <v>1464</v>
      </c>
      <c r="F395" s="3526" t="s">
        <v>1465</v>
      </c>
      <c r="G395" s="3254"/>
      <c r="H395" s="3253"/>
      <c r="I395" s="3477">
        <v>701</v>
      </c>
      <c r="J395" s="3503" t="s">
        <v>1708</v>
      </c>
      <c r="K395" s="3369"/>
      <c r="L395" s="3503" t="s">
        <v>37</v>
      </c>
      <c r="M395" s="3503"/>
      <c r="N395" s="3503"/>
      <c r="O395" s="3503"/>
      <c r="P395" s="3281"/>
      <c r="Q395" s="3281"/>
      <c r="R395" s="3281"/>
      <c r="S395" s="3503"/>
      <c r="T395" s="3281"/>
      <c r="U395" s="3281"/>
      <c r="V395" s="3281"/>
      <c r="W395" s="3515"/>
      <c r="X395" s="3254"/>
    </row>
    <row r="396" spans="1:292" ht="29.25" hidden="1" thickBot="1">
      <c r="A396" s="3480" t="s">
        <v>25</v>
      </c>
      <c r="B396" s="3444">
        <v>45733</v>
      </c>
      <c r="C396" s="3513" t="s">
        <v>709</v>
      </c>
      <c r="D396" s="3513"/>
      <c r="E396" s="3509" t="s">
        <v>1465</v>
      </c>
      <c r="F396" s="3517" t="s">
        <v>1464</v>
      </c>
      <c r="G396" s="3254"/>
      <c r="H396" s="3253"/>
      <c r="I396" s="3480">
        <v>701</v>
      </c>
      <c r="J396" s="3443" t="s">
        <v>1709</v>
      </c>
      <c r="L396" s="3443" t="s">
        <v>37</v>
      </c>
      <c r="M396" s="3443"/>
      <c r="N396" s="3443"/>
      <c r="O396" s="3443"/>
      <c r="S396" s="3443"/>
      <c r="W396" s="3516"/>
      <c r="X396" s="3254"/>
    </row>
    <row r="397" spans="1:292" ht="57.75" hidden="1" thickBot="1">
      <c r="A397" s="3480" t="s">
        <v>67</v>
      </c>
      <c r="B397" s="3444">
        <v>45734</v>
      </c>
      <c r="C397" s="3513" t="s">
        <v>709</v>
      </c>
      <c r="D397" s="3513" t="s">
        <v>843</v>
      </c>
      <c r="E397" s="3443" t="s">
        <v>296</v>
      </c>
      <c r="F397" s="3516" t="s">
        <v>943</v>
      </c>
      <c r="G397" s="3254"/>
      <c r="H397" s="3253"/>
      <c r="I397" s="3480">
        <v>706</v>
      </c>
      <c r="J397" s="3443" t="s">
        <v>1710</v>
      </c>
      <c r="L397" s="3443"/>
      <c r="M397" s="3443" t="s">
        <v>37</v>
      </c>
      <c r="N397" s="3443"/>
      <c r="O397" s="3443"/>
      <c r="P397" s="21" t="s">
        <v>122</v>
      </c>
      <c r="Q397" s="21" t="s">
        <v>122</v>
      </c>
      <c r="R397" s="21" t="s">
        <v>1107</v>
      </c>
      <c r="S397" s="3443"/>
      <c r="W397" s="3522" t="s">
        <v>1711</v>
      </c>
      <c r="X397" s="3254"/>
      <c r="Y397" s="3156" t="s">
        <v>1712</v>
      </c>
    </row>
    <row r="398" spans="1:292" ht="29.25" hidden="1" thickBot="1">
      <c r="A398" s="3480" t="s">
        <v>67</v>
      </c>
      <c r="B398" s="3444">
        <v>45734</v>
      </c>
      <c r="C398" s="3513" t="s">
        <v>709</v>
      </c>
      <c r="D398" s="3513" t="s">
        <v>846</v>
      </c>
      <c r="E398" s="3443" t="s">
        <v>258</v>
      </c>
      <c r="F398" s="3516" t="s">
        <v>1713</v>
      </c>
      <c r="G398" s="3254"/>
      <c r="H398" s="3253"/>
      <c r="I398" s="3480">
        <v>707</v>
      </c>
      <c r="J398" s="3443" t="s">
        <v>1485</v>
      </c>
      <c r="L398" s="3443" t="s">
        <v>30</v>
      </c>
      <c r="M398" s="3443"/>
      <c r="N398" s="3443"/>
      <c r="O398" s="3443"/>
      <c r="S398" s="3443"/>
      <c r="W398" s="3516"/>
      <c r="X398" s="3254"/>
    </row>
    <row r="399" spans="1:292" ht="29.25" hidden="1" thickBot="1">
      <c r="A399" s="3480" t="s">
        <v>67</v>
      </c>
      <c r="B399" s="3444">
        <v>45734</v>
      </c>
      <c r="C399" s="3513" t="s">
        <v>709</v>
      </c>
      <c r="D399" s="3513"/>
      <c r="E399" s="3443" t="s">
        <v>1714</v>
      </c>
      <c r="F399" s="3516" t="s">
        <v>1624</v>
      </c>
      <c r="G399" s="3254"/>
      <c r="H399" s="3253"/>
      <c r="I399" s="3480">
        <v>707</v>
      </c>
      <c r="J399" s="3443" t="s">
        <v>1499</v>
      </c>
      <c r="L399" s="3443" t="s">
        <v>30</v>
      </c>
      <c r="M399" s="3443"/>
      <c r="N399" s="3443" t="s">
        <v>37</v>
      </c>
      <c r="O399" s="3443"/>
      <c r="S399" s="3443"/>
      <c r="W399" s="3522"/>
      <c r="X399" s="3254"/>
    </row>
    <row r="400" spans="1:292" ht="29.25" hidden="1" thickBot="1">
      <c r="A400" s="3500" t="s">
        <v>67</v>
      </c>
      <c r="B400" s="3463">
        <v>45734</v>
      </c>
      <c r="C400" s="3520" t="s">
        <v>709</v>
      </c>
      <c r="D400" s="3520" t="s">
        <v>849</v>
      </c>
      <c r="E400" s="3462" t="s">
        <v>450</v>
      </c>
      <c r="F400" s="3524" t="s">
        <v>1715</v>
      </c>
      <c r="G400" s="3254"/>
      <c r="H400" s="3253"/>
      <c r="I400" s="3480">
        <v>707</v>
      </c>
      <c r="J400" s="3462" t="s">
        <v>1716</v>
      </c>
      <c r="K400" s="3324"/>
      <c r="L400" s="3462"/>
      <c r="M400" s="3462"/>
      <c r="N400" s="3462"/>
      <c r="O400" s="3462" t="s">
        <v>37</v>
      </c>
      <c r="P400" s="3273"/>
      <c r="Q400" s="3273"/>
      <c r="R400" s="3273"/>
      <c r="S400" s="3462"/>
      <c r="T400" s="3273"/>
      <c r="U400" s="3273"/>
      <c r="V400" s="3273"/>
      <c r="W400" s="3524"/>
      <c r="X400" s="3364"/>
      <c r="Y400" s="3274"/>
    </row>
    <row r="401" spans="1:25" ht="29.25" hidden="1" thickBot="1">
      <c r="A401" s="3477" t="s">
        <v>67</v>
      </c>
      <c r="B401" s="3478">
        <v>45734</v>
      </c>
      <c r="C401" s="3514" t="s">
        <v>709</v>
      </c>
      <c r="D401" s="3514" t="s">
        <v>852</v>
      </c>
      <c r="E401" s="3525" t="s">
        <v>1464</v>
      </c>
      <c r="F401" s="3526" t="s">
        <v>1465</v>
      </c>
      <c r="G401" s="3254"/>
      <c r="H401" s="3253"/>
      <c r="I401" s="3480">
        <v>701</v>
      </c>
      <c r="J401" s="3503" t="s">
        <v>1708</v>
      </c>
      <c r="K401" s="3369"/>
      <c r="L401" s="3503" t="s">
        <v>37</v>
      </c>
      <c r="M401" s="3503"/>
      <c r="N401" s="3503"/>
      <c r="O401" s="3503"/>
      <c r="P401" s="3281"/>
      <c r="Q401" s="3281"/>
      <c r="R401" s="3281"/>
      <c r="S401" s="3503"/>
      <c r="T401" s="3281"/>
      <c r="U401" s="3281"/>
      <c r="V401" s="3281"/>
      <c r="W401" s="3503"/>
      <c r="X401" s="3281"/>
      <c r="Y401" s="3282"/>
    </row>
    <row r="402" spans="1:25" ht="117" hidden="1" customHeight="1">
      <c r="A402" s="3493" t="s">
        <v>67</v>
      </c>
      <c r="B402" s="3457">
        <v>45734</v>
      </c>
      <c r="C402" s="3513" t="s">
        <v>709</v>
      </c>
      <c r="D402" s="3513"/>
      <c r="E402" s="3510" t="s">
        <v>1465</v>
      </c>
      <c r="F402" s="3527" t="s">
        <v>1464</v>
      </c>
      <c r="G402" s="3254"/>
      <c r="H402" s="3253"/>
      <c r="I402" s="3493">
        <v>701</v>
      </c>
      <c r="J402" s="3443" t="s">
        <v>1709</v>
      </c>
      <c r="L402" s="3456" t="s">
        <v>37</v>
      </c>
      <c r="M402" s="3456"/>
      <c r="N402" s="3456"/>
      <c r="O402" s="3456"/>
      <c r="S402" s="3456"/>
      <c r="W402" s="3456"/>
      <c r="Y402" s="3283"/>
    </row>
    <row r="403" spans="1:25" ht="29.25" hidden="1" thickBot="1">
      <c r="A403" s="3493" t="s">
        <v>85</v>
      </c>
      <c r="B403" s="3457">
        <v>45735</v>
      </c>
      <c r="C403" s="3513" t="s">
        <v>709</v>
      </c>
      <c r="D403" s="3513" t="s">
        <v>854</v>
      </c>
      <c r="E403" s="3510" t="s">
        <v>106</v>
      </c>
      <c r="F403" s="3527" t="s">
        <v>148</v>
      </c>
      <c r="G403" s="3254"/>
      <c r="H403" s="3253"/>
      <c r="I403" s="3493">
        <v>701</v>
      </c>
      <c r="J403" s="3443" t="s">
        <v>1717</v>
      </c>
      <c r="L403" s="3456"/>
      <c r="M403" s="3456" t="s">
        <v>37</v>
      </c>
      <c r="N403" s="3456"/>
      <c r="O403" s="3456"/>
      <c r="P403" s="21" t="s">
        <v>122</v>
      </c>
      <c r="Q403" s="21" t="s">
        <v>122</v>
      </c>
      <c r="R403" s="21" t="s">
        <v>790</v>
      </c>
      <c r="S403" s="3456" t="s">
        <v>37</v>
      </c>
      <c r="W403" s="3456" t="s">
        <v>1718</v>
      </c>
      <c r="Y403" s="3283"/>
    </row>
    <row r="404" spans="1:25" ht="94.5" hidden="1" customHeight="1">
      <c r="A404" s="3493" t="s">
        <v>85</v>
      </c>
      <c r="B404" s="3457">
        <v>45735</v>
      </c>
      <c r="C404" s="3513" t="s">
        <v>709</v>
      </c>
      <c r="D404" s="3513" t="s">
        <v>859</v>
      </c>
      <c r="E404" s="3509" t="s">
        <v>304</v>
      </c>
      <c r="F404" s="3517" t="s">
        <v>204</v>
      </c>
      <c r="G404" s="3254"/>
      <c r="H404" s="3253"/>
      <c r="I404" s="3480">
        <v>705</v>
      </c>
      <c r="J404" s="3443" t="s">
        <v>1716</v>
      </c>
      <c r="L404" s="3443"/>
      <c r="M404" s="3443"/>
      <c r="N404" s="3443" t="s">
        <v>30</v>
      </c>
      <c r="O404" s="3443"/>
      <c r="S404" s="3456" t="s">
        <v>37</v>
      </c>
      <c r="W404" s="3507" t="s">
        <v>1719</v>
      </c>
      <c r="Y404" s="3283"/>
    </row>
    <row r="405" spans="1:25" ht="29.25" hidden="1" thickBot="1">
      <c r="A405" s="3493" t="s">
        <v>85</v>
      </c>
      <c r="B405" s="3457">
        <v>45735</v>
      </c>
      <c r="C405" s="3513" t="s">
        <v>709</v>
      </c>
      <c r="D405" s="3513"/>
      <c r="E405" s="3510" t="s">
        <v>204</v>
      </c>
      <c r="F405" s="3527" t="s">
        <v>306</v>
      </c>
      <c r="G405" s="3254"/>
      <c r="H405" s="3253"/>
      <c r="I405" s="3480">
        <v>705</v>
      </c>
      <c r="J405" s="3456" t="s">
        <v>1716</v>
      </c>
      <c r="L405" s="3456"/>
      <c r="M405" s="3456"/>
      <c r="N405" s="3456" t="s">
        <v>37</v>
      </c>
      <c r="O405" s="3456"/>
      <c r="S405" s="3456" t="s">
        <v>37</v>
      </c>
      <c r="W405" s="3456"/>
      <c r="Y405" s="3283"/>
    </row>
    <row r="406" spans="1:25" ht="57.75" hidden="1" thickBot="1">
      <c r="A406" s="3494" t="s">
        <v>85</v>
      </c>
      <c r="B406" s="3448">
        <v>45735</v>
      </c>
      <c r="C406" s="3518" t="s">
        <v>709</v>
      </c>
      <c r="D406" s="3518"/>
      <c r="E406" s="3447" t="s">
        <v>1254</v>
      </c>
      <c r="F406" s="3523" t="s">
        <v>1624</v>
      </c>
      <c r="G406" s="3254"/>
      <c r="H406" s="3253"/>
      <c r="I406" s="3480">
        <v>707</v>
      </c>
      <c r="J406" s="3447" t="s">
        <v>1716</v>
      </c>
      <c r="K406" s="3373"/>
      <c r="L406" s="3447"/>
      <c r="M406" s="3447"/>
      <c r="N406" s="3447"/>
      <c r="O406" s="3447"/>
      <c r="P406" s="3284"/>
      <c r="Q406" s="3284"/>
      <c r="R406" s="3284"/>
      <c r="S406" s="3447" t="s">
        <v>37</v>
      </c>
      <c r="T406" s="3284"/>
      <c r="U406" s="3284"/>
      <c r="V406" s="3284"/>
      <c r="W406" s="3707" t="s">
        <v>1720</v>
      </c>
      <c r="X406" s="3284"/>
      <c r="Y406" s="3285"/>
    </row>
    <row r="407" spans="1:25" ht="29.25" hidden="1" thickBot="1">
      <c r="A407" s="3456" t="s">
        <v>85</v>
      </c>
      <c r="B407" s="3457">
        <v>45735</v>
      </c>
      <c r="C407" s="3513" t="s">
        <v>709</v>
      </c>
      <c r="D407" s="3513" t="s">
        <v>862</v>
      </c>
      <c r="E407" s="3510" t="s">
        <v>1464</v>
      </c>
      <c r="F407" s="3510" t="s">
        <v>1465</v>
      </c>
      <c r="I407" s="3443">
        <v>701</v>
      </c>
      <c r="J407" s="3456" t="s">
        <v>1708</v>
      </c>
      <c r="L407" s="3456" t="s">
        <v>30</v>
      </c>
      <c r="M407" s="3456"/>
      <c r="N407" s="3456"/>
      <c r="O407" s="3456"/>
      <c r="S407" s="3456"/>
      <c r="W407" s="3456"/>
    </row>
    <row r="408" spans="1:25" ht="29.25" hidden="1" thickBot="1">
      <c r="A408" s="3456" t="s">
        <v>85</v>
      </c>
      <c r="B408" s="3457">
        <v>45735</v>
      </c>
      <c r="C408" s="3513" t="s">
        <v>709</v>
      </c>
      <c r="D408" s="3513"/>
      <c r="E408" s="3510" t="s">
        <v>1465</v>
      </c>
      <c r="F408" s="3510" t="s">
        <v>1464</v>
      </c>
      <c r="I408" s="3456">
        <v>701</v>
      </c>
      <c r="J408" s="3456" t="s">
        <v>1709</v>
      </c>
      <c r="L408" s="3456" t="s">
        <v>30</v>
      </c>
      <c r="M408" s="3456"/>
      <c r="N408" s="3456"/>
      <c r="O408" s="3456"/>
      <c r="S408" s="3456"/>
      <c r="W408" s="3456"/>
    </row>
    <row r="409" spans="1:25" ht="29.25" hidden="1" thickBot="1">
      <c r="A409" s="3456" t="s">
        <v>105</v>
      </c>
      <c r="B409" s="3457">
        <v>45736</v>
      </c>
      <c r="C409" s="3513" t="s">
        <v>709</v>
      </c>
      <c r="D409" s="3513" t="s">
        <v>865</v>
      </c>
      <c r="E409" s="3456" t="s">
        <v>258</v>
      </c>
      <c r="F409" s="3456" t="s">
        <v>204</v>
      </c>
      <c r="I409" s="3456">
        <v>712</v>
      </c>
      <c r="J409" s="3443" t="s">
        <v>318</v>
      </c>
      <c r="L409" s="3456" t="s">
        <v>37</v>
      </c>
      <c r="M409" s="3456"/>
      <c r="N409" s="3456"/>
      <c r="O409" s="3456"/>
      <c r="S409" s="3456"/>
      <c r="W409" s="3456"/>
    </row>
    <row r="410" spans="1:25" ht="29.25" hidden="1" thickBot="1">
      <c r="A410" s="3456" t="s">
        <v>105</v>
      </c>
      <c r="B410" s="3457">
        <v>45736</v>
      </c>
      <c r="C410" s="3513" t="s">
        <v>709</v>
      </c>
      <c r="D410" s="3513" t="s">
        <v>867</v>
      </c>
      <c r="E410" s="3456" t="s">
        <v>577</v>
      </c>
      <c r="F410" s="3456" t="s">
        <v>282</v>
      </c>
      <c r="I410" s="3456">
        <v>705</v>
      </c>
      <c r="J410" s="3443" t="s">
        <v>1721</v>
      </c>
      <c r="L410" s="3456" t="s">
        <v>37</v>
      </c>
      <c r="M410" s="3456"/>
      <c r="N410" s="3456"/>
      <c r="O410" s="3456"/>
      <c r="S410" s="3456"/>
      <c r="W410" s="3456" t="s">
        <v>1722</v>
      </c>
    </row>
    <row r="411" spans="1:25" ht="29.25" hidden="1" thickBot="1">
      <c r="A411" s="3456" t="s">
        <v>105</v>
      </c>
      <c r="B411" s="3457">
        <v>45736</v>
      </c>
      <c r="C411" s="3513" t="s">
        <v>709</v>
      </c>
      <c r="D411" s="3513" t="s">
        <v>869</v>
      </c>
      <c r="E411" s="3510" t="s">
        <v>304</v>
      </c>
      <c r="F411" s="3510" t="s">
        <v>204</v>
      </c>
      <c r="I411" s="3480">
        <v>705</v>
      </c>
      <c r="J411" s="3456" t="s">
        <v>1716</v>
      </c>
      <c r="L411" s="3456" t="s">
        <v>37</v>
      </c>
      <c r="M411" s="3456"/>
      <c r="N411" s="3456"/>
      <c r="O411" s="3456"/>
      <c r="S411" s="3456"/>
      <c r="W411" s="3456"/>
    </row>
    <row r="412" spans="1:25" ht="29.25" hidden="1" thickBot="1">
      <c r="A412" s="3443" t="s">
        <v>105</v>
      </c>
      <c r="B412" s="3444">
        <v>45736</v>
      </c>
      <c r="C412" s="3513" t="s">
        <v>709</v>
      </c>
      <c r="D412" s="3513"/>
      <c r="E412" s="3509" t="s">
        <v>204</v>
      </c>
      <c r="F412" s="3509" t="s">
        <v>306</v>
      </c>
      <c r="I412" s="3443">
        <v>705</v>
      </c>
      <c r="J412" s="3443" t="s">
        <v>1716</v>
      </c>
      <c r="L412" s="3443" t="s">
        <v>37</v>
      </c>
      <c r="M412" s="3443"/>
      <c r="N412" s="3443"/>
      <c r="O412" s="3443"/>
      <c r="S412" s="3443"/>
      <c r="W412" s="3443"/>
    </row>
    <row r="413" spans="1:25" ht="29.25" hidden="1" thickBot="1">
      <c r="A413" s="3443" t="s">
        <v>105</v>
      </c>
      <c r="B413" s="3444">
        <v>45736</v>
      </c>
      <c r="C413" s="3513" t="s">
        <v>709</v>
      </c>
      <c r="D413" s="3513"/>
      <c r="E413" s="3456" t="s">
        <v>148</v>
      </c>
      <c r="F413" s="3456" t="s">
        <v>1723</v>
      </c>
      <c r="I413" s="3480">
        <v>701</v>
      </c>
      <c r="J413" s="3456" t="s">
        <v>1717</v>
      </c>
      <c r="L413" s="3456"/>
      <c r="M413" s="3456"/>
      <c r="N413" s="3456" t="s">
        <v>30</v>
      </c>
      <c r="O413" s="3456"/>
      <c r="S413" s="3456"/>
      <c r="W413" s="3456" t="s">
        <v>1724</v>
      </c>
    </row>
    <row r="414" spans="1:25" ht="29.25" hidden="1" thickBot="1">
      <c r="A414" s="3447" t="s">
        <v>105</v>
      </c>
      <c r="B414" s="3448">
        <v>45736</v>
      </c>
      <c r="C414" s="3513" t="s">
        <v>709</v>
      </c>
      <c r="D414" s="3520" t="s">
        <v>872</v>
      </c>
      <c r="E414" s="3447" t="s">
        <v>169</v>
      </c>
      <c r="F414" s="3447" t="s">
        <v>1571</v>
      </c>
      <c r="I414" s="3443">
        <v>712</v>
      </c>
      <c r="J414" s="3447" t="s">
        <v>1237</v>
      </c>
      <c r="K414" s="3511" t="s">
        <v>174</v>
      </c>
      <c r="L414" s="3447"/>
      <c r="M414" s="3447" t="s">
        <v>37</v>
      </c>
      <c r="N414" s="3447"/>
      <c r="O414" s="3447" t="s">
        <v>37</v>
      </c>
      <c r="P414" s="21" t="s">
        <v>109</v>
      </c>
      <c r="Q414" s="21" t="s">
        <v>1428</v>
      </c>
      <c r="R414" s="21" t="s">
        <v>1651</v>
      </c>
      <c r="S414" s="3447"/>
      <c r="W414" s="3447" t="s">
        <v>1725</v>
      </c>
    </row>
    <row r="415" spans="1:25" ht="29.25" hidden="1" thickBot="1">
      <c r="A415" s="3505" t="s">
        <v>105</v>
      </c>
      <c r="B415" s="3506">
        <v>45736</v>
      </c>
      <c r="C415" s="3513" t="s">
        <v>709</v>
      </c>
      <c r="D415" s="3520"/>
      <c r="E415" s="4819" t="s">
        <v>106</v>
      </c>
      <c r="F415" s="4819" t="s">
        <v>282</v>
      </c>
      <c r="I415" s="3505">
        <v>701</v>
      </c>
      <c r="J415" s="3505" t="s">
        <v>1717</v>
      </c>
      <c r="L415" s="3505" t="s">
        <v>37</v>
      </c>
      <c r="M415" s="3505"/>
      <c r="N415" s="3505"/>
      <c r="O415" s="3505"/>
      <c r="S415" s="3505"/>
      <c r="W415" s="3505"/>
    </row>
    <row r="416" spans="1:25" ht="29.25" hidden="1" thickBot="1">
      <c r="A416" s="3443" t="s">
        <v>105</v>
      </c>
      <c r="B416" s="3444">
        <v>45736</v>
      </c>
      <c r="C416" s="3513" t="s">
        <v>709</v>
      </c>
      <c r="D416" s="3513" t="s">
        <v>883</v>
      </c>
      <c r="E416" s="3443" t="s">
        <v>1726</v>
      </c>
      <c r="F416" s="3443" t="s">
        <v>1691</v>
      </c>
      <c r="I416" s="3443">
        <v>712</v>
      </c>
      <c r="J416" s="3443" t="s">
        <v>1485</v>
      </c>
      <c r="L416" s="3443" t="s">
        <v>37</v>
      </c>
      <c r="M416" s="3443"/>
      <c r="N416" s="3443"/>
      <c r="O416" s="3443"/>
      <c r="S416" s="3443"/>
      <c r="W416" s="3443"/>
    </row>
    <row r="417" spans="1:25" ht="29.25" hidden="1" thickBot="1">
      <c r="A417" s="3443" t="s">
        <v>132</v>
      </c>
      <c r="B417" s="3444">
        <v>45737</v>
      </c>
      <c r="C417" s="3513" t="s">
        <v>709</v>
      </c>
      <c r="D417" s="3513" t="s">
        <v>884</v>
      </c>
      <c r="E417" s="3443" t="s">
        <v>304</v>
      </c>
      <c r="F417" s="3443" t="s">
        <v>169</v>
      </c>
      <c r="I417" s="3443">
        <v>707</v>
      </c>
      <c r="J417" s="3443" t="s">
        <v>1499</v>
      </c>
      <c r="L417" s="3443" t="s">
        <v>37</v>
      </c>
      <c r="M417" s="3443"/>
      <c r="N417" s="3443"/>
      <c r="O417" s="3443"/>
      <c r="S417" s="3443"/>
      <c r="W417" s="3443"/>
    </row>
    <row r="418" spans="1:25" ht="29.25" hidden="1" thickBot="1">
      <c r="A418" s="3443" t="s">
        <v>132</v>
      </c>
      <c r="B418" s="3444">
        <v>45737</v>
      </c>
      <c r="C418" s="3513" t="s">
        <v>709</v>
      </c>
      <c r="D418" s="3513" t="s">
        <v>885</v>
      </c>
      <c r="E418" s="3443" t="s">
        <v>1727</v>
      </c>
      <c r="F418" s="3443" t="s">
        <v>1691</v>
      </c>
      <c r="I418" s="3443">
        <v>712</v>
      </c>
      <c r="J418" s="3443" t="s">
        <v>151</v>
      </c>
      <c r="L418" s="3443" t="s">
        <v>37</v>
      </c>
      <c r="M418" s="3443"/>
      <c r="N418" s="3443"/>
      <c r="O418" s="3443"/>
      <c r="S418" s="3443"/>
      <c r="W418" s="3443"/>
    </row>
    <row r="419" spans="1:25" ht="29.25" hidden="1" thickBot="1">
      <c r="A419" s="3508" t="s">
        <v>132</v>
      </c>
      <c r="B419" s="3451">
        <v>45737</v>
      </c>
      <c r="C419" s="3513" t="s">
        <v>709</v>
      </c>
      <c r="D419" s="3520" t="s">
        <v>887</v>
      </c>
      <c r="E419" s="3508" t="s">
        <v>296</v>
      </c>
      <c r="F419" s="3508" t="s">
        <v>273</v>
      </c>
      <c r="I419" s="3508">
        <v>706</v>
      </c>
      <c r="J419" s="3508" t="s">
        <v>1728</v>
      </c>
      <c r="L419" s="3508" t="s">
        <v>37</v>
      </c>
      <c r="M419" s="3443"/>
      <c r="N419" s="3443"/>
      <c r="O419" s="3443"/>
      <c r="S419" s="3443"/>
      <c r="W419" s="3443"/>
    </row>
    <row r="420" spans="1:25" ht="29.25" hidden="1" thickBot="1">
      <c r="A420" s="3477" t="s">
        <v>132</v>
      </c>
      <c r="B420" s="3478">
        <v>45737</v>
      </c>
      <c r="C420" s="3513" t="s">
        <v>709</v>
      </c>
      <c r="D420" s="3513" t="s">
        <v>894</v>
      </c>
      <c r="E420" s="3525" t="s">
        <v>304</v>
      </c>
      <c r="F420" s="4854" t="s">
        <v>169</v>
      </c>
      <c r="G420" s="3990"/>
      <c r="H420" s="3281"/>
      <c r="I420" s="3515">
        <v>705</v>
      </c>
      <c r="J420" s="3530" t="s">
        <v>1729</v>
      </c>
      <c r="K420" s="3369"/>
      <c r="L420" s="3503" t="s">
        <v>37</v>
      </c>
      <c r="M420" s="3503"/>
      <c r="N420" s="3503"/>
      <c r="O420" s="3503"/>
      <c r="P420" s="3281"/>
      <c r="Q420" s="3281"/>
      <c r="R420" s="3281"/>
      <c r="S420" s="3503"/>
      <c r="T420" s="3281"/>
      <c r="U420" s="3281"/>
      <c r="V420" s="3281"/>
      <c r="W420" s="3503"/>
      <c r="X420" s="3281"/>
      <c r="Y420" s="3282"/>
    </row>
    <row r="421" spans="1:25" ht="29.25" hidden="1" thickBot="1">
      <c r="A421" s="3480" t="s">
        <v>143</v>
      </c>
      <c r="B421" s="3444">
        <v>45738</v>
      </c>
      <c r="C421" s="3355" t="s">
        <v>709</v>
      </c>
      <c r="D421" s="3513" t="s">
        <v>897</v>
      </c>
      <c r="E421" s="3443" t="s">
        <v>1239</v>
      </c>
      <c r="F421" s="3531" t="s">
        <v>537</v>
      </c>
      <c r="G421" s="3308"/>
      <c r="I421" s="3516">
        <v>708</v>
      </c>
      <c r="J421" s="3534" t="s">
        <v>1730</v>
      </c>
      <c r="L421" s="3443" t="s">
        <v>37</v>
      </c>
      <c r="Y421" s="3283"/>
    </row>
    <row r="422" spans="1:25" ht="29.25" hidden="1" thickBot="1">
      <c r="A422" s="3480" t="s">
        <v>25</v>
      </c>
      <c r="B422" s="3444">
        <v>45740</v>
      </c>
      <c r="C422" s="3355" t="s">
        <v>814</v>
      </c>
      <c r="D422" s="3513"/>
      <c r="E422" s="3443" t="s">
        <v>669</v>
      </c>
      <c r="F422" s="3531" t="s">
        <v>1731</v>
      </c>
      <c r="G422" s="3532" t="s">
        <v>1206</v>
      </c>
      <c r="H422" s="3533" t="s">
        <v>1199</v>
      </c>
      <c r="I422" s="3516"/>
      <c r="J422" s="3534" t="s">
        <v>1732</v>
      </c>
      <c r="K422" s="3443"/>
      <c r="L422" s="3443" t="s">
        <v>30</v>
      </c>
      <c r="M422" s="3443"/>
      <c r="N422" s="3443"/>
      <c r="O422" s="3443"/>
      <c r="P422" s="3443"/>
      <c r="Q422" s="3443"/>
      <c r="R422" s="3443"/>
      <c r="S422" s="3443"/>
      <c r="T422" s="3443"/>
      <c r="U422" s="3443"/>
      <c r="V422" s="3443"/>
      <c r="W422" s="3443"/>
      <c r="X422" s="3443"/>
      <c r="Y422" s="3522"/>
    </row>
    <row r="423" spans="1:25" ht="29.25" hidden="1" thickBot="1">
      <c r="A423" s="3480" t="s">
        <v>25</v>
      </c>
      <c r="B423" s="3444">
        <v>45740</v>
      </c>
      <c r="C423" s="3355" t="s">
        <v>814</v>
      </c>
      <c r="D423" s="3513" t="s">
        <v>899</v>
      </c>
      <c r="E423" s="3443" t="s">
        <v>68</v>
      </c>
      <c r="F423" s="3531" t="s">
        <v>1733</v>
      </c>
      <c r="G423" s="3532" t="s">
        <v>1206</v>
      </c>
      <c r="H423" s="3533" t="s">
        <v>1199</v>
      </c>
      <c r="I423" s="3516"/>
      <c r="J423" s="3534" t="s">
        <v>1734</v>
      </c>
      <c r="K423" s="3443"/>
      <c r="L423" s="3443" t="s">
        <v>30</v>
      </c>
      <c r="M423" s="3443"/>
      <c r="N423" s="3443"/>
      <c r="O423" s="3443"/>
      <c r="P423" s="3443"/>
      <c r="Q423" s="3443"/>
      <c r="R423" s="3443"/>
      <c r="S423" s="3443"/>
      <c r="T423" s="3443"/>
      <c r="U423" s="3443"/>
      <c r="V423" s="3443"/>
      <c r="W423" s="3443"/>
      <c r="X423" s="3443"/>
      <c r="Y423" s="3522"/>
    </row>
    <row r="424" spans="1:25" ht="29.25" hidden="1" thickBot="1">
      <c r="A424" s="3480" t="s">
        <v>25</v>
      </c>
      <c r="B424" s="3444">
        <v>45740</v>
      </c>
      <c r="C424" s="3355" t="s">
        <v>814</v>
      </c>
      <c r="D424" s="3513" t="s">
        <v>900</v>
      </c>
      <c r="E424" s="3443" t="s">
        <v>1293</v>
      </c>
      <c r="F424" s="3531" t="s">
        <v>1293</v>
      </c>
      <c r="G424" s="3535" t="s">
        <v>1735</v>
      </c>
      <c r="H424" s="78"/>
      <c r="I424" s="3516"/>
      <c r="J424" s="3534">
        <v>60015</v>
      </c>
      <c r="K424" s="3443"/>
      <c r="L424" s="3443" t="s">
        <v>30</v>
      </c>
      <c r="M424" s="3443"/>
      <c r="N424" s="3443"/>
      <c r="O424" s="3443"/>
      <c r="P424" s="3443"/>
      <c r="Q424" s="3443"/>
      <c r="R424" s="3443"/>
      <c r="S424" s="3443"/>
      <c r="T424" s="3443"/>
      <c r="U424" s="3443"/>
      <c r="V424" s="3443"/>
      <c r="W424" s="3443"/>
      <c r="X424" s="3443"/>
      <c r="Y424" s="3522"/>
    </row>
    <row r="425" spans="1:25" ht="29.25" hidden="1" thickBot="1">
      <c r="A425" s="3480" t="s">
        <v>25</v>
      </c>
      <c r="B425" s="3444">
        <v>45740</v>
      </c>
      <c r="C425" s="3355" t="s">
        <v>814</v>
      </c>
      <c r="D425" s="3513" t="s">
        <v>901</v>
      </c>
      <c r="E425" s="3443" t="s">
        <v>1736</v>
      </c>
      <c r="F425" s="3531" t="s">
        <v>1175</v>
      </c>
      <c r="G425" s="3532" t="s">
        <v>1206</v>
      </c>
      <c r="H425" s="3533" t="s">
        <v>1199</v>
      </c>
      <c r="I425" s="3516"/>
      <c r="J425" s="3534" t="s">
        <v>1730</v>
      </c>
      <c r="K425" s="3443"/>
      <c r="L425" s="3443" t="s">
        <v>30</v>
      </c>
      <c r="M425" s="3443"/>
      <c r="N425" s="3443"/>
      <c r="O425" s="3443"/>
      <c r="P425" s="3443"/>
      <c r="Q425" s="3443"/>
      <c r="R425" s="3443"/>
      <c r="S425" s="3443"/>
      <c r="T425" s="3443"/>
      <c r="U425" s="3443"/>
      <c r="V425" s="3443"/>
      <c r="W425" s="3443"/>
      <c r="X425" s="3443"/>
      <c r="Y425" s="3507"/>
    </row>
    <row r="426" spans="1:25" ht="29.25" hidden="1" thickBot="1">
      <c r="A426" s="3480" t="s">
        <v>25</v>
      </c>
      <c r="B426" s="3444">
        <v>45740</v>
      </c>
      <c r="C426" s="3355" t="s">
        <v>814</v>
      </c>
      <c r="D426" s="3513" t="s">
        <v>903</v>
      </c>
      <c r="E426" s="3536" t="s">
        <v>1737</v>
      </c>
      <c r="F426" s="3537" t="s">
        <v>183</v>
      </c>
      <c r="G426" s="3532" t="s">
        <v>1206</v>
      </c>
      <c r="H426" s="3533" t="s">
        <v>1199</v>
      </c>
      <c r="I426" s="3516"/>
      <c r="J426" s="3534" t="s">
        <v>1485</v>
      </c>
      <c r="K426" s="3443"/>
      <c r="L426" s="3443" t="s">
        <v>30</v>
      </c>
      <c r="M426" s="3443"/>
      <c r="N426" s="3443"/>
      <c r="O426" s="3443"/>
      <c r="P426" s="3443"/>
      <c r="Q426" s="3443"/>
      <c r="R426" s="3443"/>
      <c r="S426" s="3443"/>
      <c r="T426" s="3443"/>
      <c r="U426" s="3443"/>
      <c r="V426" s="3443"/>
      <c r="W426" s="3443"/>
      <c r="X426" s="3443"/>
      <c r="Y426" s="3522"/>
    </row>
    <row r="427" spans="1:25" ht="57.75" hidden="1" thickBot="1">
      <c r="A427" s="3480" t="s">
        <v>25</v>
      </c>
      <c r="B427" s="3444">
        <v>45740</v>
      </c>
      <c r="C427" s="3355" t="s">
        <v>814</v>
      </c>
      <c r="D427" s="3513" t="s">
        <v>906</v>
      </c>
      <c r="E427" s="3443" t="s">
        <v>447</v>
      </c>
      <c r="F427" s="3531" t="s">
        <v>1315</v>
      </c>
      <c r="G427" s="3532" t="s">
        <v>1206</v>
      </c>
      <c r="H427" s="3533" t="s">
        <v>1199</v>
      </c>
      <c r="I427" s="3516"/>
      <c r="J427" s="3534" t="s">
        <v>1738</v>
      </c>
      <c r="K427" s="3443"/>
      <c r="L427" s="3443" t="s">
        <v>30</v>
      </c>
      <c r="M427" s="3443"/>
      <c r="N427" s="3443"/>
      <c r="O427" s="3443"/>
      <c r="P427" s="3443"/>
      <c r="Q427" s="3443"/>
      <c r="R427" s="3443"/>
      <c r="S427" s="3443" t="s">
        <v>37</v>
      </c>
      <c r="T427" s="3443"/>
      <c r="U427" s="3443"/>
      <c r="V427" s="3443"/>
      <c r="W427" s="3507" t="s">
        <v>1739</v>
      </c>
      <c r="X427" s="3443"/>
      <c r="Y427" s="3516"/>
    </row>
    <row r="428" spans="1:25" ht="29.25" hidden="1" thickBot="1">
      <c r="A428" s="3480" t="s">
        <v>25</v>
      </c>
      <c r="B428" s="3444">
        <v>45740</v>
      </c>
      <c r="C428" s="3355" t="s">
        <v>814</v>
      </c>
      <c r="D428" s="3513" t="s">
        <v>909</v>
      </c>
      <c r="E428" s="3443" t="s">
        <v>258</v>
      </c>
      <c r="F428" s="3531" t="s">
        <v>1740</v>
      </c>
      <c r="G428" s="3538" t="s">
        <v>1206</v>
      </c>
      <c r="H428" s="78"/>
      <c r="I428" s="3516"/>
      <c r="J428" s="3534">
        <v>1544</v>
      </c>
      <c r="K428" s="3443"/>
      <c r="L428" s="3443" t="s">
        <v>30</v>
      </c>
      <c r="M428" s="3443"/>
      <c r="N428" s="3443"/>
      <c r="O428" s="3443"/>
      <c r="P428" s="3443"/>
      <c r="Q428" s="3443"/>
      <c r="R428" s="3443"/>
      <c r="S428" s="3443"/>
      <c r="T428" s="3443"/>
      <c r="U428" s="3443"/>
      <c r="V428" s="3443"/>
      <c r="W428" s="3443"/>
      <c r="X428" s="3443"/>
      <c r="Y428" s="3522"/>
    </row>
    <row r="429" spans="1:25" ht="29.25" hidden="1" thickBot="1">
      <c r="A429" s="3480" t="s">
        <v>25</v>
      </c>
      <c r="B429" s="3444">
        <v>45740</v>
      </c>
      <c r="C429" s="3355" t="s">
        <v>814</v>
      </c>
      <c r="D429" s="3513" t="s">
        <v>910</v>
      </c>
      <c r="E429" s="3539" t="s">
        <v>1171</v>
      </c>
      <c r="F429" s="3540" t="s">
        <v>1741</v>
      </c>
      <c r="G429" s="3532" t="s">
        <v>1206</v>
      </c>
      <c r="H429" s="3533" t="s">
        <v>1199</v>
      </c>
      <c r="I429" s="3516"/>
      <c r="J429" s="3534" t="s">
        <v>1742</v>
      </c>
      <c r="K429" s="3443"/>
      <c r="L429" s="3443" t="s">
        <v>30</v>
      </c>
      <c r="M429" s="3443"/>
      <c r="N429" s="3443"/>
      <c r="O429" s="3443"/>
      <c r="P429" s="3443"/>
      <c r="Q429" s="3443"/>
      <c r="R429" s="3443"/>
      <c r="S429" s="3443"/>
      <c r="T429" s="3443"/>
      <c r="U429" s="3443"/>
      <c r="V429" s="3443"/>
      <c r="W429" s="3443"/>
      <c r="X429" s="3443"/>
      <c r="Y429" s="3522"/>
    </row>
    <row r="430" spans="1:25" ht="29.25" hidden="1" thickBot="1">
      <c r="A430" s="3480" t="s">
        <v>25</v>
      </c>
      <c r="B430" s="3444">
        <v>45740</v>
      </c>
      <c r="C430" s="3355" t="s">
        <v>814</v>
      </c>
      <c r="D430" s="3513"/>
      <c r="E430" s="3539" t="s">
        <v>383</v>
      </c>
      <c r="F430" s="3540" t="s">
        <v>373</v>
      </c>
      <c r="G430" s="3532" t="s">
        <v>1206</v>
      </c>
      <c r="H430" s="3533" t="s">
        <v>1199</v>
      </c>
      <c r="I430" s="3516"/>
      <c r="J430" s="3534" t="s">
        <v>1742</v>
      </c>
      <c r="K430" s="3462"/>
      <c r="L430" s="3443" t="s">
        <v>30</v>
      </c>
      <c r="M430" s="3443"/>
      <c r="N430" s="3462"/>
      <c r="O430" s="3462"/>
      <c r="P430" s="3462"/>
      <c r="Q430" s="3462"/>
      <c r="R430" s="3462"/>
      <c r="S430" s="3462"/>
      <c r="T430" s="3462"/>
      <c r="U430" s="3462"/>
      <c r="V430" s="3462"/>
      <c r="W430" s="3462"/>
      <c r="X430" s="3462"/>
      <c r="Y430" s="3544"/>
    </row>
    <row r="431" spans="1:25" ht="29.25" hidden="1" thickBot="1">
      <c r="A431" s="3480" t="s">
        <v>25</v>
      </c>
      <c r="B431" s="3444">
        <v>45740</v>
      </c>
      <c r="C431" s="3355" t="s">
        <v>814</v>
      </c>
      <c r="D431" s="3520" t="s">
        <v>911</v>
      </c>
      <c r="E431" s="3864" t="s">
        <v>1743</v>
      </c>
      <c r="F431" s="4855" t="s">
        <v>1744</v>
      </c>
      <c r="G431" s="4669" t="s">
        <v>1206</v>
      </c>
      <c r="H431" s="4911" t="s">
        <v>1206</v>
      </c>
      <c r="I431" s="3524"/>
      <c r="J431" s="3545" t="s">
        <v>1745</v>
      </c>
      <c r="K431" s="3462"/>
      <c r="L431" s="3443" t="s">
        <v>30</v>
      </c>
      <c r="M431" s="3443"/>
      <c r="N431" s="3462"/>
      <c r="O431" s="3462"/>
      <c r="P431" s="3462"/>
      <c r="Q431" s="3462"/>
      <c r="R431" s="3462"/>
      <c r="S431" s="3462"/>
      <c r="T431" s="3462"/>
      <c r="U431" s="3462"/>
      <c r="V431" s="3462"/>
      <c r="W431" s="3462"/>
      <c r="X431" s="3462"/>
      <c r="Y431" s="3544"/>
    </row>
    <row r="432" spans="1:25" ht="29.25" hidden="1" thickBot="1">
      <c r="A432" s="3494" t="s">
        <v>25</v>
      </c>
      <c r="B432" s="3448">
        <v>45740</v>
      </c>
      <c r="C432" s="3355" t="s">
        <v>814</v>
      </c>
      <c r="D432" s="3520"/>
      <c r="E432" s="3631" t="s">
        <v>1213</v>
      </c>
      <c r="F432" s="4654" t="s">
        <v>1746</v>
      </c>
      <c r="G432" s="3573" t="s">
        <v>1206</v>
      </c>
      <c r="H432" s="3573" t="s">
        <v>1206</v>
      </c>
      <c r="I432" s="3523"/>
      <c r="J432" s="3546" t="s">
        <v>1745</v>
      </c>
      <c r="K432" s="3443"/>
      <c r="L432" s="3443" t="s">
        <v>30</v>
      </c>
      <c r="M432" s="3443"/>
      <c r="N432" s="3447"/>
      <c r="O432" s="3447"/>
      <c r="P432" s="3447"/>
      <c r="Q432" s="3447"/>
      <c r="R432" s="3447"/>
      <c r="S432" s="3447"/>
      <c r="T432" s="3447"/>
      <c r="U432" s="3447"/>
      <c r="V432" s="3447"/>
      <c r="W432" s="3447"/>
      <c r="X432" s="3447"/>
      <c r="Y432" s="3547"/>
    </row>
    <row r="433" spans="1:25" ht="29.25" hidden="1" thickBot="1">
      <c r="A433" s="3477" t="s">
        <v>25</v>
      </c>
      <c r="B433" s="3478">
        <v>45740</v>
      </c>
      <c r="C433" s="3355" t="s">
        <v>814</v>
      </c>
      <c r="D433" s="3513" t="s">
        <v>913</v>
      </c>
      <c r="E433" s="4031" t="s">
        <v>577</v>
      </c>
      <c r="F433" s="4856" t="s">
        <v>275</v>
      </c>
      <c r="G433" s="4885" t="s">
        <v>1199</v>
      </c>
      <c r="H433" s="3549" t="s">
        <v>1199</v>
      </c>
      <c r="I433" s="3515">
        <v>706</v>
      </c>
      <c r="J433" s="3530" t="s">
        <v>1747</v>
      </c>
      <c r="K433" s="3503"/>
      <c r="L433" s="3443" t="s">
        <v>30</v>
      </c>
      <c r="M433" s="3443"/>
      <c r="N433" s="3503"/>
      <c r="O433" s="3503"/>
      <c r="P433" s="3503"/>
      <c r="Q433" s="3503"/>
      <c r="R433" s="3503"/>
      <c r="S433" s="3503"/>
      <c r="T433" s="3503"/>
      <c r="U433" s="3503"/>
      <c r="V433" s="3503"/>
      <c r="W433" s="3503"/>
      <c r="X433" s="3503"/>
      <c r="Y433" s="3521"/>
    </row>
    <row r="434" spans="1:25" ht="29.25" hidden="1" thickBot="1">
      <c r="A434" s="3480" t="s">
        <v>25</v>
      </c>
      <c r="B434" s="3444">
        <v>45740</v>
      </c>
      <c r="C434" s="3355" t="s">
        <v>814</v>
      </c>
      <c r="D434" s="3513"/>
      <c r="E434" s="4029" t="s">
        <v>282</v>
      </c>
      <c r="F434" s="4625" t="s">
        <v>373</v>
      </c>
      <c r="G434" s="4693" t="s">
        <v>1206</v>
      </c>
      <c r="H434" s="4713" t="s">
        <v>1206</v>
      </c>
      <c r="I434" s="3516">
        <v>706</v>
      </c>
      <c r="J434" s="3534" t="s">
        <v>1747</v>
      </c>
      <c r="K434" s="3511" t="s">
        <v>84</v>
      </c>
      <c r="L434" s="3443" t="s">
        <v>30</v>
      </c>
      <c r="M434" s="3443"/>
      <c r="N434" s="3443"/>
      <c r="O434" s="3443"/>
      <c r="P434" s="3443"/>
      <c r="Q434" s="3443"/>
      <c r="R434" s="3443"/>
      <c r="S434" s="3443"/>
      <c r="T434" s="3443"/>
      <c r="U434" s="3443"/>
      <c r="V434" s="3443"/>
      <c r="W434" s="3516"/>
      <c r="X434" s="3443"/>
      <c r="Y434" s="3522"/>
    </row>
    <row r="435" spans="1:25" ht="29.25" hidden="1" thickBot="1">
      <c r="A435" s="3480" t="s">
        <v>67</v>
      </c>
      <c r="B435" s="3444">
        <v>45741</v>
      </c>
      <c r="C435" s="3355" t="s">
        <v>814</v>
      </c>
      <c r="D435" s="3513"/>
      <c r="E435" s="3536" t="s">
        <v>169</v>
      </c>
      <c r="F435" s="3537" t="s">
        <v>1748</v>
      </c>
      <c r="G435" s="4682" t="s">
        <v>1206</v>
      </c>
      <c r="H435" s="3491" t="s">
        <v>1199</v>
      </c>
      <c r="I435" s="3516"/>
      <c r="J435" s="3534" t="s">
        <v>1485</v>
      </c>
      <c r="K435" s="3443"/>
      <c r="L435" s="3443" t="s">
        <v>30</v>
      </c>
      <c r="M435" s="3443"/>
      <c r="N435" s="3443"/>
      <c r="O435" s="3443"/>
      <c r="P435" s="3443"/>
      <c r="Q435" s="3443"/>
      <c r="R435" s="3443"/>
      <c r="S435" s="3443"/>
      <c r="T435" s="3443"/>
      <c r="U435" s="3443"/>
      <c r="V435" s="3443"/>
      <c r="W435" s="3443"/>
      <c r="X435" s="3443"/>
      <c r="Y435" s="3522"/>
    </row>
    <row r="436" spans="1:25" ht="29.25" hidden="1" thickBot="1">
      <c r="A436" s="3480" t="s">
        <v>67</v>
      </c>
      <c r="B436" s="3444">
        <v>45741</v>
      </c>
      <c r="C436" s="3355" t="s">
        <v>814</v>
      </c>
      <c r="D436" s="3513"/>
      <c r="E436" s="3541" t="s">
        <v>334</v>
      </c>
      <c r="F436" s="3542" t="s">
        <v>1749</v>
      </c>
      <c r="G436" s="3550" t="s">
        <v>1206</v>
      </c>
      <c r="H436" s="3491" t="s">
        <v>1206</v>
      </c>
      <c r="I436" s="3516"/>
      <c r="J436" s="3534" t="s">
        <v>1750</v>
      </c>
      <c r="K436" s="3443"/>
      <c r="L436" s="3443" t="s">
        <v>37</v>
      </c>
      <c r="M436" s="3443"/>
      <c r="N436" s="3443"/>
      <c r="O436" s="3443" t="s">
        <v>30</v>
      </c>
      <c r="P436" s="3443"/>
      <c r="Q436" s="3443"/>
      <c r="R436" s="3443"/>
      <c r="S436" s="3443" t="s">
        <v>37</v>
      </c>
      <c r="T436" s="3443"/>
      <c r="U436" s="3443"/>
      <c r="V436" s="3443"/>
      <c r="W436" s="3507" t="s">
        <v>1751</v>
      </c>
      <c r="X436" s="3443"/>
      <c r="Y436" s="3522"/>
    </row>
    <row r="437" spans="1:25" ht="29.25" hidden="1" thickBot="1">
      <c r="A437" s="3480" t="s">
        <v>67</v>
      </c>
      <c r="B437" s="3444">
        <v>45741</v>
      </c>
      <c r="C437" s="3355" t="s">
        <v>814</v>
      </c>
      <c r="D437" s="3513" t="s">
        <v>916</v>
      </c>
      <c r="E437" s="3443" t="s">
        <v>1731</v>
      </c>
      <c r="F437" s="3531" t="s">
        <v>593</v>
      </c>
      <c r="G437" s="3551" t="s">
        <v>1752</v>
      </c>
      <c r="H437" s="3552"/>
      <c r="I437" s="3516"/>
      <c r="J437" s="3534" t="s">
        <v>1753</v>
      </c>
      <c r="K437" s="3443"/>
      <c r="L437" s="3443" t="s">
        <v>37</v>
      </c>
      <c r="M437" s="3443"/>
      <c r="N437" s="3443"/>
      <c r="O437" s="3443"/>
      <c r="P437" s="3443"/>
      <c r="Q437" s="3443"/>
      <c r="R437" s="3443"/>
      <c r="S437" s="3443"/>
      <c r="T437" s="3443"/>
      <c r="U437" s="3443"/>
      <c r="V437" s="3443"/>
      <c r="W437" s="3443"/>
      <c r="X437" s="3443"/>
      <c r="Y437" s="3522"/>
    </row>
    <row r="438" spans="1:25" ht="29.25" hidden="1" thickBot="1">
      <c r="A438" s="3480" t="s">
        <v>67</v>
      </c>
      <c r="B438" s="3444">
        <v>45741</v>
      </c>
      <c r="C438" s="3355" t="s">
        <v>814</v>
      </c>
      <c r="D438" s="3513"/>
      <c r="E438" s="3443" t="s">
        <v>619</v>
      </c>
      <c r="F438" s="3531" t="s">
        <v>620</v>
      </c>
      <c r="G438" s="3550" t="s">
        <v>1206</v>
      </c>
      <c r="H438" s="3491" t="s">
        <v>1199</v>
      </c>
      <c r="I438" s="3516"/>
      <c r="J438" s="3534" t="s">
        <v>1754</v>
      </c>
      <c r="K438" s="3443"/>
      <c r="L438" s="3443" t="s">
        <v>37</v>
      </c>
      <c r="M438" s="3443"/>
      <c r="N438" s="3443"/>
      <c r="O438" s="3443"/>
      <c r="P438" s="3503"/>
      <c r="Q438" s="3503"/>
      <c r="R438" s="3503" t="s">
        <v>37</v>
      </c>
      <c r="S438" s="3443"/>
      <c r="T438" s="3443"/>
      <c r="U438" s="3443"/>
      <c r="V438" s="3443"/>
      <c r="W438" s="3443"/>
      <c r="X438" s="3443"/>
      <c r="Y438" s="3522"/>
    </row>
    <row r="439" spans="1:25" ht="29.25" hidden="1" thickBot="1">
      <c r="A439" s="3480" t="s">
        <v>67</v>
      </c>
      <c r="B439" s="3444">
        <v>45741</v>
      </c>
      <c r="C439" s="3355" t="s">
        <v>814</v>
      </c>
      <c r="D439" s="3513" t="s">
        <v>918</v>
      </c>
      <c r="E439" s="3553" t="s">
        <v>1195</v>
      </c>
      <c r="F439" s="3554" t="s">
        <v>1755</v>
      </c>
      <c r="G439" s="3555" t="s">
        <v>1199</v>
      </c>
      <c r="H439" s="3491" t="s">
        <v>1199</v>
      </c>
      <c r="I439" s="3516"/>
      <c r="J439" s="3534" t="s">
        <v>1756</v>
      </c>
      <c r="K439" s="3511" t="s">
        <v>84</v>
      </c>
      <c r="L439" s="3443"/>
      <c r="M439" s="3443" t="s">
        <v>30</v>
      </c>
      <c r="N439" s="3443"/>
      <c r="O439" s="3443"/>
      <c r="P439" s="3443"/>
      <c r="Q439" s="3443"/>
      <c r="R439" s="3443"/>
      <c r="S439" s="3443" t="s">
        <v>37</v>
      </c>
      <c r="T439" s="3443"/>
      <c r="U439" s="3443"/>
      <c r="V439" s="3443"/>
      <c r="W439" s="3443"/>
      <c r="X439" s="3443"/>
      <c r="Y439" s="3522"/>
    </row>
    <row r="440" spans="1:25" ht="29.25" hidden="1" thickBot="1">
      <c r="A440" s="3480" t="s">
        <v>67</v>
      </c>
      <c r="B440" s="3444">
        <v>45741</v>
      </c>
      <c r="C440" s="3355" t="s">
        <v>814</v>
      </c>
      <c r="D440" s="3513" t="s">
        <v>919</v>
      </c>
      <c r="E440" s="3557" t="s">
        <v>1151</v>
      </c>
      <c r="F440" s="3558" t="s">
        <v>1757</v>
      </c>
      <c r="G440" s="3559" t="s">
        <v>1206</v>
      </c>
      <c r="H440" s="3560" t="s">
        <v>1199</v>
      </c>
      <c r="I440" s="3516"/>
      <c r="J440" s="3534" t="s">
        <v>1758</v>
      </c>
      <c r="K440" s="3443"/>
      <c r="L440" s="3443"/>
      <c r="M440" s="3443" t="s">
        <v>30</v>
      </c>
      <c r="N440" s="3443"/>
      <c r="O440" s="3443"/>
      <c r="P440" s="34" t="s">
        <v>0</v>
      </c>
      <c r="Q440" s="34" t="s">
        <v>187</v>
      </c>
      <c r="R440" s="34" t="s">
        <v>160</v>
      </c>
      <c r="S440" s="3443"/>
      <c r="T440" s="3443"/>
      <c r="U440" s="3443"/>
      <c r="V440" s="3443"/>
      <c r="W440" s="3443" t="s">
        <v>1759</v>
      </c>
      <c r="X440" s="3443"/>
      <c r="Y440" s="3522"/>
    </row>
    <row r="441" spans="1:25" ht="29.25" hidden="1" thickBot="1">
      <c r="A441" s="3480" t="s">
        <v>67</v>
      </c>
      <c r="B441" s="3444">
        <v>45741</v>
      </c>
      <c r="C441" s="3355" t="s">
        <v>814</v>
      </c>
      <c r="D441" s="3513"/>
      <c r="E441" s="3557" t="s">
        <v>1760</v>
      </c>
      <c r="F441" s="3558" t="s">
        <v>1376</v>
      </c>
      <c r="G441" s="3561" t="s">
        <v>1206</v>
      </c>
      <c r="H441" s="3562" t="s">
        <v>1206</v>
      </c>
      <c r="I441" s="3516"/>
      <c r="J441" s="3534" t="s">
        <v>1758</v>
      </c>
      <c r="K441" s="3443"/>
      <c r="L441" s="3443"/>
      <c r="M441" s="3443"/>
      <c r="N441" s="3443" t="s">
        <v>30</v>
      </c>
      <c r="O441" s="3443"/>
      <c r="P441" s="3443"/>
      <c r="Q441" s="3443"/>
      <c r="R441" s="3443"/>
      <c r="S441" s="3443"/>
      <c r="T441" s="3443"/>
      <c r="U441" s="3443"/>
      <c r="V441" s="3443"/>
      <c r="W441" s="3443"/>
      <c r="X441" s="3443"/>
      <c r="Y441" s="3522"/>
    </row>
    <row r="442" spans="1:25" ht="29.25" hidden="1" thickBot="1">
      <c r="A442" s="3480" t="s">
        <v>67</v>
      </c>
      <c r="B442" s="3444">
        <v>45741</v>
      </c>
      <c r="C442" s="3355" t="s">
        <v>814</v>
      </c>
      <c r="D442" s="3513" t="s">
        <v>923</v>
      </c>
      <c r="E442" s="3563" t="s">
        <v>1391</v>
      </c>
      <c r="F442" s="3564" t="s">
        <v>1761</v>
      </c>
      <c r="G442" s="3565" t="s">
        <v>1199</v>
      </c>
      <c r="H442" s="3560" t="s">
        <v>1199</v>
      </c>
      <c r="I442" s="3516"/>
      <c r="J442" s="3534" t="s">
        <v>1762</v>
      </c>
      <c r="K442" s="3443"/>
      <c r="L442" s="3443"/>
      <c r="M442" s="3443" t="s">
        <v>30</v>
      </c>
      <c r="N442" s="3443"/>
      <c r="O442" s="3443"/>
      <c r="P442" s="21" t="s">
        <v>0</v>
      </c>
      <c r="Q442" s="21" t="s">
        <v>187</v>
      </c>
      <c r="R442" s="21" t="s">
        <v>160</v>
      </c>
      <c r="S442" s="3443"/>
      <c r="T442" s="3443"/>
      <c r="U442" s="3443"/>
      <c r="V442" s="3443"/>
      <c r="W442" s="3443" t="s">
        <v>1759</v>
      </c>
      <c r="X442" s="3443"/>
      <c r="Y442" s="3522"/>
    </row>
    <row r="443" spans="1:25" ht="29.25" hidden="1" thickBot="1">
      <c r="A443" s="3500" t="s">
        <v>67</v>
      </c>
      <c r="B443" s="3463">
        <v>45741</v>
      </c>
      <c r="C443" s="3355" t="s">
        <v>814</v>
      </c>
      <c r="D443" s="3520"/>
      <c r="E443" s="3861" t="s">
        <v>1763</v>
      </c>
      <c r="F443" s="4624" t="s">
        <v>1166</v>
      </c>
      <c r="G443" s="4886" t="s">
        <v>1199</v>
      </c>
      <c r="H443" s="4070" t="s">
        <v>1764</v>
      </c>
      <c r="I443" s="3524"/>
      <c r="J443" s="3545" t="s">
        <v>1762</v>
      </c>
      <c r="K443" s="3462"/>
      <c r="L443" s="3443"/>
      <c r="M443" s="3443"/>
      <c r="N443" s="3462" t="s">
        <v>30</v>
      </c>
      <c r="O443" s="3462"/>
      <c r="P443" s="3462"/>
      <c r="Q443" s="3462"/>
      <c r="R443" s="3462" t="s">
        <v>37</v>
      </c>
      <c r="S443" s="3462"/>
      <c r="T443" s="3462"/>
      <c r="U443" s="3462"/>
      <c r="V443" s="3462"/>
      <c r="W443" s="3462"/>
      <c r="X443" s="3462"/>
      <c r="Y443" s="3544"/>
    </row>
    <row r="444" spans="1:25" ht="29.25" hidden="1" thickBot="1">
      <c r="A444" s="3477" t="s">
        <v>67</v>
      </c>
      <c r="B444" s="3478">
        <v>45741</v>
      </c>
      <c r="C444" s="3355" t="s">
        <v>814</v>
      </c>
      <c r="D444" s="3513" t="s">
        <v>927</v>
      </c>
      <c r="E444" s="4820" t="s">
        <v>258</v>
      </c>
      <c r="F444" s="4857" t="s">
        <v>183</v>
      </c>
      <c r="G444" s="4887" t="s">
        <v>1206</v>
      </c>
      <c r="H444" s="4887" t="s">
        <v>1206</v>
      </c>
      <c r="I444" s="3515"/>
      <c r="J444" s="3530" t="s">
        <v>248</v>
      </c>
      <c r="K444" s="3503"/>
      <c r="L444" s="3443" t="s">
        <v>30</v>
      </c>
      <c r="M444" s="3443"/>
      <c r="N444" s="3503"/>
      <c r="O444" s="3503"/>
      <c r="P444" s="3503"/>
      <c r="Q444" s="3503"/>
      <c r="R444" s="3503"/>
      <c r="S444" s="3503"/>
      <c r="T444" s="3503"/>
      <c r="U444" s="3503"/>
      <c r="V444" s="3503"/>
      <c r="W444" s="3503"/>
      <c r="X444" s="3503"/>
      <c r="Y444" s="3521"/>
    </row>
    <row r="445" spans="1:25" ht="29.25" hidden="1" thickBot="1">
      <c r="A445" s="3480" t="s">
        <v>67</v>
      </c>
      <c r="B445" s="3444">
        <v>45741</v>
      </c>
      <c r="C445" s="3355" t="s">
        <v>814</v>
      </c>
      <c r="D445" s="3513" t="s">
        <v>929</v>
      </c>
      <c r="E445" s="4545" t="s">
        <v>204</v>
      </c>
      <c r="F445" s="4623" t="s">
        <v>1765</v>
      </c>
      <c r="G445" s="4668" t="s">
        <v>1206</v>
      </c>
      <c r="H445" s="78" t="s">
        <v>1206</v>
      </c>
      <c r="I445" s="3516"/>
      <c r="J445" s="3534">
        <v>60093</v>
      </c>
      <c r="K445" s="3443"/>
      <c r="L445" s="3443" t="s">
        <v>30</v>
      </c>
      <c r="M445" s="3443"/>
      <c r="N445" s="3443"/>
      <c r="O445" s="3443"/>
      <c r="P445" s="3443"/>
      <c r="Q445" s="3443"/>
      <c r="R445" s="3443"/>
      <c r="S445" s="3443"/>
      <c r="T445" s="3443"/>
      <c r="U445" s="3443"/>
      <c r="V445" s="3443"/>
      <c r="W445" s="3516"/>
      <c r="X445" s="3516"/>
      <c r="Y445" s="3519"/>
    </row>
    <row r="446" spans="1:25" ht="29.25" hidden="1" thickBot="1">
      <c r="A446" s="3480" t="s">
        <v>85</v>
      </c>
      <c r="B446" s="3444">
        <v>45742</v>
      </c>
      <c r="C446" s="3355" t="s">
        <v>814</v>
      </c>
      <c r="D446" s="3513"/>
      <c r="E446" s="4545" t="s">
        <v>148</v>
      </c>
      <c r="F446" s="4623" t="s">
        <v>1766</v>
      </c>
      <c r="G446" s="4692" t="s">
        <v>1206</v>
      </c>
      <c r="H446" s="3450" t="s">
        <v>1206</v>
      </c>
      <c r="I446" s="3516"/>
      <c r="J446" s="3534">
        <v>60093</v>
      </c>
      <c r="K446" s="3443"/>
      <c r="L446" s="3443" t="s">
        <v>30</v>
      </c>
      <c r="M446" s="3443"/>
      <c r="N446" s="3443"/>
      <c r="O446" s="3443"/>
      <c r="P446" s="3443"/>
      <c r="Q446" s="3443"/>
      <c r="R446" s="3443"/>
      <c r="S446" s="3443"/>
      <c r="T446" s="3443"/>
      <c r="U446" s="3443"/>
      <c r="V446" s="3443"/>
      <c r="W446" s="3516"/>
      <c r="X446" s="3516"/>
      <c r="Y446" s="3522"/>
    </row>
    <row r="447" spans="1:25" ht="86.25" hidden="1" thickBot="1">
      <c r="A447" s="3480" t="s">
        <v>85</v>
      </c>
      <c r="B447" s="3444">
        <v>45742</v>
      </c>
      <c r="C447" s="3355" t="s">
        <v>814</v>
      </c>
      <c r="D447" s="3513" t="s">
        <v>930</v>
      </c>
      <c r="E447" s="3443" t="s">
        <v>1731</v>
      </c>
      <c r="F447" s="3531" t="s">
        <v>593</v>
      </c>
      <c r="G447" s="3538" t="s">
        <v>1767</v>
      </c>
      <c r="H447" s="3533" t="s">
        <v>1768</v>
      </c>
      <c r="I447" s="3516"/>
      <c r="J447" s="3534" t="s">
        <v>1769</v>
      </c>
      <c r="K447" s="3443"/>
      <c r="L447" s="3443" t="s">
        <v>30</v>
      </c>
      <c r="M447" s="3443"/>
      <c r="N447" s="3443"/>
      <c r="O447" s="3443"/>
      <c r="P447" s="3443"/>
      <c r="Q447" s="3443"/>
      <c r="R447" s="3443" t="s">
        <v>37</v>
      </c>
      <c r="S447" s="3443" t="s">
        <v>37</v>
      </c>
      <c r="T447" s="3443"/>
      <c r="U447" s="3443"/>
      <c r="V447" s="3443"/>
      <c r="W447" s="3522" t="s">
        <v>1770</v>
      </c>
      <c r="X447" s="3522"/>
      <c r="Y447" s="3516"/>
    </row>
    <row r="448" spans="1:25" ht="29.25" hidden="1" thickBot="1">
      <c r="A448" s="3480" t="s">
        <v>85</v>
      </c>
      <c r="B448" s="3444">
        <v>45742</v>
      </c>
      <c r="C448" s="3355" t="s">
        <v>814</v>
      </c>
      <c r="D448" s="3513"/>
      <c r="E448" s="3443" t="s">
        <v>619</v>
      </c>
      <c r="F448" s="3531" t="s">
        <v>620</v>
      </c>
      <c r="G448" s="3538" t="s">
        <v>1206</v>
      </c>
      <c r="H448" s="3533" t="s">
        <v>1199</v>
      </c>
      <c r="I448" s="3516"/>
      <c r="J448" s="3534" t="s">
        <v>1771</v>
      </c>
      <c r="K448" s="3443"/>
      <c r="L448" s="3443" t="s">
        <v>30</v>
      </c>
      <c r="M448" s="3443"/>
      <c r="N448" s="3443"/>
      <c r="O448" s="3443"/>
      <c r="P448" s="3443"/>
      <c r="Q448" s="3443"/>
      <c r="R448" s="3443"/>
      <c r="S448" s="3443"/>
      <c r="T448" s="3443"/>
      <c r="U448" s="3443"/>
      <c r="V448" s="3443"/>
      <c r="W448" s="3522"/>
      <c r="X448" s="3522"/>
      <c r="Y448" s="3522"/>
    </row>
    <row r="449" spans="1:25" ht="29.25" hidden="1" thickBot="1">
      <c r="A449" s="3480" t="s">
        <v>85</v>
      </c>
      <c r="B449" s="3444">
        <v>45742</v>
      </c>
      <c r="C449" s="3355" t="s">
        <v>814</v>
      </c>
      <c r="D449" s="3513"/>
      <c r="E449" s="3569" t="s">
        <v>1145</v>
      </c>
      <c r="F449" s="3570" t="s">
        <v>1772</v>
      </c>
      <c r="G449" s="3571" t="s">
        <v>1764</v>
      </c>
      <c r="H449" s="3572" t="s">
        <v>1764</v>
      </c>
      <c r="I449" s="3516">
        <v>710</v>
      </c>
      <c r="J449" s="3534" t="s">
        <v>1773</v>
      </c>
      <c r="K449" s="3443"/>
      <c r="L449" s="3443" t="s">
        <v>30</v>
      </c>
      <c r="M449" s="3443"/>
      <c r="N449" s="3443"/>
      <c r="O449" s="3443"/>
      <c r="P449" s="3443"/>
      <c r="Q449" s="3443"/>
      <c r="R449" s="3443"/>
      <c r="S449" s="3443"/>
      <c r="T449" s="3443"/>
      <c r="U449" s="3443"/>
      <c r="V449" s="3443"/>
      <c r="W449" s="3522" t="s">
        <v>1774</v>
      </c>
      <c r="X449" s="3522"/>
      <c r="Y449" s="3522"/>
    </row>
    <row r="450" spans="1:25" ht="29.25" hidden="1" thickBot="1">
      <c r="A450" s="3480" t="s">
        <v>85</v>
      </c>
      <c r="B450" s="3444">
        <v>45742</v>
      </c>
      <c r="C450" s="3355" t="s">
        <v>814</v>
      </c>
      <c r="D450" s="3513"/>
      <c r="E450" s="3567" t="s">
        <v>169</v>
      </c>
      <c r="F450" s="3568" t="s">
        <v>1123</v>
      </c>
      <c r="G450" s="3532" t="s">
        <v>1206</v>
      </c>
      <c r="H450" s="3543" t="s">
        <v>1206</v>
      </c>
      <c r="I450" s="3516"/>
      <c r="J450" s="3534" t="s">
        <v>1775</v>
      </c>
      <c r="K450" s="3443"/>
      <c r="L450" s="3443" t="s">
        <v>30</v>
      </c>
      <c r="M450" s="3443"/>
      <c r="N450" s="3443"/>
      <c r="O450" s="3443"/>
      <c r="P450" s="3443"/>
      <c r="Q450" s="3443"/>
      <c r="R450" s="3443"/>
      <c r="S450" s="3443"/>
      <c r="T450" s="3443"/>
      <c r="U450" s="3443"/>
      <c r="V450" s="3443"/>
      <c r="W450" s="3522"/>
      <c r="X450" s="3522"/>
      <c r="Y450" s="3522"/>
    </row>
    <row r="451" spans="1:25" ht="29.25" hidden="1" thickBot="1">
      <c r="A451" s="3494" t="s">
        <v>85</v>
      </c>
      <c r="B451" s="3448">
        <v>45742</v>
      </c>
      <c r="C451" s="3355" t="s">
        <v>814</v>
      </c>
      <c r="D451" s="3520"/>
      <c r="E451" s="3631" t="s">
        <v>1776</v>
      </c>
      <c r="F451" s="3665" t="s">
        <v>1777</v>
      </c>
      <c r="G451" s="3573" t="s">
        <v>1206</v>
      </c>
      <c r="H451" s="3543" t="s">
        <v>1206</v>
      </c>
      <c r="I451" s="3523"/>
      <c r="J451" s="3546" t="s">
        <v>1750</v>
      </c>
      <c r="K451" s="3447"/>
      <c r="L451" s="3447" t="s">
        <v>30</v>
      </c>
      <c r="M451" s="3447"/>
      <c r="N451" s="3447"/>
      <c r="O451" s="3447"/>
      <c r="P451" s="3447"/>
      <c r="Q451" s="3447"/>
      <c r="R451" s="3447"/>
      <c r="S451" s="3447"/>
      <c r="T451" s="3447"/>
      <c r="U451" s="3447"/>
      <c r="V451" s="3447"/>
      <c r="W451" s="3547"/>
      <c r="X451" s="3547"/>
      <c r="Y451" s="3522"/>
    </row>
    <row r="452" spans="1:25" ht="29.25" hidden="1" thickBot="1">
      <c r="A452" s="3477" t="s">
        <v>85</v>
      </c>
      <c r="B452" s="3478">
        <v>45742</v>
      </c>
      <c r="C452" s="3355" t="s">
        <v>814</v>
      </c>
      <c r="D452" s="3513"/>
      <c r="E452" s="4027" t="s">
        <v>1196</v>
      </c>
      <c r="F452" s="4605" t="s">
        <v>1778</v>
      </c>
      <c r="G452" s="3529" t="s">
        <v>1206</v>
      </c>
      <c r="H452" s="3574" t="s">
        <v>1206</v>
      </c>
      <c r="I452" s="3515"/>
      <c r="J452" s="3530" t="s">
        <v>1756</v>
      </c>
      <c r="K452" s="3694" t="s">
        <v>84</v>
      </c>
      <c r="L452" s="3443" t="s">
        <v>37</v>
      </c>
      <c r="M452" s="3443"/>
      <c r="N452" s="3503"/>
      <c r="O452" s="3503"/>
      <c r="P452" s="3503"/>
      <c r="Q452" s="3503"/>
      <c r="R452" s="3503"/>
      <c r="S452" s="3503"/>
      <c r="T452" s="3503"/>
      <c r="U452" s="3503"/>
      <c r="V452" s="3503"/>
      <c r="W452" s="3521"/>
      <c r="X452" s="3521"/>
      <c r="Y452" s="3547"/>
    </row>
    <row r="453" spans="1:25" ht="29.25" hidden="1" thickBot="1">
      <c r="A453" s="3477" t="s">
        <v>85</v>
      </c>
      <c r="B453" s="3478">
        <v>45742</v>
      </c>
      <c r="C453" s="3355" t="s">
        <v>814</v>
      </c>
      <c r="D453" s="3513" t="s">
        <v>934</v>
      </c>
      <c r="E453" s="3813" t="s">
        <v>68</v>
      </c>
      <c r="F453" s="4621" t="s">
        <v>183</v>
      </c>
      <c r="G453" s="3532" t="s">
        <v>1206</v>
      </c>
      <c r="H453" s="3543" t="s">
        <v>1206</v>
      </c>
      <c r="I453" s="3516"/>
      <c r="J453" s="3534" t="s">
        <v>1141</v>
      </c>
      <c r="K453" s="3443"/>
      <c r="L453" s="3443" t="s">
        <v>37</v>
      </c>
      <c r="M453" s="3443"/>
      <c r="N453" s="3443"/>
      <c r="O453" s="3443"/>
      <c r="P453" s="3503"/>
      <c r="Q453" s="3503"/>
      <c r="R453" s="3503"/>
      <c r="S453" s="3443"/>
      <c r="T453" s="3443"/>
      <c r="U453" s="3443"/>
      <c r="V453" s="3443"/>
      <c r="W453" s="3522"/>
      <c r="X453" s="3522"/>
      <c r="Y453" s="3521"/>
    </row>
    <row r="454" spans="1:25" ht="29.25" hidden="1" thickBot="1">
      <c r="A454" s="3480" t="s">
        <v>105</v>
      </c>
      <c r="B454" s="3444">
        <v>45743</v>
      </c>
      <c r="C454" s="3355" t="s">
        <v>814</v>
      </c>
      <c r="D454" s="3513"/>
      <c r="E454" s="3813" t="s">
        <v>169</v>
      </c>
      <c r="F454" s="4621" t="s">
        <v>1779</v>
      </c>
      <c r="G454" s="3532" t="s">
        <v>1206</v>
      </c>
      <c r="H454" s="3543" t="s">
        <v>1206</v>
      </c>
      <c r="I454" s="3516"/>
      <c r="J454" s="3534" t="s">
        <v>1141</v>
      </c>
      <c r="K454" s="3443"/>
      <c r="L454" s="3443" t="s">
        <v>30</v>
      </c>
      <c r="M454" s="3443"/>
      <c r="N454" s="3443"/>
      <c r="O454" s="3443"/>
      <c r="P454" s="3503"/>
      <c r="Q454" s="3503"/>
      <c r="R454" s="3503"/>
      <c r="S454" s="3443"/>
      <c r="T454" s="3443"/>
      <c r="U454" s="3443"/>
      <c r="V454" s="3443"/>
      <c r="W454" s="3522"/>
      <c r="X454" s="3522"/>
      <c r="Y454" s="3522"/>
    </row>
    <row r="455" spans="1:25" ht="29.25" hidden="1" thickBot="1">
      <c r="A455" s="3480" t="s">
        <v>105</v>
      </c>
      <c r="B455" s="3444">
        <v>45743</v>
      </c>
      <c r="C455" s="3355" t="s">
        <v>814</v>
      </c>
      <c r="D455" s="3513"/>
      <c r="E455" s="3553" t="s">
        <v>1780</v>
      </c>
      <c r="F455" s="3554" t="s">
        <v>1781</v>
      </c>
      <c r="G455" s="3532" t="s">
        <v>1206</v>
      </c>
      <c r="H455" s="3543" t="s">
        <v>1206</v>
      </c>
      <c r="I455" s="3516"/>
      <c r="J455" s="3575" t="s">
        <v>1782</v>
      </c>
      <c r="K455" s="3443"/>
      <c r="L455" s="3443" t="s">
        <v>30</v>
      </c>
      <c r="M455" s="3443"/>
      <c r="N455" s="3503"/>
      <c r="O455" s="3443"/>
      <c r="P455" s="3503"/>
      <c r="Q455" s="3503"/>
      <c r="R455" s="3503"/>
      <c r="S455" s="3443"/>
      <c r="T455" s="3443"/>
      <c r="U455" s="3443"/>
      <c r="V455" s="3443"/>
      <c r="W455" s="3522"/>
      <c r="X455" s="3522"/>
      <c r="Y455" s="3522"/>
    </row>
    <row r="456" spans="1:25" ht="57.75" hidden="1" thickBot="1">
      <c r="A456" s="3480" t="s">
        <v>105</v>
      </c>
      <c r="B456" s="3444">
        <v>45743</v>
      </c>
      <c r="C456" s="3355" t="s">
        <v>814</v>
      </c>
      <c r="D456" s="3513"/>
      <c r="E456" s="3553" t="s">
        <v>1153</v>
      </c>
      <c r="F456" s="3554" t="s">
        <v>878</v>
      </c>
      <c r="G456" s="3543" t="s">
        <v>1206</v>
      </c>
      <c r="H456" s="3543" t="s">
        <v>1206</v>
      </c>
      <c r="I456" s="3516"/>
      <c r="J456" s="3534" t="s">
        <v>1783</v>
      </c>
      <c r="K456" s="3443"/>
      <c r="L456" s="3443"/>
      <c r="M456" s="3443" t="s">
        <v>37</v>
      </c>
      <c r="N456" s="3503"/>
      <c r="O456" s="3443"/>
      <c r="P456" s="21" t="s">
        <v>0</v>
      </c>
      <c r="Q456" s="21" t="s">
        <v>110</v>
      </c>
      <c r="R456" s="21" t="s">
        <v>160</v>
      </c>
      <c r="S456" s="3443"/>
      <c r="T456" s="3503"/>
      <c r="U456" s="3443"/>
      <c r="V456" s="3443"/>
      <c r="W456" s="3522" t="s">
        <v>1784</v>
      </c>
      <c r="X456" s="3522"/>
      <c r="Y456" s="3522"/>
    </row>
    <row r="457" spans="1:25" ht="57.75" hidden="1" thickBot="1">
      <c r="A457" s="3480" t="s">
        <v>105</v>
      </c>
      <c r="B457" s="3444">
        <v>45743</v>
      </c>
      <c r="C457" s="3355" t="s">
        <v>814</v>
      </c>
      <c r="D457" s="3513" t="s">
        <v>935</v>
      </c>
      <c r="E457" s="3443" t="s">
        <v>1731</v>
      </c>
      <c r="F457" s="3531" t="s">
        <v>593</v>
      </c>
      <c r="G457" s="3538" t="s">
        <v>1206</v>
      </c>
      <c r="H457" s="3533" t="s">
        <v>1199</v>
      </c>
      <c r="I457" s="3516"/>
      <c r="J457" s="3534" t="s">
        <v>1785</v>
      </c>
      <c r="K457" s="3511" t="s">
        <v>84</v>
      </c>
      <c r="L457" s="3443"/>
      <c r="M457" s="3443" t="s">
        <v>30</v>
      </c>
      <c r="N457" s="3443"/>
      <c r="O457" s="3443"/>
      <c r="P457" s="21" t="s">
        <v>109</v>
      </c>
      <c r="Q457" s="21" t="s">
        <v>110</v>
      </c>
      <c r="R457" s="21" t="s">
        <v>790</v>
      </c>
      <c r="S457" s="3443"/>
      <c r="T457" s="3443"/>
      <c r="U457" s="3443"/>
      <c r="V457" s="3443"/>
      <c r="W457" s="3522" t="s">
        <v>1786</v>
      </c>
      <c r="X457" s="3522"/>
      <c r="Y457" s="3522"/>
    </row>
    <row r="458" spans="1:25" ht="29.25" hidden="1" thickBot="1">
      <c r="A458" s="3480" t="s">
        <v>105</v>
      </c>
      <c r="B458" s="3444">
        <v>45743</v>
      </c>
      <c r="C458" s="3355" t="s">
        <v>814</v>
      </c>
      <c r="D458" s="3513"/>
      <c r="E458" s="3443" t="s">
        <v>619</v>
      </c>
      <c r="F458" s="3531" t="s">
        <v>620</v>
      </c>
      <c r="G458" s="4691" t="s">
        <v>1206</v>
      </c>
      <c r="H458" s="3556" t="s">
        <v>1199</v>
      </c>
      <c r="I458" s="3516"/>
      <c r="J458" s="3534" t="s">
        <v>1771</v>
      </c>
      <c r="K458" s="3443"/>
      <c r="L458" s="3443"/>
      <c r="M458" s="3443"/>
      <c r="N458" s="3443" t="s">
        <v>30</v>
      </c>
      <c r="O458" s="3443"/>
      <c r="P458" s="3503"/>
      <c r="Q458" s="3503"/>
      <c r="R458" s="3503" t="s">
        <v>37</v>
      </c>
      <c r="S458" s="3443"/>
      <c r="T458" s="3443" t="s">
        <v>37</v>
      </c>
      <c r="U458" s="3443"/>
      <c r="V458" s="3443"/>
      <c r="W458" s="3522" t="s">
        <v>1787</v>
      </c>
      <c r="X458" s="3522"/>
      <c r="Y458" s="3522"/>
    </row>
    <row r="459" spans="1:25" ht="29.25" hidden="1" thickBot="1">
      <c r="A459" s="3480" t="s">
        <v>105</v>
      </c>
      <c r="B459" s="3444">
        <v>45743</v>
      </c>
      <c r="C459" s="3355" t="s">
        <v>814</v>
      </c>
      <c r="D459" s="3513" t="s">
        <v>936</v>
      </c>
      <c r="E459" s="3576" t="s">
        <v>204</v>
      </c>
      <c r="F459" s="3577" t="s">
        <v>1788</v>
      </c>
      <c r="G459" s="3538" t="s">
        <v>1206</v>
      </c>
      <c r="H459" s="78" t="s">
        <v>1789</v>
      </c>
      <c r="I459" s="3516"/>
      <c r="J459" s="3534">
        <v>60020</v>
      </c>
      <c r="K459" s="3443"/>
      <c r="L459" s="3443" t="s">
        <v>30</v>
      </c>
      <c r="M459" s="3443"/>
      <c r="N459" s="3503"/>
      <c r="O459" s="3443"/>
      <c r="P459" s="3443"/>
      <c r="Q459" s="3443"/>
      <c r="R459" s="3443"/>
      <c r="S459" s="3443"/>
      <c r="T459" s="3443"/>
      <c r="U459" s="3443"/>
      <c r="V459" s="3443"/>
      <c r="W459" s="3522"/>
      <c r="X459" s="3522"/>
      <c r="Y459" s="3522"/>
    </row>
    <row r="460" spans="1:25" ht="29.25" hidden="1" thickBot="1">
      <c r="A460" s="3480" t="s">
        <v>105</v>
      </c>
      <c r="B460" s="3444">
        <v>45743</v>
      </c>
      <c r="C460" s="3355" t="s">
        <v>814</v>
      </c>
      <c r="D460" s="3513"/>
      <c r="E460" s="3576" t="s">
        <v>1691</v>
      </c>
      <c r="F460" s="3577" t="s">
        <v>808</v>
      </c>
      <c r="G460" s="3578" t="s">
        <v>1790</v>
      </c>
      <c r="H460" s="3579" t="s">
        <v>1791</v>
      </c>
      <c r="I460" s="3580"/>
      <c r="J460" s="3534" t="s">
        <v>1792</v>
      </c>
      <c r="K460" s="3443"/>
      <c r="L460" s="3443"/>
      <c r="M460" s="3443" t="s">
        <v>37</v>
      </c>
      <c r="N460" s="3443"/>
      <c r="O460" s="3443"/>
      <c r="P460" s="21" t="s">
        <v>122</v>
      </c>
      <c r="Q460" s="21" t="s">
        <v>122</v>
      </c>
      <c r="R460" s="21" t="s">
        <v>1228</v>
      </c>
      <c r="S460" s="3443"/>
      <c r="T460" s="3443"/>
      <c r="U460" s="3443"/>
      <c r="V460" s="3443"/>
      <c r="W460" s="3522" t="s">
        <v>1793</v>
      </c>
      <c r="X460" s="3522"/>
      <c r="Y460" s="3522"/>
    </row>
    <row r="461" spans="1:25" ht="29.25" hidden="1" thickBot="1">
      <c r="A461" s="3480" t="s">
        <v>105</v>
      </c>
      <c r="B461" s="3444">
        <v>45743</v>
      </c>
      <c r="C461" s="3355" t="s">
        <v>814</v>
      </c>
      <c r="D461" s="3513" t="s">
        <v>938</v>
      </c>
      <c r="E461" s="3581" t="s">
        <v>264</v>
      </c>
      <c r="F461" s="3582" t="s">
        <v>1052</v>
      </c>
      <c r="G461" s="3532" t="s">
        <v>1206</v>
      </c>
      <c r="H461" s="3532" t="s">
        <v>1206</v>
      </c>
      <c r="I461" s="3516"/>
      <c r="J461" s="3534" t="s">
        <v>1794</v>
      </c>
      <c r="K461" s="3443"/>
      <c r="L461" s="3443" t="s">
        <v>30</v>
      </c>
      <c r="M461" s="3443"/>
      <c r="N461" s="3443"/>
      <c r="O461" s="3443"/>
      <c r="P461" s="3443"/>
      <c r="Q461" s="3443"/>
      <c r="R461" s="3443" t="s">
        <v>37</v>
      </c>
      <c r="S461" s="3443"/>
      <c r="T461" s="3443"/>
      <c r="U461" s="3443"/>
      <c r="V461" s="3443"/>
      <c r="W461" s="3522" t="s">
        <v>1795</v>
      </c>
      <c r="X461" s="3522"/>
      <c r="Y461" s="3522"/>
    </row>
    <row r="462" spans="1:25" ht="29.25" hidden="1" thickBot="1">
      <c r="A462" s="3480" t="s">
        <v>105</v>
      </c>
      <c r="B462" s="3444">
        <v>45743</v>
      </c>
      <c r="C462" s="3355" t="s">
        <v>814</v>
      </c>
      <c r="D462" s="3513" t="s">
        <v>940</v>
      </c>
      <c r="E462" s="3443" t="s">
        <v>1065</v>
      </c>
      <c r="F462" s="3531" t="s">
        <v>169</v>
      </c>
      <c r="G462" s="3532" t="s">
        <v>1206</v>
      </c>
      <c r="H462" s="3532" t="s">
        <v>1206</v>
      </c>
      <c r="I462" s="3516"/>
      <c r="J462" s="3534" t="s">
        <v>1066</v>
      </c>
      <c r="K462" s="3511" t="s">
        <v>174</v>
      </c>
      <c r="L462" s="3443" t="s">
        <v>30</v>
      </c>
      <c r="M462" s="3443"/>
      <c r="N462" s="3443"/>
      <c r="O462" s="3443"/>
      <c r="P462" s="3443"/>
      <c r="Q462" s="3443"/>
      <c r="R462" s="3443"/>
      <c r="S462" s="3443"/>
      <c r="T462" s="3443"/>
      <c r="U462" s="3443"/>
      <c r="V462" s="3443"/>
      <c r="W462" s="3522"/>
      <c r="X462" s="3522"/>
      <c r="Y462" s="3522"/>
    </row>
    <row r="463" spans="1:25" ht="29.25" hidden="1" thickBot="1">
      <c r="A463" s="3480" t="s">
        <v>105</v>
      </c>
      <c r="B463" s="3444">
        <v>45743</v>
      </c>
      <c r="C463" s="3355" t="s">
        <v>814</v>
      </c>
      <c r="D463" s="3513" t="s">
        <v>942</v>
      </c>
      <c r="E463" s="3583" t="s">
        <v>80</v>
      </c>
      <c r="F463" s="3584" t="s">
        <v>1796</v>
      </c>
      <c r="G463" s="3587" t="s">
        <v>545</v>
      </c>
      <c r="H463" s="4912" t="s">
        <v>545</v>
      </c>
      <c r="I463" s="3516"/>
      <c r="J463" s="3534" t="s">
        <v>1176</v>
      </c>
      <c r="K463" s="3443"/>
      <c r="L463" s="3443" t="s">
        <v>30</v>
      </c>
      <c r="M463" s="3443"/>
      <c r="N463" s="3503"/>
      <c r="O463" s="3443"/>
      <c r="P463" s="3443"/>
      <c r="Q463" s="3443"/>
      <c r="R463" s="3443"/>
      <c r="S463" s="3443"/>
      <c r="T463" s="3443"/>
      <c r="U463" s="3443"/>
      <c r="V463" s="3443"/>
      <c r="W463" s="3522" t="s">
        <v>1797</v>
      </c>
      <c r="X463" s="3522"/>
      <c r="Y463" s="3522"/>
    </row>
    <row r="464" spans="1:25" ht="29.25" hidden="1" thickBot="1">
      <c r="A464" s="3494" t="s">
        <v>105</v>
      </c>
      <c r="B464" s="3448">
        <v>45743</v>
      </c>
      <c r="C464" s="3355" t="s">
        <v>814</v>
      </c>
      <c r="D464" s="3520"/>
      <c r="E464" s="4544" t="s">
        <v>1798</v>
      </c>
      <c r="F464" s="4620" t="s">
        <v>61</v>
      </c>
      <c r="G464" s="4667" t="s">
        <v>545</v>
      </c>
      <c r="H464" s="3587" t="s">
        <v>545</v>
      </c>
      <c r="I464" s="3983"/>
      <c r="J464" s="3546" t="s">
        <v>1176</v>
      </c>
      <c r="K464" s="3443"/>
      <c r="L464" s="3443" t="s">
        <v>30</v>
      </c>
      <c r="M464" s="3447"/>
      <c r="N464" s="3447"/>
      <c r="O464" s="3447"/>
      <c r="P464" s="3447"/>
      <c r="Q464" s="3447"/>
      <c r="R464" s="3447"/>
      <c r="S464" s="3447"/>
      <c r="T464" s="3447"/>
      <c r="U464" s="3447"/>
      <c r="V464" s="3447"/>
      <c r="W464" s="3547" t="s">
        <v>1799</v>
      </c>
      <c r="X464" s="3547"/>
      <c r="Y464" s="3522"/>
    </row>
    <row r="465" spans="1:25" ht="57.75" hidden="1" thickBot="1">
      <c r="A465" s="3588" t="s">
        <v>105</v>
      </c>
      <c r="B465" s="3589">
        <v>45743</v>
      </c>
      <c r="C465" s="3355" t="s">
        <v>814</v>
      </c>
      <c r="D465" s="3513" t="s">
        <v>945</v>
      </c>
      <c r="E465" s="3503" t="s">
        <v>392</v>
      </c>
      <c r="F465" s="3503" t="s">
        <v>296</v>
      </c>
      <c r="G465" s="3574" t="s">
        <v>1206</v>
      </c>
      <c r="H465" s="3574" t="s">
        <v>1206</v>
      </c>
      <c r="I465" s="3503"/>
      <c r="J465" s="3503" t="s">
        <v>1738</v>
      </c>
      <c r="K465" s="3503"/>
      <c r="L465" s="3503"/>
      <c r="M465" s="3503"/>
      <c r="N465" s="3503" t="s">
        <v>37</v>
      </c>
      <c r="O465" s="3503"/>
      <c r="P465" s="3503"/>
      <c r="Q465" s="3503"/>
      <c r="R465" s="3503"/>
      <c r="S465" s="3503"/>
      <c r="T465" s="3503"/>
      <c r="U465" s="3503"/>
      <c r="V465" s="3503"/>
      <c r="W465" s="3521" t="s">
        <v>1800</v>
      </c>
      <c r="X465" s="3521"/>
      <c r="Y465" s="3547"/>
    </row>
    <row r="466" spans="1:25" ht="57.75" hidden="1" thickBot="1">
      <c r="A466" s="3590" t="s">
        <v>105</v>
      </c>
      <c r="B466" s="3591">
        <v>45743</v>
      </c>
      <c r="C466" s="3355" t="s">
        <v>814</v>
      </c>
      <c r="D466" s="3513" t="s">
        <v>948</v>
      </c>
      <c r="E466" s="3443" t="s">
        <v>450</v>
      </c>
      <c r="F466" s="3443" t="s">
        <v>306</v>
      </c>
      <c r="G466" s="4666" t="s">
        <v>1801</v>
      </c>
      <c r="H466" s="3587"/>
      <c r="I466" s="3556"/>
      <c r="J466" s="3443" t="s">
        <v>1802</v>
      </c>
      <c r="K466" s="3511" t="s">
        <v>1481</v>
      </c>
      <c r="L466" s="3443"/>
      <c r="M466" s="3443"/>
      <c r="N466" s="3443" t="s">
        <v>37</v>
      </c>
      <c r="O466" s="3443"/>
      <c r="P466" s="3443"/>
      <c r="Q466" s="3443"/>
      <c r="R466" s="3443"/>
      <c r="S466" s="3443"/>
      <c r="T466" s="3443"/>
      <c r="U466" s="3443"/>
      <c r="V466" s="3443"/>
      <c r="W466" s="3522" t="s">
        <v>1803</v>
      </c>
      <c r="X466" s="3522"/>
      <c r="Y466" s="3521"/>
    </row>
    <row r="467" spans="1:25" ht="29.25" hidden="1" thickBot="1">
      <c r="A467" s="3590" t="s">
        <v>132</v>
      </c>
      <c r="B467" s="3591">
        <v>45744</v>
      </c>
      <c r="C467" s="3355" t="s">
        <v>814</v>
      </c>
      <c r="D467" s="3513"/>
      <c r="E467" s="3581" t="s">
        <v>258</v>
      </c>
      <c r="F467" s="3581" t="s">
        <v>287</v>
      </c>
      <c r="G467" s="3543" t="s">
        <v>1206</v>
      </c>
      <c r="H467" s="3543" t="s">
        <v>1206</v>
      </c>
      <c r="I467" s="3443"/>
      <c r="J467" s="3443"/>
      <c r="K467" s="3443"/>
      <c r="L467" s="3443"/>
      <c r="M467" s="3443" t="s">
        <v>37</v>
      </c>
      <c r="N467" s="3443"/>
      <c r="O467" s="3443"/>
      <c r="P467" s="3503"/>
      <c r="Q467" s="3503"/>
      <c r="R467" s="3503"/>
      <c r="S467" s="3443"/>
      <c r="T467" s="3443"/>
      <c r="U467" s="3443"/>
      <c r="V467" s="3443"/>
      <c r="W467" s="3522"/>
      <c r="X467" s="3522"/>
      <c r="Y467" s="3522"/>
    </row>
    <row r="468" spans="1:25" ht="29.25" hidden="1" thickBot="1">
      <c r="A468" s="3590" t="s">
        <v>132</v>
      </c>
      <c r="B468" s="3591">
        <v>45744</v>
      </c>
      <c r="C468" s="3355" t="s">
        <v>814</v>
      </c>
      <c r="D468" s="3513" t="s">
        <v>949</v>
      </c>
      <c r="E468" s="3541" t="s">
        <v>1737</v>
      </c>
      <c r="F468" s="3541" t="s">
        <v>1160</v>
      </c>
      <c r="G468" s="3592" t="s">
        <v>1199</v>
      </c>
      <c r="H468" s="78" t="s">
        <v>1199</v>
      </c>
      <c r="I468" s="3443"/>
      <c r="J468" s="3443" t="s">
        <v>1792</v>
      </c>
      <c r="K468" s="3443"/>
      <c r="L468" s="3443" t="s">
        <v>30</v>
      </c>
      <c r="M468" s="3443"/>
      <c r="N468" s="3443"/>
      <c r="O468" s="3443"/>
      <c r="P468" s="3443"/>
      <c r="Q468" s="3443"/>
      <c r="R468" s="3443"/>
      <c r="S468" s="3443"/>
      <c r="T468" s="3443"/>
      <c r="U468" s="3443"/>
      <c r="V468" s="3443"/>
      <c r="W468" s="3522"/>
      <c r="X468" s="3522"/>
      <c r="Y468" s="3522"/>
    </row>
    <row r="469" spans="1:25" ht="57.75" hidden="1" thickBot="1">
      <c r="A469" s="3590" t="s">
        <v>132</v>
      </c>
      <c r="B469" s="3591">
        <v>45744</v>
      </c>
      <c r="C469" s="3355" t="s">
        <v>814</v>
      </c>
      <c r="D469" s="3513" t="s">
        <v>953</v>
      </c>
      <c r="E469" s="3443" t="s">
        <v>148</v>
      </c>
      <c r="F469" s="3443" t="s">
        <v>1598</v>
      </c>
      <c r="G469" s="3533" t="s">
        <v>1206</v>
      </c>
      <c r="H469" s="3543" t="s">
        <v>1206</v>
      </c>
      <c r="I469" s="3443"/>
      <c r="J469" s="3443" t="s">
        <v>1804</v>
      </c>
      <c r="K469" s="3443"/>
      <c r="L469" s="3443"/>
      <c r="M469" s="3443" t="s">
        <v>30</v>
      </c>
      <c r="N469" s="3443"/>
      <c r="O469" s="3443"/>
      <c r="P469" s="21" t="s">
        <v>122</v>
      </c>
      <c r="Q469" s="21" t="s">
        <v>122</v>
      </c>
      <c r="R469" s="21" t="s">
        <v>1228</v>
      </c>
      <c r="S469" s="3443"/>
      <c r="T469" s="3443"/>
      <c r="U469" s="3443"/>
      <c r="V469" s="3443"/>
      <c r="W469" s="3522" t="s">
        <v>1805</v>
      </c>
      <c r="X469" s="3522"/>
      <c r="Y469" s="3522"/>
    </row>
    <row r="470" spans="1:25" ht="29.25" hidden="1" thickBot="1">
      <c r="A470" s="3593" t="s">
        <v>132</v>
      </c>
      <c r="B470" s="3591">
        <v>45744</v>
      </c>
      <c r="C470" s="3355" t="s">
        <v>814</v>
      </c>
      <c r="D470" s="3513" t="s">
        <v>955</v>
      </c>
      <c r="E470" s="3443" t="s">
        <v>258</v>
      </c>
      <c r="F470" s="3443" t="s">
        <v>1806</v>
      </c>
      <c r="G470" s="3533" t="s">
        <v>1206</v>
      </c>
      <c r="H470" s="3543" t="s">
        <v>1206</v>
      </c>
      <c r="I470" s="3443"/>
      <c r="J470" s="3443"/>
      <c r="K470" s="3443"/>
      <c r="L470" s="3443"/>
      <c r="M470" s="3443" t="s">
        <v>37</v>
      </c>
      <c r="N470" s="3447"/>
      <c r="O470" s="3443"/>
      <c r="P470" s="3443"/>
      <c r="Q470" s="3443"/>
      <c r="R470" s="3443"/>
      <c r="S470" s="3443"/>
      <c r="T470" s="3443"/>
      <c r="U470" s="3443"/>
      <c r="V470" s="3443"/>
      <c r="W470" s="3522"/>
      <c r="X470" s="3522"/>
      <c r="Y470" s="3522"/>
    </row>
    <row r="471" spans="1:25" ht="29.25" hidden="1" thickBot="1">
      <c r="A471" s="3590" t="s">
        <v>132</v>
      </c>
      <c r="B471" s="3591">
        <v>45744</v>
      </c>
      <c r="C471" s="3355" t="s">
        <v>814</v>
      </c>
      <c r="D471" s="3513"/>
      <c r="E471" s="3597" t="s">
        <v>148</v>
      </c>
      <c r="F471" s="3541" t="s">
        <v>1807</v>
      </c>
      <c r="G471" s="3543" t="s">
        <v>1206</v>
      </c>
      <c r="H471" s="3543" t="s">
        <v>1206</v>
      </c>
      <c r="I471" s="3443"/>
      <c r="J471" s="3443" t="s">
        <v>1808</v>
      </c>
      <c r="K471" s="3443"/>
      <c r="L471" s="3443" t="s">
        <v>30</v>
      </c>
      <c r="M471" s="3443"/>
      <c r="N471" s="3443"/>
      <c r="O471" s="3443"/>
      <c r="P471" s="3443"/>
      <c r="Q471" s="3443"/>
      <c r="R471" s="3443"/>
      <c r="S471" s="3443"/>
      <c r="T471" s="3443"/>
      <c r="U471" s="3443"/>
      <c r="V471" s="3443"/>
      <c r="W471" s="3522"/>
      <c r="X471" s="3522"/>
      <c r="Y471" s="3522"/>
    </row>
    <row r="472" spans="1:25" ht="29.25" hidden="1" thickBot="1">
      <c r="A472" s="3590" t="s">
        <v>105</v>
      </c>
      <c r="B472" s="3591">
        <v>45744</v>
      </c>
      <c r="C472" s="3355" t="s">
        <v>814</v>
      </c>
      <c r="D472" s="3513" t="s">
        <v>956</v>
      </c>
      <c r="E472" s="3443" t="s">
        <v>450</v>
      </c>
      <c r="F472" s="3443" t="s">
        <v>306</v>
      </c>
      <c r="G472" s="3454" t="s">
        <v>1206</v>
      </c>
      <c r="H472" s="3594" t="s">
        <v>1206</v>
      </c>
      <c r="I472" s="2849"/>
      <c r="J472" s="3443" t="s">
        <v>1802</v>
      </c>
      <c r="K472" s="3511" t="s">
        <v>84</v>
      </c>
      <c r="L472" s="3443"/>
      <c r="M472" s="3443"/>
      <c r="N472" s="3447" t="s">
        <v>37</v>
      </c>
      <c r="O472" s="3443"/>
      <c r="P472" s="3443"/>
      <c r="Q472" s="3443"/>
      <c r="R472" s="3443"/>
      <c r="S472" s="3443"/>
      <c r="T472" s="3443"/>
      <c r="U472" s="3443"/>
      <c r="V472" s="3443"/>
      <c r="W472" s="3522" t="s">
        <v>1809</v>
      </c>
      <c r="X472" s="3522"/>
      <c r="Y472" s="3522"/>
    </row>
    <row r="473" spans="1:25" ht="29.25" hidden="1" thickBot="1">
      <c r="A473" s="3590" t="s">
        <v>132</v>
      </c>
      <c r="B473" s="3595">
        <v>45744</v>
      </c>
      <c r="C473" s="3355" t="s">
        <v>814</v>
      </c>
      <c r="D473" s="3520" t="s">
        <v>957</v>
      </c>
      <c r="E473" s="3447" t="s">
        <v>1810</v>
      </c>
      <c r="F473" s="3447" t="s">
        <v>1811</v>
      </c>
      <c r="G473" s="4712" t="s">
        <v>1768</v>
      </c>
      <c r="H473" s="4712" t="s">
        <v>1768</v>
      </c>
      <c r="I473" s="4712"/>
      <c r="J473" s="3447" t="s">
        <v>274</v>
      </c>
      <c r="K473" s="3608" t="s">
        <v>84</v>
      </c>
      <c r="L473" s="3447" t="s">
        <v>30</v>
      </c>
      <c r="M473" s="3447"/>
      <c r="N473" s="3447"/>
      <c r="O473" s="3447"/>
      <c r="P473" s="3447"/>
      <c r="Q473" s="3447"/>
      <c r="R473" s="3447"/>
      <c r="S473" s="3447"/>
      <c r="T473" s="3447"/>
      <c r="U473" s="3447"/>
      <c r="V473" s="3447"/>
      <c r="W473" s="3547"/>
      <c r="X473" s="3547"/>
      <c r="Y473" s="3522"/>
    </row>
    <row r="474" spans="1:25" ht="57.75" thickBot="1">
      <c r="A474" s="3590" t="s">
        <v>132</v>
      </c>
      <c r="B474" s="3591">
        <v>45744</v>
      </c>
      <c r="C474" s="3355" t="s">
        <v>814</v>
      </c>
      <c r="D474" s="3513" t="s">
        <v>960</v>
      </c>
      <c r="E474" s="3443" t="s">
        <v>264</v>
      </c>
      <c r="F474" s="3443" t="s">
        <v>306</v>
      </c>
      <c r="G474" s="4681" t="s">
        <v>1199</v>
      </c>
      <c r="H474" s="4696" t="s">
        <v>1812</v>
      </c>
      <c r="I474" s="2849">
        <v>705</v>
      </c>
      <c r="J474" s="3443" t="s">
        <v>1813</v>
      </c>
      <c r="K474" s="3511" t="s">
        <v>84</v>
      </c>
      <c r="L474" s="3447"/>
      <c r="M474" s="3443"/>
      <c r="N474" s="3447" t="s">
        <v>37</v>
      </c>
      <c r="O474" s="3443"/>
      <c r="P474" s="3503"/>
      <c r="Q474" s="3503"/>
      <c r="R474" s="3503"/>
      <c r="S474" s="3443"/>
      <c r="T474" s="3443"/>
      <c r="U474" s="3443"/>
      <c r="V474" s="3443"/>
      <c r="W474" s="3507" t="s">
        <v>1814</v>
      </c>
      <c r="X474" s="3507"/>
      <c r="Y474" s="3547"/>
    </row>
    <row r="475" spans="1:25" ht="29.25" hidden="1" thickBot="1">
      <c r="A475" s="3494" t="s">
        <v>132</v>
      </c>
      <c r="B475" s="3448">
        <v>45744</v>
      </c>
      <c r="C475" s="3355" t="s">
        <v>814</v>
      </c>
      <c r="D475" s="3520" t="s">
        <v>962</v>
      </c>
      <c r="E475" s="3447" t="s">
        <v>169</v>
      </c>
      <c r="F475" s="3586" t="s">
        <v>1815</v>
      </c>
      <c r="G475" s="3573" t="s">
        <v>1206</v>
      </c>
      <c r="H475" s="3596" t="s">
        <v>1206</v>
      </c>
      <c r="I475" s="3523"/>
      <c r="J475" s="3534" t="s">
        <v>824</v>
      </c>
      <c r="K475" s="3443"/>
      <c r="L475" s="3443"/>
      <c r="M475" s="3443"/>
      <c r="N475" s="3443" t="s">
        <v>37</v>
      </c>
      <c r="O475" s="3443"/>
      <c r="P475" s="3443"/>
      <c r="Q475" s="3443"/>
      <c r="R475" s="3443"/>
      <c r="S475" s="3443"/>
      <c r="T475" s="3443"/>
      <c r="U475" s="3443"/>
      <c r="V475" s="3443"/>
      <c r="W475" s="3507" t="s">
        <v>1816</v>
      </c>
      <c r="X475" s="3507"/>
      <c r="Y475" s="3507"/>
    </row>
    <row r="476" spans="1:25" ht="57" hidden="1">
      <c r="A476" s="3477" t="s">
        <v>132</v>
      </c>
      <c r="B476" s="3478">
        <v>45744</v>
      </c>
      <c r="C476" s="3165" t="s">
        <v>814</v>
      </c>
      <c r="D476" s="3513" t="s">
        <v>963</v>
      </c>
      <c r="E476" s="3503" t="s">
        <v>264</v>
      </c>
      <c r="F476" s="3528" t="s">
        <v>1817</v>
      </c>
      <c r="G476" s="3543" t="s">
        <v>1206</v>
      </c>
      <c r="H476" s="3543" t="s">
        <v>1206</v>
      </c>
      <c r="I476" s="4927"/>
      <c r="J476" s="3530" t="s">
        <v>1813</v>
      </c>
      <c r="K476" s="3511" t="s">
        <v>84</v>
      </c>
      <c r="L476" s="3503"/>
      <c r="M476" s="3503" t="s">
        <v>30</v>
      </c>
      <c r="N476" s="3503"/>
      <c r="O476" s="3443"/>
      <c r="P476" s="21" t="s">
        <v>122</v>
      </c>
      <c r="Q476" s="21" t="s">
        <v>122</v>
      </c>
      <c r="R476" s="21" t="s">
        <v>160</v>
      </c>
      <c r="S476" s="3443"/>
      <c r="T476" s="3443"/>
      <c r="U476" s="3443"/>
      <c r="V476" s="3443"/>
      <c r="W476" s="3521" t="s">
        <v>1818</v>
      </c>
      <c r="X476" s="3443"/>
      <c r="Y476" s="3507"/>
    </row>
    <row r="477" spans="1:25" ht="28.5" hidden="1">
      <c r="A477" s="3480" t="s">
        <v>143</v>
      </c>
      <c r="B477" s="3444">
        <v>45745</v>
      </c>
      <c r="C477" s="3165" t="s">
        <v>814</v>
      </c>
      <c r="D477" s="4399" t="s">
        <v>963</v>
      </c>
      <c r="E477" s="3443" t="s">
        <v>1239</v>
      </c>
      <c r="F477" s="3531" t="s">
        <v>537</v>
      </c>
      <c r="G477" s="3543" t="s">
        <v>1206</v>
      </c>
      <c r="H477" s="3543" t="s">
        <v>1206</v>
      </c>
      <c r="I477" s="3516"/>
      <c r="J477" s="3534"/>
      <c r="K477" s="3443"/>
      <c r="L477" s="3443" t="s">
        <v>30</v>
      </c>
      <c r="M477" s="3443"/>
      <c r="N477" s="3443"/>
      <c r="O477" s="3443"/>
      <c r="P477" s="3443"/>
      <c r="Q477" s="3443"/>
      <c r="R477" s="3443"/>
      <c r="S477" s="3443"/>
      <c r="T477" s="3443"/>
      <c r="U477" s="3443"/>
      <c r="V477" s="3443"/>
      <c r="W477" s="3516"/>
      <c r="X477" s="3443"/>
      <c r="Y477" s="3507"/>
    </row>
    <row r="478" spans="1:25" ht="28.5" hidden="1">
      <c r="A478" s="3480" t="s">
        <v>25</v>
      </c>
      <c r="B478" s="3444">
        <v>45747</v>
      </c>
      <c r="C478" s="3165" t="s">
        <v>882</v>
      </c>
      <c r="D478" s="4399" t="s">
        <v>965</v>
      </c>
      <c r="E478" s="3443" t="s">
        <v>1819</v>
      </c>
      <c r="F478" s="3531" t="s">
        <v>1806</v>
      </c>
      <c r="I478" s="3516">
        <v>709</v>
      </c>
      <c r="J478" s="3534" t="s">
        <v>1820</v>
      </c>
      <c r="K478" s="3443"/>
      <c r="L478" s="3443" t="s">
        <v>37</v>
      </c>
      <c r="M478" s="3443"/>
      <c r="N478" s="3443"/>
      <c r="W478" s="3522"/>
    </row>
    <row r="479" spans="1:25" ht="28.5" hidden="1">
      <c r="A479" s="3480" t="s">
        <v>25</v>
      </c>
      <c r="B479" s="3444">
        <v>45747</v>
      </c>
      <c r="C479" s="3165" t="s">
        <v>882</v>
      </c>
      <c r="D479" s="4399" t="s">
        <v>968</v>
      </c>
      <c r="E479" s="3443" t="s">
        <v>1698</v>
      </c>
      <c r="F479" s="3531" t="s">
        <v>337</v>
      </c>
      <c r="I479" s="3516">
        <v>707</v>
      </c>
      <c r="J479" s="3534">
        <v>600702</v>
      </c>
      <c r="K479" s="3443"/>
      <c r="L479" s="3443" t="s">
        <v>37</v>
      </c>
      <c r="M479" s="3443"/>
      <c r="N479" s="3443"/>
      <c r="O479" s="3160" t="s">
        <v>30</v>
      </c>
      <c r="W479" s="3522" t="s">
        <v>1821</v>
      </c>
    </row>
    <row r="480" spans="1:25" ht="28.5" hidden="1">
      <c r="A480" s="3480" t="s">
        <v>25</v>
      </c>
      <c r="B480" s="3444">
        <v>45747</v>
      </c>
      <c r="C480" s="3165" t="s">
        <v>882</v>
      </c>
      <c r="D480" s="4399" t="s">
        <v>970</v>
      </c>
      <c r="E480" s="3443" t="s">
        <v>337</v>
      </c>
      <c r="F480" s="3531" t="s">
        <v>80</v>
      </c>
      <c r="I480" s="3516">
        <v>707</v>
      </c>
      <c r="J480" s="3534" t="s">
        <v>1822</v>
      </c>
      <c r="K480" s="3443"/>
      <c r="L480" s="3443" t="s">
        <v>37</v>
      </c>
      <c r="M480" s="3443"/>
      <c r="N480" s="3443"/>
      <c r="O480" s="3160" t="s">
        <v>30</v>
      </c>
      <c r="W480" s="3522"/>
    </row>
    <row r="481" spans="1:23" ht="28.5" hidden="1">
      <c r="A481" s="3480" t="s">
        <v>25</v>
      </c>
      <c r="B481" s="3444">
        <v>45747</v>
      </c>
      <c r="C481" s="3165" t="s">
        <v>882</v>
      </c>
      <c r="D481" s="4399" t="s">
        <v>972</v>
      </c>
      <c r="E481" s="3443" t="s">
        <v>1598</v>
      </c>
      <c r="F481" s="3531" t="s">
        <v>339</v>
      </c>
      <c r="I481" s="3516">
        <v>707</v>
      </c>
      <c r="J481" s="3534">
        <v>60093</v>
      </c>
      <c r="K481" s="3443"/>
      <c r="L481" s="3443" t="s">
        <v>37</v>
      </c>
      <c r="M481" s="3443"/>
      <c r="N481" s="3443"/>
      <c r="W481" s="3522"/>
    </row>
    <row r="482" spans="1:23" ht="28.5" hidden="1">
      <c r="A482" s="3480" t="s">
        <v>25</v>
      </c>
      <c r="B482" s="3444">
        <v>45747</v>
      </c>
      <c r="C482" s="3165" t="s">
        <v>882</v>
      </c>
      <c r="D482" s="4399" t="s">
        <v>975</v>
      </c>
      <c r="E482" s="3443" t="s">
        <v>306</v>
      </c>
      <c r="F482" s="3531" t="s">
        <v>1052</v>
      </c>
      <c r="I482" s="3443">
        <v>704</v>
      </c>
      <c r="J482" s="3534">
        <v>1544</v>
      </c>
      <c r="K482" s="3511" t="s">
        <v>84</v>
      </c>
      <c r="L482" s="3443" t="s">
        <v>37</v>
      </c>
      <c r="M482" s="3443"/>
      <c r="N482" s="3443"/>
      <c r="P482" s="3281"/>
      <c r="Q482" s="3281"/>
      <c r="R482" s="3281"/>
      <c r="W482" s="3522"/>
    </row>
    <row r="483" spans="1:23" ht="28.5" hidden="1">
      <c r="A483" s="3480" t="s">
        <v>25</v>
      </c>
      <c r="B483" s="3444">
        <v>45747</v>
      </c>
      <c r="C483" s="3165" t="s">
        <v>882</v>
      </c>
      <c r="D483" s="4399" t="s">
        <v>976</v>
      </c>
      <c r="E483" s="3443" t="s">
        <v>1733</v>
      </c>
      <c r="F483" s="3531" t="s">
        <v>1823</v>
      </c>
      <c r="I483" s="3516">
        <v>706</v>
      </c>
      <c r="J483" s="3534" t="s">
        <v>1824</v>
      </c>
      <c r="K483" s="3443"/>
      <c r="L483" s="3443" t="s">
        <v>37</v>
      </c>
      <c r="M483" s="3443"/>
      <c r="N483" s="3443"/>
      <c r="W483" s="3522"/>
    </row>
    <row r="484" spans="1:23" ht="85.5" hidden="1">
      <c r="A484" s="3480" t="s">
        <v>25</v>
      </c>
      <c r="B484" s="3611">
        <v>45747</v>
      </c>
      <c r="C484" s="3165" t="s">
        <v>882</v>
      </c>
      <c r="D484" s="4399" t="s">
        <v>978</v>
      </c>
      <c r="E484" s="3443" t="s">
        <v>1810</v>
      </c>
      <c r="F484" s="3531" t="s">
        <v>1825</v>
      </c>
      <c r="I484" s="3516">
        <v>712</v>
      </c>
      <c r="J484" s="3534" t="s">
        <v>1826</v>
      </c>
      <c r="K484" s="3511" t="s">
        <v>84</v>
      </c>
      <c r="L484" s="3443"/>
      <c r="M484" s="3443" t="s">
        <v>37</v>
      </c>
      <c r="N484" s="3443"/>
      <c r="P484" s="21" t="s">
        <v>122</v>
      </c>
      <c r="Q484" s="21" t="s">
        <v>123</v>
      </c>
      <c r="R484" s="21" t="s">
        <v>1155</v>
      </c>
      <c r="W484" s="3522" t="s">
        <v>1827</v>
      </c>
    </row>
    <row r="485" spans="1:23" ht="28.5" hidden="1">
      <c r="A485" s="3480" t="s">
        <v>25</v>
      </c>
      <c r="B485" s="3611">
        <v>45747</v>
      </c>
      <c r="C485" s="3165" t="s">
        <v>882</v>
      </c>
      <c r="D485" s="4399" t="s">
        <v>980</v>
      </c>
      <c r="E485" s="3443" t="s">
        <v>537</v>
      </c>
      <c r="F485" s="3531" t="s">
        <v>1828</v>
      </c>
      <c r="I485" s="3443">
        <v>708</v>
      </c>
      <c r="J485" s="3534" t="s">
        <v>1829</v>
      </c>
      <c r="K485" s="3443"/>
      <c r="L485" s="3443" t="s">
        <v>37</v>
      </c>
      <c r="M485" s="3443"/>
      <c r="N485" s="3443"/>
      <c r="W485" s="3522"/>
    </row>
    <row r="486" spans="1:23" ht="28.5" hidden="1">
      <c r="A486" s="3480" t="s">
        <v>25</v>
      </c>
      <c r="B486" s="3611">
        <v>45747</v>
      </c>
      <c r="C486" s="3165" t="s">
        <v>882</v>
      </c>
      <c r="D486" s="4399"/>
      <c r="E486" s="3443" t="s">
        <v>152</v>
      </c>
      <c r="F486" s="3531" t="s">
        <v>1830</v>
      </c>
      <c r="I486" s="3516">
        <v>708</v>
      </c>
      <c r="J486" s="3534" t="s">
        <v>1730</v>
      </c>
      <c r="K486" s="3443"/>
      <c r="L486" s="3443" t="s">
        <v>37</v>
      </c>
      <c r="M486" s="3443"/>
      <c r="N486" s="3443"/>
      <c r="W486" s="3522"/>
    </row>
    <row r="487" spans="1:23" ht="28.5" hidden="1">
      <c r="A487" s="3480" t="s">
        <v>25</v>
      </c>
      <c r="B487" s="3611">
        <v>45747</v>
      </c>
      <c r="C487" s="3165" t="s">
        <v>882</v>
      </c>
      <c r="D487" s="4399" t="s">
        <v>981</v>
      </c>
      <c r="E487" s="3443" t="s">
        <v>1819</v>
      </c>
      <c r="F487" s="3531" t="s">
        <v>1698</v>
      </c>
      <c r="I487" s="3480">
        <v>712</v>
      </c>
      <c r="J487" s="3534" t="s">
        <v>1831</v>
      </c>
      <c r="K487" s="3443"/>
      <c r="L487" s="3443" t="s">
        <v>37</v>
      </c>
      <c r="M487" s="3443"/>
      <c r="N487" s="3443"/>
      <c r="W487" s="3522"/>
    </row>
    <row r="488" spans="1:23" ht="29.25" hidden="1" thickBot="1">
      <c r="A488" s="3494" t="s">
        <v>25</v>
      </c>
      <c r="B488" s="3612">
        <v>45747</v>
      </c>
      <c r="C488" s="3165" t="s">
        <v>882</v>
      </c>
      <c r="D488" s="4400" t="s">
        <v>982</v>
      </c>
      <c r="E488" s="3447" t="s">
        <v>339</v>
      </c>
      <c r="F488" s="3586" t="s">
        <v>1698</v>
      </c>
      <c r="I488" s="3480">
        <v>705</v>
      </c>
      <c r="J488" s="3546" t="s">
        <v>1832</v>
      </c>
      <c r="K488" s="3608" t="s">
        <v>174</v>
      </c>
      <c r="L488" s="3447" t="s">
        <v>37</v>
      </c>
      <c r="M488" s="3447"/>
      <c r="N488" s="3447"/>
      <c r="W488" s="3547"/>
    </row>
    <row r="489" spans="1:23" ht="28.5" hidden="1">
      <c r="A489" s="3480" t="s">
        <v>25</v>
      </c>
      <c r="B489" s="3611">
        <v>45747</v>
      </c>
      <c r="C489" s="3165" t="s">
        <v>882</v>
      </c>
      <c r="D489" s="4399" t="s">
        <v>985</v>
      </c>
      <c r="E489" s="3443" t="s">
        <v>1464</v>
      </c>
      <c r="F489" s="3531" t="s">
        <v>1465</v>
      </c>
      <c r="I489" s="3516">
        <v>701</v>
      </c>
      <c r="J489" s="3534"/>
      <c r="K489" s="3443"/>
      <c r="L489" s="3443" t="s">
        <v>30</v>
      </c>
      <c r="M489" s="3443"/>
      <c r="N489" s="3443"/>
      <c r="W489" s="3522"/>
    </row>
    <row r="490" spans="1:23" ht="28.5" hidden="1">
      <c r="A490" s="3480" t="s">
        <v>25</v>
      </c>
      <c r="B490" s="3611">
        <v>45747</v>
      </c>
      <c r="C490" s="3165" t="s">
        <v>882</v>
      </c>
      <c r="D490" s="4399"/>
      <c r="E490" s="3443" t="s">
        <v>1465</v>
      </c>
      <c r="F490" s="3531" t="s">
        <v>1464</v>
      </c>
      <c r="I490" s="3443">
        <v>701</v>
      </c>
      <c r="J490" s="3534"/>
      <c r="K490" s="3443"/>
      <c r="L490" s="3443" t="s">
        <v>37</v>
      </c>
      <c r="M490" s="3443"/>
      <c r="N490" s="3443"/>
      <c r="P490" s="3281"/>
      <c r="Q490" s="3281"/>
      <c r="R490" s="3281"/>
      <c r="W490" s="3522"/>
    </row>
    <row r="491" spans="1:23" ht="28.5" hidden="1">
      <c r="A491" s="3480" t="s">
        <v>67</v>
      </c>
      <c r="B491" s="3611">
        <v>45748</v>
      </c>
      <c r="C491" s="3165" t="s">
        <v>882</v>
      </c>
      <c r="D491" s="4399"/>
      <c r="E491" s="3443" t="s">
        <v>258</v>
      </c>
      <c r="F491" s="3531" t="s">
        <v>1833</v>
      </c>
      <c r="I491" s="3516">
        <v>704</v>
      </c>
      <c r="J491" s="3534">
        <v>1544</v>
      </c>
      <c r="K491" s="3443"/>
      <c r="L491" s="3443" t="s">
        <v>37</v>
      </c>
      <c r="M491" s="3443"/>
      <c r="N491" s="3443"/>
      <c r="W491" s="3522"/>
    </row>
    <row r="492" spans="1:23" ht="28.5" hidden="1">
      <c r="A492" s="3480" t="s">
        <v>67</v>
      </c>
      <c r="B492" s="3611">
        <v>45748</v>
      </c>
      <c r="C492" s="3165" t="s">
        <v>882</v>
      </c>
      <c r="D492" s="4399"/>
      <c r="E492" s="3443" t="s">
        <v>1198</v>
      </c>
      <c r="F492" s="3531" t="s">
        <v>1834</v>
      </c>
      <c r="I492" s="3516">
        <v>712</v>
      </c>
      <c r="J492" s="3534" t="s">
        <v>1826</v>
      </c>
      <c r="K492" s="3511" t="s">
        <v>84</v>
      </c>
      <c r="L492" s="3443"/>
      <c r="M492" s="3443"/>
      <c r="N492" s="3443" t="s">
        <v>30</v>
      </c>
      <c r="P492" s="21" t="s">
        <v>122</v>
      </c>
      <c r="Q492" s="21" t="s">
        <v>123</v>
      </c>
      <c r="R492" s="21" t="s">
        <v>1155</v>
      </c>
      <c r="W492" s="3522" t="s">
        <v>1835</v>
      </c>
    </row>
    <row r="493" spans="1:23" ht="28.5" hidden="1">
      <c r="A493" s="3480" t="s">
        <v>67</v>
      </c>
      <c r="B493" s="3444">
        <v>45748</v>
      </c>
      <c r="C493" s="3165" t="s">
        <v>882</v>
      </c>
      <c r="D493" s="4399" t="s">
        <v>987</v>
      </c>
      <c r="E493" s="3443" t="s">
        <v>537</v>
      </c>
      <c r="F493" s="3531" t="s">
        <v>1836</v>
      </c>
      <c r="I493" s="3516">
        <v>708</v>
      </c>
      <c r="J493" s="3534">
        <v>1118</v>
      </c>
      <c r="K493" s="3443"/>
      <c r="L493" s="3443" t="s">
        <v>37</v>
      </c>
      <c r="M493" s="3443"/>
      <c r="N493" s="3443"/>
      <c r="W493" s="3522"/>
    </row>
    <row r="494" spans="1:23" ht="28.5" hidden="1">
      <c r="A494" s="3480" t="s">
        <v>67</v>
      </c>
      <c r="B494" s="3444">
        <v>45748</v>
      </c>
      <c r="C494" s="3165" t="s">
        <v>882</v>
      </c>
      <c r="D494" s="4399" t="s">
        <v>988</v>
      </c>
      <c r="E494" s="3443" t="s">
        <v>1836</v>
      </c>
      <c r="F494" s="3531" t="s">
        <v>1837</v>
      </c>
      <c r="I494" s="3516">
        <v>708</v>
      </c>
      <c r="J494" s="3534">
        <v>1118</v>
      </c>
      <c r="K494" s="3443"/>
      <c r="L494" s="3443" t="s">
        <v>37</v>
      </c>
      <c r="M494" s="3443"/>
      <c r="N494" s="3443"/>
      <c r="W494" s="3522"/>
    </row>
    <row r="495" spans="1:23" ht="28.5" hidden="1">
      <c r="A495" s="3480" t="s">
        <v>67</v>
      </c>
      <c r="B495" s="3444">
        <v>45748</v>
      </c>
      <c r="C495" s="3165" t="s">
        <v>882</v>
      </c>
      <c r="D495" s="4399" t="s">
        <v>989</v>
      </c>
      <c r="E495" s="3443" t="s">
        <v>80</v>
      </c>
      <c r="F495" s="3531" t="s">
        <v>1838</v>
      </c>
      <c r="I495" s="3480">
        <v>705</v>
      </c>
      <c r="J495" s="3534">
        <v>60072</v>
      </c>
      <c r="K495" s="3443"/>
      <c r="L495" s="3443" t="s">
        <v>37</v>
      </c>
      <c r="M495" s="3443"/>
      <c r="N495" s="3443"/>
      <c r="W495" s="3522"/>
    </row>
    <row r="496" spans="1:23" ht="29.25" hidden="1" thickBot="1">
      <c r="A496" s="3494" t="s">
        <v>67</v>
      </c>
      <c r="B496" s="3448">
        <v>45748</v>
      </c>
      <c r="C496" s="3165" t="s">
        <v>882</v>
      </c>
      <c r="D496" s="4400" t="s">
        <v>991</v>
      </c>
      <c r="E496" s="3447" t="s">
        <v>1091</v>
      </c>
      <c r="F496" s="3586" t="s">
        <v>296</v>
      </c>
      <c r="I496" s="3480">
        <v>706</v>
      </c>
      <c r="J496" s="3546" t="s">
        <v>1839</v>
      </c>
      <c r="K496" s="3447"/>
      <c r="L496" s="3447" t="s">
        <v>37</v>
      </c>
      <c r="M496" s="3447"/>
      <c r="N496" s="3447"/>
      <c r="W496" s="3547"/>
    </row>
    <row r="497" spans="1:23" ht="28.5" hidden="1">
      <c r="A497" s="3493" t="s">
        <v>67</v>
      </c>
      <c r="B497" s="3457">
        <v>45748</v>
      </c>
      <c r="C497" s="3165" t="s">
        <v>882</v>
      </c>
      <c r="D497" s="3513" t="s">
        <v>993</v>
      </c>
      <c r="E497" s="3456" t="s">
        <v>1464</v>
      </c>
      <c r="F497" s="3599" t="s">
        <v>1465</v>
      </c>
      <c r="I497" s="3443">
        <v>701</v>
      </c>
      <c r="J497" s="3605"/>
      <c r="K497" s="3456"/>
      <c r="L497" s="3456" t="s">
        <v>37</v>
      </c>
      <c r="M497" s="3456"/>
      <c r="N497" s="3456"/>
      <c r="W497" s="3609"/>
    </row>
    <row r="498" spans="1:23" ht="28.5" hidden="1">
      <c r="A498" s="3480" t="s">
        <v>67</v>
      </c>
      <c r="B498" s="3444">
        <v>45748</v>
      </c>
      <c r="C498" s="3165" t="s">
        <v>882</v>
      </c>
      <c r="D498" s="4399"/>
      <c r="E498" s="3443" t="s">
        <v>1465</v>
      </c>
      <c r="F498" s="3531" t="s">
        <v>1464</v>
      </c>
      <c r="I498" s="3516">
        <v>701</v>
      </c>
      <c r="J498" s="3534"/>
      <c r="K498" s="3443"/>
      <c r="L498" s="3443" t="s">
        <v>37</v>
      </c>
      <c r="M498" s="3443"/>
      <c r="N498" s="3443"/>
      <c r="P498" s="3281"/>
      <c r="Q498" s="3281"/>
      <c r="R498" s="3281"/>
      <c r="W498" s="3522"/>
    </row>
    <row r="499" spans="1:23" ht="28.5" hidden="1">
      <c r="A499" s="3480" t="s">
        <v>85</v>
      </c>
      <c r="B499" s="3444">
        <v>45749</v>
      </c>
      <c r="C499" s="3165" t="s">
        <v>882</v>
      </c>
      <c r="D499" s="4401" t="s">
        <v>995</v>
      </c>
      <c r="E499" s="3531" t="s">
        <v>204</v>
      </c>
      <c r="F499" s="3531" t="s">
        <v>148</v>
      </c>
      <c r="I499" s="3516">
        <v>712</v>
      </c>
      <c r="J499" s="3534">
        <v>1486</v>
      </c>
      <c r="K499" s="3443"/>
      <c r="L499" s="3443" t="s">
        <v>37</v>
      </c>
      <c r="M499" s="3443"/>
      <c r="N499" s="3443"/>
      <c r="P499" s="3281"/>
      <c r="Q499" s="3281"/>
      <c r="R499" s="3281"/>
      <c r="W499" s="3522"/>
    </row>
    <row r="500" spans="1:23" ht="57" hidden="1">
      <c r="A500" s="3480" t="s">
        <v>85</v>
      </c>
      <c r="B500" s="3444">
        <v>45749</v>
      </c>
      <c r="C500" s="3165" t="s">
        <v>882</v>
      </c>
      <c r="D500" s="4399" t="s">
        <v>998</v>
      </c>
      <c r="E500" s="3443" t="s">
        <v>1740</v>
      </c>
      <c r="F500" s="3531" t="s">
        <v>183</v>
      </c>
      <c r="I500" s="3516">
        <v>704</v>
      </c>
      <c r="J500" s="3534" t="s">
        <v>1840</v>
      </c>
      <c r="K500" s="3443"/>
      <c r="L500" s="3443"/>
      <c r="M500" s="3443" t="s">
        <v>37</v>
      </c>
      <c r="N500" s="3443"/>
      <c r="P500" s="34" t="s">
        <v>231</v>
      </c>
      <c r="Q500" s="34" t="s">
        <v>232</v>
      </c>
      <c r="R500" s="34" t="s">
        <v>1061</v>
      </c>
      <c r="W500" s="3613" t="s">
        <v>1841</v>
      </c>
    </row>
    <row r="501" spans="1:23" ht="57" hidden="1">
      <c r="A501" s="3480" t="s">
        <v>85</v>
      </c>
      <c r="B501" s="3444">
        <v>45749</v>
      </c>
      <c r="C501" s="3165" t="s">
        <v>882</v>
      </c>
      <c r="D501" s="4399"/>
      <c r="E501" s="3443" t="s">
        <v>169</v>
      </c>
      <c r="F501" s="3531" t="s">
        <v>389</v>
      </c>
      <c r="I501" s="3443"/>
      <c r="J501" s="3534" t="s">
        <v>1060</v>
      </c>
      <c r="K501" s="3443"/>
      <c r="L501" s="3443"/>
      <c r="M501" s="3443"/>
      <c r="N501" s="3443" t="s">
        <v>30</v>
      </c>
      <c r="P501" s="21" t="s">
        <v>231</v>
      </c>
      <c r="Q501" s="21" t="s">
        <v>232</v>
      </c>
      <c r="R501" s="21" t="s">
        <v>1061</v>
      </c>
      <c r="W501" s="3522" t="s">
        <v>1842</v>
      </c>
    </row>
    <row r="502" spans="1:23" ht="57" hidden="1">
      <c r="A502" s="3480" t="s">
        <v>85</v>
      </c>
      <c r="B502" s="3444">
        <v>45749</v>
      </c>
      <c r="C502" s="3165" t="s">
        <v>882</v>
      </c>
      <c r="D502" s="4399" t="s">
        <v>999</v>
      </c>
      <c r="E502" s="3443" t="s">
        <v>296</v>
      </c>
      <c r="F502" s="3531" t="s">
        <v>537</v>
      </c>
      <c r="I502" s="3480">
        <v>706</v>
      </c>
      <c r="J502" s="3534" t="s">
        <v>1843</v>
      </c>
      <c r="K502" s="3443"/>
      <c r="L502" s="3443"/>
      <c r="M502" s="3443" t="s">
        <v>37</v>
      </c>
      <c r="N502" s="3443"/>
      <c r="P502" s="21" t="s">
        <v>109</v>
      </c>
      <c r="Q502" s="21" t="s">
        <v>1589</v>
      </c>
      <c r="R502" s="21" t="s">
        <v>1107</v>
      </c>
      <c r="W502" s="3522" t="s">
        <v>1844</v>
      </c>
    </row>
    <row r="503" spans="1:23" ht="29.25" hidden="1" thickBot="1">
      <c r="A503" s="3494" t="s">
        <v>85</v>
      </c>
      <c r="B503" s="3448">
        <v>45749</v>
      </c>
      <c r="C503" s="3165" t="s">
        <v>882</v>
      </c>
      <c r="D503" s="4400" t="s">
        <v>1002</v>
      </c>
      <c r="E503" s="3447" t="s">
        <v>1810</v>
      </c>
      <c r="F503" s="3586" t="s">
        <v>1845</v>
      </c>
      <c r="I503" s="3480">
        <v>712</v>
      </c>
      <c r="J503" s="3546" t="s">
        <v>1843</v>
      </c>
      <c r="K503" s="3608" t="s">
        <v>84</v>
      </c>
      <c r="L503" s="3447" t="s">
        <v>37</v>
      </c>
      <c r="M503" s="3447"/>
      <c r="N503" s="3447" t="s">
        <v>37</v>
      </c>
      <c r="W503" s="3547"/>
    </row>
    <row r="504" spans="1:23" ht="28.5" hidden="1">
      <c r="A504" s="3493" t="s">
        <v>85</v>
      </c>
      <c r="B504" s="3457">
        <v>45749</v>
      </c>
      <c r="C504" s="3165" t="s">
        <v>882</v>
      </c>
      <c r="D504" s="3513" t="s">
        <v>1003</v>
      </c>
      <c r="E504" s="3456" t="s">
        <v>1464</v>
      </c>
      <c r="F504" s="3599" t="s">
        <v>1465</v>
      </c>
      <c r="I504" s="3443">
        <v>701</v>
      </c>
      <c r="J504" s="3605"/>
      <c r="K504" s="3443"/>
      <c r="L504" s="3456" t="s">
        <v>37</v>
      </c>
      <c r="M504" s="3456"/>
      <c r="N504" s="3456"/>
      <c r="W504" s="3609"/>
    </row>
    <row r="505" spans="1:23" ht="28.5" hidden="1">
      <c r="A505" s="3480" t="s">
        <v>85</v>
      </c>
      <c r="B505" s="3444">
        <v>45749</v>
      </c>
      <c r="C505" s="3165" t="s">
        <v>882</v>
      </c>
      <c r="D505" s="4399"/>
      <c r="E505" s="3443" t="s">
        <v>1465</v>
      </c>
      <c r="F505" s="3531" t="s">
        <v>1464</v>
      </c>
      <c r="I505" s="3480">
        <v>701</v>
      </c>
      <c r="J505" s="3534"/>
      <c r="K505" s="3443"/>
      <c r="L505" s="3443" t="s">
        <v>37</v>
      </c>
      <c r="M505" s="3443"/>
      <c r="N505" s="3443"/>
      <c r="P505" s="3281"/>
      <c r="Q505" s="3281"/>
      <c r="R505" s="3281"/>
      <c r="W505" s="3522"/>
    </row>
    <row r="506" spans="1:23" ht="28.5" hidden="1">
      <c r="A506" s="3480" t="s">
        <v>105</v>
      </c>
      <c r="B506" s="3444">
        <v>45750</v>
      </c>
      <c r="C506" s="3165" t="s">
        <v>882</v>
      </c>
      <c r="D506" s="4399" t="s">
        <v>1004</v>
      </c>
      <c r="E506" s="3443" t="s">
        <v>169</v>
      </c>
      <c r="F506" s="3531" t="s">
        <v>1065</v>
      </c>
      <c r="I506" s="3480">
        <v>712</v>
      </c>
      <c r="J506" s="3534" t="s">
        <v>1846</v>
      </c>
      <c r="K506" s="3511" t="s">
        <v>174</v>
      </c>
      <c r="L506" s="3443" t="s">
        <v>37</v>
      </c>
      <c r="M506" s="3443"/>
      <c r="N506" s="3443"/>
      <c r="P506" s="3281"/>
      <c r="Q506" s="3281"/>
      <c r="R506" s="3281"/>
      <c r="W506" s="3522"/>
    </row>
    <row r="507" spans="1:23" ht="57" hidden="1">
      <c r="A507" s="3480" t="s">
        <v>105</v>
      </c>
      <c r="B507" s="3444">
        <v>45750</v>
      </c>
      <c r="C507" s="3165" t="s">
        <v>882</v>
      </c>
      <c r="D507" s="4399" t="s">
        <v>1004</v>
      </c>
      <c r="E507" s="3443" t="s">
        <v>1464</v>
      </c>
      <c r="F507" s="3531" t="s">
        <v>1465</v>
      </c>
      <c r="I507" s="3443">
        <v>701</v>
      </c>
      <c r="J507" s="3534"/>
      <c r="K507" s="3443"/>
      <c r="L507" s="3443"/>
      <c r="M507" s="3443" t="s">
        <v>37</v>
      </c>
      <c r="N507" s="3443"/>
      <c r="P507" s="34" t="s">
        <v>109</v>
      </c>
      <c r="Q507" s="34" t="s">
        <v>1847</v>
      </c>
      <c r="R507" s="34" t="s">
        <v>790</v>
      </c>
      <c r="W507" s="3522" t="s">
        <v>1848</v>
      </c>
    </row>
    <row r="508" spans="1:23" ht="28.5" hidden="1">
      <c r="A508" s="3480" t="s">
        <v>105</v>
      </c>
      <c r="B508" s="3444">
        <v>45750</v>
      </c>
      <c r="C508" s="3165" t="s">
        <v>882</v>
      </c>
      <c r="D508" s="4399"/>
      <c r="E508" s="3443" t="s">
        <v>1465</v>
      </c>
      <c r="F508" s="3531" t="s">
        <v>1464</v>
      </c>
      <c r="I508" s="3516">
        <v>701</v>
      </c>
      <c r="J508" s="3534"/>
      <c r="K508" s="3443"/>
      <c r="L508" s="3443"/>
      <c r="M508" s="3443"/>
      <c r="N508" s="3443" t="s">
        <v>30</v>
      </c>
      <c r="P508" s="21" t="s">
        <v>109</v>
      </c>
      <c r="Q508" s="21" t="s">
        <v>1847</v>
      </c>
      <c r="R508" s="21" t="s">
        <v>790</v>
      </c>
      <c r="W508" s="3522" t="s">
        <v>1849</v>
      </c>
    </row>
    <row r="509" spans="1:23" ht="57" hidden="1">
      <c r="A509" s="3480" t="s">
        <v>105</v>
      </c>
      <c r="B509" s="3444">
        <v>45750</v>
      </c>
      <c r="C509" s="3165" t="s">
        <v>882</v>
      </c>
      <c r="D509" s="4399" t="s">
        <v>1007</v>
      </c>
      <c r="E509" s="3443" t="s">
        <v>1198</v>
      </c>
      <c r="F509" s="3531" t="s">
        <v>1850</v>
      </c>
      <c r="I509" s="3516">
        <v>712</v>
      </c>
      <c r="J509" s="3534" t="s">
        <v>1826</v>
      </c>
      <c r="K509" s="3443"/>
      <c r="L509" s="3443"/>
      <c r="M509" s="3443" t="s">
        <v>37</v>
      </c>
      <c r="N509" s="3443" t="s">
        <v>30</v>
      </c>
      <c r="P509" s="21" t="s">
        <v>231</v>
      </c>
      <c r="Q509" s="21" t="s">
        <v>232</v>
      </c>
      <c r="R509" s="21" t="s">
        <v>1155</v>
      </c>
      <c r="W509" s="3522" t="s">
        <v>1851</v>
      </c>
    </row>
    <row r="510" spans="1:23" ht="28.5" hidden="1">
      <c r="A510" s="3480" t="s">
        <v>105</v>
      </c>
      <c r="B510" s="3444">
        <v>45750</v>
      </c>
      <c r="C510" s="3165" t="s">
        <v>882</v>
      </c>
      <c r="D510" s="4400" t="s">
        <v>1010</v>
      </c>
      <c r="E510" s="3462" t="s">
        <v>1740</v>
      </c>
      <c r="F510" s="3600" t="s">
        <v>183</v>
      </c>
      <c r="I510" s="3524">
        <v>705</v>
      </c>
      <c r="J510" s="3545" t="s">
        <v>1852</v>
      </c>
      <c r="K510" s="3443"/>
      <c r="L510" s="3462" t="s">
        <v>30</v>
      </c>
      <c r="M510" s="3462"/>
      <c r="N510" s="3462"/>
      <c r="W510" s="3544"/>
    </row>
    <row r="511" spans="1:23" ht="28.5" hidden="1">
      <c r="A511" s="3443" t="s">
        <v>105</v>
      </c>
      <c r="B511" s="3444">
        <v>45750</v>
      </c>
      <c r="C511" s="3165" t="s">
        <v>882</v>
      </c>
      <c r="D511" s="4399" t="s">
        <v>1013</v>
      </c>
      <c r="E511" s="3443" t="s">
        <v>537</v>
      </c>
      <c r="F511" s="3443" t="s">
        <v>106</v>
      </c>
      <c r="G511" s="3254"/>
      <c r="H511" s="3253"/>
      <c r="I511" s="3443">
        <v>705</v>
      </c>
      <c r="J511" s="3443"/>
      <c r="K511" s="3443"/>
      <c r="L511" s="3443" t="s">
        <v>37</v>
      </c>
      <c r="M511" s="3443"/>
      <c r="N511" s="3443"/>
      <c r="P511" s="3365"/>
      <c r="Q511" s="3281"/>
      <c r="R511" s="3281"/>
      <c r="W511" s="3544"/>
    </row>
    <row r="512" spans="1:23" ht="85.5" hidden="1">
      <c r="A512" s="3493" t="s">
        <v>105</v>
      </c>
      <c r="B512" s="3457">
        <v>45750</v>
      </c>
      <c r="C512" s="3355" t="s">
        <v>882</v>
      </c>
      <c r="D512" s="3513" t="s">
        <v>1016</v>
      </c>
      <c r="E512" s="3456" t="s">
        <v>537</v>
      </c>
      <c r="F512" s="3599" t="s">
        <v>1853</v>
      </c>
      <c r="I512" s="3603">
        <v>706</v>
      </c>
      <c r="J512" s="3605" t="s">
        <v>1854</v>
      </c>
      <c r="K512" s="3673" t="s">
        <v>1613</v>
      </c>
      <c r="L512" s="3456" t="s">
        <v>37</v>
      </c>
      <c r="M512" s="3456"/>
      <c r="N512" s="3456"/>
      <c r="O512" s="3276"/>
      <c r="W512" s="3609" t="s">
        <v>1855</v>
      </c>
    </row>
    <row r="513" spans="1:25" ht="28.5" hidden="1">
      <c r="A513" s="3480" t="s">
        <v>105</v>
      </c>
      <c r="B513" s="3444">
        <v>45750</v>
      </c>
      <c r="C513" s="3165" t="s">
        <v>882</v>
      </c>
      <c r="D513" s="4399" t="s">
        <v>1021</v>
      </c>
      <c r="E513" s="3443" t="s">
        <v>1598</v>
      </c>
      <c r="F513" s="3531" t="s">
        <v>1819</v>
      </c>
      <c r="I513" s="3516">
        <v>710</v>
      </c>
      <c r="J513" s="3534">
        <v>60020</v>
      </c>
      <c r="K513" s="3511" t="s">
        <v>84</v>
      </c>
      <c r="L513" s="3443"/>
      <c r="M513" s="3443" t="s">
        <v>37</v>
      </c>
      <c r="N513" s="3443"/>
      <c r="P513" s="34" t="s">
        <v>109</v>
      </c>
      <c r="Q513" s="34" t="s">
        <v>323</v>
      </c>
      <c r="R513" s="34" t="s">
        <v>38</v>
      </c>
      <c r="W513" s="3522" t="s">
        <v>1856</v>
      </c>
    </row>
    <row r="514" spans="1:25" ht="28.5" hidden="1">
      <c r="A514" s="3480" t="s">
        <v>1857</v>
      </c>
      <c r="B514" s="3444">
        <v>45751</v>
      </c>
      <c r="C514" s="3165" t="s">
        <v>882</v>
      </c>
      <c r="D514" s="4399" t="s">
        <v>1022</v>
      </c>
      <c r="E514" s="3443" t="s">
        <v>537</v>
      </c>
      <c r="F514" s="3531" t="s">
        <v>267</v>
      </c>
      <c r="I514" s="3480">
        <v>708</v>
      </c>
      <c r="J514" s="3534" t="s">
        <v>1383</v>
      </c>
      <c r="K514" s="3511" t="s">
        <v>84</v>
      </c>
      <c r="L514" s="3443" t="s">
        <v>37</v>
      </c>
      <c r="M514" s="3443"/>
      <c r="N514" s="3443"/>
      <c r="P514" s="3281"/>
      <c r="Q514" s="3281"/>
      <c r="R514" s="3281"/>
      <c r="W514" s="3522"/>
    </row>
    <row r="515" spans="1:25" ht="57" hidden="1">
      <c r="A515" s="3443" t="s">
        <v>1857</v>
      </c>
      <c r="B515" s="3444">
        <v>45751</v>
      </c>
      <c r="C515" s="3165" t="s">
        <v>882</v>
      </c>
      <c r="D515" s="4399" t="s">
        <v>1023</v>
      </c>
      <c r="E515" s="3443" t="s">
        <v>339</v>
      </c>
      <c r="F515" s="3443" t="s">
        <v>1838</v>
      </c>
      <c r="I515" s="3480">
        <v>705</v>
      </c>
      <c r="J515" s="3443">
        <v>60093</v>
      </c>
      <c r="K515" s="3443"/>
      <c r="L515" s="3443"/>
      <c r="M515" s="3443" t="s">
        <v>37</v>
      </c>
      <c r="N515" s="3443"/>
      <c r="P515" s="34" t="s">
        <v>122</v>
      </c>
      <c r="Q515" s="34" t="s">
        <v>110</v>
      </c>
      <c r="R515" s="34" t="s">
        <v>38</v>
      </c>
      <c r="W515" s="3522" t="s">
        <v>1858</v>
      </c>
    </row>
    <row r="516" spans="1:25" ht="57.75" hidden="1" thickBot="1">
      <c r="A516" s="3443" t="s">
        <v>1857</v>
      </c>
      <c r="B516" s="3444">
        <v>45751</v>
      </c>
      <c r="C516" s="3165" t="s">
        <v>882</v>
      </c>
      <c r="D516" s="4399" t="s">
        <v>1025</v>
      </c>
      <c r="E516" s="3443" t="s">
        <v>1464</v>
      </c>
      <c r="F516" s="3443" t="s">
        <v>1465</v>
      </c>
      <c r="I516" s="3443">
        <v>701</v>
      </c>
      <c r="J516" s="3443"/>
      <c r="K516" s="3447"/>
      <c r="L516" s="3447"/>
      <c r="M516" s="3447" t="s">
        <v>37</v>
      </c>
      <c r="N516" s="3447"/>
      <c r="P516" s="21" t="s">
        <v>109</v>
      </c>
      <c r="Q516" s="21" t="s">
        <v>1268</v>
      </c>
      <c r="R516" s="21" t="s">
        <v>790</v>
      </c>
      <c r="W516" s="3547" t="s">
        <v>1859</v>
      </c>
    </row>
    <row r="517" spans="1:25" ht="29.25" hidden="1" thickBot="1">
      <c r="A517" s="3481" t="s">
        <v>1857</v>
      </c>
      <c r="B517" s="3451">
        <v>45751</v>
      </c>
      <c r="C517" s="3165" t="s">
        <v>882</v>
      </c>
      <c r="D517" s="3520" t="s">
        <v>1028</v>
      </c>
      <c r="E517" s="3508" t="s">
        <v>1465</v>
      </c>
      <c r="F517" s="3601" t="s">
        <v>1464</v>
      </c>
      <c r="I517" s="3604">
        <v>701</v>
      </c>
      <c r="J517" s="3606"/>
      <c r="K517" s="3447"/>
      <c r="L517" s="3447"/>
      <c r="M517" s="3447"/>
      <c r="N517" s="3447" t="s">
        <v>30</v>
      </c>
      <c r="P517" s="34" t="s">
        <v>109</v>
      </c>
      <c r="Q517" s="34" t="s">
        <v>1268</v>
      </c>
      <c r="R517" s="34" t="s">
        <v>790</v>
      </c>
      <c r="W517" s="3547" t="s">
        <v>1860</v>
      </c>
    </row>
    <row r="518" spans="1:25" ht="29.25" hidden="1" thickBot="1">
      <c r="A518" s="3598" t="s">
        <v>1857</v>
      </c>
      <c r="B518" s="3506">
        <v>45751</v>
      </c>
      <c r="C518" s="3165" t="s">
        <v>882</v>
      </c>
      <c r="D518" s="3520" t="s">
        <v>1031</v>
      </c>
      <c r="E518" s="3505" t="s">
        <v>106</v>
      </c>
      <c r="F518" s="3602" t="s">
        <v>306</v>
      </c>
      <c r="I518" s="3443">
        <v>705</v>
      </c>
      <c r="J518" s="3607" t="s">
        <v>657</v>
      </c>
      <c r="K518" s="3505"/>
      <c r="L518" s="3505" t="s">
        <v>37</v>
      </c>
      <c r="M518" s="3505"/>
      <c r="N518" s="3505"/>
      <c r="W518" s="3610" t="s">
        <v>1861</v>
      </c>
    </row>
    <row r="519" spans="1:25" ht="57.75" hidden="1" thickBot="1">
      <c r="A519" s="3500" t="s">
        <v>1857</v>
      </c>
      <c r="B519" s="3463">
        <v>45751</v>
      </c>
      <c r="C519" s="3165" t="s">
        <v>882</v>
      </c>
      <c r="D519" s="4400" t="s">
        <v>1034</v>
      </c>
      <c r="E519" s="3462" t="s">
        <v>169</v>
      </c>
      <c r="F519" s="3600" t="s">
        <v>43</v>
      </c>
      <c r="I519" s="3524">
        <v>705</v>
      </c>
      <c r="J519" s="3545" t="s">
        <v>1862</v>
      </c>
      <c r="K519" s="3462"/>
      <c r="L519" s="3462"/>
      <c r="M519" s="3462" t="s">
        <v>30</v>
      </c>
      <c r="N519" s="3462"/>
      <c r="P519" s="21" t="s">
        <v>109</v>
      </c>
      <c r="Q519" s="21" t="s">
        <v>323</v>
      </c>
      <c r="R519" s="21" t="s">
        <v>160</v>
      </c>
      <c r="W519" s="3610" t="s">
        <v>1863</v>
      </c>
    </row>
    <row r="520" spans="1:25" ht="28.5" hidden="1">
      <c r="A520" s="3500" t="s">
        <v>1519</v>
      </c>
      <c r="B520" s="3463">
        <v>45752</v>
      </c>
      <c r="C520" s="3354" t="s">
        <v>882</v>
      </c>
      <c r="D520" s="4400" t="s">
        <v>1035</v>
      </c>
      <c r="E520" s="3462" t="s">
        <v>1864</v>
      </c>
      <c r="F520" s="3600" t="s">
        <v>148</v>
      </c>
      <c r="I520" s="3524">
        <v>712</v>
      </c>
      <c r="J520" s="3545" t="s">
        <v>824</v>
      </c>
      <c r="K520" s="3462"/>
      <c r="L520" s="3462" t="s">
        <v>37</v>
      </c>
      <c r="M520" s="3462"/>
      <c r="N520" s="3462"/>
      <c r="O520" s="3273"/>
      <c r="P520" s="3273"/>
      <c r="Q520" s="3273"/>
      <c r="R520" s="3273"/>
      <c r="S520" s="3273"/>
      <c r="T520" s="3273"/>
      <c r="U520" s="3273"/>
      <c r="V520" s="3273"/>
      <c r="W520" s="3637"/>
      <c r="X520" s="3273"/>
      <c r="Y520" s="3274"/>
    </row>
    <row r="521" spans="1:25" ht="28.5" hidden="1">
      <c r="A521" s="3656" t="s">
        <v>1519</v>
      </c>
      <c r="B521" s="3657">
        <v>45752</v>
      </c>
      <c r="C521" s="3375" t="s">
        <v>882</v>
      </c>
      <c r="D521" s="4403" t="s">
        <v>1865</v>
      </c>
      <c r="E521" s="3668" t="s">
        <v>1866</v>
      </c>
      <c r="F521" s="4613" t="s">
        <v>1867</v>
      </c>
      <c r="G521" s="3254"/>
      <c r="H521" s="3253"/>
      <c r="I521" s="3656">
        <v>708</v>
      </c>
      <c r="J521" s="3668" t="s">
        <v>1868</v>
      </c>
      <c r="K521" s="3668"/>
      <c r="L521" s="3668" t="s">
        <v>37</v>
      </c>
      <c r="M521" s="3668"/>
      <c r="N521" s="3668"/>
      <c r="O521" s="3376"/>
      <c r="P521" s="3376"/>
      <c r="Q521" s="3376"/>
      <c r="R521" s="3376"/>
      <c r="S521" s="3376"/>
      <c r="T521" s="3376"/>
      <c r="U521" s="3376"/>
      <c r="V521" s="3376"/>
      <c r="W521" s="3763"/>
      <c r="X521" s="3376"/>
      <c r="Y521" s="3640"/>
    </row>
    <row r="522" spans="1:25" ht="28.5" hidden="1">
      <c r="A522" s="3477" t="s">
        <v>1519</v>
      </c>
      <c r="B522" s="3478">
        <v>45752</v>
      </c>
      <c r="C522" s="3356" t="s">
        <v>882</v>
      </c>
      <c r="D522" s="3514" t="s">
        <v>1869</v>
      </c>
      <c r="E522" s="3503" t="s">
        <v>381</v>
      </c>
      <c r="F522" s="3515" t="s">
        <v>1870</v>
      </c>
      <c r="G522" s="3254"/>
      <c r="H522" s="3253"/>
      <c r="I522" s="3477">
        <v>708</v>
      </c>
      <c r="J522" s="3503">
        <v>60000</v>
      </c>
      <c r="K522" s="3694" t="s">
        <v>84</v>
      </c>
      <c r="L522" s="3503" t="s">
        <v>37</v>
      </c>
      <c r="M522" s="3503"/>
      <c r="N522" s="3503"/>
      <c r="O522" s="4114"/>
      <c r="S522" s="3365"/>
      <c r="T522" s="3281"/>
      <c r="U522" s="3281"/>
      <c r="V522" s="3281"/>
      <c r="W522" s="3519"/>
      <c r="X522" s="3281"/>
      <c r="Y522" s="3282"/>
    </row>
    <row r="523" spans="1:25" ht="53.85" hidden="1" customHeight="1">
      <c r="A523" s="4494" t="s">
        <v>1871</v>
      </c>
      <c r="B523" s="4497">
        <v>45753</v>
      </c>
      <c r="C523" s="3165" t="s">
        <v>882</v>
      </c>
      <c r="D523" s="4399" t="s">
        <v>1872</v>
      </c>
      <c r="E523" s="3156" t="s">
        <v>1873</v>
      </c>
      <c r="F523" s="3283" t="s">
        <v>1874</v>
      </c>
      <c r="G523" s="3639"/>
      <c r="H523" s="3638"/>
      <c r="I523" s="4718">
        <v>708</v>
      </c>
      <c r="J523" s="1696" t="s">
        <v>1875</v>
      </c>
      <c r="L523" s="1696" t="s">
        <v>30</v>
      </c>
      <c r="O523" s="3253"/>
      <c r="P523" s="3276"/>
      <c r="Q523" s="3276"/>
      <c r="R523" s="3276"/>
      <c r="S523" s="3254"/>
      <c r="Y523" s="3283"/>
    </row>
    <row r="524" spans="1:25" ht="85.5" hidden="1">
      <c r="A524" s="3480" t="s">
        <v>25</v>
      </c>
      <c r="B524" s="3444">
        <v>45754</v>
      </c>
      <c r="C524" s="3165" t="s">
        <v>952</v>
      </c>
      <c r="D524" s="4399" t="s">
        <v>1876</v>
      </c>
      <c r="E524" s="3619" t="s">
        <v>1096</v>
      </c>
      <c r="F524" s="3651" t="s">
        <v>1877</v>
      </c>
      <c r="G524" s="3254"/>
      <c r="H524" s="3253"/>
      <c r="I524" s="3480">
        <v>705</v>
      </c>
      <c r="J524" s="3443" t="s">
        <v>1878</v>
      </c>
      <c r="K524" s="3443"/>
      <c r="L524" s="3443"/>
      <c r="M524" s="3443" t="s">
        <v>37</v>
      </c>
      <c r="N524" s="3443"/>
      <c r="O524" s="3443"/>
      <c r="P524" s="119" t="s">
        <v>109</v>
      </c>
      <c r="Q524" s="119" t="s">
        <v>1428</v>
      </c>
      <c r="R524" s="119" t="s">
        <v>160</v>
      </c>
      <c r="W524" s="3507" t="s">
        <v>1879</v>
      </c>
      <c r="Y524" s="3283"/>
    </row>
    <row r="525" spans="1:25" ht="28.5" hidden="1">
      <c r="A525" s="3480" t="s">
        <v>25</v>
      </c>
      <c r="B525" s="3444">
        <v>45754</v>
      </c>
      <c r="C525" s="3165" t="s">
        <v>952</v>
      </c>
      <c r="D525" s="4399" t="s">
        <v>1880</v>
      </c>
      <c r="E525" s="3615" t="s">
        <v>537</v>
      </c>
      <c r="F525" s="3641" t="s">
        <v>1881</v>
      </c>
      <c r="G525" s="3254"/>
      <c r="H525" s="3253"/>
      <c r="I525" s="3480">
        <v>708</v>
      </c>
      <c r="J525" s="3443" t="s">
        <v>1882</v>
      </c>
      <c r="K525" s="3511" t="s">
        <v>1883</v>
      </c>
      <c r="L525" s="3443" t="s">
        <v>37</v>
      </c>
      <c r="M525" s="3443"/>
      <c r="N525" s="3443"/>
      <c r="O525" s="3443"/>
      <c r="P525" s="21"/>
      <c r="Q525" s="21"/>
      <c r="R525" s="21"/>
      <c r="W525" s="3507" t="s">
        <v>1884</v>
      </c>
      <c r="Y525" s="3283"/>
    </row>
    <row r="526" spans="1:25" ht="28.5" hidden="1">
      <c r="A526" s="3480" t="s">
        <v>25</v>
      </c>
      <c r="B526" s="3444">
        <v>45754</v>
      </c>
      <c r="C526" s="3165" t="s">
        <v>952</v>
      </c>
      <c r="D526" s="4399"/>
      <c r="E526" s="3615" t="s">
        <v>1885</v>
      </c>
      <c r="F526" s="3641" t="s">
        <v>195</v>
      </c>
      <c r="G526" s="3254"/>
      <c r="H526" s="3253"/>
      <c r="I526" s="3480">
        <v>708</v>
      </c>
      <c r="J526" s="3443" t="s">
        <v>226</v>
      </c>
      <c r="K526" s="3511" t="s">
        <v>1883</v>
      </c>
      <c r="L526" s="3443" t="s">
        <v>37</v>
      </c>
      <c r="M526" s="3443"/>
      <c r="N526" s="3443"/>
      <c r="O526" s="3443"/>
      <c r="P526" s="3443"/>
      <c r="Q526" s="3443"/>
      <c r="R526" s="3443"/>
      <c r="W526" s="3507"/>
      <c r="Y526" s="3283"/>
    </row>
    <row r="527" spans="1:25" ht="28.5" hidden="1">
      <c r="A527" s="3480" t="s">
        <v>25</v>
      </c>
      <c r="B527" s="3444">
        <v>45754</v>
      </c>
      <c r="C527" s="3165" t="s">
        <v>952</v>
      </c>
      <c r="D527" s="4399" t="s">
        <v>1886</v>
      </c>
      <c r="E527" s="3616" t="s">
        <v>80</v>
      </c>
      <c r="F527" s="3642" t="s">
        <v>1887</v>
      </c>
      <c r="G527" s="3254"/>
      <c r="H527" s="3253"/>
      <c r="I527" s="3480">
        <v>707</v>
      </c>
      <c r="J527" s="3443">
        <v>60093</v>
      </c>
      <c r="K527" s="3443"/>
      <c r="L527" s="3443" t="s">
        <v>37</v>
      </c>
      <c r="M527" s="3443"/>
      <c r="N527" s="3443"/>
      <c r="O527" s="3443"/>
      <c r="P527" s="3443"/>
      <c r="Q527" s="3462"/>
      <c r="R527" s="3443"/>
      <c r="W527" s="3507"/>
      <c r="Y527" s="3283"/>
    </row>
    <row r="528" spans="1:25" ht="28.5" hidden="1">
      <c r="A528" s="3480" t="s">
        <v>25</v>
      </c>
      <c r="B528" s="3444">
        <v>45754</v>
      </c>
      <c r="C528" s="3165" t="s">
        <v>952</v>
      </c>
      <c r="D528" s="4399"/>
      <c r="E528" s="3616" t="s">
        <v>1838</v>
      </c>
      <c r="F528" s="3642" t="s">
        <v>61</v>
      </c>
      <c r="G528" s="3254"/>
      <c r="H528" s="3253"/>
      <c r="I528" s="3480">
        <v>707</v>
      </c>
      <c r="J528" s="3443">
        <v>60072</v>
      </c>
      <c r="K528" s="3443"/>
      <c r="L528" s="3443" t="s">
        <v>37</v>
      </c>
      <c r="M528" s="3443"/>
      <c r="N528" s="3443"/>
      <c r="O528" s="3443"/>
      <c r="P528" s="4722"/>
      <c r="Q528" s="3443"/>
      <c r="R528" s="4722"/>
      <c r="W528" s="3507"/>
      <c r="Y528" s="3283"/>
    </row>
    <row r="529" spans="1:25" ht="28.5" hidden="1">
      <c r="A529" s="3480" t="s">
        <v>25</v>
      </c>
      <c r="B529" s="3444">
        <v>45754</v>
      </c>
      <c r="C529" s="3165" t="s">
        <v>952</v>
      </c>
      <c r="D529" s="4399" t="s">
        <v>1888</v>
      </c>
      <c r="E529" s="3614" t="s">
        <v>1698</v>
      </c>
      <c r="F529" s="3643" t="s">
        <v>273</v>
      </c>
      <c r="G529" s="3254"/>
      <c r="H529" s="3253"/>
      <c r="I529" s="3480">
        <v>711</v>
      </c>
      <c r="J529" s="3443" t="s">
        <v>1289</v>
      </c>
      <c r="K529" s="3443"/>
      <c r="L529" s="3443" t="s">
        <v>37</v>
      </c>
      <c r="M529" s="3443"/>
      <c r="N529" s="3443"/>
      <c r="O529" s="3443"/>
      <c r="P529" s="3443"/>
      <c r="Q529" s="3456"/>
      <c r="R529" s="3443"/>
      <c r="W529" s="3507"/>
      <c r="Y529" s="3283"/>
    </row>
    <row r="530" spans="1:25" ht="57" hidden="1">
      <c r="A530" s="3480" t="s">
        <v>25</v>
      </c>
      <c r="B530" s="3444">
        <v>45754</v>
      </c>
      <c r="C530" s="3165" t="s">
        <v>952</v>
      </c>
      <c r="D530" s="4399" t="s">
        <v>1889</v>
      </c>
      <c r="E530" s="3569" t="s">
        <v>1698</v>
      </c>
      <c r="F530" s="3644" t="s">
        <v>1890</v>
      </c>
      <c r="G530" s="3254"/>
      <c r="H530" s="3253"/>
      <c r="I530" s="3480">
        <v>705</v>
      </c>
      <c r="J530" s="3507" t="s">
        <v>1891</v>
      </c>
      <c r="K530" s="3443"/>
      <c r="L530" s="3443"/>
      <c r="M530" s="3443" t="s">
        <v>37</v>
      </c>
      <c r="N530" s="3443"/>
      <c r="O530" s="3443"/>
      <c r="P530" s="24" t="s">
        <v>122</v>
      </c>
      <c r="Q530" s="24" t="s">
        <v>123</v>
      </c>
      <c r="R530" s="24" t="s">
        <v>160</v>
      </c>
      <c r="W530" s="3507" t="s">
        <v>1892</v>
      </c>
      <c r="Y530" s="3283"/>
    </row>
    <row r="531" spans="1:25" ht="28.5" hidden="1">
      <c r="A531" s="3480" t="s">
        <v>25</v>
      </c>
      <c r="B531" s="3444">
        <v>45754</v>
      </c>
      <c r="C531" s="3165" t="s">
        <v>952</v>
      </c>
      <c r="D531" s="4399" t="s">
        <v>1893</v>
      </c>
      <c r="E531" s="3617" t="s">
        <v>1464</v>
      </c>
      <c r="F531" s="3645" t="s">
        <v>1465</v>
      </c>
      <c r="G531" s="3254"/>
      <c r="H531" s="3253"/>
      <c r="I531" s="3480">
        <v>701</v>
      </c>
      <c r="J531" s="3443" t="s">
        <v>1785</v>
      </c>
      <c r="K531" s="3443"/>
      <c r="L531" s="3443" t="s">
        <v>37</v>
      </c>
      <c r="M531" s="3443"/>
      <c r="N531" s="3443"/>
      <c r="O531" s="3531"/>
      <c r="P531" s="3443"/>
      <c r="Q531" s="3443"/>
      <c r="R531" s="3443"/>
      <c r="S531" s="3254"/>
      <c r="W531" s="3507"/>
      <c r="Y531" s="3283"/>
    </row>
    <row r="532" spans="1:25" ht="28.5" hidden="1">
      <c r="A532" s="3480" t="s">
        <v>25</v>
      </c>
      <c r="B532" s="3444">
        <v>45754</v>
      </c>
      <c r="C532" s="3165" t="s">
        <v>952</v>
      </c>
      <c r="D532" s="4399"/>
      <c r="E532" s="3617" t="s">
        <v>1465</v>
      </c>
      <c r="F532" s="3645" t="s">
        <v>1464</v>
      </c>
      <c r="G532" s="3254"/>
      <c r="H532" s="3253"/>
      <c r="I532" s="3480">
        <v>701</v>
      </c>
      <c r="J532" s="3443" t="s">
        <v>1771</v>
      </c>
      <c r="K532" s="3443"/>
      <c r="L532" s="3443" t="s">
        <v>37</v>
      </c>
      <c r="M532" s="3443"/>
      <c r="N532" s="3443"/>
      <c r="O532" s="3443"/>
      <c r="P532" s="3443"/>
      <c r="Q532" s="3443"/>
      <c r="R532" s="3443"/>
      <c r="W532" s="3507"/>
      <c r="Y532" s="3283"/>
    </row>
    <row r="533" spans="1:25" ht="105" hidden="1">
      <c r="A533" s="3480" t="s">
        <v>25</v>
      </c>
      <c r="B533" s="3444">
        <v>45754</v>
      </c>
      <c r="C533" s="3165" t="s">
        <v>952</v>
      </c>
      <c r="D533" s="4399" t="s">
        <v>1894</v>
      </c>
      <c r="E533" s="3618" t="s">
        <v>1806</v>
      </c>
      <c r="F533" s="3646" t="s">
        <v>1052</v>
      </c>
      <c r="G533" s="3254"/>
      <c r="H533" s="3253"/>
      <c r="I533" s="3480">
        <v>705</v>
      </c>
      <c r="J533" s="3443" t="s">
        <v>1895</v>
      </c>
      <c r="K533" s="3443"/>
      <c r="L533" s="3443"/>
      <c r="M533" s="3443" t="s">
        <v>37</v>
      </c>
      <c r="N533" s="3443"/>
      <c r="O533" s="3531"/>
      <c r="P533" s="21" t="s">
        <v>0</v>
      </c>
      <c r="Q533" s="21" t="s">
        <v>31</v>
      </c>
      <c r="R533" s="21" t="s">
        <v>38</v>
      </c>
      <c r="S533" s="3254" t="s">
        <v>30</v>
      </c>
      <c r="W533" s="3507" t="s">
        <v>1896</v>
      </c>
      <c r="X533" s="3671" t="s">
        <v>1897</v>
      </c>
      <c r="Y533" s="3283"/>
    </row>
    <row r="534" spans="1:25" ht="28.5" hidden="1">
      <c r="A534" s="3480" t="s">
        <v>25</v>
      </c>
      <c r="B534" s="3444">
        <v>45754</v>
      </c>
      <c r="C534" s="3165" t="s">
        <v>952</v>
      </c>
      <c r="D534" s="4399"/>
      <c r="E534" s="3618" t="s">
        <v>258</v>
      </c>
      <c r="F534" s="3646" t="s">
        <v>1898</v>
      </c>
      <c r="G534" s="3254"/>
      <c r="H534" s="3253"/>
      <c r="I534" s="3480">
        <v>705</v>
      </c>
      <c r="J534" s="3443" t="s">
        <v>1895</v>
      </c>
      <c r="K534" s="3511" t="s">
        <v>1481</v>
      </c>
      <c r="L534" s="3443"/>
      <c r="M534" s="3443"/>
      <c r="N534" s="3443" t="s">
        <v>30</v>
      </c>
      <c r="O534" s="3443"/>
      <c r="P534" s="119" t="s">
        <v>0</v>
      </c>
      <c r="Q534" s="119" t="s">
        <v>31</v>
      </c>
      <c r="R534" s="119" t="s">
        <v>38</v>
      </c>
      <c r="W534" s="3507" t="s">
        <v>1899</v>
      </c>
      <c r="Y534" s="3283"/>
    </row>
    <row r="535" spans="1:25" ht="53.25" hidden="1" thickBot="1">
      <c r="A535" s="3740" t="s">
        <v>25</v>
      </c>
      <c r="B535" s="3463">
        <v>45754</v>
      </c>
      <c r="C535" s="3354" t="s">
        <v>952</v>
      </c>
      <c r="D535" s="4400" t="s">
        <v>1900</v>
      </c>
      <c r="E535" s="3689" t="s">
        <v>169</v>
      </c>
      <c r="F535" s="3714" t="s">
        <v>1740</v>
      </c>
      <c r="G535" s="3254"/>
      <c r="H535" s="3253"/>
      <c r="I535" s="3500">
        <v>705</v>
      </c>
      <c r="J535" s="3462" t="s">
        <v>1901</v>
      </c>
      <c r="K535" s="3632" t="s">
        <v>1613</v>
      </c>
      <c r="L535" s="3462"/>
      <c r="M535" s="3462" t="s">
        <v>37</v>
      </c>
      <c r="N535" s="3462"/>
      <c r="O535" s="3462"/>
      <c r="P535" s="21" t="s">
        <v>122</v>
      </c>
      <c r="Q535" s="21" t="s">
        <v>123</v>
      </c>
      <c r="R535" s="21" t="s">
        <v>1061</v>
      </c>
      <c r="S535" s="3273" t="s">
        <v>37</v>
      </c>
      <c r="T535" s="3273"/>
      <c r="U535" s="3273"/>
      <c r="V535" s="3273"/>
      <c r="W535" s="3636" t="s">
        <v>1902</v>
      </c>
      <c r="X535" s="4962" t="s">
        <v>1903</v>
      </c>
      <c r="Y535" s="3285"/>
    </row>
    <row r="536" spans="1:25" ht="28.5" hidden="1">
      <c r="A536" s="3477" t="s">
        <v>25</v>
      </c>
      <c r="B536" s="3478">
        <v>45754</v>
      </c>
      <c r="C536" s="3356" t="s">
        <v>952</v>
      </c>
      <c r="D536" s="3514" t="s">
        <v>1904</v>
      </c>
      <c r="E536" s="3708" t="s">
        <v>1905</v>
      </c>
      <c r="F536" s="3709" t="s">
        <v>60</v>
      </c>
      <c r="G536" s="3254"/>
      <c r="H536" s="3253"/>
      <c r="I536" s="3477">
        <v>705</v>
      </c>
      <c r="J536" s="3503" t="s">
        <v>1906</v>
      </c>
      <c r="K536" s="3694" t="s">
        <v>10</v>
      </c>
      <c r="L536" s="3503" t="s">
        <v>37</v>
      </c>
      <c r="M536" s="3503"/>
      <c r="N536" s="3503"/>
      <c r="O536" s="3503"/>
      <c r="P536" s="3443"/>
      <c r="Q536" s="3443"/>
      <c r="R536" s="3443"/>
      <c r="S536" s="3281"/>
      <c r="T536" s="3281"/>
      <c r="U536" s="3281"/>
      <c r="V536" s="3281"/>
      <c r="W536" s="3521"/>
      <c r="X536" s="3307"/>
      <c r="Y536" s="3277"/>
    </row>
    <row r="537" spans="1:25" ht="28.5" hidden="1">
      <c r="A537" s="3480" t="s">
        <v>67</v>
      </c>
      <c r="B537" s="3444">
        <v>45755</v>
      </c>
      <c r="C537" s="3355" t="s">
        <v>952</v>
      </c>
      <c r="D537" s="3513" t="s">
        <v>1907</v>
      </c>
      <c r="E537" s="3619" t="s">
        <v>1908</v>
      </c>
      <c r="F537" s="3651" t="s">
        <v>1909</v>
      </c>
      <c r="G537" s="3254"/>
      <c r="H537" s="3253"/>
      <c r="I537" s="3480">
        <v>705</v>
      </c>
      <c r="J537" s="3443" t="s">
        <v>1910</v>
      </c>
      <c r="K537" s="3443"/>
      <c r="L537" s="3443"/>
      <c r="M537" s="3443"/>
      <c r="N537" s="3443" t="s">
        <v>30</v>
      </c>
      <c r="O537" s="3443"/>
      <c r="P537" s="21" t="s">
        <v>122</v>
      </c>
      <c r="Q537" s="21" t="s">
        <v>123</v>
      </c>
      <c r="R537" s="21" t="s">
        <v>1061</v>
      </c>
      <c r="W537" s="3522" t="s">
        <v>1911</v>
      </c>
      <c r="X537" s="3254"/>
    </row>
    <row r="538" spans="1:25" ht="85.5" hidden="1">
      <c r="A538" s="3480" t="s">
        <v>67</v>
      </c>
      <c r="B538" s="3444">
        <v>45755</v>
      </c>
      <c r="C538" s="3355" t="s">
        <v>952</v>
      </c>
      <c r="D538" s="3513"/>
      <c r="E538" s="3619" t="s">
        <v>1373</v>
      </c>
      <c r="F538" s="3651" t="s">
        <v>1912</v>
      </c>
      <c r="G538" s="3254"/>
      <c r="H538" s="3253"/>
      <c r="I538" s="3480">
        <v>705</v>
      </c>
      <c r="J538" s="3443" t="s">
        <v>1910</v>
      </c>
      <c r="K538" s="3443"/>
      <c r="L538" s="3443"/>
      <c r="M538" s="3443" t="s">
        <v>37</v>
      </c>
      <c r="N538" s="3443" t="s">
        <v>30</v>
      </c>
      <c r="O538" s="3443"/>
      <c r="P538" s="21" t="s">
        <v>109</v>
      </c>
      <c r="Q538" s="21" t="s">
        <v>110</v>
      </c>
      <c r="R538" s="21" t="s">
        <v>160</v>
      </c>
      <c r="W538" s="3522" t="s">
        <v>1913</v>
      </c>
      <c r="X538" s="3254"/>
    </row>
    <row r="539" spans="1:25" ht="28.5" hidden="1">
      <c r="A539" s="3480" t="s">
        <v>67</v>
      </c>
      <c r="B539" s="3444">
        <v>45755</v>
      </c>
      <c r="C539" s="3355" t="s">
        <v>952</v>
      </c>
      <c r="D539" s="3513" t="s">
        <v>1914</v>
      </c>
      <c r="E539" s="3618" t="s">
        <v>1915</v>
      </c>
      <c r="F539" s="3646" t="s">
        <v>1740</v>
      </c>
      <c r="G539" s="3254"/>
      <c r="H539" s="3253"/>
      <c r="I539" s="3480">
        <v>705</v>
      </c>
      <c r="J539" s="3443" t="s">
        <v>1895</v>
      </c>
      <c r="K539" s="3443"/>
      <c r="L539" s="3443" t="s">
        <v>37</v>
      </c>
      <c r="M539" s="3443"/>
      <c r="N539" s="3443"/>
      <c r="O539" s="3443"/>
      <c r="P539" s="3443"/>
      <c r="Q539" s="3443"/>
      <c r="R539" s="3443"/>
      <c r="T539" s="3160" t="s">
        <v>30</v>
      </c>
      <c r="W539" s="3522"/>
      <c r="X539" s="3254"/>
    </row>
    <row r="540" spans="1:25" ht="28.5" hidden="1">
      <c r="A540" s="3480" t="s">
        <v>67</v>
      </c>
      <c r="B540" s="3444">
        <v>45755</v>
      </c>
      <c r="C540" s="3355" t="s">
        <v>952</v>
      </c>
      <c r="D540" s="3513" t="s">
        <v>1916</v>
      </c>
      <c r="E540" s="3614" t="s">
        <v>169</v>
      </c>
      <c r="F540" s="3643" t="s">
        <v>1740</v>
      </c>
      <c r="G540" s="3254"/>
      <c r="H540" s="3253"/>
      <c r="I540" s="3480">
        <v>705</v>
      </c>
      <c r="J540" s="3443" t="s">
        <v>1901</v>
      </c>
      <c r="K540" s="3511" t="s">
        <v>1613</v>
      </c>
      <c r="L540" s="3443" t="s">
        <v>37</v>
      </c>
      <c r="M540" s="3443"/>
      <c r="N540" s="3443"/>
      <c r="O540" s="3443"/>
      <c r="P540" s="3443"/>
      <c r="Q540" s="3443"/>
      <c r="R540" s="3443"/>
      <c r="W540" s="3522"/>
      <c r="X540" s="3254"/>
    </row>
    <row r="541" spans="1:25" ht="28.5" hidden="1">
      <c r="A541" s="3480" t="s">
        <v>67</v>
      </c>
      <c r="B541" s="3444">
        <v>45755</v>
      </c>
      <c r="C541" s="3355" t="s">
        <v>952</v>
      </c>
      <c r="D541" s="3513"/>
      <c r="E541" s="3569" t="s">
        <v>169</v>
      </c>
      <c r="F541" s="3644" t="s">
        <v>1051</v>
      </c>
      <c r="G541" s="3254"/>
      <c r="H541" s="3253"/>
      <c r="I541" s="3480">
        <v>705</v>
      </c>
      <c r="J541" s="3443" t="s">
        <v>1917</v>
      </c>
      <c r="K541" s="3443"/>
      <c r="L541" s="3443" t="s">
        <v>37</v>
      </c>
      <c r="M541" s="3443"/>
      <c r="N541" s="3443"/>
      <c r="O541" s="3443"/>
      <c r="P541" s="3443"/>
      <c r="Q541" s="3443"/>
      <c r="R541" s="3443"/>
      <c r="W541" s="3522"/>
      <c r="X541" s="3254"/>
    </row>
    <row r="542" spans="1:25" ht="28.5" hidden="1">
      <c r="A542" s="3480" t="s">
        <v>67</v>
      </c>
      <c r="B542" s="3444">
        <v>45755</v>
      </c>
      <c r="C542" s="3355" t="s">
        <v>952</v>
      </c>
      <c r="D542" s="3513" t="s">
        <v>1918</v>
      </c>
      <c r="E542" s="3443" t="s">
        <v>79</v>
      </c>
      <c r="F542" s="3516" t="s">
        <v>1819</v>
      </c>
      <c r="G542" s="3254"/>
      <c r="H542" s="3253"/>
      <c r="I542" s="3480">
        <v>708</v>
      </c>
      <c r="J542" s="3443" t="s">
        <v>226</v>
      </c>
      <c r="K542" s="3443"/>
      <c r="L542" s="3443" t="s">
        <v>37</v>
      </c>
      <c r="M542" s="3443"/>
      <c r="N542" s="3443"/>
      <c r="O542" s="3443"/>
      <c r="P542" s="3443"/>
      <c r="Q542" s="3443"/>
      <c r="R542" s="3443"/>
      <c r="W542" s="3522"/>
      <c r="X542" s="3254"/>
    </row>
    <row r="543" spans="1:25" ht="28.5" hidden="1">
      <c r="A543" s="3480" t="s">
        <v>67</v>
      </c>
      <c r="B543" s="3444">
        <v>45755</v>
      </c>
      <c r="C543" s="3355" t="s">
        <v>952</v>
      </c>
      <c r="D543" s="3513" t="s">
        <v>1919</v>
      </c>
      <c r="E543" s="3620" t="s">
        <v>1815</v>
      </c>
      <c r="F543" s="3648" t="s">
        <v>1920</v>
      </c>
      <c r="G543" s="3254"/>
      <c r="H543" s="3253"/>
      <c r="I543" s="3480"/>
      <c r="J543" s="3443">
        <v>60020</v>
      </c>
      <c r="K543" s="3443"/>
      <c r="L543" s="3443" t="s">
        <v>37</v>
      </c>
      <c r="M543" s="3443"/>
      <c r="N543" s="3443"/>
      <c r="O543" s="3443"/>
      <c r="P543" s="3443"/>
      <c r="Q543" s="3443"/>
      <c r="R543" s="3443"/>
      <c r="W543" s="3522"/>
      <c r="X543" s="3254"/>
    </row>
    <row r="544" spans="1:25" ht="28.5" hidden="1">
      <c r="A544" s="3480" t="s">
        <v>67</v>
      </c>
      <c r="B544" s="3444">
        <v>45755</v>
      </c>
      <c r="C544" s="3355" t="s">
        <v>952</v>
      </c>
      <c r="D544" s="3513" t="s">
        <v>1921</v>
      </c>
      <c r="E544" s="3621" t="s">
        <v>1096</v>
      </c>
      <c r="F544" s="3649" t="s">
        <v>1213</v>
      </c>
      <c r="G544" s="3254"/>
      <c r="H544" s="3253"/>
      <c r="I544" s="3480">
        <v>705</v>
      </c>
      <c r="J544" s="3443" t="s">
        <v>1084</v>
      </c>
      <c r="K544" s="3511" t="s">
        <v>10</v>
      </c>
      <c r="L544" s="3443" t="s">
        <v>37</v>
      </c>
      <c r="M544" s="3443"/>
      <c r="N544" s="3443"/>
      <c r="O544" s="3443"/>
      <c r="P544" s="3443"/>
      <c r="Q544" s="3443"/>
      <c r="R544" s="3443"/>
      <c r="W544" s="3522"/>
      <c r="X544" s="3254"/>
    </row>
    <row r="545" spans="1:25" ht="28.5" hidden="1">
      <c r="A545" s="3500" t="s">
        <v>67</v>
      </c>
      <c r="B545" s="3463">
        <v>45755</v>
      </c>
      <c r="C545" s="3368" t="s">
        <v>952</v>
      </c>
      <c r="D545" s="3520"/>
      <c r="E545" s="4543" t="s">
        <v>1213</v>
      </c>
      <c r="F545" s="4619" t="s">
        <v>306</v>
      </c>
      <c r="G545" s="3254"/>
      <c r="H545" s="3253"/>
      <c r="I545" s="3480">
        <v>705</v>
      </c>
      <c r="J545" s="3462" t="s">
        <v>1922</v>
      </c>
      <c r="K545" s="3632" t="s">
        <v>10</v>
      </c>
      <c r="L545" s="3462" t="s">
        <v>37</v>
      </c>
      <c r="M545" s="3462"/>
      <c r="N545" s="3462"/>
      <c r="O545" s="3462"/>
      <c r="P545" s="3462"/>
      <c r="Q545" s="3462"/>
      <c r="R545" s="3462"/>
      <c r="S545" s="3273"/>
      <c r="T545" s="3273"/>
      <c r="U545" s="3273"/>
      <c r="V545" s="3273"/>
      <c r="W545" s="3544"/>
      <c r="X545" s="3364"/>
      <c r="Y545" s="3274"/>
    </row>
    <row r="546" spans="1:25" ht="28.5" hidden="1">
      <c r="A546" s="3477" t="s">
        <v>67</v>
      </c>
      <c r="B546" s="3478">
        <v>45755</v>
      </c>
      <c r="C546" s="3356" t="s">
        <v>952</v>
      </c>
      <c r="D546" s="3514" t="s">
        <v>1923</v>
      </c>
      <c r="E546" s="3809" t="s">
        <v>1464</v>
      </c>
      <c r="F546" s="3839" t="s">
        <v>1465</v>
      </c>
      <c r="G546" s="3254"/>
      <c r="H546" s="3253"/>
      <c r="I546" s="3477">
        <v>701</v>
      </c>
      <c r="J546" s="3503" t="s">
        <v>1785</v>
      </c>
      <c r="K546" s="3503"/>
      <c r="L546" s="3503" t="s">
        <v>37</v>
      </c>
      <c r="M546" s="3503"/>
      <c r="N546" s="3503"/>
      <c r="O546" s="3503"/>
      <c r="P546" s="3443"/>
      <c r="Q546" s="3443"/>
      <c r="R546" s="3443"/>
      <c r="S546" s="3281"/>
      <c r="T546" s="3281"/>
      <c r="U546" s="3281"/>
      <c r="V546" s="3281"/>
      <c r="W546" s="3521"/>
      <c r="X546" s="3365"/>
      <c r="Y546" s="3282"/>
    </row>
    <row r="547" spans="1:25" ht="28.5" hidden="1">
      <c r="A547" s="3480" t="s">
        <v>67</v>
      </c>
      <c r="B547" s="3444">
        <v>45755</v>
      </c>
      <c r="C547" s="3355" t="s">
        <v>952</v>
      </c>
      <c r="D547" s="3513"/>
      <c r="E547" s="3617" t="s">
        <v>1465</v>
      </c>
      <c r="F547" s="3645" t="s">
        <v>1464</v>
      </c>
      <c r="G547" s="3254"/>
      <c r="H547" s="3253"/>
      <c r="I547" s="3480">
        <v>701</v>
      </c>
      <c r="J547" s="3443" t="s">
        <v>1771</v>
      </c>
      <c r="K547" s="3443"/>
      <c r="L547" s="3443" t="s">
        <v>37</v>
      </c>
      <c r="M547" s="3443"/>
      <c r="N547" s="3443"/>
      <c r="O547" s="3443"/>
      <c r="P547" s="3443"/>
      <c r="Q547" s="3443"/>
      <c r="R547" s="3443"/>
      <c r="W547" s="3522"/>
      <c r="X547" s="3254"/>
      <c r="Y547" s="3283"/>
    </row>
    <row r="548" spans="1:25" ht="182.1" hidden="1" customHeight="1">
      <c r="A548" s="3480" t="s">
        <v>85</v>
      </c>
      <c r="B548" s="3444">
        <v>45756</v>
      </c>
      <c r="C548" s="3355" t="s">
        <v>952</v>
      </c>
      <c r="D548" s="3513"/>
      <c r="E548" s="3619" t="s">
        <v>517</v>
      </c>
      <c r="F548" s="3651" t="s">
        <v>1924</v>
      </c>
      <c r="G548" s="3254"/>
      <c r="H548" s="3253"/>
      <c r="I548" s="3480">
        <v>705</v>
      </c>
      <c r="J548" s="3443" t="s">
        <v>1910</v>
      </c>
      <c r="K548" s="3443"/>
      <c r="L548" s="3443"/>
      <c r="M548" s="3443"/>
      <c r="N548" s="3443" t="s">
        <v>30</v>
      </c>
      <c r="O548" s="3443"/>
      <c r="P548" s="21" t="s">
        <v>109</v>
      </c>
      <c r="Q548" s="21" t="s">
        <v>110</v>
      </c>
      <c r="R548" s="21" t="s">
        <v>160</v>
      </c>
      <c r="W548" s="3522"/>
      <c r="X548" s="3254"/>
      <c r="Y548" s="3283"/>
    </row>
    <row r="549" spans="1:25" ht="28.5" hidden="1">
      <c r="A549" s="3480" t="s">
        <v>85</v>
      </c>
      <c r="B549" s="3444">
        <v>45756</v>
      </c>
      <c r="C549" s="3355" t="s">
        <v>952</v>
      </c>
      <c r="D549" s="3513"/>
      <c r="E549" s="3619" t="s">
        <v>392</v>
      </c>
      <c r="F549" s="3651" t="s">
        <v>1925</v>
      </c>
      <c r="G549" s="3254"/>
      <c r="H549" s="3253"/>
      <c r="I549" s="3480">
        <v>705</v>
      </c>
      <c r="J549" s="3443" t="s">
        <v>1926</v>
      </c>
      <c r="K549" s="3443"/>
      <c r="L549" s="3443"/>
      <c r="M549" s="3443"/>
      <c r="N549" s="3443" t="s">
        <v>30</v>
      </c>
      <c r="O549" s="3443"/>
      <c r="P549" s="21" t="s">
        <v>109</v>
      </c>
      <c r="Q549" s="21" t="s">
        <v>110</v>
      </c>
      <c r="R549" s="21" t="s">
        <v>160</v>
      </c>
      <c r="W549" s="3522"/>
      <c r="X549" s="3254"/>
      <c r="Y549" s="3283"/>
    </row>
    <row r="550" spans="1:25" ht="114" hidden="1">
      <c r="A550" s="3480" t="s">
        <v>85</v>
      </c>
      <c r="B550" s="3444">
        <v>45756</v>
      </c>
      <c r="C550" s="3355" t="s">
        <v>952</v>
      </c>
      <c r="D550" s="3513" t="s">
        <v>1927</v>
      </c>
      <c r="E550" s="3623" t="s">
        <v>1815</v>
      </c>
      <c r="F550" s="3652" t="s">
        <v>209</v>
      </c>
      <c r="G550" s="3254"/>
      <c r="H550" s="3253"/>
      <c r="I550" s="3480">
        <v>708</v>
      </c>
      <c r="J550" s="3443" t="s">
        <v>1928</v>
      </c>
      <c r="K550" s="3443"/>
      <c r="L550" s="3443"/>
      <c r="M550" s="3443" t="s">
        <v>37</v>
      </c>
      <c r="N550" s="3443"/>
      <c r="O550" s="3443" t="s">
        <v>30</v>
      </c>
      <c r="P550" s="21" t="s">
        <v>109</v>
      </c>
      <c r="Q550" s="21" t="s">
        <v>1109</v>
      </c>
      <c r="R550" s="21" t="s">
        <v>1590</v>
      </c>
      <c r="W550" s="3522" t="s">
        <v>1929</v>
      </c>
      <c r="X550" s="3672"/>
      <c r="Y550" s="3283"/>
    </row>
    <row r="551" spans="1:25" ht="28.5" hidden="1">
      <c r="A551" s="3480" t="s">
        <v>85</v>
      </c>
      <c r="B551" s="3444">
        <v>45756</v>
      </c>
      <c r="C551" s="3355" t="s">
        <v>952</v>
      </c>
      <c r="D551" s="3513" t="s">
        <v>1930</v>
      </c>
      <c r="E551" s="3624" t="s">
        <v>1806</v>
      </c>
      <c r="F551" s="3653" t="s">
        <v>275</v>
      </c>
      <c r="G551" s="3254"/>
      <c r="H551" s="3253"/>
      <c r="I551" s="3480">
        <v>707</v>
      </c>
      <c r="J551" s="3443" t="s">
        <v>676</v>
      </c>
      <c r="K551" s="3443"/>
      <c r="L551" s="3443" t="s">
        <v>37</v>
      </c>
      <c r="M551" s="3443"/>
      <c r="N551" s="3443"/>
      <c r="O551" s="3443"/>
      <c r="P551" s="3443"/>
      <c r="Q551" s="3443"/>
      <c r="R551" s="3443"/>
      <c r="W551" s="3522"/>
      <c r="X551" s="3254"/>
      <c r="Y551" s="3283"/>
    </row>
    <row r="552" spans="1:25" ht="28.5" hidden="1">
      <c r="A552" s="3480" t="s">
        <v>85</v>
      </c>
      <c r="B552" s="3444">
        <v>45756</v>
      </c>
      <c r="C552" s="3355" t="s">
        <v>952</v>
      </c>
      <c r="D552" s="3513"/>
      <c r="E552" s="3620" t="s">
        <v>43</v>
      </c>
      <c r="F552" s="3648" t="s">
        <v>1931</v>
      </c>
      <c r="G552" s="3254"/>
      <c r="H552" s="3253"/>
      <c r="I552" s="3480"/>
      <c r="J552" s="3443" t="s">
        <v>1932</v>
      </c>
      <c r="K552" s="3511" t="s">
        <v>84</v>
      </c>
      <c r="L552" s="3443" t="s">
        <v>37</v>
      </c>
      <c r="M552" s="3443"/>
      <c r="N552" s="3443"/>
      <c r="O552" s="3443"/>
      <c r="P552" s="3443"/>
      <c r="Q552" s="3443"/>
      <c r="R552" s="3443"/>
      <c r="W552" s="3522"/>
      <c r="X552" s="3254"/>
      <c r="Y552" s="3283"/>
    </row>
    <row r="553" spans="1:25" ht="28.5" hidden="1">
      <c r="A553" s="3480" t="s">
        <v>85</v>
      </c>
      <c r="B553" s="3444">
        <v>45756</v>
      </c>
      <c r="C553" s="3355" t="s">
        <v>952</v>
      </c>
      <c r="D553" s="3513" t="s">
        <v>1933</v>
      </c>
      <c r="E553" s="3617" t="s">
        <v>1464</v>
      </c>
      <c r="F553" s="3645" t="s">
        <v>1465</v>
      </c>
      <c r="G553" s="3254"/>
      <c r="H553" s="3253"/>
      <c r="I553" s="3443">
        <v>701</v>
      </c>
      <c r="J553" s="3443" t="s">
        <v>1785</v>
      </c>
      <c r="K553" s="3443"/>
      <c r="L553" s="3443" t="s">
        <v>37</v>
      </c>
      <c r="M553" s="3443"/>
      <c r="N553" s="3443"/>
      <c r="O553" s="3443"/>
      <c r="P553" s="3443"/>
      <c r="Q553" s="3443"/>
      <c r="R553" s="3443"/>
      <c r="W553" s="3522"/>
      <c r="X553" s="3254"/>
      <c r="Y553" s="3283"/>
    </row>
    <row r="554" spans="1:25" ht="29.25" hidden="1" thickBot="1">
      <c r="A554" s="3494" t="s">
        <v>85</v>
      </c>
      <c r="B554" s="3448">
        <v>45756</v>
      </c>
      <c r="C554" s="3372" t="s">
        <v>952</v>
      </c>
      <c r="D554" s="3518"/>
      <c r="E554" s="3684" t="s">
        <v>1465</v>
      </c>
      <c r="F554" s="3703" t="s">
        <v>1464</v>
      </c>
      <c r="G554" s="3254"/>
      <c r="H554" s="3253"/>
      <c r="I554" s="3443">
        <v>701</v>
      </c>
      <c r="J554" s="3447" t="s">
        <v>1771</v>
      </c>
      <c r="K554" s="3447"/>
      <c r="L554" s="3447" t="s">
        <v>37</v>
      </c>
      <c r="M554" s="3447"/>
      <c r="N554" s="3447"/>
      <c r="O554" s="3447"/>
      <c r="P554" s="3447"/>
      <c r="Q554" s="3447"/>
      <c r="R554" s="3447"/>
      <c r="S554" s="3284"/>
      <c r="T554" s="3284"/>
      <c r="U554" s="3284"/>
      <c r="V554" s="3284"/>
      <c r="W554" s="3547"/>
      <c r="X554" s="3254"/>
      <c r="Y554" s="3285"/>
    </row>
    <row r="555" spans="1:25" ht="28.5" hidden="1">
      <c r="A555" s="3656" t="s">
        <v>85</v>
      </c>
      <c r="B555" s="3657">
        <v>45756</v>
      </c>
      <c r="C555" s="3356" t="s">
        <v>952</v>
      </c>
      <c r="D555" s="4403" t="s">
        <v>1934</v>
      </c>
      <c r="E555" s="3662" t="s">
        <v>1935</v>
      </c>
      <c r="F555" s="3663" t="s">
        <v>1936</v>
      </c>
      <c r="G555" s="3254"/>
      <c r="H555" s="3253"/>
      <c r="I555" s="3443">
        <v>712</v>
      </c>
      <c r="J555" s="3666" t="s">
        <v>743</v>
      </c>
      <c r="K555" s="3511" t="s">
        <v>84</v>
      </c>
      <c r="L555" s="3503" t="s">
        <v>37</v>
      </c>
      <c r="M555" s="3668"/>
      <c r="N555" s="3668"/>
      <c r="O555" s="3668"/>
      <c r="P555" s="3668"/>
      <c r="Q555" s="3668"/>
      <c r="R555" s="3668"/>
      <c r="S555" s="3281"/>
      <c r="T555" s="3281"/>
      <c r="U555" s="3281"/>
      <c r="V555" s="3281"/>
      <c r="W555" s="3669"/>
      <c r="X555" s="3307"/>
      <c r="Y555" s="3277"/>
    </row>
    <row r="556" spans="1:25" ht="57" hidden="1">
      <c r="A556" s="3480" t="s">
        <v>85</v>
      </c>
      <c r="B556" s="3444">
        <v>45756</v>
      </c>
      <c r="C556" s="3355" t="s">
        <v>952</v>
      </c>
      <c r="D556" s="3513"/>
      <c r="E556" s="3625" t="s">
        <v>169</v>
      </c>
      <c r="F556" s="3654" t="s">
        <v>1937</v>
      </c>
      <c r="G556" s="3254"/>
      <c r="H556" s="3253"/>
      <c r="I556" s="3480">
        <v>712</v>
      </c>
      <c r="J556" s="3443" t="s">
        <v>743</v>
      </c>
      <c r="K556" s="3511" t="s">
        <v>84</v>
      </c>
      <c r="L556" s="3443"/>
      <c r="M556" s="3443" t="s">
        <v>37</v>
      </c>
      <c r="N556" s="3443"/>
      <c r="O556" s="3443"/>
      <c r="P556" s="21" t="s">
        <v>109</v>
      </c>
      <c r="Q556" s="24" t="s">
        <v>110</v>
      </c>
      <c r="R556" s="24" t="s">
        <v>1155</v>
      </c>
      <c r="W556" s="3522" t="s">
        <v>1938</v>
      </c>
      <c r="X556" s="3672" t="s">
        <v>1939</v>
      </c>
    </row>
    <row r="557" spans="1:25" ht="28.5" hidden="1">
      <c r="A557" s="3493" t="s">
        <v>1940</v>
      </c>
      <c r="B557" s="3457">
        <v>45757</v>
      </c>
      <c r="C557" s="3355" t="s">
        <v>952</v>
      </c>
      <c r="D557" s="3513"/>
      <c r="E557" s="4542" t="s">
        <v>89</v>
      </c>
      <c r="F557" s="4618" t="s">
        <v>1941</v>
      </c>
      <c r="G557" s="3254"/>
      <c r="H557" s="3253"/>
      <c r="I557" s="3660">
        <v>712</v>
      </c>
      <c r="J557" s="3605" t="s">
        <v>743</v>
      </c>
      <c r="K557" s="3511" t="s">
        <v>84</v>
      </c>
      <c r="L557" s="3456" t="s">
        <v>37</v>
      </c>
      <c r="M557" s="3456"/>
      <c r="N557" s="3456"/>
      <c r="O557" s="3456"/>
      <c r="P557" s="3443"/>
      <c r="Q557" s="3443"/>
      <c r="R557" s="3443"/>
      <c r="S557" s="3254"/>
      <c r="W557" s="3637"/>
      <c r="X557" s="3254"/>
    </row>
    <row r="558" spans="1:25" ht="28.5" hidden="1">
      <c r="A558" s="3493" t="s">
        <v>1940</v>
      </c>
      <c r="B558" s="3457">
        <v>45757</v>
      </c>
      <c r="C558" s="3355" t="s">
        <v>952</v>
      </c>
      <c r="D558" s="3513"/>
      <c r="E558" s="4566" t="s">
        <v>282</v>
      </c>
      <c r="F558" s="4858" t="s">
        <v>1942</v>
      </c>
      <c r="G558" s="3254"/>
      <c r="H558" s="3253"/>
      <c r="I558" s="3660">
        <v>707</v>
      </c>
      <c r="J558" s="3605" t="s">
        <v>676</v>
      </c>
      <c r="K558" s="3456"/>
      <c r="L558" s="3456" t="s">
        <v>37</v>
      </c>
      <c r="M558" s="3456"/>
      <c r="N558" s="3456"/>
      <c r="O558" s="3456"/>
      <c r="P558" s="3443"/>
      <c r="Q558" s="3443"/>
      <c r="R558" s="3443"/>
      <c r="S558" s="3254"/>
      <c r="W558" s="3637"/>
      <c r="X558" s="3254"/>
    </row>
    <row r="559" spans="1:25" ht="28.5" hidden="1">
      <c r="A559" s="3493" t="s">
        <v>1940</v>
      </c>
      <c r="B559" s="3457">
        <v>45757</v>
      </c>
      <c r="C559" s="3355" t="s">
        <v>952</v>
      </c>
      <c r="D559" s="3513"/>
      <c r="E559" s="3627" t="s">
        <v>264</v>
      </c>
      <c r="F559" s="3739" t="s">
        <v>220</v>
      </c>
      <c r="G559" s="3254"/>
      <c r="H559" s="3253"/>
      <c r="I559" s="3660">
        <v>705</v>
      </c>
      <c r="J559" s="3605">
        <v>60086</v>
      </c>
      <c r="K559" s="3456"/>
      <c r="L559" s="3456"/>
      <c r="M559" s="3456" t="s">
        <v>37</v>
      </c>
      <c r="N559" s="3456"/>
      <c r="O559" s="3456"/>
      <c r="P559" s="4946" t="s">
        <v>0</v>
      </c>
      <c r="Q559" s="119" t="s">
        <v>187</v>
      </c>
      <c r="R559" s="119" t="s">
        <v>160</v>
      </c>
      <c r="W559" s="3522" t="s">
        <v>1943</v>
      </c>
      <c r="X559" s="3254"/>
    </row>
    <row r="560" spans="1:25" ht="28.5" hidden="1">
      <c r="A560" s="3493" t="s">
        <v>1940</v>
      </c>
      <c r="B560" s="3506">
        <v>45757</v>
      </c>
      <c r="C560" s="3355" t="s">
        <v>952</v>
      </c>
      <c r="D560" s="3513"/>
      <c r="E560" s="3627" t="s">
        <v>169</v>
      </c>
      <c r="F560" s="3658" t="s">
        <v>1944</v>
      </c>
      <c r="G560" s="3254"/>
      <c r="H560" s="3253"/>
      <c r="I560" s="3660">
        <v>705</v>
      </c>
      <c r="J560" s="3605">
        <v>60086</v>
      </c>
      <c r="K560" s="3456"/>
      <c r="L560" s="3456"/>
      <c r="M560" s="3456"/>
      <c r="N560" s="3456" t="s">
        <v>37</v>
      </c>
      <c r="O560" s="3456"/>
      <c r="P560" s="21" t="s">
        <v>0</v>
      </c>
      <c r="Q560" s="21" t="s">
        <v>187</v>
      </c>
      <c r="R560" s="21" t="s">
        <v>160</v>
      </c>
      <c r="W560" s="3522" t="s">
        <v>1945</v>
      </c>
      <c r="X560" s="3254"/>
    </row>
    <row r="561" spans="1:24" ht="28.5" hidden="1">
      <c r="A561" s="3480" t="s">
        <v>1940</v>
      </c>
      <c r="B561" s="3444">
        <v>45757</v>
      </c>
      <c r="C561" s="3355" t="s">
        <v>952</v>
      </c>
      <c r="D561" s="3513"/>
      <c r="E561" s="3623" t="s">
        <v>169</v>
      </c>
      <c r="F561" s="3652" t="s">
        <v>1946</v>
      </c>
      <c r="G561" s="3254"/>
      <c r="H561" s="3253"/>
      <c r="I561" s="3670">
        <v>708</v>
      </c>
      <c r="J561" s="3534" t="s">
        <v>1947</v>
      </c>
      <c r="K561" s="3443"/>
      <c r="L561" s="3443" t="s">
        <v>37</v>
      </c>
      <c r="M561" s="3443"/>
      <c r="N561" s="3443"/>
      <c r="O561" s="3443"/>
      <c r="P561" s="3531"/>
      <c r="Q561" s="3443"/>
      <c r="R561" s="3443"/>
      <c r="W561" s="3522" t="s">
        <v>1948</v>
      </c>
      <c r="X561" s="3254"/>
    </row>
    <row r="562" spans="1:24" ht="28.5" hidden="1">
      <c r="A562" s="3493" t="s">
        <v>105</v>
      </c>
      <c r="B562" s="3457">
        <v>45757</v>
      </c>
      <c r="C562" s="3355" t="s">
        <v>952</v>
      </c>
      <c r="D562" s="3513"/>
      <c r="E562" s="3629" t="s">
        <v>258</v>
      </c>
      <c r="F562" s="3664" t="s">
        <v>1602</v>
      </c>
      <c r="G562" s="3254"/>
      <c r="H562" s="3253"/>
      <c r="I562" s="3443">
        <v>705</v>
      </c>
      <c r="J562" s="3605" t="s">
        <v>1926</v>
      </c>
      <c r="K562" s="3443"/>
      <c r="L562" s="3443"/>
      <c r="M562" s="3456"/>
      <c r="N562" s="3456" t="s">
        <v>37</v>
      </c>
      <c r="O562" s="3456"/>
      <c r="P562" s="119" t="s">
        <v>0</v>
      </c>
      <c r="Q562" s="119" t="s">
        <v>187</v>
      </c>
      <c r="R562" s="119" t="s">
        <v>160</v>
      </c>
      <c r="W562" s="3609"/>
      <c r="X562" s="3254"/>
    </row>
    <row r="563" spans="1:24" ht="28.5" hidden="1">
      <c r="A563" s="3493" t="s">
        <v>105</v>
      </c>
      <c r="B563" s="3457">
        <v>45757</v>
      </c>
      <c r="C563" s="3355" t="s">
        <v>952</v>
      </c>
      <c r="D563" s="3520"/>
      <c r="E563" s="4821" t="s">
        <v>296</v>
      </c>
      <c r="F563" s="4859" t="s">
        <v>1949</v>
      </c>
      <c r="G563" s="3254"/>
      <c r="H563" s="3253"/>
      <c r="I563" s="3661"/>
      <c r="J563" s="3607">
        <v>60020</v>
      </c>
      <c r="K563" s="3511" t="s">
        <v>84</v>
      </c>
      <c r="L563" s="3505" t="s">
        <v>37</v>
      </c>
      <c r="M563" s="3462"/>
      <c r="N563" s="3505"/>
      <c r="O563" s="3505"/>
      <c r="P563" s="4722"/>
      <c r="Q563" s="4722"/>
      <c r="R563" s="4722"/>
      <c r="W563" s="3637"/>
      <c r="X563" s="3254"/>
    </row>
    <row r="564" spans="1:24" ht="29.25" hidden="1" thickBot="1">
      <c r="A564" s="3494" t="s">
        <v>105</v>
      </c>
      <c r="B564" s="3448">
        <v>45757</v>
      </c>
      <c r="C564" s="3372" t="s">
        <v>952</v>
      </c>
      <c r="D564" s="3518" t="s">
        <v>1950</v>
      </c>
      <c r="E564" s="3447" t="s">
        <v>1065</v>
      </c>
      <c r="F564" s="3523" t="s">
        <v>1217</v>
      </c>
      <c r="G564" s="3254"/>
      <c r="H564" s="3253"/>
      <c r="I564" s="3593">
        <v>712</v>
      </c>
      <c r="J564" s="3494" t="s">
        <v>1846</v>
      </c>
      <c r="K564" s="3608" t="s">
        <v>174</v>
      </c>
      <c r="L564" s="3447" t="s">
        <v>37</v>
      </c>
      <c r="M564" s="3447"/>
      <c r="N564" s="3447"/>
      <c r="O564" s="3586"/>
      <c r="P564" s="3443"/>
      <c r="Q564" s="3443"/>
      <c r="R564" s="3443"/>
      <c r="S564" s="3366"/>
      <c r="T564" s="3284"/>
      <c r="U564" s="3284"/>
      <c r="V564" s="3284"/>
      <c r="W564" s="3547"/>
      <c r="X564" s="3254"/>
    </row>
    <row r="565" spans="1:24" ht="52.5" hidden="1">
      <c r="A565" s="3598" t="s">
        <v>105</v>
      </c>
      <c r="B565" s="3506">
        <v>45757</v>
      </c>
      <c r="C565" s="3355" t="s">
        <v>952</v>
      </c>
      <c r="D565" s="3513" t="s">
        <v>1951</v>
      </c>
      <c r="E565" s="3823" t="s">
        <v>43</v>
      </c>
      <c r="F565" s="4617" t="s">
        <v>584</v>
      </c>
      <c r="G565" s="3254"/>
      <c r="H565" s="3253"/>
      <c r="I565" s="3660">
        <v>703</v>
      </c>
      <c r="J565" s="3605" t="s">
        <v>1952</v>
      </c>
      <c r="K565" s="4735"/>
      <c r="L565" s="3456"/>
      <c r="M565" s="3456" t="s">
        <v>37</v>
      </c>
      <c r="N565" s="3456"/>
      <c r="O565" s="3456"/>
      <c r="P565" s="20" t="s">
        <v>0</v>
      </c>
      <c r="Q565" s="20" t="s">
        <v>187</v>
      </c>
      <c r="R565" s="20" t="s">
        <v>46</v>
      </c>
      <c r="S565" s="3276"/>
      <c r="T565" s="3276"/>
      <c r="U565" s="3276"/>
      <c r="V565" s="3276"/>
      <c r="W565" s="3609" t="s">
        <v>1953</v>
      </c>
      <c r="X565" s="3254"/>
    </row>
    <row r="566" spans="1:24" ht="28.5" hidden="1">
      <c r="A566" s="3480" t="s">
        <v>105</v>
      </c>
      <c r="B566" s="3444">
        <v>45757</v>
      </c>
      <c r="C566" s="3355" t="s">
        <v>952</v>
      </c>
      <c r="D566" s="3513"/>
      <c r="E566" s="3823" t="s">
        <v>586</v>
      </c>
      <c r="F566" s="4617" t="s">
        <v>830</v>
      </c>
      <c r="G566" s="3254"/>
      <c r="H566" s="3253"/>
      <c r="I566" s="3660">
        <v>703</v>
      </c>
      <c r="J566" s="3605" t="s">
        <v>1952</v>
      </c>
      <c r="K566" s="3635"/>
      <c r="L566" s="3456"/>
      <c r="M566" s="3456"/>
      <c r="N566" s="3456" t="s">
        <v>37</v>
      </c>
      <c r="O566" s="3599"/>
      <c r="P566" s="21"/>
      <c r="Q566" s="21"/>
      <c r="R566" s="21"/>
      <c r="S566" s="3254"/>
      <c r="W566" s="3609"/>
      <c r="X566" s="3254"/>
    </row>
    <row r="567" spans="1:24" ht="28.5" hidden="1">
      <c r="A567" s="3480" t="s">
        <v>132</v>
      </c>
      <c r="B567" s="3444">
        <v>45758</v>
      </c>
      <c r="C567" s="3355" t="s">
        <v>952</v>
      </c>
      <c r="D567" s="3520" t="s">
        <v>1954</v>
      </c>
      <c r="E567" s="3505" t="s">
        <v>258</v>
      </c>
      <c r="F567" s="4860" t="s">
        <v>1955</v>
      </c>
      <c r="G567" s="3254"/>
      <c r="H567" s="3253"/>
      <c r="I567" s="3661">
        <v>707</v>
      </c>
      <c r="J567" s="3607">
        <v>60086</v>
      </c>
      <c r="K567" s="3462"/>
      <c r="L567" s="3456"/>
      <c r="M567" s="3505" t="s">
        <v>37</v>
      </c>
      <c r="N567" s="3505"/>
      <c r="O567" s="3505"/>
      <c r="P567" s="4767" t="s">
        <v>0</v>
      </c>
      <c r="Q567" s="4767" t="s">
        <v>187</v>
      </c>
      <c r="R567" s="4767" t="s">
        <v>38</v>
      </c>
      <c r="W567" s="3637" t="s">
        <v>1956</v>
      </c>
      <c r="X567" s="3254"/>
    </row>
    <row r="568" spans="1:24" ht="28.5" hidden="1">
      <c r="A568" s="3493" t="s">
        <v>132</v>
      </c>
      <c r="B568" s="3457">
        <v>45758</v>
      </c>
      <c r="C568" s="3355" t="s">
        <v>952</v>
      </c>
      <c r="D568" s="3513" t="s">
        <v>1957</v>
      </c>
      <c r="E568" s="3536" t="s">
        <v>1148</v>
      </c>
      <c r="F568" s="3712" t="s">
        <v>334</v>
      </c>
      <c r="G568" s="3254"/>
      <c r="H568" s="3253"/>
      <c r="I568" s="3480">
        <v>705</v>
      </c>
      <c r="J568" s="3443">
        <v>60086</v>
      </c>
      <c r="K568" s="3511" t="s">
        <v>84</v>
      </c>
      <c r="L568" s="3456" t="s">
        <v>37</v>
      </c>
      <c r="M568" s="3443"/>
      <c r="N568" s="3443"/>
      <c r="O568" s="3443"/>
      <c r="P568" s="3443"/>
      <c r="Q568" s="3443"/>
      <c r="R568" s="3443"/>
      <c r="W568" s="3522" t="s">
        <v>1958</v>
      </c>
      <c r="X568" s="3254"/>
    </row>
    <row r="569" spans="1:24" ht="29.25" hidden="1" thickBot="1">
      <c r="A569" s="3494" t="s">
        <v>132</v>
      </c>
      <c r="B569" s="3448">
        <v>45758</v>
      </c>
      <c r="C569" s="3372" t="s">
        <v>952</v>
      </c>
      <c r="D569" s="3518" t="s">
        <v>1959</v>
      </c>
      <c r="E569" s="3631" t="s">
        <v>43</v>
      </c>
      <c r="F569" s="3665" t="s">
        <v>1960</v>
      </c>
      <c r="G569" s="3254"/>
      <c r="H569" s="3253"/>
      <c r="I569" s="3443">
        <v>703</v>
      </c>
      <c r="J569" s="3546" t="s">
        <v>1952</v>
      </c>
      <c r="K569" s="3634"/>
      <c r="L569" s="3508" t="s">
        <v>37</v>
      </c>
      <c r="M569" s="3447"/>
      <c r="N569" s="3447"/>
      <c r="O569" s="3447"/>
      <c r="P569" s="3447"/>
      <c r="Q569" s="3447"/>
      <c r="R569" s="3447"/>
      <c r="S569" s="3284"/>
      <c r="T569" s="3284"/>
      <c r="U569" s="3284"/>
      <c r="V569" s="3284"/>
      <c r="W569" s="3547"/>
      <c r="X569" s="3254"/>
    </row>
    <row r="570" spans="1:24" ht="28.5" hidden="1">
      <c r="A570" s="3477" t="s">
        <v>132</v>
      </c>
      <c r="B570" s="3478">
        <v>45758</v>
      </c>
      <c r="C570" s="3165" t="s">
        <v>952</v>
      </c>
      <c r="D570" s="3513"/>
      <c r="E570" s="4074" t="s">
        <v>1961</v>
      </c>
      <c r="F570" s="4622" t="s">
        <v>830</v>
      </c>
      <c r="I570" s="3443">
        <v>703</v>
      </c>
      <c r="J570" s="3666" t="s">
        <v>1952</v>
      </c>
      <c r="K570" s="4753"/>
      <c r="L570" s="3668" t="s">
        <v>37</v>
      </c>
      <c r="M570" s="3503"/>
      <c r="N570" s="3503"/>
      <c r="O570" s="3503"/>
      <c r="P570" s="3456"/>
      <c r="Q570" s="3456"/>
      <c r="R570" s="3456"/>
      <c r="S570" s="3281"/>
      <c r="T570" s="3281"/>
      <c r="U570" s="3281"/>
      <c r="V570" s="3276"/>
      <c r="W570" s="3521"/>
    </row>
    <row r="571" spans="1:24" ht="28.5" hidden="1">
      <c r="A571" s="3480" t="s">
        <v>132</v>
      </c>
      <c r="B571" s="3444">
        <v>45758</v>
      </c>
      <c r="C571" s="3165" t="s">
        <v>952</v>
      </c>
      <c r="D571" s="4399"/>
      <c r="E571" s="3625" t="s">
        <v>1213</v>
      </c>
      <c r="F571" s="4616" t="s">
        <v>1962</v>
      </c>
      <c r="I571" s="3443">
        <v>712</v>
      </c>
      <c r="J571" s="3607" t="s">
        <v>743</v>
      </c>
      <c r="K571" s="3511" t="s">
        <v>84</v>
      </c>
      <c r="L571" s="3443" t="s">
        <v>37</v>
      </c>
      <c r="M571" s="3607"/>
      <c r="N571" s="3456"/>
      <c r="O571" s="3456"/>
      <c r="P571" s="3443"/>
      <c r="Q571" s="3443"/>
      <c r="R571" s="3443"/>
      <c r="S571" s="3276"/>
      <c r="T571" s="3276"/>
      <c r="U571" s="3276"/>
      <c r="W571" s="3609"/>
    </row>
    <row r="572" spans="1:24" ht="28.5" hidden="1">
      <c r="A572" s="3480" t="s">
        <v>25</v>
      </c>
      <c r="B572" s="3444">
        <v>45761</v>
      </c>
      <c r="C572" s="3165" t="s">
        <v>1963</v>
      </c>
      <c r="D572" s="4399" t="s">
        <v>1964</v>
      </c>
      <c r="E572" s="3683" t="s">
        <v>450</v>
      </c>
      <c r="F572" s="4653" t="s">
        <v>1965</v>
      </c>
      <c r="I572" s="3443">
        <v>712</v>
      </c>
      <c r="J572" s="3534" t="s">
        <v>1966</v>
      </c>
      <c r="K572" s="3456"/>
      <c r="L572" s="3599" t="s">
        <v>37</v>
      </c>
      <c r="M572" s="3443"/>
      <c r="N572" s="3456"/>
      <c r="O572" s="3456"/>
      <c r="S572" s="3456"/>
      <c r="T572" s="3456"/>
      <c r="U572" s="3456"/>
      <c r="W572" s="3609"/>
    </row>
    <row r="573" spans="1:24" ht="28.5" hidden="1">
      <c r="A573" s="3480" t="s">
        <v>25</v>
      </c>
      <c r="B573" s="3444">
        <v>45761</v>
      </c>
      <c r="C573" s="3165" t="s">
        <v>1963</v>
      </c>
      <c r="D573" s="4399" t="s">
        <v>1967</v>
      </c>
      <c r="E573" s="3614" t="s">
        <v>204</v>
      </c>
      <c r="F573" s="3678" t="s">
        <v>1691</v>
      </c>
      <c r="I573" s="3443">
        <v>702</v>
      </c>
      <c r="J573" s="3534" t="s">
        <v>1968</v>
      </c>
      <c r="K573" s="3443"/>
      <c r="L573" s="3456" t="s">
        <v>37</v>
      </c>
      <c r="M573" s="3456"/>
      <c r="N573" s="3456"/>
      <c r="O573" s="3456"/>
      <c r="P573" s="3161"/>
      <c r="Q573" s="3161"/>
      <c r="R573" s="3161"/>
      <c r="S573" s="3456"/>
      <c r="T573" s="3456"/>
      <c r="U573" s="3456"/>
      <c r="W573" s="3609"/>
    </row>
    <row r="574" spans="1:24" ht="28.5" hidden="1">
      <c r="A574" s="3480" t="s">
        <v>25</v>
      </c>
      <c r="B574" s="3444">
        <v>45761</v>
      </c>
      <c r="C574" s="3165" t="s">
        <v>1963</v>
      </c>
      <c r="D574" s="4399" t="s">
        <v>1969</v>
      </c>
      <c r="E574" s="3679" t="s">
        <v>1703</v>
      </c>
      <c r="F574" s="3680" t="s">
        <v>1936</v>
      </c>
      <c r="I574" s="3443">
        <v>707</v>
      </c>
      <c r="J574" s="3534" t="s">
        <v>1970</v>
      </c>
      <c r="K574" s="3456"/>
      <c r="L574" s="3443"/>
      <c r="M574" s="3443"/>
      <c r="N574" s="3443"/>
      <c r="O574" s="3456" t="s">
        <v>37</v>
      </c>
      <c r="P574" s="360" t="s">
        <v>109</v>
      </c>
      <c r="Q574" s="360" t="s">
        <v>1971</v>
      </c>
      <c r="R574" s="360" t="s">
        <v>38</v>
      </c>
      <c r="S574" s="3456"/>
      <c r="T574" s="3456"/>
      <c r="U574" s="3456"/>
      <c r="W574" s="3609" t="s">
        <v>1972</v>
      </c>
    </row>
    <row r="575" spans="1:24" ht="57" hidden="1">
      <c r="A575" s="3480" t="s">
        <v>25</v>
      </c>
      <c r="B575" s="3444">
        <v>45761</v>
      </c>
      <c r="C575" s="3165" t="s">
        <v>1963</v>
      </c>
      <c r="D575" s="4399"/>
      <c r="E575" s="3679" t="s">
        <v>169</v>
      </c>
      <c r="F575" s="3680" t="s">
        <v>1973</v>
      </c>
      <c r="I575" s="3443">
        <v>710</v>
      </c>
      <c r="J575" s="3534" t="s">
        <v>1970</v>
      </c>
      <c r="K575" s="3456"/>
      <c r="L575" s="3443" t="s">
        <v>37</v>
      </c>
      <c r="M575" s="3443"/>
      <c r="N575" s="3443"/>
      <c r="O575" s="3456"/>
      <c r="P575" s="24"/>
      <c r="Q575" s="21"/>
      <c r="R575" s="21"/>
      <c r="S575" s="3456"/>
      <c r="T575" s="3456"/>
      <c r="U575" s="3456"/>
      <c r="W575" s="3609" t="s">
        <v>1974</v>
      </c>
    </row>
    <row r="576" spans="1:24" ht="28.5" hidden="1">
      <c r="A576" s="3480" t="s">
        <v>25</v>
      </c>
      <c r="B576" s="3444">
        <v>45761</v>
      </c>
      <c r="C576" s="3165" t="s">
        <v>1963</v>
      </c>
      <c r="D576" s="4399" t="s">
        <v>1975</v>
      </c>
      <c r="E576" s="3620" t="s">
        <v>1443</v>
      </c>
      <c r="F576" s="3681" t="s">
        <v>1877</v>
      </c>
      <c r="I576" s="3480">
        <v>705</v>
      </c>
      <c r="J576" s="3534" t="s">
        <v>1878</v>
      </c>
      <c r="K576" s="3695" t="s">
        <v>10</v>
      </c>
      <c r="L576" s="3443" t="s">
        <v>37</v>
      </c>
      <c r="M576" s="3462"/>
      <c r="N576" s="3443"/>
      <c r="O576" s="3531"/>
      <c r="Q576" s="3161"/>
      <c r="R576" s="3161"/>
      <c r="S576" s="3462"/>
      <c r="T576" s="3443"/>
      <c r="U576" s="3443"/>
      <c r="W576" s="3522"/>
    </row>
    <row r="577" spans="1:25" ht="28.5" hidden="1">
      <c r="A577" s="3500" t="s">
        <v>25</v>
      </c>
      <c r="B577" s="3463">
        <v>45761</v>
      </c>
      <c r="C577" s="3165" t="s">
        <v>1963</v>
      </c>
      <c r="D577" s="4400"/>
      <c r="E577" s="4541" t="s">
        <v>1976</v>
      </c>
      <c r="F577" s="4541" t="s">
        <v>1977</v>
      </c>
      <c r="I577" s="3480">
        <v>705</v>
      </c>
      <c r="J577" s="3545" t="s">
        <v>1910</v>
      </c>
      <c r="K577" s="3700" t="s">
        <v>10</v>
      </c>
      <c r="L577" s="3462" t="s">
        <v>37</v>
      </c>
      <c r="M577" s="3462"/>
      <c r="N577" s="3462"/>
      <c r="O577" s="3462" t="s">
        <v>37</v>
      </c>
      <c r="R577" s="3161"/>
      <c r="S577" s="3462"/>
      <c r="T577" s="3545"/>
      <c r="U577" s="3462"/>
      <c r="W577" s="3522" t="s">
        <v>1978</v>
      </c>
    </row>
    <row r="578" spans="1:25" ht="28.5" hidden="1">
      <c r="A578" s="3480" t="s">
        <v>25</v>
      </c>
      <c r="B578" s="3444">
        <v>45761</v>
      </c>
      <c r="C578" s="3165" t="s">
        <v>1963</v>
      </c>
      <c r="D578" s="4400" t="s">
        <v>1979</v>
      </c>
      <c r="E578" s="3622" t="s">
        <v>1464</v>
      </c>
      <c r="F578" s="3622" t="s">
        <v>1465</v>
      </c>
      <c r="I578" s="3600">
        <v>701</v>
      </c>
      <c r="J578" s="3545" t="s">
        <v>1785</v>
      </c>
      <c r="K578" s="3462"/>
      <c r="L578" s="3462"/>
      <c r="M578" s="3462" t="s">
        <v>37</v>
      </c>
      <c r="N578" s="3462"/>
      <c r="O578" s="3462"/>
      <c r="P578" s="21" t="s">
        <v>122</v>
      </c>
      <c r="Q578" s="21" t="s">
        <v>122</v>
      </c>
      <c r="R578" s="21" t="s">
        <v>790</v>
      </c>
      <c r="S578" s="3462" t="s">
        <v>37</v>
      </c>
      <c r="T578" s="3545"/>
      <c r="U578" s="3462"/>
      <c r="W578" s="3544" t="s">
        <v>1980</v>
      </c>
    </row>
    <row r="579" spans="1:25" ht="28.5" hidden="1">
      <c r="A579" s="3500" t="s">
        <v>25</v>
      </c>
      <c r="B579" s="3463">
        <v>45761</v>
      </c>
      <c r="C579" s="3354" t="s">
        <v>1963</v>
      </c>
      <c r="D579" s="4400"/>
      <c r="E579" s="3622" t="s">
        <v>1465</v>
      </c>
      <c r="F579" s="3622" t="s">
        <v>1464</v>
      </c>
      <c r="I579" s="3600">
        <v>701</v>
      </c>
      <c r="J579" s="3545" t="s">
        <v>1771</v>
      </c>
      <c r="K579" s="3462"/>
      <c r="L579" s="3462"/>
      <c r="M579" s="3462"/>
      <c r="N579" s="3462" t="s">
        <v>37</v>
      </c>
      <c r="O579" s="3462"/>
      <c r="P579" s="24" t="s">
        <v>122</v>
      </c>
      <c r="Q579" s="24" t="s">
        <v>122</v>
      </c>
      <c r="R579" s="24" t="s">
        <v>790</v>
      </c>
      <c r="S579" s="3462"/>
      <c r="T579" s="3545"/>
      <c r="U579" s="3462"/>
      <c r="V579" s="3273"/>
      <c r="W579" s="3544" t="s">
        <v>1980</v>
      </c>
      <c r="X579" s="3273"/>
      <c r="Y579" s="3274"/>
    </row>
    <row r="580" spans="1:25" ht="28.5" hidden="1">
      <c r="A580" s="3656" t="s">
        <v>25</v>
      </c>
      <c r="B580" s="3657">
        <v>45761</v>
      </c>
      <c r="C580" s="3356" t="s">
        <v>1963</v>
      </c>
      <c r="D580" s="4403" t="s">
        <v>1981</v>
      </c>
      <c r="E580" s="3668" t="s">
        <v>306</v>
      </c>
      <c r="F580" s="4613" t="s">
        <v>1213</v>
      </c>
      <c r="G580" s="3254"/>
      <c r="H580" s="3253"/>
      <c r="I580" s="3704">
        <v>705</v>
      </c>
      <c r="J580" s="3666" t="s">
        <v>1084</v>
      </c>
      <c r="K580" s="3503"/>
      <c r="L580" s="3668" t="s">
        <v>37</v>
      </c>
      <c r="M580" s="3668"/>
      <c r="N580" s="3668"/>
      <c r="O580" s="3668"/>
      <c r="P580" s="3281"/>
      <c r="Q580" s="3281"/>
      <c r="R580" s="3281"/>
      <c r="S580" s="3668"/>
      <c r="T580" s="3666"/>
      <c r="U580" s="3668" t="s">
        <v>37</v>
      </c>
      <c r="V580" s="3281"/>
      <c r="W580" s="3706"/>
      <c r="X580" s="3281"/>
      <c r="Y580" s="3282"/>
    </row>
    <row r="581" spans="1:25" ht="28.5" hidden="1">
      <c r="A581" s="3480" t="s">
        <v>25</v>
      </c>
      <c r="B581" s="3444">
        <v>45761</v>
      </c>
      <c r="C581" s="3165" t="s">
        <v>1963</v>
      </c>
      <c r="D581" s="4399" t="s">
        <v>1982</v>
      </c>
      <c r="E581" s="3618" t="s">
        <v>1157</v>
      </c>
      <c r="F581" s="3646" t="s">
        <v>1983</v>
      </c>
      <c r="G581" s="3254"/>
      <c r="H581" s="3253"/>
      <c r="I581" s="3443">
        <v>705</v>
      </c>
      <c r="J581" s="3443">
        <v>60086</v>
      </c>
      <c r="K581" s="3695" t="s">
        <v>10</v>
      </c>
      <c r="L581" s="3462" t="s">
        <v>37</v>
      </c>
      <c r="M581" s="3443"/>
      <c r="N581" s="3443"/>
      <c r="O581" s="3443"/>
      <c r="S581" s="3443"/>
      <c r="T581" s="3443"/>
      <c r="U581" s="3443"/>
      <c r="W581" s="3507"/>
      <c r="Y581" s="3283"/>
    </row>
    <row r="582" spans="1:25" ht="28.5" hidden="1">
      <c r="A582" s="3480" t="s">
        <v>67</v>
      </c>
      <c r="B582" s="3444">
        <v>45762</v>
      </c>
      <c r="C582" s="3165" t="s">
        <v>1963</v>
      </c>
      <c r="D582" s="4399"/>
      <c r="E582" s="3618" t="s">
        <v>1160</v>
      </c>
      <c r="F582" s="3646" t="s">
        <v>1984</v>
      </c>
      <c r="G582" s="3254"/>
      <c r="H582" s="3253"/>
      <c r="I582" s="3480">
        <v>705</v>
      </c>
      <c r="J582" s="3443">
        <v>60086</v>
      </c>
      <c r="K582" s="3691" t="s">
        <v>10</v>
      </c>
      <c r="L582" s="3443" t="s">
        <v>37</v>
      </c>
      <c r="M582" s="3443"/>
      <c r="N582" s="3443"/>
      <c r="O582" s="3443"/>
      <c r="S582" s="3443"/>
      <c r="T582" s="3443"/>
      <c r="U582" s="3443"/>
      <c r="W582" s="3507"/>
      <c r="Y582" s="3283"/>
    </row>
    <row r="583" spans="1:25" ht="28.5" hidden="1">
      <c r="A583" s="3480" t="s">
        <v>67</v>
      </c>
      <c r="B583" s="3444">
        <v>45762</v>
      </c>
      <c r="C583" s="3165" t="s">
        <v>1963</v>
      </c>
      <c r="D583" s="4399"/>
      <c r="E583" s="3683" t="s">
        <v>1985</v>
      </c>
      <c r="F583" s="3701" t="s">
        <v>1986</v>
      </c>
      <c r="G583" s="3254"/>
      <c r="H583" s="3253"/>
      <c r="I583" s="3480">
        <v>712</v>
      </c>
      <c r="J583" s="3443" t="s">
        <v>743</v>
      </c>
      <c r="K583" s="3443"/>
      <c r="L583" s="3443" t="s">
        <v>37</v>
      </c>
      <c r="M583" s="3443"/>
      <c r="N583" s="3443"/>
      <c r="O583" s="3443"/>
      <c r="S583" s="3443"/>
      <c r="T583" s="3443"/>
      <c r="U583" s="3443"/>
      <c r="W583" s="3507"/>
      <c r="Y583" s="3283"/>
    </row>
    <row r="584" spans="1:25" ht="28.5" hidden="1">
      <c r="A584" s="3480" t="s">
        <v>67</v>
      </c>
      <c r="B584" s="3444">
        <v>45762</v>
      </c>
      <c r="C584" s="3165" t="s">
        <v>1963</v>
      </c>
      <c r="D584" s="4399"/>
      <c r="E584" s="3679" t="s">
        <v>1987</v>
      </c>
      <c r="F584" s="3702" t="s">
        <v>1988</v>
      </c>
      <c r="G584" s="3254"/>
      <c r="H584" s="3253"/>
      <c r="I584" s="3480">
        <v>704</v>
      </c>
      <c r="J584" s="3443" t="s">
        <v>1989</v>
      </c>
      <c r="K584" s="3511" t="s">
        <v>1274</v>
      </c>
      <c r="L584" s="3443" t="s">
        <v>37</v>
      </c>
      <c r="M584" s="3443"/>
      <c r="N584" s="3443"/>
      <c r="O584" s="3443"/>
      <c r="S584" s="3443"/>
      <c r="T584" s="3443"/>
      <c r="U584" s="3443"/>
      <c r="W584" s="3507"/>
      <c r="Y584" s="3283"/>
    </row>
    <row r="585" spans="1:25" ht="28.5" hidden="1">
      <c r="A585" s="3480" t="s">
        <v>67</v>
      </c>
      <c r="B585" s="3444">
        <v>45762</v>
      </c>
      <c r="C585" s="3165" t="s">
        <v>1963</v>
      </c>
      <c r="D585" s="4399"/>
      <c r="E585" s="3620" t="s">
        <v>450</v>
      </c>
      <c r="F585" s="3648" t="s">
        <v>1990</v>
      </c>
      <c r="G585" s="3254"/>
      <c r="H585" s="3253"/>
      <c r="I585" s="3480">
        <v>705</v>
      </c>
      <c r="J585" s="3443" t="s">
        <v>1910</v>
      </c>
      <c r="K585" s="3443"/>
      <c r="L585" s="3443" t="s">
        <v>37</v>
      </c>
      <c r="M585" s="3443"/>
      <c r="N585" s="3443"/>
      <c r="O585" s="3534" t="s">
        <v>37</v>
      </c>
      <c r="P585" s="3161"/>
      <c r="R585" s="3161"/>
      <c r="S585" s="3443"/>
      <c r="T585" s="3443"/>
      <c r="U585" s="3443"/>
      <c r="W585" s="3507" t="s">
        <v>1991</v>
      </c>
      <c r="Y585" s="3283"/>
    </row>
    <row r="586" spans="1:25" ht="29.25" hidden="1" thickBot="1">
      <c r="A586" s="3494" t="s">
        <v>67</v>
      </c>
      <c r="B586" s="3448">
        <v>45762</v>
      </c>
      <c r="C586" s="3357" t="s">
        <v>1963</v>
      </c>
      <c r="D586" s="4404" t="s">
        <v>1992</v>
      </c>
      <c r="E586" s="3690" t="s">
        <v>1691</v>
      </c>
      <c r="F586" s="3715" t="s">
        <v>204</v>
      </c>
      <c r="G586" s="3254"/>
      <c r="H586" s="3253"/>
      <c r="I586" s="3480">
        <v>702</v>
      </c>
      <c r="J586" s="3447" t="s">
        <v>1968</v>
      </c>
      <c r="K586" s="3447"/>
      <c r="L586" s="3447" t="s">
        <v>37</v>
      </c>
      <c r="M586" s="3447"/>
      <c r="N586" s="3447"/>
      <c r="O586" s="3546"/>
      <c r="P586" s="3161"/>
      <c r="R586" s="3161"/>
      <c r="S586" s="3447"/>
      <c r="T586" s="3447"/>
      <c r="U586" s="3447"/>
      <c r="V586" s="3284"/>
      <c r="W586" s="3707"/>
      <c r="X586" s="3284"/>
      <c r="Y586" s="3285"/>
    </row>
    <row r="587" spans="1:25" ht="52.5" hidden="1">
      <c r="A587" s="3456" t="s">
        <v>67</v>
      </c>
      <c r="B587" s="3457">
        <v>45762</v>
      </c>
      <c r="C587" s="3355" t="s">
        <v>1963</v>
      </c>
      <c r="D587" s="3513" t="s">
        <v>1993</v>
      </c>
      <c r="E587" s="3843" t="s">
        <v>1464</v>
      </c>
      <c r="F587" s="3843" t="s">
        <v>1465</v>
      </c>
      <c r="I587" s="3443">
        <v>701</v>
      </c>
      <c r="J587" s="3607" t="s">
        <v>1785</v>
      </c>
      <c r="K587" s="3505"/>
      <c r="L587" s="3505"/>
      <c r="M587" s="3456" t="s">
        <v>37</v>
      </c>
      <c r="N587" s="3505"/>
      <c r="O587" s="3505"/>
      <c r="P587" s="119" t="s">
        <v>122</v>
      </c>
      <c r="Q587" s="119" t="s">
        <v>174</v>
      </c>
      <c r="R587" s="119" t="s">
        <v>790</v>
      </c>
      <c r="S587" s="3505"/>
      <c r="T587" s="3505"/>
      <c r="U587" s="3505"/>
      <c r="V587" s="3276"/>
      <c r="W587" s="3697" t="s">
        <v>1994</v>
      </c>
      <c r="X587" s="3294" t="s">
        <v>1995</v>
      </c>
      <c r="Y587" s="3277"/>
    </row>
    <row r="588" spans="1:25" ht="28.5" hidden="1">
      <c r="A588" s="3456" t="s">
        <v>67</v>
      </c>
      <c r="B588" s="3457">
        <v>45762</v>
      </c>
      <c r="C588" s="3165" t="s">
        <v>1963</v>
      </c>
      <c r="D588" s="3513"/>
      <c r="E588" s="3843" t="s">
        <v>1465</v>
      </c>
      <c r="F588" s="3843" t="s">
        <v>1464</v>
      </c>
      <c r="I588" s="3443">
        <v>701</v>
      </c>
      <c r="J588" s="3443" t="s">
        <v>1771</v>
      </c>
      <c r="K588" s="3443"/>
      <c r="L588" s="3443"/>
      <c r="M588" s="3443"/>
      <c r="N588" s="3443" t="s">
        <v>37</v>
      </c>
      <c r="O588" s="3443" t="s">
        <v>37</v>
      </c>
      <c r="P588" s="21" t="s">
        <v>122</v>
      </c>
      <c r="Q588" s="21" t="s">
        <v>174</v>
      </c>
      <c r="R588" s="21" t="s">
        <v>790</v>
      </c>
      <c r="S588" s="3443"/>
      <c r="T588" s="3443"/>
      <c r="U588" s="3443"/>
      <c r="W588" s="3507"/>
    </row>
    <row r="589" spans="1:25" ht="28.5" hidden="1">
      <c r="A589" s="3443" t="s">
        <v>85</v>
      </c>
      <c r="B589" s="3444">
        <v>45763</v>
      </c>
      <c r="C589" s="3165" t="s">
        <v>1963</v>
      </c>
      <c r="D589" s="4399" t="s">
        <v>1996</v>
      </c>
      <c r="E589" s="3614" t="s">
        <v>1997</v>
      </c>
      <c r="F589" s="3678" t="s">
        <v>1998</v>
      </c>
      <c r="I589" s="3443">
        <v>712</v>
      </c>
      <c r="J589" s="3443" t="s">
        <v>1999</v>
      </c>
      <c r="K589" s="3443"/>
      <c r="L589" s="3443" t="s">
        <v>37</v>
      </c>
      <c r="M589" s="3605"/>
      <c r="N589" s="3456"/>
      <c r="O589" s="3456"/>
      <c r="P589" s="3273"/>
      <c r="Q589" s="3273"/>
      <c r="R589" s="3273"/>
      <c r="S589" s="3456"/>
      <c r="T589" s="3456"/>
      <c r="U589" s="3456"/>
      <c r="W589" s="3697" t="s">
        <v>2000</v>
      </c>
    </row>
    <row r="590" spans="1:25" ht="133.35" hidden="1" customHeight="1">
      <c r="A590" s="3443" t="s">
        <v>85</v>
      </c>
      <c r="B590" s="3444">
        <v>45763</v>
      </c>
      <c r="C590" s="3165" t="s">
        <v>1963</v>
      </c>
      <c r="D590" s="4399"/>
      <c r="E590" s="3614" t="s">
        <v>1191</v>
      </c>
      <c r="F590" s="3678" t="s">
        <v>2001</v>
      </c>
      <c r="I590" s="3443">
        <v>712</v>
      </c>
      <c r="J590" s="3443" t="s">
        <v>50</v>
      </c>
      <c r="K590" s="3511" t="s">
        <v>84</v>
      </c>
      <c r="L590" s="3443" t="s">
        <v>37</v>
      </c>
      <c r="M590" s="3605"/>
      <c r="N590" s="3456"/>
      <c r="O590" s="3599"/>
      <c r="S590" s="3605"/>
      <c r="T590" s="3456"/>
      <c r="U590" s="3456"/>
      <c r="W590" s="3697" t="s">
        <v>2002</v>
      </c>
    </row>
    <row r="591" spans="1:25" ht="129.94999999999999" hidden="1" customHeight="1">
      <c r="A591" s="3443" t="s">
        <v>85</v>
      </c>
      <c r="B591" s="3444">
        <v>45763</v>
      </c>
      <c r="C591" s="3165" t="s">
        <v>1963</v>
      </c>
      <c r="D591" s="4399"/>
      <c r="E591" s="3679" t="s">
        <v>169</v>
      </c>
      <c r="F591" s="3680" t="s">
        <v>2003</v>
      </c>
      <c r="I591" s="3443">
        <v>710</v>
      </c>
      <c r="J591" s="3443" t="s">
        <v>1989</v>
      </c>
      <c r="K591" s="3443"/>
      <c r="L591" s="3443"/>
      <c r="M591" s="3605" t="s">
        <v>30</v>
      </c>
      <c r="N591" s="3456"/>
      <c r="O591" s="3456"/>
      <c r="P591" s="21" t="s">
        <v>231</v>
      </c>
      <c r="Q591" s="21" t="s">
        <v>187</v>
      </c>
      <c r="R591" s="21" t="s">
        <v>38</v>
      </c>
      <c r="S591" s="3456"/>
      <c r="T591" s="3456"/>
      <c r="U591" s="3456"/>
      <c r="W591" s="4763" t="s">
        <v>2004</v>
      </c>
    </row>
    <row r="592" spans="1:25" ht="26.1" hidden="1" customHeight="1">
      <c r="A592" s="3443" t="s">
        <v>85</v>
      </c>
      <c r="B592" s="3444">
        <v>45763</v>
      </c>
      <c r="C592" s="3165" t="s">
        <v>1963</v>
      </c>
      <c r="D592" s="4399" t="s">
        <v>2005</v>
      </c>
      <c r="E592" s="3614" t="s">
        <v>169</v>
      </c>
      <c r="F592" s="3678" t="s">
        <v>2006</v>
      </c>
      <c r="I592" s="3443">
        <v>710</v>
      </c>
      <c r="J592" s="3443" t="s">
        <v>1499</v>
      </c>
      <c r="K592" s="3443"/>
      <c r="L592" s="3443"/>
      <c r="M592" s="3605" t="s">
        <v>37</v>
      </c>
      <c r="N592" s="3456"/>
      <c r="O592" s="3456"/>
      <c r="P592" s="21" t="s">
        <v>122</v>
      </c>
      <c r="Q592" s="21" t="s">
        <v>174</v>
      </c>
      <c r="R592" s="21" t="s">
        <v>1228</v>
      </c>
      <c r="S592" s="3456" t="s">
        <v>30</v>
      </c>
      <c r="T592" s="3456"/>
      <c r="U592" s="3456" t="s">
        <v>37</v>
      </c>
      <c r="W592" s="3470" t="s">
        <v>2007</v>
      </c>
      <c r="X592" s="3160" t="s">
        <v>2008</v>
      </c>
    </row>
    <row r="593" spans="1:25" ht="57" hidden="1" customHeight="1">
      <c r="A593" s="3443" t="s">
        <v>85</v>
      </c>
      <c r="B593" s="3444">
        <v>45763</v>
      </c>
      <c r="C593" s="3165" t="s">
        <v>1963</v>
      </c>
      <c r="D593" s="4399"/>
      <c r="E593" s="3620" t="s">
        <v>258</v>
      </c>
      <c r="F593" s="3681" t="s">
        <v>2009</v>
      </c>
      <c r="I593" s="3443">
        <v>705</v>
      </c>
      <c r="J593" s="3443" t="s">
        <v>1910</v>
      </c>
      <c r="K593" s="3456"/>
      <c r="L593" s="3443"/>
      <c r="M593" s="3605" t="s">
        <v>37</v>
      </c>
      <c r="N593" s="3456"/>
      <c r="O593" s="3456"/>
      <c r="P593" s="21" t="s">
        <v>122</v>
      </c>
      <c r="Q593" s="21" t="s">
        <v>174</v>
      </c>
      <c r="R593" s="21" t="s">
        <v>160</v>
      </c>
      <c r="S593" s="3605" t="s">
        <v>37</v>
      </c>
      <c r="T593" s="3456"/>
      <c r="U593" s="3456"/>
      <c r="W593" s="4954" t="s">
        <v>2010</v>
      </c>
      <c r="X593" s="3160" t="s">
        <v>2008</v>
      </c>
    </row>
    <row r="594" spans="1:25" ht="28.5" hidden="1" customHeight="1">
      <c r="A594" s="3443" t="s">
        <v>85</v>
      </c>
      <c r="B594" s="3444">
        <v>45763</v>
      </c>
      <c r="C594" s="3165" t="s">
        <v>1963</v>
      </c>
      <c r="D594" s="4399"/>
      <c r="E594" s="3620" t="s">
        <v>392</v>
      </c>
      <c r="F594" s="3681" t="s">
        <v>2011</v>
      </c>
      <c r="I594" s="3443">
        <v>705</v>
      </c>
      <c r="J594" s="3443" t="s">
        <v>1926</v>
      </c>
      <c r="K594" s="3443"/>
      <c r="L594" s="3605"/>
      <c r="M594" s="3605"/>
      <c r="N594" s="3456" t="s">
        <v>37</v>
      </c>
      <c r="O594" s="3456"/>
      <c r="P594" s="21" t="s">
        <v>122</v>
      </c>
      <c r="Q594" s="21" t="s">
        <v>174</v>
      </c>
      <c r="R594" s="21" t="s">
        <v>160</v>
      </c>
      <c r="S594" s="3456"/>
      <c r="T594" s="3456"/>
      <c r="U594" s="3456"/>
      <c r="W594" s="3698"/>
    </row>
    <row r="595" spans="1:25" ht="28.5" hidden="1" customHeight="1">
      <c r="A595" s="3443" t="s">
        <v>85</v>
      </c>
      <c r="B595" s="3444">
        <v>45763</v>
      </c>
      <c r="C595" s="3165" t="s">
        <v>1963</v>
      </c>
      <c r="D595" s="4399"/>
      <c r="E595" s="3620" t="s">
        <v>169</v>
      </c>
      <c r="F595" s="3681" t="s">
        <v>2012</v>
      </c>
      <c r="I595" s="3443">
        <v>705</v>
      </c>
      <c r="J595" s="3443" t="s">
        <v>1926</v>
      </c>
      <c r="K595" s="3511" t="s">
        <v>84</v>
      </c>
      <c r="L595" s="3605"/>
      <c r="M595" s="3605"/>
      <c r="N595" s="3456" t="s">
        <v>37</v>
      </c>
      <c r="O595" s="3456"/>
      <c r="P595" s="21" t="s">
        <v>122</v>
      </c>
      <c r="Q595" s="21" t="s">
        <v>174</v>
      </c>
      <c r="R595" s="21" t="s">
        <v>160</v>
      </c>
      <c r="S595" s="3456" t="s">
        <v>30</v>
      </c>
      <c r="T595" s="3456"/>
      <c r="U595" s="3456"/>
      <c r="W595" s="4784" t="s">
        <v>2013</v>
      </c>
    </row>
    <row r="596" spans="1:25" ht="28.5" hidden="1" customHeight="1">
      <c r="A596" s="3443" t="s">
        <v>85</v>
      </c>
      <c r="B596" s="3444">
        <v>45763</v>
      </c>
      <c r="C596" s="3165" t="s">
        <v>1963</v>
      </c>
      <c r="D596" s="4399" t="s">
        <v>2014</v>
      </c>
      <c r="E596" s="3443" t="s">
        <v>43</v>
      </c>
      <c r="F596" s="3531" t="s">
        <v>1740</v>
      </c>
      <c r="I596" s="3443">
        <v>704</v>
      </c>
      <c r="J596" s="3443" t="s">
        <v>1060</v>
      </c>
      <c r="K596" s="3456"/>
      <c r="L596" s="3605" t="s">
        <v>30</v>
      </c>
      <c r="M596" s="3605"/>
      <c r="N596" s="3456"/>
      <c r="O596" s="3456"/>
      <c r="S596" s="3456"/>
      <c r="T596" s="3456"/>
      <c r="U596" s="3456"/>
      <c r="W596" s="3697"/>
    </row>
    <row r="597" spans="1:25" ht="28.5" hidden="1">
      <c r="A597" s="3443" t="s">
        <v>85</v>
      </c>
      <c r="B597" s="3444">
        <v>45763</v>
      </c>
      <c r="C597" s="3165" t="s">
        <v>1963</v>
      </c>
      <c r="D597" s="4399" t="s">
        <v>2015</v>
      </c>
      <c r="E597" s="3686" t="s">
        <v>2016</v>
      </c>
      <c r="F597" s="3687" t="s">
        <v>2017</v>
      </c>
      <c r="I597" s="3443">
        <v>706</v>
      </c>
      <c r="J597" s="3443" t="s">
        <v>2018</v>
      </c>
      <c r="K597" s="3456"/>
      <c r="L597" s="3443" t="s">
        <v>30</v>
      </c>
      <c r="M597" s="3605"/>
      <c r="N597" s="3456"/>
      <c r="O597" s="3456"/>
      <c r="P597" s="3161"/>
      <c r="Q597" s="3161"/>
      <c r="R597" s="3161"/>
      <c r="S597" s="3456"/>
      <c r="T597" s="3456"/>
      <c r="U597" s="3456"/>
      <c r="W597" s="3697"/>
    </row>
    <row r="598" spans="1:25" ht="28.5" hidden="1">
      <c r="A598" s="3443" t="s">
        <v>85</v>
      </c>
      <c r="B598" s="3444">
        <v>45763</v>
      </c>
      <c r="C598" s="3165" t="s">
        <v>1963</v>
      </c>
      <c r="D598" s="4399"/>
      <c r="E598" s="3686" t="s">
        <v>491</v>
      </c>
      <c r="F598" s="3687" t="s">
        <v>2019</v>
      </c>
      <c r="I598" s="3443">
        <v>706</v>
      </c>
      <c r="J598" s="3443" t="s">
        <v>2018</v>
      </c>
      <c r="K598" s="3673" t="s">
        <v>1613</v>
      </c>
      <c r="L598" s="3605" t="s">
        <v>30</v>
      </c>
      <c r="M598" s="3605"/>
      <c r="N598" s="3456"/>
      <c r="O598" s="3456"/>
      <c r="S598" s="3456"/>
      <c r="T598" s="3456"/>
      <c r="U598" s="3456"/>
      <c r="W598" s="3697"/>
    </row>
    <row r="599" spans="1:25" ht="28.5" hidden="1">
      <c r="A599" s="3443" t="s">
        <v>85</v>
      </c>
      <c r="B599" s="3444">
        <v>45763</v>
      </c>
      <c r="C599" s="3165" t="s">
        <v>1963</v>
      </c>
      <c r="D599" s="4399" t="s">
        <v>2020</v>
      </c>
      <c r="E599" s="3614" t="s">
        <v>1703</v>
      </c>
      <c r="F599" s="3678" t="s">
        <v>169</v>
      </c>
      <c r="I599" s="3480">
        <v>706</v>
      </c>
      <c r="J599" s="3443" t="s">
        <v>1674</v>
      </c>
      <c r="K599" s="3511" t="s">
        <v>84</v>
      </c>
      <c r="L599" s="3605"/>
      <c r="M599" s="3534" t="s">
        <v>30</v>
      </c>
      <c r="N599" s="3443"/>
      <c r="O599" s="3443"/>
      <c r="P599" s="21" t="s">
        <v>0</v>
      </c>
      <c r="Q599" s="21" t="s">
        <v>31</v>
      </c>
      <c r="R599" s="21" t="s">
        <v>38</v>
      </c>
      <c r="S599" s="3443"/>
      <c r="T599" s="3443"/>
      <c r="U599" s="3443" t="s">
        <v>37</v>
      </c>
      <c r="W599" s="3507" t="s">
        <v>2021</v>
      </c>
    </row>
    <row r="600" spans="1:25" ht="28.5" hidden="1">
      <c r="A600" s="3462" t="s">
        <v>85</v>
      </c>
      <c r="B600" s="3463">
        <v>45763</v>
      </c>
      <c r="C600" s="3354" t="s">
        <v>1963</v>
      </c>
      <c r="D600" s="4400" t="s">
        <v>2022</v>
      </c>
      <c r="E600" s="3864" t="s">
        <v>306</v>
      </c>
      <c r="F600" s="3864" t="s">
        <v>183</v>
      </c>
      <c r="I600" s="3480">
        <v>706</v>
      </c>
      <c r="J600" s="3505" t="s">
        <v>2023</v>
      </c>
      <c r="K600" s="3693" t="s">
        <v>84</v>
      </c>
      <c r="L600" s="3607" t="s">
        <v>30</v>
      </c>
      <c r="M600" s="3462"/>
      <c r="N600" s="3462"/>
      <c r="O600" s="3545"/>
      <c r="P600" s="3273"/>
      <c r="Q600" s="3273"/>
      <c r="R600" s="3273"/>
      <c r="S600" s="3462"/>
      <c r="T600" s="3462"/>
      <c r="U600" s="3462"/>
      <c r="V600" s="3273"/>
      <c r="W600" s="3636"/>
      <c r="X600" s="3273"/>
      <c r="Y600" s="3274"/>
    </row>
    <row r="601" spans="1:25" ht="28.5" hidden="1">
      <c r="A601" s="3477" t="s">
        <v>85</v>
      </c>
      <c r="B601" s="3478">
        <v>45763</v>
      </c>
      <c r="C601" s="3356" t="s">
        <v>1963</v>
      </c>
      <c r="D601" s="3514" t="s">
        <v>2024</v>
      </c>
      <c r="E601" s="3809" t="s">
        <v>1464</v>
      </c>
      <c r="F601" s="3839" t="s">
        <v>1465</v>
      </c>
      <c r="G601" s="3254"/>
      <c r="H601" s="3253"/>
      <c r="I601" s="3443">
        <v>701</v>
      </c>
      <c r="J601" s="3530" t="s">
        <v>1785</v>
      </c>
      <c r="K601" s="3503"/>
      <c r="L601" s="3503" t="s">
        <v>30</v>
      </c>
      <c r="M601" s="3503"/>
      <c r="N601" s="3668"/>
      <c r="O601" s="3716"/>
      <c r="S601" s="3530"/>
      <c r="T601" s="3668"/>
      <c r="U601" s="3668"/>
      <c r="V601" s="3281"/>
      <c r="W601" s="3669"/>
      <c r="X601" s="3281"/>
      <c r="Y601" s="3282"/>
    </row>
    <row r="602" spans="1:25" ht="28.5" hidden="1">
      <c r="A602" s="3493" t="s">
        <v>85</v>
      </c>
      <c r="B602" s="3457">
        <v>45763</v>
      </c>
      <c r="C602" s="3165" t="s">
        <v>1963</v>
      </c>
      <c r="D602" s="4399"/>
      <c r="E602" s="3617" t="s">
        <v>1465</v>
      </c>
      <c r="F602" s="3645" t="s">
        <v>1464</v>
      </c>
      <c r="G602" s="3254"/>
      <c r="H602" s="3253"/>
      <c r="I602" s="3480">
        <v>701</v>
      </c>
      <c r="J602" s="3443" t="s">
        <v>1771</v>
      </c>
      <c r="K602" s="3456"/>
      <c r="L602" s="3443" t="s">
        <v>30</v>
      </c>
      <c r="M602" s="3605"/>
      <c r="N602" s="3456"/>
      <c r="O602" s="3456"/>
      <c r="P602" s="3276"/>
      <c r="Q602" s="3276"/>
      <c r="R602" s="3276"/>
      <c r="S602" s="3456"/>
      <c r="T602" s="3456"/>
      <c r="U602" s="3456"/>
      <c r="V602" s="3253"/>
      <c r="W602" s="3507"/>
      <c r="X602" s="3254"/>
      <c r="Y602" s="3283"/>
    </row>
    <row r="603" spans="1:25" ht="114" hidden="1">
      <c r="A603" s="3493" t="s">
        <v>105</v>
      </c>
      <c r="B603" s="3457">
        <v>45764</v>
      </c>
      <c r="C603" s="3165" t="s">
        <v>1963</v>
      </c>
      <c r="D603" s="4399" t="s">
        <v>2025</v>
      </c>
      <c r="E603" s="3614" t="s">
        <v>169</v>
      </c>
      <c r="F603" s="3643" t="s">
        <v>1571</v>
      </c>
      <c r="G603" s="3254"/>
      <c r="H603" s="3253"/>
      <c r="I603" s="3660">
        <v>712</v>
      </c>
      <c r="J603" s="3605" t="s">
        <v>2026</v>
      </c>
      <c r="K603" s="3673" t="s">
        <v>84</v>
      </c>
      <c r="L603" s="3443"/>
      <c r="M603" s="3456" t="s">
        <v>37</v>
      </c>
      <c r="N603" s="3443"/>
      <c r="O603" s="3443"/>
      <c r="P603" s="21" t="s">
        <v>231</v>
      </c>
      <c r="Q603" s="21" t="s">
        <v>782</v>
      </c>
      <c r="R603" s="21" t="s">
        <v>2027</v>
      </c>
      <c r="S603" s="3443" t="s">
        <v>37</v>
      </c>
      <c r="T603" s="3443"/>
      <c r="U603" s="3443"/>
      <c r="W603" s="4955" t="s">
        <v>2028</v>
      </c>
      <c r="X603" s="3160" t="s">
        <v>2029</v>
      </c>
      <c r="Y603" s="3283"/>
    </row>
    <row r="604" spans="1:25" ht="28.5" hidden="1">
      <c r="A604" s="3493" t="s">
        <v>105</v>
      </c>
      <c r="B604" s="3457">
        <v>45764</v>
      </c>
      <c r="C604" s="3165" t="s">
        <v>1963</v>
      </c>
      <c r="D604" s="4399"/>
      <c r="E604" s="3686" t="s">
        <v>156</v>
      </c>
      <c r="F604" s="3710" t="s">
        <v>2030</v>
      </c>
      <c r="G604" s="3254"/>
      <c r="H604" s="3253"/>
      <c r="I604" s="3660">
        <v>706</v>
      </c>
      <c r="J604" s="3605" t="s">
        <v>2018</v>
      </c>
      <c r="K604" s="3673" t="s">
        <v>1613</v>
      </c>
      <c r="L604" s="3456" t="s">
        <v>37</v>
      </c>
      <c r="M604" s="3443"/>
      <c r="N604" s="3443"/>
      <c r="O604" s="3443"/>
      <c r="P604" s="3161"/>
      <c r="Q604" s="3161"/>
      <c r="R604" s="3161"/>
      <c r="S604" s="3443"/>
      <c r="T604" s="3443"/>
      <c r="U604" s="3443"/>
      <c r="W604" s="3507"/>
      <c r="Y604" s="3283"/>
    </row>
    <row r="605" spans="1:25" ht="28.5" hidden="1">
      <c r="A605" s="3480" t="s">
        <v>105</v>
      </c>
      <c r="B605" s="3444">
        <v>45764</v>
      </c>
      <c r="C605" s="3165" t="s">
        <v>1963</v>
      </c>
      <c r="D605" s="4399"/>
      <c r="E605" s="3686" t="s">
        <v>258</v>
      </c>
      <c r="F605" s="3710" t="s">
        <v>2031</v>
      </c>
      <c r="G605" s="3254"/>
      <c r="H605" s="3253"/>
      <c r="I605" s="3443">
        <v>706</v>
      </c>
      <c r="J605" s="3605" t="s">
        <v>2018</v>
      </c>
      <c r="K605" s="3673" t="s">
        <v>84</v>
      </c>
      <c r="L605" s="3443" t="s">
        <v>37</v>
      </c>
      <c r="M605" s="3456"/>
      <c r="N605" s="3443"/>
      <c r="O605" s="3443"/>
      <c r="S605" s="3443"/>
      <c r="T605" s="3443"/>
      <c r="U605" s="3443"/>
      <c r="W605" s="3507"/>
      <c r="Y605" s="3283"/>
    </row>
    <row r="606" spans="1:25" ht="28.5" hidden="1">
      <c r="A606" s="3480" t="s">
        <v>105</v>
      </c>
      <c r="B606" s="3444">
        <v>45764</v>
      </c>
      <c r="C606" s="3165" t="s">
        <v>1963</v>
      </c>
      <c r="D606" s="4399"/>
      <c r="E606" s="3686" t="s">
        <v>383</v>
      </c>
      <c r="F606" s="3710" t="s">
        <v>2032</v>
      </c>
      <c r="G606" s="3254"/>
      <c r="H606" s="3253"/>
      <c r="I606" s="3660">
        <v>706</v>
      </c>
      <c r="J606" s="3605" t="s">
        <v>2018</v>
      </c>
      <c r="K606" s="3673" t="s">
        <v>84</v>
      </c>
      <c r="L606" s="3443"/>
      <c r="M606" s="3456" t="s">
        <v>37</v>
      </c>
      <c r="N606" s="3443"/>
      <c r="O606" s="3443"/>
      <c r="P606" s="21" t="s">
        <v>109</v>
      </c>
      <c r="Q606" s="21" t="s">
        <v>213</v>
      </c>
      <c r="R606" s="21" t="s">
        <v>160</v>
      </c>
      <c r="S606" s="3443"/>
      <c r="T606" s="3443"/>
      <c r="U606" s="3443"/>
      <c r="W606" s="3507" t="s">
        <v>2033</v>
      </c>
      <c r="Y606" s="3283"/>
    </row>
    <row r="607" spans="1:25" ht="28.5" hidden="1">
      <c r="A607" s="3480" t="s">
        <v>105</v>
      </c>
      <c r="B607" s="3444">
        <v>45764</v>
      </c>
      <c r="C607" s="3165" t="s">
        <v>1963</v>
      </c>
      <c r="D607" s="4399" t="s">
        <v>2034</v>
      </c>
      <c r="E607" s="3553" t="s">
        <v>306</v>
      </c>
      <c r="F607" s="3711" t="s">
        <v>2035</v>
      </c>
      <c r="G607" s="3254"/>
      <c r="H607" s="3253"/>
      <c r="I607" s="3660">
        <v>712</v>
      </c>
      <c r="J607" s="3605" t="s">
        <v>2036</v>
      </c>
      <c r="K607" s="3456"/>
      <c r="L607" s="3443" t="s">
        <v>37</v>
      </c>
      <c r="M607" s="3505"/>
      <c r="N607" s="3443"/>
      <c r="O607" s="3443"/>
      <c r="Q607" s="3273"/>
      <c r="S607" s="3443"/>
      <c r="T607" s="3443"/>
      <c r="U607" s="3443"/>
      <c r="W607" s="3507"/>
      <c r="Y607" s="3283"/>
    </row>
    <row r="608" spans="1:25" ht="28.5" hidden="1">
      <c r="A608" s="3480" t="s">
        <v>105</v>
      </c>
      <c r="B608" s="3444">
        <v>45764</v>
      </c>
      <c r="C608" s="3165" t="s">
        <v>1963</v>
      </c>
      <c r="D608" s="4399"/>
      <c r="E608" s="3541" t="s">
        <v>169</v>
      </c>
      <c r="F608" s="3659" t="s">
        <v>287</v>
      </c>
      <c r="G608" s="3254"/>
      <c r="H608" s="3253"/>
      <c r="I608" s="3443">
        <v>706</v>
      </c>
      <c r="J608" s="3605" t="s">
        <v>2037</v>
      </c>
      <c r="K608" s="3456"/>
      <c r="L608" s="3599" t="s">
        <v>37</v>
      </c>
      <c r="M608" s="3443"/>
      <c r="N608" s="3443"/>
      <c r="O608" s="3443"/>
      <c r="P608" s="3161"/>
      <c r="R608" s="3161"/>
      <c r="S608" s="3443"/>
      <c r="T608" s="3443"/>
      <c r="U608" s="3443"/>
      <c r="W608" s="3507" t="s">
        <v>2038</v>
      </c>
      <c r="Y608" s="3283"/>
    </row>
    <row r="609" spans="1:25" ht="28.5" hidden="1">
      <c r="A609" s="3647" t="s">
        <v>105</v>
      </c>
      <c r="B609" s="3444">
        <v>45764</v>
      </c>
      <c r="C609" s="3165" t="s">
        <v>1963</v>
      </c>
      <c r="D609" s="4399" t="s">
        <v>2039</v>
      </c>
      <c r="E609" s="3536" t="s">
        <v>1703</v>
      </c>
      <c r="F609" s="3712" t="s">
        <v>183</v>
      </c>
      <c r="G609" s="3254"/>
      <c r="H609" s="3253"/>
      <c r="I609" s="3443">
        <v>705</v>
      </c>
      <c r="J609" s="3605" t="s">
        <v>2040</v>
      </c>
      <c r="K609" s="3456"/>
      <c r="L609" s="3443" t="s">
        <v>37</v>
      </c>
      <c r="M609" s="3443"/>
      <c r="N609" s="3443"/>
      <c r="O609" s="3443"/>
      <c r="Q609" s="3276"/>
      <c r="S609" s="3443"/>
      <c r="T609" s="3443"/>
      <c r="U609" s="3443"/>
      <c r="W609" s="3507"/>
      <c r="Y609" s="3283"/>
    </row>
    <row r="610" spans="1:25" ht="28.5" hidden="1">
      <c r="A610" s="3480" t="s">
        <v>105</v>
      </c>
      <c r="B610" s="3444">
        <v>45764</v>
      </c>
      <c r="C610" s="3165" t="s">
        <v>1963</v>
      </c>
      <c r="D610" s="4399" t="s">
        <v>2041</v>
      </c>
      <c r="E610" s="3623" t="s">
        <v>1811</v>
      </c>
      <c r="F610" s="3652" t="s">
        <v>2042</v>
      </c>
      <c r="G610" s="3254"/>
      <c r="H610" s="3253"/>
      <c r="I610" s="3443">
        <v>712</v>
      </c>
      <c r="J610" s="3605" t="s">
        <v>589</v>
      </c>
      <c r="K610" s="3456"/>
      <c r="L610" s="3599"/>
      <c r="M610" s="3443" t="s">
        <v>37</v>
      </c>
      <c r="N610" s="3443"/>
      <c r="O610" s="3443"/>
      <c r="P610" s="20" t="s">
        <v>122</v>
      </c>
      <c r="Q610" s="21" t="s">
        <v>123</v>
      </c>
      <c r="R610" s="20" t="s">
        <v>32</v>
      </c>
      <c r="S610" s="3443"/>
      <c r="T610" s="3443"/>
      <c r="U610" s="3443"/>
      <c r="W610" s="3507" t="s">
        <v>2043</v>
      </c>
      <c r="Y610" s="3283"/>
    </row>
    <row r="611" spans="1:25" ht="28.5" hidden="1">
      <c r="A611" s="3480" t="s">
        <v>105</v>
      </c>
      <c r="B611" s="3444">
        <v>45764</v>
      </c>
      <c r="C611" s="3165" t="s">
        <v>1963</v>
      </c>
      <c r="D611" s="4399"/>
      <c r="E611" s="3623" t="s">
        <v>304</v>
      </c>
      <c r="F611" s="3652" t="s">
        <v>808</v>
      </c>
      <c r="G611" s="3254"/>
      <c r="H611" s="3253"/>
      <c r="I611" s="3443">
        <v>712</v>
      </c>
      <c r="J611" s="3605" t="s">
        <v>2044</v>
      </c>
      <c r="K611" s="3456"/>
      <c r="L611" s="3599" t="s">
        <v>37</v>
      </c>
      <c r="M611" s="3443"/>
      <c r="N611" s="3443"/>
      <c r="O611" s="3443"/>
      <c r="S611" s="3443"/>
      <c r="T611" s="3443"/>
      <c r="U611" s="3443"/>
      <c r="W611" s="3507" t="s">
        <v>2045</v>
      </c>
      <c r="Y611" s="3283"/>
    </row>
    <row r="612" spans="1:25" ht="28.5" hidden="1">
      <c r="A612" s="3500" t="s">
        <v>105</v>
      </c>
      <c r="B612" s="3463">
        <v>45764</v>
      </c>
      <c r="C612" s="3165" t="s">
        <v>1963</v>
      </c>
      <c r="D612" s="4400" t="s">
        <v>2046</v>
      </c>
      <c r="E612" s="3462" t="s">
        <v>1811</v>
      </c>
      <c r="F612" s="3524" t="s">
        <v>2047</v>
      </c>
      <c r="G612" s="3254"/>
      <c r="H612" s="3253"/>
      <c r="I612" s="3661">
        <v>712</v>
      </c>
      <c r="J612" s="3607" t="s">
        <v>2048</v>
      </c>
      <c r="K612" s="3693" t="s">
        <v>84</v>
      </c>
      <c r="L612" s="3602"/>
      <c r="M612" s="3443"/>
      <c r="N612" s="3505" t="s">
        <v>37</v>
      </c>
      <c r="O612" s="3505"/>
      <c r="P612" s="20" t="s">
        <v>122</v>
      </c>
      <c r="Q612" s="21" t="s">
        <v>123</v>
      </c>
      <c r="R612" s="20" t="s">
        <v>32</v>
      </c>
      <c r="S612" s="3505"/>
      <c r="T612" s="3505"/>
      <c r="U612" s="3443"/>
      <c r="W612" s="3637" t="s">
        <v>2049</v>
      </c>
      <c r="Y612" s="3283"/>
    </row>
    <row r="613" spans="1:25" ht="28.5" hidden="1">
      <c r="A613" s="3500" t="s">
        <v>105</v>
      </c>
      <c r="B613" s="3463">
        <v>45764</v>
      </c>
      <c r="C613" s="3165" t="s">
        <v>1963</v>
      </c>
      <c r="D613" s="4400" t="s">
        <v>2050</v>
      </c>
      <c r="E613" s="3462" t="s">
        <v>169</v>
      </c>
      <c r="F613" s="3524" t="s">
        <v>1160</v>
      </c>
      <c r="G613" s="3254"/>
      <c r="H613" s="3253"/>
      <c r="I613" s="3500">
        <v>712</v>
      </c>
      <c r="J613" s="3462" t="s">
        <v>387</v>
      </c>
      <c r="K613" s="3693" t="s">
        <v>84</v>
      </c>
      <c r="L613" s="3462" t="s">
        <v>37</v>
      </c>
      <c r="M613" s="3505"/>
      <c r="N613" s="3462"/>
      <c r="O613" s="3462"/>
      <c r="S613" s="3462"/>
      <c r="T613" s="3462"/>
      <c r="U613" s="3462" t="s">
        <v>37</v>
      </c>
      <c r="W613" s="3636" t="s">
        <v>2049</v>
      </c>
      <c r="Y613" s="3283"/>
    </row>
    <row r="614" spans="1:25" ht="29.25" hidden="1" thickBot="1">
      <c r="A614" s="3494" t="s">
        <v>105</v>
      </c>
      <c r="B614" s="3448">
        <v>45764</v>
      </c>
      <c r="C614" s="3357" t="s">
        <v>1963</v>
      </c>
      <c r="D614" s="4404" t="s">
        <v>2051</v>
      </c>
      <c r="E614" s="3447" t="s">
        <v>2052</v>
      </c>
      <c r="F614" s="3523" t="s">
        <v>1598</v>
      </c>
      <c r="G614" s="3254"/>
      <c r="H614" s="3253"/>
      <c r="I614" s="3480">
        <v>710</v>
      </c>
      <c r="J614" s="3447" t="s">
        <v>1499</v>
      </c>
      <c r="K614" s="3634"/>
      <c r="L614" s="3447"/>
      <c r="M614" s="3546"/>
      <c r="N614" s="3447" t="s">
        <v>37</v>
      </c>
      <c r="O614" s="3447"/>
      <c r="P614" s="35" t="s">
        <v>122</v>
      </c>
      <c r="Q614" s="35" t="s">
        <v>123</v>
      </c>
      <c r="R614" s="35" t="s">
        <v>32</v>
      </c>
      <c r="S614" s="3447"/>
      <c r="T614" s="3447"/>
      <c r="U614" s="3447"/>
      <c r="V614" s="3284"/>
      <c r="W614" s="3707" t="s">
        <v>350</v>
      </c>
      <c r="X614" s="3284"/>
      <c r="Y614" s="3285"/>
    </row>
    <row r="615" spans="1:25" ht="28.5" hidden="1">
      <c r="A615" s="3477" t="s">
        <v>105</v>
      </c>
      <c r="B615" s="3478">
        <v>45764</v>
      </c>
      <c r="C615" s="3356" t="s">
        <v>1963</v>
      </c>
      <c r="D615" s="3514" t="s">
        <v>2053</v>
      </c>
      <c r="E615" s="3503" t="s">
        <v>1703</v>
      </c>
      <c r="F615" s="3515" t="s">
        <v>296</v>
      </c>
      <c r="G615" s="3254"/>
      <c r="H615" s="3253"/>
      <c r="I615" s="3443">
        <v>706</v>
      </c>
      <c r="J615" s="3503" t="s">
        <v>1674</v>
      </c>
      <c r="K615" s="3694" t="s">
        <v>84</v>
      </c>
      <c r="L615" s="3503" t="s">
        <v>37</v>
      </c>
      <c r="M615" s="3503"/>
      <c r="N615" s="3503"/>
      <c r="O615" s="3503"/>
      <c r="P615" s="3281"/>
      <c r="Q615" s="3281"/>
      <c r="R615" s="3281"/>
      <c r="S615" s="3503"/>
      <c r="T615" s="3503"/>
      <c r="U615" s="3503"/>
      <c r="V615" s="3281"/>
      <c r="W615" s="3521"/>
      <c r="X615" s="3281"/>
      <c r="Y615" s="3282"/>
    </row>
    <row r="616" spans="1:25" ht="28.5" hidden="1">
      <c r="A616" s="3480" t="s">
        <v>105</v>
      </c>
      <c r="B616" s="3444">
        <v>45764</v>
      </c>
      <c r="C616" s="3165" t="s">
        <v>1963</v>
      </c>
      <c r="D616" s="4399" t="s">
        <v>2054</v>
      </c>
      <c r="E616" s="3617" t="s">
        <v>1464</v>
      </c>
      <c r="F616" s="3645" t="s">
        <v>1465</v>
      </c>
      <c r="G616" s="3254"/>
      <c r="H616" s="3253"/>
      <c r="I616" s="3443">
        <v>701</v>
      </c>
      <c r="J616" s="3443" t="s">
        <v>1785</v>
      </c>
      <c r="K616" s="3443"/>
      <c r="L616" s="3443" t="s">
        <v>37</v>
      </c>
      <c r="M616" s="3443"/>
      <c r="N616" s="3443"/>
      <c r="O616" s="3443"/>
      <c r="S616" s="3443"/>
      <c r="T616" s="3443"/>
      <c r="U616" s="3443" t="s">
        <v>37</v>
      </c>
      <c r="W616" s="3522" t="s">
        <v>2055</v>
      </c>
      <c r="Y616" s="3283"/>
    </row>
    <row r="617" spans="1:25" ht="28.5" hidden="1">
      <c r="A617" s="3480" t="s">
        <v>132</v>
      </c>
      <c r="B617" s="3611">
        <v>45765</v>
      </c>
      <c r="C617" s="3165" t="s">
        <v>1963</v>
      </c>
      <c r="D617" s="4399" t="s">
        <v>2056</v>
      </c>
      <c r="E617" s="3443" t="s">
        <v>169</v>
      </c>
      <c r="F617" s="3516" t="s">
        <v>2057</v>
      </c>
      <c r="G617" s="3254"/>
      <c r="H617" s="3253"/>
      <c r="I617" s="3480">
        <v>712</v>
      </c>
      <c r="J617" s="3443" t="s">
        <v>2058</v>
      </c>
      <c r="K617" s="3511" t="s">
        <v>84</v>
      </c>
      <c r="L617" s="3443" t="s">
        <v>37</v>
      </c>
      <c r="M617" s="3443"/>
      <c r="N617" s="3443"/>
      <c r="O617" s="3443"/>
      <c r="S617" s="3443"/>
      <c r="T617" s="3443"/>
      <c r="U617" s="3443"/>
      <c r="W617" s="3522"/>
      <c r="Y617" s="3283"/>
    </row>
    <row r="618" spans="1:25" ht="28.5" hidden="1">
      <c r="A618" s="3480" t="s">
        <v>132</v>
      </c>
      <c r="B618" s="3611">
        <v>45765</v>
      </c>
      <c r="C618" s="3165" t="s">
        <v>1963</v>
      </c>
      <c r="D618" s="4399" t="s">
        <v>2059</v>
      </c>
      <c r="E618" s="3443" t="s">
        <v>2060</v>
      </c>
      <c r="F618" s="3516" t="s">
        <v>2061</v>
      </c>
      <c r="G618" s="3254"/>
      <c r="H618" s="3253"/>
      <c r="I618" s="3480">
        <v>712</v>
      </c>
      <c r="J618" s="3443" t="s">
        <v>2062</v>
      </c>
      <c r="K618" s="3171" t="s">
        <v>627</v>
      </c>
      <c r="L618" s="3443" t="s">
        <v>37</v>
      </c>
      <c r="M618" s="3443"/>
      <c r="N618" s="3443"/>
      <c r="O618" s="3443"/>
      <c r="S618" s="3443"/>
      <c r="T618" s="3443"/>
      <c r="U618" s="3443"/>
      <c r="W618" s="3522"/>
      <c r="Y618" s="3283"/>
    </row>
    <row r="619" spans="1:25" ht="28.5" hidden="1">
      <c r="A619" s="3480" t="s">
        <v>132</v>
      </c>
      <c r="B619" s="3611">
        <v>45765</v>
      </c>
      <c r="C619" s="3165" t="s">
        <v>1963</v>
      </c>
      <c r="D619" s="4399" t="s">
        <v>2063</v>
      </c>
      <c r="E619" s="3688" t="s">
        <v>296</v>
      </c>
      <c r="F619" s="3713" t="s">
        <v>1741</v>
      </c>
      <c r="G619" s="3254"/>
      <c r="H619" s="3253"/>
      <c r="I619" s="3480">
        <v>706</v>
      </c>
      <c r="J619" s="3443" t="s">
        <v>2064</v>
      </c>
      <c r="K619" s="3635"/>
      <c r="L619" s="3443" t="s">
        <v>37</v>
      </c>
      <c r="M619" s="3443"/>
      <c r="N619" s="3443"/>
      <c r="O619" s="3443"/>
      <c r="S619" s="3443"/>
      <c r="T619" s="3443"/>
      <c r="U619" s="3443"/>
      <c r="W619" s="3522"/>
      <c r="Y619" s="3283"/>
    </row>
    <row r="620" spans="1:25" ht="28.5" hidden="1">
      <c r="A620" s="3480" t="s">
        <v>132</v>
      </c>
      <c r="B620" s="3611">
        <v>45765</v>
      </c>
      <c r="C620" s="3165" t="s">
        <v>1963</v>
      </c>
      <c r="D620" s="4399"/>
      <c r="E620" s="3688" t="s">
        <v>258</v>
      </c>
      <c r="F620" s="3713" t="s">
        <v>2065</v>
      </c>
      <c r="G620" s="3254"/>
      <c r="H620" s="3253"/>
      <c r="I620" s="3443">
        <v>706</v>
      </c>
      <c r="J620" s="3443" t="s">
        <v>2066</v>
      </c>
      <c r="K620" s="3635"/>
      <c r="L620" s="3443" t="s">
        <v>37</v>
      </c>
      <c r="M620" s="3443"/>
      <c r="N620" s="3443"/>
      <c r="O620" s="3443"/>
      <c r="S620" s="3443"/>
      <c r="T620" s="3443"/>
      <c r="U620" s="3443"/>
      <c r="W620" s="3522"/>
      <c r="Y620" s="3283"/>
    </row>
    <row r="621" spans="1:25" ht="57" hidden="1">
      <c r="A621" s="3480" t="s">
        <v>132</v>
      </c>
      <c r="B621" s="3611">
        <v>45765</v>
      </c>
      <c r="C621" s="3165" t="s">
        <v>1963</v>
      </c>
      <c r="D621" s="4399" t="s">
        <v>2067</v>
      </c>
      <c r="E621" s="3443" t="s">
        <v>80</v>
      </c>
      <c r="F621" s="3516" t="s">
        <v>1598</v>
      </c>
      <c r="G621" s="3254"/>
      <c r="H621" s="3253"/>
      <c r="I621" s="3480">
        <v>710</v>
      </c>
      <c r="J621" s="3443" t="s">
        <v>1282</v>
      </c>
      <c r="K621" s="3635"/>
      <c r="L621" s="3443" t="s">
        <v>37</v>
      </c>
      <c r="M621" s="3443"/>
      <c r="N621" s="3443"/>
      <c r="O621" s="3443"/>
      <c r="S621" s="3443"/>
      <c r="T621" s="3443"/>
      <c r="U621" s="3443"/>
      <c r="W621" s="3522" t="s">
        <v>2068</v>
      </c>
      <c r="Y621" s="3283"/>
    </row>
    <row r="622" spans="1:25" ht="28.5" hidden="1">
      <c r="A622" s="3480" t="s">
        <v>132</v>
      </c>
      <c r="B622" s="3611">
        <v>45765</v>
      </c>
      <c r="C622" s="3165" t="s">
        <v>1963</v>
      </c>
      <c r="D622" s="4399"/>
      <c r="E622" s="3553" t="s">
        <v>1116</v>
      </c>
      <c r="F622" s="3711" t="s">
        <v>1986</v>
      </c>
      <c r="G622" s="3254"/>
      <c r="H622" s="3253"/>
      <c r="I622" s="3480">
        <v>712</v>
      </c>
      <c r="J622" s="3443" t="s">
        <v>2036</v>
      </c>
      <c r="K622" s="3443"/>
      <c r="L622" s="3443" t="s">
        <v>37</v>
      </c>
      <c r="M622" s="3443"/>
      <c r="N622" s="3443"/>
      <c r="O622" s="3443"/>
      <c r="S622" s="3443"/>
      <c r="T622" s="3443"/>
      <c r="U622" s="3443"/>
      <c r="W622" s="3522"/>
      <c r="Y622" s="3283"/>
    </row>
    <row r="623" spans="1:25" ht="28.5" hidden="1">
      <c r="A623" s="3480" t="s">
        <v>132</v>
      </c>
      <c r="B623" s="3611">
        <v>45765</v>
      </c>
      <c r="C623" s="3165" t="s">
        <v>1963</v>
      </c>
      <c r="D623" s="4399"/>
      <c r="E623" s="3536" t="s">
        <v>169</v>
      </c>
      <c r="F623" s="3712" t="s">
        <v>1281</v>
      </c>
      <c r="G623" s="3254"/>
      <c r="H623" s="3253"/>
      <c r="I623" s="3480">
        <v>705</v>
      </c>
      <c r="J623" s="3443" t="s">
        <v>2040</v>
      </c>
      <c r="K623" s="3443"/>
      <c r="L623" s="3443" t="s">
        <v>37</v>
      </c>
      <c r="M623" s="3443"/>
      <c r="N623" s="3443"/>
      <c r="O623" s="3443"/>
      <c r="P623" s="4769"/>
      <c r="Q623" s="4769"/>
      <c r="R623" s="4769"/>
      <c r="S623" s="3443"/>
      <c r="T623" s="3443"/>
      <c r="U623" s="3443"/>
      <c r="W623" s="3522"/>
      <c r="Y623" s="3283"/>
    </row>
    <row r="624" spans="1:25" ht="28.5" hidden="1">
      <c r="A624" s="3480" t="s">
        <v>132</v>
      </c>
      <c r="B624" s="3611">
        <v>45765</v>
      </c>
      <c r="C624" s="3165" t="s">
        <v>1963</v>
      </c>
      <c r="D624" s="4399" t="s">
        <v>2069</v>
      </c>
      <c r="E624" s="3443" t="s">
        <v>2070</v>
      </c>
      <c r="F624" s="3516" t="s">
        <v>296</v>
      </c>
      <c r="G624" s="3254"/>
      <c r="H624" s="3253"/>
      <c r="I624" s="3480">
        <v>706</v>
      </c>
      <c r="J624" s="3443" t="s">
        <v>2071</v>
      </c>
      <c r="K624" s="3443"/>
      <c r="L624" s="3443" t="s">
        <v>37</v>
      </c>
      <c r="M624" s="3443"/>
      <c r="N624" s="3443"/>
      <c r="O624" s="3443"/>
      <c r="S624" s="3443"/>
      <c r="T624" s="3443"/>
      <c r="U624" s="3443"/>
      <c r="W624" s="3522"/>
      <c r="Y624" s="3283"/>
    </row>
    <row r="625" spans="1:25" ht="28.5" hidden="1">
      <c r="A625" s="3480" t="s">
        <v>132</v>
      </c>
      <c r="B625" s="3611">
        <v>45765</v>
      </c>
      <c r="C625" s="3165" t="s">
        <v>1963</v>
      </c>
      <c r="D625" s="4399" t="s">
        <v>2072</v>
      </c>
      <c r="E625" s="3443" t="s">
        <v>1391</v>
      </c>
      <c r="F625" s="3516" t="s">
        <v>2073</v>
      </c>
      <c r="G625" s="3254"/>
      <c r="H625" s="3253"/>
      <c r="I625" s="3480">
        <v>705</v>
      </c>
      <c r="J625" s="3443" t="s">
        <v>1878</v>
      </c>
      <c r="K625" s="3511" t="s">
        <v>84</v>
      </c>
      <c r="L625" s="3443"/>
      <c r="M625" s="3443" t="s">
        <v>37</v>
      </c>
      <c r="N625" s="3443"/>
      <c r="O625" s="3443"/>
      <c r="P625" s="120" t="s">
        <v>0</v>
      </c>
      <c r="Q625" s="120" t="s">
        <v>187</v>
      </c>
      <c r="R625" s="120" t="s">
        <v>160</v>
      </c>
      <c r="S625" s="3443"/>
      <c r="T625" s="3443"/>
      <c r="U625" s="3443"/>
      <c r="W625" s="3522" t="s">
        <v>2074</v>
      </c>
      <c r="Y625" s="3283"/>
    </row>
    <row r="626" spans="1:25" ht="28.5" hidden="1">
      <c r="A626" s="3480" t="s">
        <v>132</v>
      </c>
      <c r="B626" s="3611">
        <v>45765</v>
      </c>
      <c r="C626" s="3165" t="s">
        <v>1963</v>
      </c>
      <c r="D626" s="4399" t="s">
        <v>2075</v>
      </c>
      <c r="E626" s="3443" t="s">
        <v>1552</v>
      </c>
      <c r="F626" s="3516" t="s">
        <v>1145</v>
      </c>
      <c r="G626" s="3254"/>
      <c r="H626" s="3253"/>
      <c r="I626" s="3480">
        <v>705</v>
      </c>
      <c r="J626" s="3443" t="s">
        <v>2076</v>
      </c>
      <c r="K626" s="3511"/>
      <c r="L626" s="3443" t="s">
        <v>37</v>
      </c>
      <c r="M626" s="3443"/>
      <c r="N626" s="3443"/>
      <c r="O626" s="3443"/>
      <c r="P626" s="4769"/>
      <c r="Q626" s="4769"/>
      <c r="R626" s="4769"/>
      <c r="S626" s="3443"/>
      <c r="T626" s="3443"/>
      <c r="U626" s="3443"/>
      <c r="W626" s="3522"/>
      <c r="Y626" s="3283"/>
    </row>
    <row r="627" spans="1:25" ht="28.5" hidden="1">
      <c r="A627" s="3500" t="s">
        <v>132</v>
      </c>
      <c r="B627" s="3675">
        <v>45765</v>
      </c>
      <c r="C627" s="3165" t="s">
        <v>1963</v>
      </c>
      <c r="D627" s="4400"/>
      <c r="E627" s="3462" t="s">
        <v>2077</v>
      </c>
      <c r="F627" s="3524" t="s">
        <v>1984</v>
      </c>
      <c r="G627" s="3254"/>
      <c r="H627" s="3253"/>
      <c r="I627" s="3500">
        <v>705</v>
      </c>
      <c r="J627" s="3462" t="s">
        <v>2078</v>
      </c>
      <c r="K627" s="3632" t="s">
        <v>84</v>
      </c>
      <c r="L627" s="3462"/>
      <c r="M627" s="3462"/>
      <c r="N627" s="3462" t="s">
        <v>37</v>
      </c>
      <c r="O627" s="3462"/>
      <c r="P627" s="21" t="s">
        <v>0</v>
      </c>
      <c r="Q627" s="21" t="s">
        <v>187</v>
      </c>
      <c r="R627" s="21" t="s">
        <v>160</v>
      </c>
      <c r="S627" s="3462"/>
      <c r="T627" s="3462"/>
      <c r="U627" s="3462"/>
      <c r="W627" s="3544" t="s">
        <v>2074</v>
      </c>
      <c r="Y627" s="3283"/>
    </row>
    <row r="628" spans="1:25" ht="28.5" hidden="1">
      <c r="A628" s="3500" t="s">
        <v>132</v>
      </c>
      <c r="B628" s="3675">
        <v>45765</v>
      </c>
      <c r="C628" s="3165" t="s">
        <v>1963</v>
      </c>
      <c r="D628" s="4400"/>
      <c r="E628" s="4541" t="s">
        <v>169</v>
      </c>
      <c r="F628" s="4861" t="s">
        <v>2012</v>
      </c>
      <c r="G628" s="3254"/>
      <c r="H628" s="3253"/>
      <c r="I628" s="3443">
        <v>705</v>
      </c>
      <c r="J628" s="3462" t="s">
        <v>1926</v>
      </c>
      <c r="K628" s="3632" t="s">
        <v>84</v>
      </c>
      <c r="L628" s="3462"/>
      <c r="M628" s="3462"/>
      <c r="N628" s="3462" t="s">
        <v>37</v>
      </c>
      <c r="O628" s="3462"/>
      <c r="P628" s="21" t="s">
        <v>0</v>
      </c>
      <c r="Q628" s="21" t="s">
        <v>187</v>
      </c>
      <c r="R628" s="21" t="s">
        <v>160</v>
      </c>
      <c r="S628" s="3462"/>
      <c r="T628" s="3462"/>
      <c r="U628" s="3462"/>
      <c r="W628" s="3544"/>
      <c r="Y628" s="3283"/>
    </row>
    <row r="629" spans="1:25" ht="86.25" hidden="1" thickBot="1">
      <c r="A629" s="3494" t="s">
        <v>132</v>
      </c>
      <c r="B629" s="3612">
        <v>45765</v>
      </c>
      <c r="C629" s="3165" t="s">
        <v>1963</v>
      </c>
      <c r="D629" s="4404" t="s">
        <v>2079</v>
      </c>
      <c r="E629" s="3690" t="s">
        <v>169</v>
      </c>
      <c r="F629" s="3715" t="s">
        <v>2006</v>
      </c>
      <c r="G629" s="3254"/>
      <c r="H629" s="3253"/>
      <c r="I629" s="3443">
        <v>710</v>
      </c>
      <c r="J629" s="3546" t="s">
        <v>1499</v>
      </c>
      <c r="K629" s="4743"/>
      <c r="L629" s="3447"/>
      <c r="M629" s="3447" t="s">
        <v>37</v>
      </c>
      <c r="N629" s="3447"/>
      <c r="O629" s="3447"/>
      <c r="P629" s="35" t="s">
        <v>122</v>
      </c>
      <c r="Q629" s="35" t="s">
        <v>174</v>
      </c>
      <c r="R629" s="35" t="s">
        <v>38</v>
      </c>
      <c r="S629" s="3447"/>
      <c r="T629" s="3447" t="s">
        <v>37</v>
      </c>
      <c r="U629" s="3447"/>
      <c r="V629" s="3284"/>
      <c r="W629" s="3547" t="s">
        <v>2080</v>
      </c>
      <c r="X629" s="3284"/>
      <c r="Y629" s="3285"/>
    </row>
    <row r="630" spans="1:25" ht="28.5" hidden="1">
      <c r="A630" s="3456" t="s">
        <v>132</v>
      </c>
      <c r="B630" s="4499">
        <v>45765</v>
      </c>
      <c r="C630" s="3355" t="s">
        <v>1963</v>
      </c>
      <c r="D630" s="3520" t="s">
        <v>2081</v>
      </c>
      <c r="E630" s="3718" t="s">
        <v>2082</v>
      </c>
      <c r="F630" s="3719" t="s">
        <v>1160</v>
      </c>
      <c r="I630" s="3443">
        <v>712</v>
      </c>
      <c r="J630" s="3666" t="s">
        <v>1695</v>
      </c>
      <c r="K630" s="3511" t="s">
        <v>1613</v>
      </c>
      <c r="L630" s="3668" t="s">
        <v>37</v>
      </c>
      <c r="M630" s="3668"/>
      <c r="N630" s="3668"/>
      <c r="O630" s="3668"/>
      <c r="P630" s="3376"/>
      <c r="Q630" s="3376"/>
      <c r="R630" s="3276"/>
      <c r="S630" s="3668"/>
      <c r="T630" s="3456"/>
      <c r="U630" s="3456" t="s">
        <v>37</v>
      </c>
      <c r="V630" s="3276"/>
      <c r="W630" s="3521"/>
      <c r="X630" s="3276"/>
      <c r="Y630" s="3277"/>
    </row>
    <row r="631" spans="1:25" ht="28.5" hidden="1">
      <c r="A631" s="3443" t="s">
        <v>1857</v>
      </c>
      <c r="B631" s="3444">
        <v>45765</v>
      </c>
      <c r="C631" s="3355" t="s">
        <v>1963</v>
      </c>
      <c r="D631" s="3513" t="s">
        <v>2083</v>
      </c>
      <c r="E631" s="3614" t="s">
        <v>169</v>
      </c>
      <c r="F631" s="3614" t="s">
        <v>1571</v>
      </c>
      <c r="I631" s="3443">
        <v>712</v>
      </c>
      <c r="J631" s="3443" t="s">
        <v>2026</v>
      </c>
      <c r="K631" s="3511" t="s">
        <v>84</v>
      </c>
      <c r="L631" s="3443" t="s">
        <v>37</v>
      </c>
      <c r="M631" s="3443"/>
      <c r="N631" s="3443"/>
      <c r="O631" s="3443"/>
      <c r="S631" s="3443"/>
      <c r="T631" s="3443" t="s">
        <v>37</v>
      </c>
      <c r="U631" s="3443"/>
      <c r="W631" s="3609"/>
    </row>
    <row r="632" spans="1:25" ht="28.5" hidden="1">
      <c r="A632" s="3614" t="s">
        <v>25</v>
      </c>
      <c r="B632" s="3444">
        <v>45768</v>
      </c>
      <c r="C632" s="3355" t="s">
        <v>2084</v>
      </c>
      <c r="D632" s="3513" t="s">
        <v>2085</v>
      </c>
      <c r="E632" s="3614" t="s">
        <v>2086</v>
      </c>
      <c r="F632" s="3614" t="s">
        <v>2087</v>
      </c>
      <c r="I632" s="3443">
        <v>712</v>
      </c>
      <c r="J632" s="3614" t="s">
        <v>2088</v>
      </c>
      <c r="K632" s="3171" t="s">
        <v>627</v>
      </c>
      <c r="L632" s="3614" t="s">
        <v>37</v>
      </c>
      <c r="M632" s="3614"/>
      <c r="N632" s="3614"/>
      <c r="O632" s="3614"/>
      <c r="P632" s="4768"/>
      <c r="Q632" s="4768"/>
      <c r="R632" s="3161"/>
      <c r="S632" s="3614"/>
      <c r="W632" s="3730"/>
    </row>
    <row r="633" spans="1:25" ht="28.5" hidden="1">
      <c r="A633" s="3443" t="s">
        <v>25</v>
      </c>
      <c r="B633" s="3444">
        <v>45768</v>
      </c>
      <c r="C633" s="3355" t="s">
        <v>2084</v>
      </c>
      <c r="D633" s="3513" t="s">
        <v>2089</v>
      </c>
      <c r="E633" s="3618" t="s">
        <v>392</v>
      </c>
      <c r="F633" s="3618" t="s">
        <v>1920</v>
      </c>
      <c r="I633" s="3614">
        <v>705</v>
      </c>
      <c r="J633" s="3614" t="s">
        <v>2090</v>
      </c>
      <c r="K633" s="3614"/>
      <c r="L633" s="3614" t="s">
        <v>37</v>
      </c>
      <c r="M633" s="3614"/>
      <c r="N633" s="3614"/>
      <c r="O633" s="3614"/>
      <c r="P633" s="3614"/>
      <c r="Q633" s="3614"/>
      <c r="S633" s="3614"/>
      <c r="W633" s="3730"/>
    </row>
    <row r="634" spans="1:25" ht="28.5" hidden="1">
      <c r="A634" s="3443" t="s">
        <v>25</v>
      </c>
      <c r="B634" s="3444">
        <v>45768</v>
      </c>
      <c r="C634" s="3355" t="s">
        <v>2084</v>
      </c>
      <c r="D634" s="3520"/>
      <c r="E634" s="3699" t="s">
        <v>43</v>
      </c>
      <c r="F634" s="3699" t="s">
        <v>904</v>
      </c>
      <c r="I634" s="3614">
        <v>705</v>
      </c>
      <c r="J634" s="3728" t="s">
        <v>2091</v>
      </c>
      <c r="K634" s="3614"/>
      <c r="L634" s="3689"/>
      <c r="M634" s="3689" t="s">
        <v>37</v>
      </c>
      <c r="N634" s="3689"/>
      <c r="O634" s="3689"/>
      <c r="P634" s="21" t="s">
        <v>0</v>
      </c>
      <c r="Q634" s="21" t="s">
        <v>126</v>
      </c>
      <c r="R634" s="21" t="s">
        <v>160</v>
      </c>
      <c r="S634" s="3689"/>
      <c r="W634" s="3731" t="s">
        <v>2092</v>
      </c>
    </row>
    <row r="635" spans="1:25" ht="28.5" hidden="1">
      <c r="A635" s="3462" t="s">
        <v>25</v>
      </c>
      <c r="B635" s="3463">
        <v>45768</v>
      </c>
      <c r="C635" s="3368" t="s">
        <v>2084</v>
      </c>
      <c r="D635" s="3520"/>
      <c r="E635" s="3699" t="s">
        <v>392</v>
      </c>
      <c r="F635" s="3699" t="s">
        <v>907</v>
      </c>
      <c r="I635" s="3647">
        <v>705</v>
      </c>
      <c r="J635" s="3728" t="s">
        <v>2093</v>
      </c>
      <c r="K635" s="3689"/>
      <c r="L635" s="3689" t="s">
        <v>37</v>
      </c>
      <c r="M635" s="3689"/>
      <c r="N635" s="3689"/>
      <c r="O635" s="3689"/>
      <c r="P635" s="3689"/>
      <c r="Q635" s="3689"/>
      <c r="R635" s="3273"/>
      <c r="S635" s="3689"/>
      <c r="T635" s="3273"/>
      <c r="U635" s="3273"/>
      <c r="V635" s="3273"/>
      <c r="W635" s="3989"/>
    </row>
    <row r="636" spans="1:25" ht="57" hidden="1">
      <c r="A636" s="3477" t="s">
        <v>25</v>
      </c>
      <c r="B636" s="3478">
        <v>45768</v>
      </c>
      <c r="C636" s="3356" t="s">
        <v>2084</v>
      </c>
      <c r="D636" s="3514" t="s">
        <v>2094</v>
      </c>
      <c r="E636" s="3548" t="s">
        <v>2095</v>
      </c>
      <c r="F636" s="4862" t="s">
        <v>2096</v>
      </c>
      <c r="G636" s="3254"/>
      <c r="H636" s="3253"/>
      <c r="I636" s="3477">
        <v>712</v>
      </c>
      <c r="J636" s="3708" t="s">
        <v>2097</v>
      </c>
      <c r="K636" s="3694" t="s">
        <v>10</v>
      </c>
      <c r="L636" s="3708"/>
      <c r="M636" s="3708" t="s">
        <v>30</v>
      </c>
      <c r="N636" s="3708"/>
      <c r="O636" s="3708"/>
      <c r="P636" s="34" t="s">
        <v>231</v>
      </c>
      <c r="Q636" s="34" t="s">
        <v>232</v>
      </c>
      <c r="R636" s="34" t="s">
        <v>160</v>
      </c>
      <c r="S636" s="3708"/>
      <c r="T636" s="3281"/>
      <c r="U636" s="3281"/>
      <c r="V636" s="3281"/>
      <c r="W636" s="3729" t="s">
        <v>2098</v>
      </c>
      <c r="X636" s="3254"/>
    </row>
    <row r="637" spans="1:25" ht="28.5" hidden="1">
      <c r="A637" s="3480" t="s">
        <v>25</v>
      </c>
      <c r="B637" s="3444">
        <v>45768</v>
      </c>
      <c r="C637" s="3355" t="s">
        <v>2084</v>
      </c>
      <c r="D637" s="3513" t="s">
        <v>2099</v>
      </c>
      <c r="E637" s="3617" t="s">
        <v>1465</v>
      </c>
      <c r="F637" s="3645" t="s">
        <v>1464</v>
      </c>
      <c r="G637" s="3254"/>
      <c r="H637" s="3253"/>
      <c r="I637" s="3480">
        <v>701</v>
      </c>
      <c r="J637" s="3443" t="s">
        <v>1771</v>
      </c>
      <c r="K637" s="3443"/>
      <c r="L637" s="3443" t="s">
        <v>37</v>
      </c>
      <c r="M637" s="3443"/>
      <c r="N637" s="3443"/>
      <c r="O637" s="3443"/>
      <c r="P637" s="3443"/>
      <c r="Q637" s="3443"/>
      <c r="S637" s="3443"/>
      <c r="W637" s="3522"/>
      <c r="X637" s="3254"/>
    </row>
    <row r="638" spans="1:25" ht="28.5" hidden="1">
      <c r="A638" s="3480" t="s">
        <v>67</v>
      </c>
      <c r="B638" s="3444">
        <v>45769</v>
      </c>
      <c r="C638" s="3355" t="s">
        <v>2084</v>
      </c>
      <c r="D638" s="3513" t="s">
        <v>2100</v>
      </c>
      <c r="E638" s="3721" t="s">
        <v>1598</v>
      </c>
      <c r="F638" s="3738" t="s">
        <v>183</v>
      </c>
      <c r="G638" s="3254"/>
      <c r="H638" s="3253"/>
      <c r="I638" s="3480">
        <v>707</v>
      </c>
      <c r="J638" s="3443" t="s">
        <v>1895</v>
      </c>
      <c r="K638" s="3443"/>
      <c r="L638" s="3443" t="s">
        <v>37</v>
      </c>
      <c r="M638" s="3443"/>
      <c r="N638" s="3443"/>
      <c r="O638" s="3443"/>
      <c r="P638" s="3443"/>
      <c r="Q638" s="3443"/>
      <c r="S638" s="3443"/>
      <c r="W638" s="3522"/>
      <c r="X638" s="3254"/>
    </row>
    <row r="639" spans="1:25" ht="28.5" hidden="1">
      <c r="A639" s="3480" t="s">
        <v>67</v>
      </c>
      <c r="B639" s="3444">
        <v>45769</v>
      </c>
      <c r="C639" s="3355" t="s">
        <v>2084</v>
      </c>
      <c r="D639" s="3520"/>
      <c r="E639" s="4565" t="s">
        <v>169</v>
      </c>
      <c r="F639" s="4637" t="s">
        <v>2101</v>
      </c>
      <c r="G639" s="3254"/>
      <c r="H639" s="3253"/>
      <c r="I639" s="3443">
        <v>707</v>
      </c>
      <c r="J639" s="3545" t="s">
        <v>1989</v>
      </c>
      <c r="K639" s="3443"/>
      <c r="L639" s="3462" t="s">
        <v>37</v>
      </c>
      <c r="M639" s="3462"/>
      <c r="N639" s="3462"/>
      <c r="O639" s="3462"/>
      <c r="P639" s="3462"/>
      <c r="Q639" s="3462"/>
      <c r="S639" s="3462"/>
      <c r="W639" s="3637" t="s">
        <v>2102</v>
      </c>
      <c r="X639" s="3254"/>
    </row>
    <row r="640" spans="1:25" ht="28.5" hidden="1">
      <c r="A640" s="3500" t="s">
        <v>67</v>
      </c>
      <c r="B640" s="3463">
        <v>45769</v>
      </c>
      <c r="C640" s="3368" t="s">
        <v>2084</v>
      </c>
      <c r="D640" s="3520" t="s">
        <v>2103</v>
      </c>
      <c r="E640" s="4559" t="s">
        <v>1598</v>
      </c>
      <c r="F640" s="4863" t="s">
        <v>2104</v>
      </c>
      <c r="G640" s="3254"/>
      <c r="H640" s="3253"/>
      <c r="I640" s="3500">
        <v>705</v>
      </c>
      <c r="J640" s="3545" t="s">
        <v>2105</v>
      </c>
      <c r="K640" s="3462"/>
      <c r="L640" s="3462" t="s">
        <v>37</v>
      </c>
      <c r="M640" s="3462"/>
      <c r="N640" s="3462"/>
      <c r="O640" s="3462"/>
      <c r="P640" s="3462"/>
      <c r="Q640" s="3462"/>
      <c r="R640" s="3273"/>
      <c r="S640" s="3462"/>
      <c r="T640" s="3273"/>
      <c r="U640" s="3273"/>
      <c r="V640" s="3273"/>
      <c r="W640" s="3637"/>
      <c r="X640" s="3254"/>
    </row>
    <row r="641" spans="1:24" ht="28.5" hidden="1">
      <c r="A641" s="3480" t="s">
        <v>67</v>
      </c>
      <c r="B641" s="3444">
        <v>45769</v>
      </c>
      <c r="C641" s="3165" t="s">
        <v>2084</v>
      </c>
      <c r="D641" s="4399"/>
      <c r="E641" s="3536" t="s">
        <v>1399</v>
      </c>
      <c r="F641" s="3712" t="s">
        <v>2106</v>
      </c>
      <c r="G641" s="3254"/>
      <c r="H641" s="3253"/>
      <c r="I641" s="3480">
        <v>712</v>
      </c>
      <c r="J641" s="3614" t="s">
        <v>2097</v>
      </c>
      <c r="K641" s="3511" t="s">
        <v>2107</v>
      </c>
      <c r="L641" s="3614" t="s">
        <v>37</v>
      </c>
      <c r="M641" s="3614"/>
      <c r="N641" s="3614"/>
      <c r="O641" s="3614"/>
      <c r="P641" s="3614"/>
      <c r="Q641" s="3614"/>
      <c r="S641" s="3614"/>
      <c r="W641" s="3613"/>
      <c r="X641" s="3254"/>
    </row>
    <row r="642" spans="1:24" ht="28.5" hidden="1">
      <c r="A642" s="3480" t="s">
        <v>67</v>
      </c>
      <c r="B642" s="3444">
        <v>45769</v>
      </c>
      <c r="C642" s="3355" t="s">
        <v>2084</v>
      </c>
      <c r="D642" s="3513" t="s">
        <v>2108</v>
      </c>
      <c r="E642" s="3614" t="s">
        <v>148</v>
      </c>
      <c r="F642" s="3643" t="s">
        <v>742</v>
      </c>
      <c r="G642" s="3254"/>
      <c r="H642" s="3253"/>
      <c r="I642" s="3647">
        <v>705</v>
      </c>
      <c r="J642" s="3614" t="s">
        <v>384</v>
      </c>
      <c r="K642" s="3511" t="s">
        <v>84</v>
      </c>
      <c r="L642" s="3614" t="s">
        <v>37</v>
      </c>
      <c r="M642" s="3614"/>
      <c r="N642" s="3614"/>
      <c r="O642" s="3614"/>
      <c r="P642" s="3614"/>
      <c r="Q642" s="3614"/>
      <c r="S642" s="3614"/>
      <c r="W642" s="3613"/>
      <c r="X642" s="3254"/>
    </row>
    <row r="643" spans="1:24" ht="28.5" hidden="1">
      <c r="A643" s="3480" t="s">
        <v>67</v>
      </c>
      <c r="B643" s="3444">
        <v>45769</v>
      </c>
      <c r="C643" s="3355" t="s">
        <v>2084</v>
      </c>
      <c r="D643" s="3513" t="s">
        <v>2109</v>
      </c>
      <c r="E643" s="3614" t="s">
        <v>2110</v>
      </c>
      <c r="F643" s="3643" t="s">
        <v>2111</v>
      </c>
      <c r="G643" s="3254"/>
      <c r="H643" s="3253"/>
      <c r="I643" s="3480">
        <v>705</v>
      </c>
      <c r="J643" s="3443" t="s">
        <v>2112</v>
      </c>
      <c r="K643" s="3443"/>
      <c r="L643" s="3443" t="s">
        <v>37</v>
      </c>
      <c r="M643" s="3443"/>
      <c r="N643" s="3443"/>
      <c r="O643" s="3443"/>
      <c r="P643" s="3443"/>
      <c r="Q643" s="3443"/>
      <c r="S643" s="3443"/>
      <c r="W643" s="3522"/>
      <c r="X643" s="3254"/>
    </row>
    <row r="644" spans="1:24" ht="29.25" hidden="1" thickBot="1">
      <c r="A644" s="3494" t="s">
        <v>67</v>
      </c>
      <c r="B644" s="3448">
        <v>45769</v>
      </c>
      <c r="C644" s="3372" t="s">
        <v>2084</v>
      </c>
      <c r="D644" s="3518" t="s">
        <v>2113</v>
      </c>
      <c r="E644" s="3690" t="s">
        <v>1598</v>
      </c>
      <c r="F644" s="3715" t="s">
        <v>80</v>
      </c>
      <c r="G644" s="3254"/>
      <c r="H644" s="3253"/>
      <c r="I644" s="3480">
        <v>707</v>
      </c>
      <c r="J644" s="3447" t="s">
        <v>1093</v>
      </c>
      <c r="K644" s="3447"/>
      <c r="L644" s="3447" t="s">
        <v>37</v>
      </c>
      <c r="M644" s="3690"/>
      <c r="N644" s="3447"/>
      <c r="O644" s="3447"/>
      <c r="P644" s="3447"/>
      <c r="Q644" s="3447"/>
      <c r="R644" s="3284"/>
      <c r="S644" s="3690"/>
      <c r="T644" s="3284"/>
      <c r="U644" s="3284"/>
      <c r="V644" s="3284"/>
      <c r="W644" s="3547" t="s">
        <v>2114</v>
      </c>
      <c r="X644" s="3254"/>
    </row>
    <row r="645" spans="1:24" ht="28.5" hidden="1">
      <c r="A645" s="3456" t="s">
        <v>67</v>
      </c>
      <c r="B645" s="3457">
        <v>45769</v>
      </c>
      <c r="C645" s="3355" t="s">
        <v>2084</v>
      </c>
      <c r="D645" s="3513" t="s">
        <v>2115</v>
      </c>
      <c r="E645" s="3843" t="s">
        <v>1464</v>
      </c>
      <c r="F645" s="3843" t="s">
        <v>1465</v>
      </c>
      <c r="I645" s="3456">
        <v>701</v>
      </c>
      <c r="J645" s="3456" t="s">
        <v>1785</v>
      </c>
      <c r="K645" s="3456"/>
      <c r="L645" s="3456" t="s">
        <v>37</v>
      </c>
      <c r="M645" s="3456"/>
      <c r="N645" s="3456"/>
      <c r="O645" s="3456"/>
      <c r="P645" s="3456"/>
      <c r="Q645" s="3456"/>
      <c r="R645" s="3276"/>
      <c r="S645" s="3456"/>
      <c r="T645" s="3276"/>
      <c r="U645" s="3276"/>
      <c r="V645" s="3276"/>
      <c r="W645" s="3512"/>
    </row>
    <row r="646" spans="1:24" ht="28.5" hidden="1">
      <c r="A646" s="3443" t="s">
        <v>67</v>
      </c>
      <c r="B646" s="3444">
        <v>45769</v>
      </c>
      <c r="C646" s="3355" t="s">
        <v>2084</v>
      </c>
      <c r="D646" s="3513"/>
      <c r="E646" s="3617" t="s">
        <v>1465</v>
      </c>
      <c r="F646" s="3617" t="s">
        <v>1464</v>
      </c>
      <c r="I646" s="3443">
        <v>701</v>
      </c>
      <c r="J646" s="3443" t="s">
        <v>1771</v>
      </c>
      <c r="K646" s="3443"/>
      <c r="L646" s="3443" t="s">
        <v>37</v>
      </c>
      <c r="M646" s="3443"/>
      <c r="N646" s="3443"/>
      <c r="O646" s="3443"/>
      <c r="P646" s="3443"/>
      <c r="Q646" s="3443"/>
      <c r="S646" s="3443"/>
      <c r="W646" s="3507"/>
    </row>
    <row r="647" spans="1:24" ht="28.5" hidden="1">
      <c r="A647" s="3443" t="s">
        <v>2116</v>
      </c>
      <c r="B647" s="3444">
        <v>45770</v>
      </c>
      <c r="C647" s="3355" t="s">
        <v>2084</v>
      </c>
      <c r="D647" s="3513"/>
      <c r="E647" s="3688" t="s">
        <v>106</v>
      </c>
      <c r="F647" s="3688" t="s">
        <v>2117</v>
      </c>
      <c r="I647" s="3443">
        <v>705</v>
      </c>
      <c r="J647" s="3443" t="s">
        <v>2105</v>
      </c>
      <c r="K647" s="3443"/>
      <c r="L647" s="3443" t="s">
        <v>37</v>
      </c>
      <c r="M647" s="3443"/>
      <c r="N647" s="3443"/>
      <c r="O647" s="3443"/>
      <c r="P647" s="3443"/>
      <c r="Q647" s="3443"/>
      <c r="S647" s="3443"/>
      <c r="W647" s="3507"/>
    </row>
    <row r="648" spans="1:24" ht="28.5" hidden="1">
      <c r="A648" s="3443" t="s">
        <v>85</v>
      </c>
      <c r="B648" s="3444">
        <v>45770</v>
      </c>
      <c r="C648" s="3355" t="s">
        <v>2084</v>
      </c>
      <c r="D648" s="3513"/>
      <c r="E648" s="3721" t="s">
        <v>124</v>
      </c>
      <c r="F648" s="3721" t="s">
        <v>2118</v>
      </c>
      <c r="I648" s="3443">
        <v>707</v>
      </c>
      <c r="J648" s="3443" t="s">
        <v>1989</v>
      </c>
      <c r="K648" s="3443"/>
      <c r="L648" s="3443" t="s">
        <v>37</v>
      </c>
      <c r="M648" s="3443"/>
      <c r="N648" s="3443"/>
      <c r="O648" s="3443"/>
      <c r="P648" s="3443"/>
      <c r="Q648" s="3443"/>
      <c r="S648" s="3443"/>
      <c r="W648" s="3507"/>
    </row>
    <row r="649" spans="1:24" ht="28.5" hidden="1">
      <c r="A649" s="3443" t="s">
        <v>2116</v>
      </c>
      <c r="B649" s="3444">
        <v>45770</v>
      </c>
      <c r="C649" s="3355" t="s">
        <v>2084</v>
      </c>
      <c r="D649" s="3513" t="s">
        <v>2119</v>
      </c>
      <c r="E649" s="3614" t="s">
        <v>169</v>
      </c>
      <c r="F649" s="3614" t="s">
        <v>1213</v>
      </c>
      <c r="I649" s="3443">
        <v>705</v>
      </c>
      <c r="J649" s="3443" t="s">
        <v>2112</v>
      </c>
      <c r="K649" s="3443"/>
      <c r="L649" s="3443" t="s">
        <v>37</v>
      </c>
      <c r="M649" s="3443"/>
      <c r="N649" s="3443"/>
      <c r="O649" s="3443"/>
      <c r="P649" s="3443"/>
      <c r="Q649" s="3443"/>
      <c r="S649" s="3443"/>
      <c r="W649" s="3507"/>
    </row>
    <row r="650" spans="1:24" ht="57" hidden="1">
      <c r="A650" s="3443" t="s">
        <v>2116</v>
      </c>
      <c r="B650" s="3444">
        <v>45770</v>
      </c>
      <c r="C650" s="3355" t="s">
        <v>2084</v>
      </c>
      <c r="D650" s="3513" t="s">
        <v>2120</v>
      </c>
      <c r="E650" s="3723" t="s">
        <v>306</v>
      </c>
      <c r="F650" s="3723" t="s">
        <v>209</v>
      </c>
      <c r="I650" s="3443">
        <v>705</v>
      </c>
      <c r="J650" s="3865" t="s">
        <v>2121</v>
      </c>
      <c r="K650" s="3443"/>
      <c r="L650" s="3462"/>
      <c r="M650" s="3462" t="s">
        <v>37</v>
      </c>
      <c r="N650" s="3462"/>
      <c r="O650" s="3462"/>
      <c r="P650" s="21" t="s">
        <v>109</v>
      </c>
      <c r="Q650" s="21" t="s">
        <v>323</v>
      </c>
      <c r="R650" s="21" t="s">
        <v>160</v>
      </c>
      <c r="S650" s="3462"/>
      <c r="W650" s="3507" t="s">
        <v>2122</v>
      </c>
    </row>
    <row r="651" spans="1:24" ht="28.5" hidden="1">
      <c r="A651" s="3443" t="s">
        <v>2116</v>
      </c>
      <c r="B651" s="3444">
        <v>45770</v>
      </c>
      <c r="C651" s="3355" t="s">
        <v>2084</v>
      </c>
      <c r="D651" s="3513" t="s">
        <v>2123</v>
      </c>
      <c r="E651" s="3443" t="s">
        <v>1213</v>
      </c>
      <c r="F651" s="3443" t="s">
        <v>306</v>
      </c>
      <c r="I651" s="3462">
        <v>705</v>
      </c>
      <c r="J651" s="3545" t="s">
        <v>2124</v>
      </c>
      <c r="K651" s="3443"/>
      <c r="L651" s="3462" t="s">
        <v>37</v>
      </c>
      <c r="M651" s="3462"/>
      <c r="N651" s="3462"/>
      <c r="O651" s="3462"/>
      <c r="P651" s="3443"/>
      <c r="Q651" s="3443"/>
      <c r="R651" s="3161"/>
      <c r="S651" s="3462"/>
      <c r="W651" s="3507"/>
    </row>
    <row r="652" spans="1:24" ht="28.5" hidden="1">
      <c r="A652" s="3443" t="s">
        <v>2116</v>
      </c>
      <c r="B652" s="3444">
        <v>45770</v>
      </c>
      <c r="C652" s="3355" t="s">
        <v>2084</v>
      </c>
      <c r="D652" s="3513"/>
      <c r="E652" s="3536" t="s">
        <v>89</v>
      </c>
      <c r="F652" s="3536" t="s">
        <v>2125</v>
      </c>
      <c r="I652" s="3462">
        <v>712</v>
      </c>
      <c r="J652" s="3728" t="s">
        <v>2126</v>
      </c>
      <c r="K652" s="3511" t="s">
        <v>10</v>
      </c>
      <c r="L652" s="3689"/>
      <c r="M652" s="3689"/>
      <c r="N652" s="3689" t="s">
        <v>37</v>
      </c>
      <c r="O652" s="3689"/>
      <c r="P652" s="24" t="s">
        <v>109</v>
      </c>
      <c r="Q652" s="24" t="s">
        <v>323</v>
      </c>
      <c r="R652" s="21" t="s">
        <v>160</v>
      </c>
      <c r="S652" s="3689"/>
      <c r="W652" s="3732"/>
    </row>
    <row r="653" spans="1:24" ht="57" hidden="1">
      <c r="A653" s="3443" t="s">
        <v>2116</v>
      </c>
      <c r="B653" s="3444">
        <v>45770</v>
      </c>
      <c r="C653" s="3355" t="s">
        <v>2084</v>
      </c>
      <c r="D653" s="3513" t="s">
        <v>2127</v>
      </c>
      <c r="E653" s="3614" t="s">
        <v>742</v>
      </c>
      <c r="F653" s="3614" t="s">
        <v>148</v>
      </c>
      <c r="I653" s="3689">
        <v>705</v>
      </c>
      <c r="J653" s="3728" t="s">
        <v>2128</v>
      </c>
      <c r="K653" s="3511" t="s">
        <v>84</v>
      </c>
      <c r="L653" s="3689"/>
      <c r="M653" s="3689" t="s">
        <v>37</v>
      </c>
      <c r="N653" s="3689"/>
      <c r="O653" s="3689"/>
      <c r="P653" s="24" t="s">
        <v>122</v>
      </c>
      <c r="Q653" s="24" t="s">
        <v>122</v>
      </c>
      <c r="R653" s="24" t="s">
        <v>160</v>
      </c>
      <c r="S653" s="3689"/>
      <c r="W653" s="3732" t="s">
        <v>2129</v>
      </c>
    </row>
    <row r="654" spans="1:24" ht="28.5" hidden="1">
      <c r="A654" s="3462" t="s">
        <v>2116</v>
      </c>
      <c r="B654" s="3463">
        <v>45770</v>
      </c>
      <c r="C654" s="3368" t="s">
        <v>2084</v>
      </c>
      <c r="D654" s="3520" t="s">
        <v>2130</v>
      </c>
      <c r="E654" s="3689" t="s">
        <v>258</v>
      </c>
      <c r="F654" s="3689" t="s">
        <v>1412</v>
      </c>
      <c r="I654" s="3689">
        <v>702</v>
      </c>
      <c r="J654" s="3728" t="s">
        <v>1878</v>
      </c>
      <c r="K654" s="3633"/>
      <c r="L654" s="3689" t="s">
        <v>37</v>
      </c>
      <c r="M654" s="3689"/>
      <c r="N654" s="3689"/>
      <c r="O654" s="3689"/>
      <c r="P654" s="3614"/>
      <c r="Q654" s="3614"/>
      <c r="S654" s="3689"/>
      <c r="T654" s="3273"/>
      <c r="U654" s="3273"/>
      <c r="V654" s="3273"/>
      <c r="W654" s="3736"/>
    </row>
    <row r="655" spans="1:24" ht="28.5" hidden="1">
      <c r="A655" s="3443" t="s">
        <v>2116</v>
      </c>
      <c r="B655" s="3444">
        <v>45770</v>
      </c>
      <c r="C655" s="3165" t="s">
        <v>2084</v>
      </c>
      <c r="D655" s="4399" t="s">
        <v>2131</v>
      </c>
      <c r="E655" s="3614" t="s">
        <v>1412</v>
      </c>
      <c r="F655" s="3614" t="s">
        <v>491</v>
      </c>
      <c r="G655" s="3254"/>
      <c r="H655" s="3253"/>
      <c r="I655" s="3689">
        <v>702</v>
      </c>
      <c r="J655" s="3728" t="s">
        <v>1878</v>
      </c>
      <c r="K655" s="3511" t="s">
        <v>1481</v>
      </c>
      <c r="L655" s="3689" t="s">
        <v>37</v>
      </c>
      <c r="M655" s="3689"/>
      <c r="N655" s="3689"/>
      <c r="O655" s="3689"/>
      <c r="P655" s="3689"/>
      <c r="Q655" s="3689"/>
      <c r="S655" s="3689"/>
      <c r="W655" s="3732"/>
      <c r="X655" s="3254"/>
    </row>
    <row r="656" spans="1:24" ht="57" hidden="1">
      <c r="A656" s="3443" t="s">
        <v>2116</v>
      </c>
      <c r="B656" s="3444">
        <v>45770</v>
      </c>
      <c r="C656" s="3355" t="s">
        <v>2084</v>
      </c>
      <c r="D656" s="3513" t="s">
        <v>2132</v>
      </c>
      <c r="E656" s="3614" t="s">
        <v>169</v>
      </c>
      <c r="F656" s="3614" t="s">
        <v>148</v>
      </c>
      <c r="G656" s="3254"/>
      <c r="H656" s="3253"/>
      <c r="I656" s="3689">
        <v>707</v>
      </c>
      <c r="J656" s="3728" t="s">
        <v>1674</v>
      </c>
      <c r="K656" s="3635"/>
      <c r="L656" s="3689"/>
      <c r="M656" s="3689" t="s">
        <v>37</v>
      </c>
      <c r="N656" s="3689"/>
      <c r="O656" s="3689"/>
      <c r="P656" s="24" t="s">
        <v>109</v>
      </c>
      <c r="Q656" s="24" t="s">
        <v>1367</v>
      </c>
      <c r="R656" s="21" t="s">
        <v>38</v>
      </c>
      <c r="S656" s="3689"/>
      <c r="W656" s="3737" t="s">
        <v>2133</v>
      </c>
      <c r="X656" s="3254"/>
    </row>
    <row r="657" spans="1:25" ht="28.5" hidden="1">
      <c r="A657" s="3443" t="s">
        <v>2116</v>
      </c>
      <c r="B657" s="3444">
        <v>45770</v>
      </c>
      <c r="C657" s="3355" t="s">
        <v>2084</v>
      </c>
      <c r="D657" s="3513" t="s">
        <v>2134</v>
      </c>
      <c r="E657" s="3614" t="s">
        <v>296</v>
      </c>
      <c r="F657" s="3614" t="s">
        <v>175</v>
      </c>
      <c r="G657" s="3254"/>
      <c r="H657" s="3253"/>
      <c r="I657" s="3647">
        <v>705</v>
      </c>
      <c r="J657" s="3614" t="s">
        <v>2135</v>
      </c>
      <c r="K657" s="3635"/>
      <c r="L657" s="3614" t="s">
        <v>37</v>
      </c>
      <c r="M657" s="3614"/>
      <c r="N657" s="3614"/>
      <c r="O657" s="3614"/>
      <c r="P657" s="3614"/>
      <c r="Q657" s="3614"/>
      <c r="S657" s="3614"/>
      <c r="U657" s="3160" t="s">
        <v>37</v>
      </c>
      <c r="W657" s="3732"/>
      <c r="X657" s="3254"/>
    </row>
    <row r="658" spans="1:25" ht="29.25" hidden="1" thickBot="1">
      <c r="A658" s="3447" t="s">
        <v>2116</v>
      </c>
      <c r="B658" s="3448">
        <v>45770</v>
      </c>
      <c r="C658" s="3372" t="s">
        <v>2084</v>
      </c>
      <c r="D658" s="3518"/>
      <c r="E658" s="3690" t="s">
        <v>2136</v>
      </c>
      <c r="F658" s="3690" t="s">
        <v>296</v>
      </c>
      <c r="G658" s="3254"/>
      <c r="H658" s="3253"/>
      <c r="I658" s="3647">
        <v>705</v>
      </c>
      <c r="J658" s="3690" t="s">
        <v>2135</v>
      </c>
      <c r="K658" s="3634"/>
      <c r="L658" s="3690" t="s">
        <v>37</v>
      </c>
      <c r="M658" s="3690"/>
      <c r="N658" s="3690"/>
      <c r="O658" s="3690"/>
      <c r="P658" s="3690"/>
      <c r="Q658" s="3690"/>
      <c r="R658" s="3284"/>
      <c r="S658" s="3690"/>
      <c r="T658" s="3284"/>
      <c r="U658" s="3284" t="s">
        <v>37</v>
      </c>
      <c r="V658" s="3284"/>
      <c r="W658" s="4792"/>
      <c r="X658" s="3254"/>
    </row>
    <row r="659" spans="1:25" ht="28.5" hidden="1">
      <c r="A659" s="3456" t="s">
        <v>2116</v>
      </c>
      <c r="B659" s="3457">
        <v>45770</v>
      </c>
      <c r="C659" s="3355" t="s">
        <v>2084</v>
      </c>
      <c r="D659" s="3513" t="s">
        <v>2137</v>
      </c>
      <c r="E659" s="3843" t="s">
        <v>1464</v>
      </c>
      <c r="F659" s="3843" t="s">
        <v>1465</v>
      </c>
      <c r="I659" s="3456">
        <v>701</v>
      </c>
      <c r="J659" s="3456" t="s">
        <v>1785</v>
      </c>
      <c r="K659" s="3456"/>
      <c r="L659" s="3456" t="s">
        <v>37</v>
      </c>
      <c r="M659" s="3456"/>
      <c r="N659" s="3456"/>
      <c r="O659" s="3456"/>
      <c r="P659" s="4722"/>
      <c r="Q659" s="4722"/>
      <c r="R659" s="3161"/>
      <c r="S659" s="3456"/>
      <c r="T659" s="3276"/>
      <c r="U659" s="3276"/>
      <c r="V659" s="3276"/>
      <c r="W659" s="3512"/>
    </row>
    <row r="660" spans="1:25" ht="28.5" hidden="1">
      <c r="A660" s="3443" t="s">
        <v>2116</v>
      </c>
      <c r="B660" s="3444">
        <v>45770</v>
      </c>
      <c r="C660" s="3355" t="s">
        <v>2084</v>
      </c>
      <c r="D660" s="3513"/>
      <c r="E660" s="3843" t="s">
        <v>1465</v>
      </c>
      <c r="F660" s="3843" t="s">
        <v>1464</v>
      </c>
      <c r="I660" s="3443">
        <v>701</v>
      </c>
      <c r="J660" s="3456" t="s">
        <v>1771</v>
      </c>
      <c r="K660" s="3456"/>
      <c r="L660" s="3456" t="s">
        <v>37</v>
      </c>
      <c r="M660" s="3456"/>
      <c r="N660" s="3456"/>
      <c r="O660" s="3456"/>
      <c r="P660" s="3443"/>
      <c r="Q660" s="3443"/>
      <c r="S660" s="3456"/>
      <c r="W660" s="3512"/>
    </row>
    <row r="661" spans="1:25" ht="57" hidden="1">
      <c r="A661" s="3443" t="s">
        <v>105</v>
      </c>
      <c r="B661" s="3444">
        <v>45771</v>
      </c>
      <c r="C661" s="3355" t="s">
        <v>2084</v>
      </c>
      <c r="D661" s="3513"/>
      <c r="E661" s="3688" t="s">
        <v>267</v>
      </c>
      <c r="F661" s="3688" t="s">
        <v>1988</v>
      </c>
      <c r="I661" s="3443">
        <v>705</v>
      </c>
      <c r="J661" s="3443" t="s">
        <v>2105</v>
      </c>
      <c r="K661" s="3443"/>
      <c r="L661" s="3443"/>
      <c r="M661" s="3443" t="s">
        <v>37</v>
      </c>
      <c r="N661" s="3443"/>
      <c r="O661" s="3443" t="s">
        <v>37</v>
      </c>
      <c r="P661" s="21" t="s">
        <v>0</v>
      </c>
      <c r="Q661" s="21" t="s">
        <v>126</v>
      </c>
      <c r="R661" s="21" t="s">
        <v>160</v>
      </c>
      <c r="S661" s="3443"/>
      <c r="W661" s="3507" t="s">
        <v>2138</v>
      </c>
    </row>
    <row r="662" spans="1:25" ht="57" hidden="1">
      <c r="A662" s="3507" t="s">
        <v>105</v>
      </c>
      <c r="B662" s="3717">
        <v>45771</v>
      </c>
      <c r="C662" s="3355" t="s">
        <v>2084</v>
      </c>
      <c r="D662" s="3513" t="s">
        <v>2139</v>
      </c>
      <c r="E662" s="3443" t="s">
        <v>2140</v>
      </c>
      <c r="F662" s="3443" t="s">
        <v>2141</v>
      </c>
      <c r="I662" s="3443">
        <v>712</v>
      </c>
      <c r="J662" s="3443" t="s">
        <v>2142</v>
      </c>
      <c r="K662" s="3443"/>
      <c r="L662" s="3443" t="s">
        <v>37</v>
      </c>
      <c r="M662" s="3443"/>
      <c r="N662" s="3443"/>
      <c r="O662" s="3443" t="s">
        <v>37</v>
      </c>
      <c r="P662" s="21"/>
      <c r="Q662" s="21"/>
      <c r="R662" s="21"/>
      <c r="S662" s="3443"/>
      <c r="W662" s="3507" t="s">
        <v>2143</v>
      </c>
    </row>
    <row r="663" spans="1:25" ht="28.5" hidden="1">
      <c r="A663" s="3507" t="s">
        <v>105</v>
      </c>
      <c r="B663" s="3717">
        <v>45771</v>
      </c>
      <c r="C663" s="3355" t="s">
        <v>2084</v>
      </c>
      <c r="D663" s="3513" t="s">
        <v>2144</v>
      </c>
      <c r="E663" s="3723" t="s">
        <v>306</v>
      </c>
      <c r="F663" s="3723" t="s">
        <v>209</v>
      </c>
      <c r="I663" s="3443">
        <v>705</v>
      </c>
      <c r="J663" s="3507" t="s">
        <v>2145</v>
      </c>
      <c r="K663" s="3511" t="s">
        <v>2146</v>
      </c>
      <c r="L663" s="3443" t="s">
        <v>37</v>
      </c>
      <c r="M663" s="3443"/>
      <c r="N663" s="3443"/>
      <c r="O663" s="3443"/>
      <c r="P663" s="3443"/>
      <c r="Q663" s="3443"/>
      <c r="S663" s="3443"/>
      <c r="W663" s="3507" t="s">
        <v>2147</v>
      </c>
    </row>
    <row r="664" spans="1:25" ht="28.5" hidden="1">
      <c r="A664" s="3507" t="s">
        <v>105</v>
      </c>
      <c r="B664" s="3717">
        <v>45771</v>
      </c>
      <c r="C664" s="3355" t="s">
        <v>2084</v>
      </c>
      <c r="D664" s="3513"/>
      <c r="E664" s="3724" t="s">
        <v>169</v>
      </c>
      <c r="F664" s="3724" t="s">
        <v>904</v>
      </c>
      <c r="I664" s="3507">
        <v>705</v>
      </c>
      <c r="J664" s="3507" t="s">
        <v>2148</v>
      </c>
      <c r="K664" s="3507"/>
      <c r="L664" s="3507" t="s">
        <v>37</v>
      </c>
      <c r="M664" s="3507"/>
      <c r="N664" s="3507"/>
      <c r="O664" s="3507"/>
      <c r="P664" s="3507"/>
      <c r="Q664" s="3507"/>
      <c r="S664" s="3507"/>
      <c r="W664" s="3507"/>
    </row>
    <row r="665" spans="1:25" ht="28.5" hidden="1">
      <c r="A665" s="3443" t="s">
        <v>105</v>
      </c>
      <c r="B665" s="3444">
        <v>45771</v>
      </c>
      <c r="C665" s="3355" t="s">
        <v>2084</v>
      </c>
      <c r="D665" s="3513"/>
      <c r="E665" s="3723" t="s">
        <v>392</v>
      </c>
      <c r="F665" s="3723" t="s">
        <v>2149</v>
      </c>
      <c r="I665" s="3443">
        <v>705</v>
      </c>
      <c r="J665" s="3443" t="s">
        <v>1173</v>
      </c>
      <c r="K665" s="3443"/>
      <c r="L665" s="3443" t="s">
        <v>37</v>
      </c>
      <c r="M665" s="3443"/>
      <c r="N665" s="3443"/>
      <c r="O665" s="3443"/>
      <c r="P665" s="3443"/>
      <c r="Q665" s="3443"/>
      <c r="S665" s="3443"/>
      <c r="W665" s="3507"/>
    </row>
    <row r="666" spans="1:25" ht="28.5" hidden="1">
      <c r="A666" s="3443" t="s">
        <v>105</v>
      </c>
      <c r="B666" s="3444">
        <v>45771</v>
      </c>
      <c r="C666" s="3355" t="s">
        <v>2084</v>
      </c>
      <c r="D666" s="3513" t="s">
        <v>2150</v>
      </c>
      <c r="E666" s="3618" t="s">
        <v>2151</v>
      </c>
      <c r="F666" s="3618" t="s">
        <v>1920</v>
      </c>
      <c r="I666" s="3443">
        <v>705</v>
      </c>
      <c r="J666" s="3443">
        <v>60072</v>
      </c>
      <c r="K666" s="3443"/>
      <c r="L666" s="3443" t="s">
        <v>37</v>
      </c>
      <c r="M666" s="3443"/>
      <c r="N666" s="3443"/>
      <c r="O666" s="3443"/>
      <c r="P666" s="3443"/>
      <c r="Q666" s="3443"/>
      <c r="S666" s="3443"/>
      <c r="U666" s="3160" t="s">
        <v>37</v>
      </c>
      <c r="W666" s="3507"/>
    </row>
    <row r="667" spans="1:25" ht="28.5" hidden="1">
      <c r="A667" s="3443" t="s">
        <v>105</v>
      </c>
      <c r="B667" s="3444">
        <v>45771</v>
      </c>
      <c r="C667" s="3355" t="s">
        <v>2084</v>
      </c>
      <c r="D667" s="3513"/>
      <c r="E667" s="3618" t="s">
        <v>43</v>
      </c>
      <c r="F667" s="3618" t="s">
        <v>904</v>
      </c>
      <c r="I667" s="3443">
        <v>705</v>
      </c>
      <c r="J667" s="3443" t="s">
        <v>2152</v>
      </c>
      <c r="K667" s="3443"/>
      <c r="L667" s="3443" t="s">
        <v>37</v>
      </c>
      <c r="M667" s="3443"/>
      <c r="N667" s="3443"/>
      <c r="O667" s="3443"/>
      <c r="P667" s="3443"/>
      <c r="Q667" s="3443"/>
      <c r="S667" s="3443"/>
      <c r="U667" s="3160" t="s">
        <v>37</v>
      </c>
      <c r="W667" s="3507"/>
    </row>
    <row r="668" spans="1:25" ht="120.75" hidden="1" customHeight="1">
      <c r="A668" s="3443" t="s">
        <v>105</v>
      </c>
      <c r="B668" s="3444">
        <v>45771</v>
      </c>
      <c r="C668" s="3355" t="s">
        <v>2084</v>
      </c>
      <c r="D668" s="3513"/>
      <c r="E668" s="3618" t="s">
        <v>392</v>
      </c>
      <c r="F668" s="3618" t="s">
        <v>2149</v>
      </c>
      <c r="I668" s="3443">
        <v>705</v>
      </c>
      <c r="J668" s="3443">
        <v>60072</v>
      </c>
      <c r="K668" s="3443"/>
      <c r="L668" s="3443" t="s">
        <v>37</v>
      </c>
      <c r="M668" s="3443"/>
      <c r="N668" s="3443"/>
      <c r="O668" s="3443"/>
      <c r="P668" s="4722"/>
      <c r="Q668" s="4722"/>
      <c r="R668" s="3161"/>
      <c r="S668" s="3443"/>
      <c r="U668" s="3160" t="s">
        <v>37</v>
      </c>
      <c r="W668" s="3507"/>
    </row>
    <row r="669" spans="1:25" ht="152.25" hidden="1" customHeight="1" thickBot="1">
      <c r="A669" s="3443" t="s">
        <v>105</v>
      </c>
      <c r="B669" s="3444">
        <v>45771</v>
      </c>
      <c r="C669" s="3165" t="s">
        <v>2084</v>
      </c>
      <c r="D669" s="4399" t="s">
        <v>2153</v>
      </c>
      <c r="E669" s="3443" t="s">
        <v>1571</v>
      </c>
      <c r="F669" s="3443" t="s">
        <v>169</v>
      </c>
      <c r="G669" s="3254"/>
      <c r="H669" s="3253"/>
      <c r="I669" s="3443">
        <v>712</v>
      </c>
      <c r="J669" s="3443" t="s">
        <v>2154</v>
      </c>
      <c r="K669" s="3511" t="s">
        <v>174</v>
      </c>
      <c r="L669" s="3443" t="s">
        <v>37</v>
      </c>
      <c r="M669" s="3443"/>
      <c r="N669" s="3443"/>
      <c r="O669" s="3443"/>
      <c r="P669" s="4722"/>
      <c r="Q669" s="3443"/>
      <c r="R669" s="3161"/>
      <c r="S669" s="3443"/>
      <c r="W669" s="3507"/>
      <c r="X669" s="3254"/>
    </row>
    <row r="670" spans="1:25" ht="28.5" hidden="1">
      <c r="A670" s="3462" t="s">
        <v>105</v>
      </c>
      <c r="B670" s="3463">
        <v>45771</v>
      </c>
      <c r="C670" s="3368" t="s">
        <v>2084</v>
      </c>
      <c r="D670" s="3520" t="s">
        <v>2155</v>
      </c>
      <c r="E670" s="3462" t="s">
        <v>491</v>
      </c>
      <c r="F670" s="3462" t="s">
        <v>148</v>
      </c>
      <c r="G670" s="3254"/>
      <c r="H670" s="3253"/>
      <c r="I670" s="3462">
        <v>705</v>
      </c>
      <c r="J670" s="3462" t="s">
        <v>2128</v>
      </c>
      <c r="K670" s="3632" t="s">
        <v>84</v>
      </c>
      <c r="L670" s="3462"/>
      <c r="M670" s="3462"/>
      <c r="N670" s="3462" t="s">
        <v>37</v>
      </c>
      <c r="O670" s="3462"/>
      <c r="P670" s="20" t="s">
        <v>0</v>
      </c>
      <c r="Q670" s="24" t="s">
        <v>126</v>
      </c>
      <c r="R670" s="20" t="s">
        <v>160</v>
      </c>
      <c r="S670" s="3462"/>
      <c r="T670" s="3273"/>
      <c r="U670" s="3273"/>
      <c r="V670" s="3273"/>
      <c r="W670" s="3636" t="s">
        <v>2156</v>
      </c>
      <c r="X670" s="3364"/>
      <c r="Y670" s="3274"/>
    </row>
    <row r="671" spans="1:25" ht="85.5" hidden="1">
      <c r="A671" s="3477" t="s">
        <v>105</v>
      </c>
      <c r="B671" s="3478">
        <v>45771</v>
      </c>
      <c r="C671" s="3356" t="s">
        <v>2084</v>
      </c>
      <c r="D671" s="3514" t="s">
        <v>2157</v>
      </c>
      <c r="E671" s="4589" t="s">
        <v>148</v>
      </c>
      <c r="F671" s="4864" t="s">
        <v>2158</v>
      </c>
      <c r="G671" s="3254"/>
      <c r="H671" s="3253"/>
      <c r="I671" s="3480">
        <v>712</v>
      </c>
      <c r="J671" s="3503" t="s">
        <v>2159</v>
      </c>
      <c r="K671" s="3503"/>
      <c r="L671" s="3503"/>
      <c r="M671" s="3503" t="s">
        <v>37</v>
      </c>
      <c r="N671" s="3503"/>
      <c r="O671" s="3503"/>
      <c r="P671" s="34" t="s">
        <v>109</v>
      </c>
      <c r="Q671" s="34" t="s">
        <v>300</v>
      </c>
      <c r="R671" s="34" t="s">
        <v>32</v>
      </c>
      <c r="S671" s="3503" t="s">
        <v>37</v>
      </c>
      <c r="T671" s="3281"/>
      <c r="U671" s="3281"/>
      <c r="V671" s="3281"/>
      <c r="W671" s="3519" t="s">
        <v>2160</v>
      </c>
      <c r="X671" s="3365"/>
      <c r="Y671" s="3282"/>
    </row>
    <row r="672" spans="1:25" ht="81.75" hidden="1" customHeight="1" thickBot="1">
      <c r="A672" s="3494" t="s">
        <v>105</v>
      </c>
      <c r="B672" s="3448">
        <v>45771</v>
      </c>
      <c r="C672" s="3372" t="s">
        <v>2084</v>
      </c>
      <c r="D672" s="3518"/>
      <c r="E672" s="4544" t="s">
        <v>2161</v>
      </c>
      <c r="F672" s="4652" t="s">
        <v>2162</v>
      </c>
      <c r="G672" s="3254"/>
      <c r="H672" s="3253"/>
      <c r="I672" s="3480">
        <v>712</v>
      </c>
      <c r="J672" s="3447" t="s">
        <v>2163</v>
      </c>
      <c r="K672" s="3447"/>
      <c r="L672" s="3447"/>
      <c r="M672" s="3447"/>
      <c r="N672" s="3447" t="s">
        <v>37</v>
      </c>
      <c r="O672" s="3447"/>
      <c r="P672" s="254" t="s">
        <v>109</v>
      </c>
      <c r="Q672" s="254" t="s">
        <v>300</v>
      </c>
      <c r="R672" s="254" t="s">
        <v>32</v>
      </c>
      <c r="S672" s="3447"/>
      <c r="T672" s="3284"/>
      <c r="U672" s="3284"/>
      <c r="V672" s="3284"/>
      <c r="W672" s="3707"/>
      <c r="X672" s="3366"/>
      <c r="Y672" s="3285"/>
    </row>
    <row r="673" spans="1:25" ht="28.5" hidden="1">
      <c r="A673" s="3493" t="s">
        <v>105</v>
      </c>
      <c r="B673" s="3457">
        <v>45771</v>
      </c>
      <c r="C673" s="3355" t="s">
        <v>2084</v>
      </c>
      <c r="D673" s="3513" t="s">
        <v>2164</v>
      </c>
      <c r="E673" s="3843" t="s">
        <v>1464</v>
      </c>
      <c r="F673" s="3843" t="s">
        <v>1465</v>
      </c>
      <c r="I673" s="3456">
        <v>701</v>
      </c>
      <c r="J673" s="3456" t="s">
        <v>1785</v>
      </c>
      <c r="K673" s="3456"/>
      <c r="L673" s="3456" t="s">
        <v>37</v>
      </c>
      <c r="M673" s="3456"/>
      <c r="N673" s="3456"/>
      <c r="O673" s="3456"/>
      <c r="P673" s="3456"/>
      <c r="Q673" s="3456"/>
      <c r="R673" s="3276"/>
      <c r="S673" s="3456"/>
      <c r="T673" s="3276"/>
      <c r="U673" s="3276"/>
      <c r="V673" s="3276"/>
      <c r="W673" s="3609"/>
      <c r="X673" s="3276"/>
      <c r="Y673" s="3277"/>
    </row>
    <row r="674" spans="1:25" ht="57" hidden="1">
      <c r="A674" s="3480" t="s">
        <v>105</v>
      </c>
      <c r="B674" s="3444">
        <v>45771</v>
      </c>
      <c r="C674" s="3355" t="s">
        <v>2084</v>
      </c>
      <c r="D674" s="3513"/>
      <c r="E674" s="3617" t="s">
        <v>1465</v>
      </c>
      <c r="F674" s="3617" t="s">
        <v>1464</v>
      </c>
      <c r="I674" s="3443">
        <v>701</v>
      </c>
      <c r="J674" s="3443" t="s">
        <v>1771</v>
      </c>
      <c r="K674" s="3443"/>
      <c r="L674" s="3443"/>
      <c r="M674" s="3443" t="s">
        <v>37</v>
      </c>
      <c r="N674" s="3443"/>
      <c r="O674" s="3443" t="s">
        <v>37</v>
      </c>
      <c r="P674" s="21" t="s">
        <v>71</v>
      </c>
      <c r="Q674" s="21" t="s">
        <v>138</v>
      </c>
      <c r="R674" s="21" t="s">
        <v>790</v>
      </c>
      <c r="S674" s="3443"/>
      <c r="W674" s="3522" t="s">
        <v>2165</v>
      </c>
    </row>
    <row r="675" spans="1:25" ht="28.5" hidden="1">
      <c r="A675" s="3480" t="s">
        <v>132</v>
      </c>
      <c r="B675" s="3444">
        <v>45772</v>
      </c>
      <c r="C675" s="3355" t="s">
        <v>2084</v>
      </c>
      <c r="D675" s="3513" t="s">
        <v>2166</v>
      </c>
      <c r="E675" s="3443" t="s">
        <v>80</v>
      </c>
      <c r="F675" s="3443" t="s">
        <v>2167</v>
      </c>
      <c r="I675" s="3443">
        <v>707</v>
      </c>
      <c r="J675" s="3443" t="s">
        <v>2105</v>
      </c>
      <c r="K675" s="3443"/>
      <c r="L675" s="3443" t="s">
        <v>37</v>
      </c>
      <c r="M675" s="3443"/>
      <c r="N675" s="3443"/>
      <c r="O675" s="3443"/>
      <c r="P675" s="4722"/>
      <c r="Q675" s="4722"/>
      <c r="R675" s="3161"/>
      <c r="S675" s="3443"/>
      <c r="W675" s="3522" t="s">
        <v>2168</v>
      </c>
    </row>
    <row r="676" spans="1:25" ht="28.5" hidden="1">
      <c r="A676" s="3480" t="s">
        <v>132</v>
      </c>
      <c r="B676" s="3444">
        <v>45772</v>
      </c>
      <c r="C676" s="3355" t="s">
        <v>2084</v>
      </c>
      <c r="D676" s="3513" t="s">
        <v>2169</v>
      </c>
      <c r="E676" s="3443" t="s">
        <v>258</v>
      </c>
      <c r="F676" s="3443" t="s">
        <v>2052</v>
      </c>
      <c r="I676" s="3443">
        <v>707</v>
      </c>
      <c r="J676" s="3443" t="s">
        <v>1282</v>
      </c>
      <c r="K676" s="3443"/>
      <c r="L676" s="3443" t="s">
        <v>37</v>
      </c>
      <c r="M676" s="3443"/>
      <c r="N676" s="3443"/>
      <c r="O676" s="3443"/>
      <c r="P676" s="3443"/>
      <c r="Q676" s="3443"/>
      <c r="S676" s="3443"/>
      <c r="W676" s="3522"/>
    </row>
    <row r="677" spans="1:25" ht="57" hidden="1">
      <c r="A677" s="3480" t="s">
        <v>132</v>
      </c>
      <c r="B677" s="3444">
        <v>45772</v>
      </c>
      <c r="C677" s="3355" t="s">
        <v>2084</v>
      </c>
      <c r="D677" s="3513" t="s">
        <v>2170</v>
      </c>
      <c r="E677" s="3443" t="s">
        <v>89</v>
      </c>
      <c r="F677" s="3443" t="s">
        <v>169</v>
      </c>
      <c r="I677" s="3443">
        <v>712</v>
      </c>
      <c r="J677" s="3443" t="s">
        <v>2171</v>
      </c>
      <c r="K677" s="3443"/>
      <c r="L677" s="3443"/>
      <c r="M677" s="3443"/>
      <c r="N677" s="3443" t="s">
        <v>37</v>
      </c>
      <c r="O677" s="3443"/>
      <c r="P677" s="21" t="s">
        <v>71</v>
      </c>
      <c r="Q677" s="21" t="s">
        <v>138</v>
      </c>
      <c r="R677" s="21" t="s">
        <v>790</v>
      </c>
      <c r="S677" s="3443"/>
      <c r="W677" s="3522" t="s">
        <v>2172</v>
      </c>
    </row>
    <row r="678" spans="1:25" ht="28.5" hidden="1">
      <c r="A678" s="3480" t="s">
        <v>132</v>
      </c>
      <c r="B678" s="3444">
        <v>45772</v>
      </c>
      <c r="C678" s="3355" t="s">
        <v>2084</v>
      </c>
      <c r="D678" s="3513" t="s">
        <v>2173</v>
      </c>
      <c r="E678" s="3443" t="s">
        <v>80</v>
      </c>
      <c r="F678" s="3443" t="s">
        <v>296</v>
      </c>
      <c r="I678" s="3443">
        <v>705</v>
      </c>
      <c r="J678" s="3443" t="s">
        <v>1093</v>
      </c>
      <c r="K678" s="3443"/>
      <c r="L678" s="3443" t="s">
        <v>37</v>
      </c>
      <c r="M678" s="3443"/>
      <c r="N678" s="3443"/>
      <c r="O678" s="3443"/>
      <c r="P678" s="3443"/>
      <c r="Q678" s="3443"/>
      <c r="S678" s="3443"/>
      <c r="W678" s="3522"/>
    </row>
    <row r="679" spans="1:25" ht="28.5" hidden="1">
      <c r="A679" s="3480" t="s">
        <v>132</v>
      </c>
      <c r="B679" s="3444">
        <v>45772</v>
      </c>
      <c r="C679" s="3355" t="s">
        <v>2084</v>
      </c>
      <c r="D679" s="3513" t="s">
        <v>2174</v>
      </c>
      <c r="E679" s="3443" t="s">
        <v>267</v>
      </c>
      <c r="F679" s="3443" t="s">
        <v>2175</v>
      </c>
      <c r="I679" s="3443">
        <v>707</v>
      </c>
      <c r="J679" s="3443" t="s">
        <v>2176</v>
      </c>
      <c r="K679" s="3443"/>
      <c r="L679" s="3443" t="s">
        <v>37</v>
      </c>
      <c r="M679" s="3443"/>
      <c r="N679" s="3443"/>
      <c r="O679" s="3443"/>
      <c r="P679" s="4722"/>
      <c r="Q679" s="4722"/>
      <c r="R679" s="3161"/>
      <c r="S679" s="3443"/>
      <c r="W679" s="3522"/>
    </row>
    <row r="680" spans="1:25" ht="28.5" hidden="1">
      <c r="A680" s="3480" t="s">
        <v>132</v>
      </c>
      <c r="B680" s="3444">
        <v>45772</v>
      </c>
      <c r="C680" s="3355" t="s">
        <v>2084</v>
      </c>
      <c r="D680" s="3513" t="s">
        <v>2177</v>
      </c>
      <c r="E680" s="3563" t="s">
        <v>1213</v>
      </c>
      <c r="F680" s="3563" t="s">
        <v>148</v>
      </c>
      <c r="I680" s="3462">
        <v>705</v>
      </c>
      <c r="J680" s="3545" t="s">
        <v>2178</v>
      </c>
      <c r="K680" s="3443"/>
      <c r="L680" s="3462" t="s">
        <v>37</v>
      </c>
      <c r="M680" s="3462"/>
      <c r="N680" s="3462"/>
      <c r="O680" s="3462"/>
      <c r="P680" s="3462"/>
      <c r="Q680" s="3462"/>
      <c r="S680" s="3462"/>
      <c r="W680" s="3507"/>
    </row>
    <row r="681" spans="1:25" ht="85.5" hidden="1">
      <c r="A681" s="3480" t="s">
        <v>132</v>
      </c>
      <c r="B681" s="3444">
        <v>45772</v>
      </c>
      <c r="C681" s="3355" t="s">
        <v>2084</v>
      </c>
      <c r="D681" s="3513"/>
      <c r="E681" s="3563" t="s">
        <v>148</v>
      </c>
      <c r="F681" s="3563" t="s">
        <v>296</v>
      </c>
      <c r="I681" s="3443">
        <v>705</v>
      </c>
      <c r="J681" s="3443" t="s">
        <v>2179</v>
      </c>
      <c r="K681" s="3443"/>
      <c r="L681" s="3443"/>
      <c r="M681" s="3443" t="s">
        <v>37</v>
      </c>
      <c r="N681" s="3443"/>
      <c r="O681" s="3443"/>
      <c r="P681" s="21" t="s">
        <v>71</v>
      </c>
      <c r="Q681" s="21" t="s">
        <v>720</v>
      </c>
      <c r="R681" s="21" t="s">
        <v>160</v>
      </c>
      <c r="S681" s="3443"/>
      <c r="W681" s="3522" t="s">
        <v>2180</v>
      </c>
    </row>
    <row r="682" spans="1:25" ht="28.5" hidden="1">
      <c r="A682" s="3500" t="s">
        <v>132</v>
      </c>
      <c r="B682" s="3463">
        <v>45772</v>
      </c>
      <c r="C682" s="3368" t="s">
        <v>2084</v>
      </c>
      <c r="D682" s="3520" t="s">
        <v>2181</v>
      </c>
      <c r="E682" s="3689" t="s">
        <v>742</v>
      </c>
      <c r="F682" s="3689" t="s">
        <v>1145</v>
      </c>
      <c r="I682" s="3689">
        <v>705</v>
      </c>
      <c r="J682" s="3689" t="s">
        <v>2128</v>
      </c>
      <c r="K682" s="3632" t="s">
        <v>2182</v>
      </c>
      <c r="L682" s="3689" t="s">
        <v>37</v>
      </c>
      <c r="M682" s="3689"/>
      <c r="N682" s="3689"/>
      <c r="O682" s="3689"/>
      <c r="P682" s="3689"/>
      <c r="Q682" s="3689" t="s">
        <v>37</v>
      </c>
      <c r="R682" s="3273"/>
      <c r="S682" s="3689"/>
      <c r="T682" s="4948" t="s">
        <v>37</v>
      </c>
      <c r="U682" s="3273"/>
      <c r="V682" s="3273"/>
      <c r="W682" s="3989"/>
    </row>
    <row r="683" spans="1:25" ht="28.5" hidden="1">
      <c r="A683" s="3480" t="s">
        <v>132</v>
      </c>
      <c r="B683" s="3444">
        <v>45772</v>
      </c>
      <c r="C683" s="3165" t="s">
        <v>2084</v>
      </c>
      <c r="D683" s="4399" t="s">
        <v>2183</v>
      </c>
      <c r="E683" s="3443" t="s">
        <v>2184</v>
      </c>
      <c r="F683" s="3443" t="s">
        <v>2185</v>
      </c>
      <c r="I683" s="3443">
        <v>705</v>
      </c>
      <c r="J683" s="3443" t="s">
        <v>2186</v>
      </c>
      <c r="K683" s="3511" t="s">
        <v>1481</v>
      </c>
      <c r="L683" s="3443" t="s">
        <v>37</v>
      </c>
      <c r="M683" s="3443"/>
      <c r="N683" s="3443"/>
      <c r="O683" s="3443" t="s">
        <v>37</v>
      </c>
      <c r="P683" s="3443"/>
      <c r="Q683" s="3443"/>
      <c r="S683" s="3443"/>
      <c r="W683" s="3522" t="s">
        <v>2187</v>
      </c>
    </row>
    <row r="684" spans="1:25" ht="28.5" hidden="1">
      <c r="A684" s="3480" t="s">
        <v>132</v>
      </c>
      <c r="B684" s="3444">
        <v>45772</v>
      </c>
      <c r="C684" s="3355" t="s">
        <v>2084</v>
      </c>
      <c r="D684" s="3513" t="s">
        <v>2188</v>
      </c>
      <c r="E684" s="3443" t="s">
        <v>2141</v>
      </c>
      <c r="F684" s="3462" t="s">
        <v>1920</v>
      </c>
      <c r="I684" s="3462"/>
      <c r="J684" s="3443" t="s">
        <v>318</v>
      </c>
      <c r="K684" s="3511"/>
      <c r="L684" s="3443"/>
      <c r="M684" s="3443"/>
      <c r="N684" s="3443" t="s">
        <v>37</v>
      </c>
      <c r="O684" s="3443"/>
      <c r="P684" s="4722"/>
      <c r="Q684" s="4722"/>
      <c r="R684" s="3161"/>
      <c r="S684" s="3443"/>
      <c r="W684" s="3522" t="s">
        <v>2189</v>
      </c>
    </row>
    <row r="685" spans="1:25" ht="29.25" hidden="1" thickBot="1">
      <c r="A685" s="3494" t="s">
        <v>132</v>
      </c>
      <c r="B685" s="3448">
        <v>45772</v>
      </c>
      <c r="C685" s="3357" t="s">
        <v>2084</v>
      </c>
      <c r="D685" s="4405" t="s">
        <v>2190</v>
      </c>
      <c r="E685" s="3586" t="s">
        <v>2191</v>
      </c>
      <c r="F685" s="3447" t="s">
        <v>43</v>
      </c>
      <c r="G685" s="3254"/>
      <c r="H685" s="3253"/>
      <c r="I685" s="3447">
        <v>705</v>
      </c>
      <c r="J685" s="3546" t="s">
        <v>384</v>
      </c>
      <c r="K685" s="3608" t="s">
        <v>84</v>
      </c>
      <c r="L685" s="3447"/>
      <c r="M685" s="3447"/>
      <c r="N685" s="3447" t="s">
        <v>37</v>
      </c>
      <c r="O685" s="3447"/>
      <c r="P685" s="3447"/>
      <c r="Q685" s="3447"/>
      <c r="R685" s="3284"/>
      <c r="S685" s="3447"/>
      <c r="T685" s="3284"/>
      <c r="U685" s="3284"/>
      <c r="V685" s="3284"/>
      <c r="W685" s="3547"/>
      <c r="X685" s="3254"/>
    </row>
    <row r="686" spans="1:25" ht="57.75" hidden="1" thickBot="1">
      <c r="A686" s="3508" t="s">
        <v>132</v>
      </c>
      <c r="B686" s="3451">
        <v>45772</v>
      </c>
      <c r="C686" s="3372" t="s">
        <v>2084</v>
      </c>
      <c r="D686" s="3518" t="s">
        <v>2192</v>
      </c>
      <c r="E686" s="3508" t="s">
        <v>43</v>
      </c>
      <c r="F686" s="3508" t="s">
        <v>537</v>
      </c>
      <c r="G686" s="3254"/>
      <c r="H686" s="3253"/>
      <c r="I686" s="3443">
        <v>705</v>
      </c>
      <c r="J686" s="3508" t="s">
        <v>406</v>
      </c>
      <c r="K686" s="3734" t="s">
        <v>84</v>
      </c>
      <c r="L686" s="3508"/>
      <c r="M686" s="3508" t="s">
        <v>37</v>
      </c>
      <c r="N686" s="3508"/>
      <c r="O686" s="3508"/>
      <c r="P686" s="59" t="s">
        <v>109</v>
      </c>
      <c r="Q686" s="59" t="s">
        <v>1109</v>
      </c>
      <c r="R686" s="59" t="s">
        <v>38</v>
      </c>
      <c r="S686" s="3508"/>
      <c r="T686" s="3735"/>
      <c r="U686" s="3735"/>
      <c r="V686" s="3735"/>
      <c r="W686" s="3733" t="s">
        <v>2193</v>
      </c>
      <c r="X686" s="3254"/>
    </row>
    <row r="687" spans="1:25" ht="28.5" hidden="1">
      <c r="A687" s="3505" t="s">
        <v>132</v>
      </c>
      <c r="B687" s="3506">
        <v>45772</v>
      </c>
      <c r="C687" s="3355" t="s">
        <v>2084</v>
      </c>
      <c r="D687" s="3513" t="s">
        <v>2194</v>
      </c>
      <c r="E687" s="4559" t="s">
        <v>1145</v>
      </c>
      <c r="F687" s="4559" t="s">
        <v>1598</v>
      </c>
      <c r="I687" s="3480">
        <v>705</v>
      </c>
      <c r="J687" s="3462" t="s">
        <v>2105</v>
      </c>
      <c r="K687" s="3462"/>
      <c r="L687" s="3462" t="s">
        <v>37</v>
      </c>
      <c r="M687" s="3462"/>
      <c r="N687" s="3456"/>
      <c r="O687" s="3462"/>
      <c r="P687" s="3456"/>
      <c r="Q687" s="3456"/>
      <c r="R687" s="3276"/>
      <c r="S687" s="3456"/>
      <c r="T687" s="3276"/>
      <c r="U687" s="3276"/>
      <c r="V687" s="3276"/>
      <c r="W687" s="3636"/>
    </row>
    <row r="688" spans="1:25" ht="28.5" hidden="1">
      <c r="A688" s="3443" t="s">
        <v>143</v>
      </c>
      <c r="B688" s="3444">
        <v>45773</v>
      </c>
      <c r="C688" s="3355" t="s">
        <v>2084</v>
      </c>
      <c r="D688" s="4399" t="s">
        <v>2195</v>
      </c>
      <c r="E688" s="3443" t="s">
        <v>2196</v>
      </c>
      <c r="F688" s="3443" t="s">
        <v>2052</v>
      </c>
      <c r="I688" s="3480">
        <v>712</v>
      </c>
      <c r="J688" s="3443" t="s">
        <v>2197</v>
      </c>
      <c r="K688" s="3511" t="s">
        <v>84</v>
      </c>
      <c r="L688" s="3443" t="s">
        <v>37</v>
      </c>
      <c r="M688" s="3443"/>
      <c r="N688" s="3443"/>
      <c r="O688" s="3443"/>
      <c r="P688" s="3443"/>
      <c r="Q688" s="3443"/>
      <c r="S688" s="3443"/>
      <c r="W688" s="3507"/>
    </row>
    <row r="689" spans="1:23" ht="28.5" hidden="1">
      <c r="A689" s="3614" t="s">
        <v>25</v>
      </c>
      <c r="B689" s="3444">
        <v>45775</v>
      </c>
      <c r="C689" s="3355" t="s">
        <v>2198</v>
      </c>
      <c r="D689" s="4399" t="s">
        <v>2199</v>
      </c>
      <c r="E689" s="3617" t="s">
        <v>1464</v>
      </c>
      <c r="F689" s="3617" t="s">
        <v>1465</v>
      </c>
      <c r="I689" s="3443">
        <v>701</v>
      </c>
      <c r="J689" s="3443" t="s">
        <v>1785</v>
      </c>
      <c r="K689" s="3443"/>
      <c r="L689" s="3443" t="s">
        <v>30</v>
      </c>
      <c r="M689" s="3443"/>
      <c r="O689" s="3443"/>
      <c r="W689" s="3507"/>
    </row>
    <row r="690" spans="1:23" ht="28.5" hidden="1">
      <c r="A690" s="3443" t="s">
        <v>25</v>
      </c>
      <c r="B690" s="3444">
        <v>45775</v>
      </c>
      <c r="C690" s="3355" t="s">
        <v>2198</v>
      </c>
      <c r="D690" s="4399"/>
      <c r="E690" s="3617" t="s">
        <v>1465</v>
      </c>
      <c r="F690" s="3617" t="s">
        <v>1464</v>
      </c>
      <c r="I690" s="3443">
        <v>701</v>
      </c>
      <c r="J690" s="3443" t="s">
        <v>1771</v>
      </c>
      <c r="K690" s="3443"/>
      <c r="L690" s="3443" t="s">
        <v>30</v>
      </c>
      <c r="M690" s="3443"/>
      <c r="O690" s="3443"/>
      <c r="W690" s="3507"/>
    </row>
    <row r="691" spans="1:23" ht="28.5" hidden="1">
      <c r="A691" s="3614" t="s">
        <v>25</v>
      </c>
      <c r="B691" s="3444">
        <v>45775</v>
      </c>
      <c r="C691" s="3355" t="s">
        <v>2198</v>
      </c>
      <c r="D691" s="4399"/>
      <c r="E691" s="3614" t="s">
        <v>2052</v>
      </c>
      <c r="F691" s="3614" t="s">
        <v>2200</v>
      </c>
      <c r="I691" s="3443">
        <v>712</v>
      </c>
      <c r="J691" s="3614" t="s">
        <v>2197</v>
      </c>
      <c r="K691" s="3614"/>
      <c r="L691" s="3614" t="s">
        <v>37</v>
      </c>
      <c r="M691" s="3614"/>
      <c r="O691" s="3614"/>
      <c r="W691" s="3732"/>
    </row>
    <row r="692" spans="1:23" ht="28.5" hidden="1">
      <c r="A692" s="3443" t="s">
        <v>25</v>
      </c>
      <c r="B692" s="3444">
        <v>45775</v>
      </c>
      <c r="C692" s="3355" t="s">
        <v>2198</v>
      </c>
      <c r="D692" s="4399" t="s">
        <v>2201</v>
      </c>
      <c r="E692" s="3614" t="s">
        <v>523</v>
      </c>
      <c r="F692" s="3614" t="s">
        <v>140</v>
      </c>
      <c r="I692" s="3614">
        <v>705</v>
      </c>
      <c r="J692" s="3614" t="s">
        <v>2202</v>
      </c>
      <c r="K692" s="3614"/>
      <c r="L692" s="3614" t="s">
        <v>37</v>
      </c>
      <c r="M692" s="3614"/>
      <c r="O692" s="3614"/>
      <c r="W692" s="3732"/>
    </row>
    <row r="693" spans="1:23" ht="28.5" hidden="1">
      <c r="A693" s="3443" t="s">
        <v>25</v>
      </c>
      <c r="B693" s="3444">
        <v>45775</v>
      </c>
      <c r="C693" s="3355" t="s">
        <v>2198</v>
      </c>
      <c r="D693" s="4399"/>
      <c r="E693" s="3614" t="s">
        <v>80</v>
      </c>
      <c r="F693" s="3614" t="s">
        <v>61</v>
      </c>
      <c r="I693" s="3614">
        <v>705</v>
      </c>
      <c r="J693" s="3614" t="s">
        <v>1173</v>
      </c>
      <c r="K693" s="3614"/>
      <c r="L693" s="3614" t="s">
        <v>37</v>
      </c>
      <c r="M693" s="3614"/>
      <c r="O693" s="3614"/>
      <c r="W693" s="3732"/>
    </row>
    <row r="694" spans="1:23" ht="28.5" hidden="1">
      <c r="A694" s="3443" t="s">
        <v>25</v>
      </c>
      <c r="B694" s="3444">
        <v>45775</v>
      </c>
      <c r="C694" s="3355" t="s">
        <v>2198</v>
      </c>
      <c r="D694" s="4399" t="s">
        <v>2203</v>
      </c>
      <c r="E694" s="3758" t="s">
        <v>2052</v>
      </c>
      <c r="F694" s="3758" t="s">
        <v>169</v>
      </c>
      <c r="I694" s="3443">
        <v>712</v>
      </c>
      <c r="J694" s="3728" t="s">
        <v>387</v>
      </c>
      <c r="K694" s="51"/>
      <c r="L694" s="3614" t="s">
        <v>37</v>
      </c>
      <c r="M694" s="51"/>
      <c r="O694" s="51"/>
      <c r="W694" s="51"/>
    </row>
    <row r="695" spans="1:23" ht="28.5" hidden="1">
      <c r="A695" s="3462" t="s">
        <v>25</v>
      </c>
      <c r="B695" s="3463">
        <v>45775</v>
      </c>
      <c r="C695" s="3355" t="s">
        <v>2198</v>
      </c>
      <c r="D695" s="4399" t="s">
        <v>2204</v>
      </c>
      <c r="E695" s="3689" t="s">
        <v>1213</v>
      </c>
      <c r="F695" s="3689" t="s">
        <v>850</v>
      </c>
      <c r="I695" s="3761">
        <v>705</v>
      </c>
      <c r="J695" s="3614" t="s">
        <v>2205</v>
      </c>
      <c r="K695" s="51"/>
      <c r="L695" s="51" t="s">
        <v>37</v>
      </c>
      <c r="M695" s="4944"/>
      <c r="O695" s="3462" t="s">
        <v>30</v>
      </c>
      <c r="W695" s="3636" t="s">
        <v>2206</v>
      </c>
    </row>
    <row r="696" spans="1:23" ht="28.5" hidden="1">
      <c r="A696" s="3443" t="s">
        <v>25</v>
      </c>
      <c r="B696" s="3444">
        <v>45775</v>
      </c>
      <c r="C696" s="3355" t="s">
        <v>2198</v>
      </c>
      <c r="D696" s="4399" t="s">
        <v>2207</v>
      </c>
      <c r="E696" s="3614" t="s">
        <v>169</v>
      </c>
      <c r="F696" s="3614" t="s">
        <v>306</v>
      </c>
      <c r="I696" s="3614">
        <v>705</v>
      </c>
      <c r="J696" s="3614" t="s">
        <v>2128</v>
      </c>
      <c r="K696" s="49"/>
      <c r="L696" s="3614" t="s">
        <v>37</v>
      </c>
      <c r="M696" s="49"/>
      <c r="O696" s="49"/>
      <c r="P696" s="3161"/>
      <c r="Q696" s="3161"/>
      <c r="R696" s="3161"/>
      <c r="W696" s="49"/>
    </row>
    <row r="697" spans="1:23" ht="28.5" hidden="1">
      <c r="A697" s="3462" t="s">
        <v>25</v>
      </c>
      <c r="B697" s="3463">
        <v>45775</v>
      </c>
      <c r="C697" s="3355" t="s">
        <v>2198</v>
      </c>
      <c r="D697" s="4399" t="s">
        <v>2208</v>
      </c>
      <c r="E697" s="3689" t="s">
        <v>267</v>
      </c>
      <c r="F697" s="3689" t="s">
        <v>2209</v>
      </c>
      <c r="I697" s="3689">
        <v>705</v>
      </c>
      <c r="J697" s="3728" t="s">
        <v>2210</v>
      </c>
      <c r="K697" s="3632" t="s">
        <v>1613</v>
      </c>
      <c r="L697" s="3443" t="s">
        <v>37</v>
      </c>
      <c r="M697" s="3462"/>
      <c r="O697" s="3462"/>
      <c r="W697" s="3636"/>
    </row>
    <row r="698" spans="1:23" ht="28.5" hidden="1">
      <c r="A698" s="3656" t="s">
        <v>25</v>
      </c>
      <c r="B698" s="3657">
        <v>45775</v>
      </c>
      <c r="C698" s="3355" t="s">
        <v>2198</v>
      </c>
      <c r="D698" s="4399" t="s">
        <v>2211</v>
      </c>
      <c r="E698" s="3718" t="s">
        <v>148</v>
      </c>
      <c r="F698" s="3718" t="s">
        <v>296</v>
      </c>
      <c r="I698" s="3708">
        <v>705</v>
      </c>
      <c r="J698" s="3727" t="s">
        <v>2179</v>
      </c>
      <c r="K698" s="192"/>
      <c r="L698" s="3718"/>
      <c r="M698" s="3668" t="s">
        <v>30</v>
      </c>
      <c r="O698" s="192"/>
      <c r="P698" s="20" t="s">
        <v>109</v>
      </c>
      <c r="Q698" s="20" t="s">
        <v>1019</v>
      </c>
      <c r="R698" s="20" t="s">
        <v>160</v>
      </c>
      <c r="W698" s="4956" t="s">
        <v>2212</v>
      </c>
    </row>
    <row r="699" spans="1:23" ht="28.5" hidden="1">
      <c r="A699" s="3480" t="s">
        <v>25</v>
      </c>
      <c r="B699" s="3444">
        <v>45775</v>
      </c>
      <c r="C699" s="3355" t="s">
        <v>2198</v>
      </c>
      <c r="D699" s="4399" t="s">
        <v>2213</v>
      </c>
      <c r="E699" s="3614" t="s">
        <v>537</v>
      </c>
      <c r="F699" s="3614" t="s">
        <v>1071</v>
      </c>
      <c r="I699" s="3647">
        <v>705</v>
      </c>
      <c r="J699" s="3614" t="s">
        <v>2214</v>
      </c>
      <c r="K699" s="49"/>
      <c r="L699" s="3614" t="s">
        <v>30</v>
      </c>
      <c r="M699" s="49"/>
      <c r="O699" s="49"/>
      <c r="W699" s="49"/>
    </row>
    <row r="700" spans="1:23" ht="114" hidden="1">
      <c r="A700" s="3480" t="s">
        <v>67</v>
      </c>
      <c r="B700" s="3444">
        <v>45776</v>
      </c>
      <c r="C700" s="3355" t="s">
        <v>2198</v>
      </c>
      <c r="D700" s="4399"/>
      <c r="E700" s="3614" t="s">
        <v>537</v>
      </c>
      <c r="F700" s="3614" t="s">
        <v>61</v>
      </c>
      <c r="I700" s="3647">
        <v>705</v>
      </c>
      <c r="J700" s="3614" t="s">
        <v>2210</v>
      </c>
      <c r="K700" s="3511" t="s">
        <v>1613</v>
      </c>
      <c r="L700" s="3443"/>
      <c r="M700" s="3443" t="s">
        <v>30</v>
      </c>
      <c r="O700" s="3443" t="s">
        <v>30</v>
      </c>
      <c r="P700" s="21" t="s">
        <v>122</v>
      </c>
      <c r="Q700" s="21" t="s">
        <v>123</v>
      </c>
      <c r="R700" s="21" t="s">
        <v>160</v>
      </c>
      <c r="W700" s="3507" t="s">
        <v>2215</v>
      </c>
    </row>
    <row r="701" spans="1:23" ht="28.5" hidden="1">
      <c r="A701" s="3480" t="s">
        <v>67</v>
      </c>
      <c r="B701" s="3444">
        <v>45776</v>
      </c>
      <c r="C701" s="3355" t="s">
        <v>2198</v>
      </c>
      <c r="D701" s="4399" t="s">
        <v>2216</v>
      </c>
      <c r="E701" s="3617" t="s">
        <v>1464</v>
      </c>
      <c r="F701" s="3617" t="s">
        <v>1465</v>
      </c>
      <c r="I701" s="3443">
        <v>701</v>
      </c>
      <c r="J701" s="3443" t="s">
        <v>1785</v>
      </c>
      <c r="K701" s="3443"/>
      <c r="L701" s="3614" t="s">
        <v>37</v>
      </c>
      <c r="M701" s="3443"/>
      <c r="O701" s="3443"/>
      <c r="W701" s="3507"/>
    </row>
    <row r="702" spans="1:23" ht="28.5" hidden="1">
      <c r="A702" s="3480" t="s">
        <v>67</v>
      </c>
      <c r="B702" s="3444">
        <v>45776</v>
      </c>
      <c r="C702" s="3355" t="s">
        <v>2198</v>
      </c>
      <c r="D702" s="4399"/>
      <c r="E702" s="3617" t="s">
        <v>1465</v>
      </c>
      <c r="F702" s="3617" t="s">
        <v>1464</v>
      </c>
      <c r="I702" s="3443">
        <v>701</v>
      </c>
      <c r="J702" s="3443" t="s">
        <v>1771</v>
      </c>
      <c r="K702" s="3443"/>
      <c r="L702" s="3614" t="s">
        <v>37</v>
      </c>
      <c r="M702" s="3443"/>
      <c r="O702" s="3443"/>
      <c r="P702" s="3161"/>
      <c r="Q702" s="3161"/>
      <c r="R702" s="3161"/>
      <c r="W702" s="3507"/>
    </row>
    <row r="703" spans="1:23" ht="28.5" hidden="1">
      <c r="A703" s="3480" t="s">
        <v>67</v>
      </c>
      <c r="B703" s="3444">
        <v>45776</v>
      </c>
      <c r="C703" s="3355" t="s">
        <v>2198</v>
      </c>
      <c r="D703" s="4399" t="s">
        <v>2217</v>
      </c>
      <c r="E703" s="3614" t="s">
        <v>296</v>
      </c>
      <c r="F703" s="3614" t="s">
        <v>175</v>
      </c>
      <c r="I703" s="3443">
        <v>705</v>
      </c>
      <c r="J703" s="3443" t="s">
        <v>1674</v>
      </c>
      <c r="K703" s="3443"/>
      <c r="L703" s="3614" t="s">
        <v>37</v>
      </c>
      <c r="M703" s="3443"/>
      <c r="O703" s="3443"/>
      <c r="W703" s="3507"/>
    </row>
    <row r="704" spans="1:23" ht="28.5" hidden="1">
      <c r="A704" s="3480" t="s">
        <v>67</v>
      </c>
      <c r="B704" s="3444">
        <v>45776</v>
      </c>
      <c r="C704" s="3355" t="s">
        <v>2198</v>
      </c>
      <c r="D704" s="4399"/>
      <c r="E704" s="3614" t="s">
        <v>2136</v>
      </c>
      <c r="F704" s="3614" t="s">
        <v>296</v>
      </c>
      <c r="I704" s="3443">
        <v>705</v>
      </c>
      <c r="J704" s="3443" t="s">
        <v>1674</v>
      </c>
      <c r="K704" s="3443"/>
      <c r="L704" s="3614"/>
      <c r="M704" s="3443" t="s">
        <v>30</v>
      </c>
      <c r="O704" s="3443"/>
      <c r="P704" s="21" t="s">
        <v>0</v>
      </c>
      <c r="Q704" s="21" t="s">
        <v>31</v>
      </c>
      <c r="R704" s="21" t="s">
        <v>38</v>
      </c>
      <c r="W704" s="3507" t="s">
        <v>2218</v>
      </c>
    </row>
    <row r="705" spans="1:23" ht="28.5" hidden="1">
      <c r="A705" s="3480" t="s">
        <v>67</v>
      </c>
      <c r="B705" s="3444">
        <v>45776</v>
      </c>
      <c r="C705" s="3355" t="s">
        <v>2198</v>
      </c>
      <c r="D705" s="4399" t="s">
        <v>2219</v>
      </c>
      <c r="E705" s="3614" t="s">
        <v>450</v>
      </c>
      <c r="F705" s="3614" t="s">
        <v>2220</v>
      </c>
      <c r="I705" s="3443">
        <v>712</v>
      </c>
      <c r="J705" s="3614" t="s">
        <v>2221</v>
      </c>
      <c r="K705" s="49"/>
      <c r="L705" s="3614" t="s">
        <v>37</v>
      </c>
      <c r="M705" s="49"/>
      <c r="O705" s="49"/>
      <c r="W705" s="49"/>
    </row>
    <row r="706" spans="1:23" ht="28.5" hidden="1">
      <c r="A706" s="3480" t="s">
        <v>67</v>
      </c>
      <c r="B706" s="3444">
        <v>45776</v>
      </c>
      <c r="C706" s="3355" t="s">
        <v>2198</v>
      </c>
      <c r="D706" s="4399"/>
      <c r="E706" s="3614" t="s">
        <v>2222</v>
      </c>
      <c r="F706" s="3614" t="s">
        <v>2223</v>
      </c>
      <c r="I706" s="3443">
        <v>712</v>
      </c>
      <c r="J706" s="3614" t="s">
        <v>2224</v>
      </c>
      <c r="K706" s="49"/>
      <c r="L706" s="3614" t="s">
        <v>37</v>
      </c>
      <c r="M706" s="49"/>
      <c r="O706" s="49"/>
      <c r="W706" s="49"/>
    </row>
    <row r="707" spans="1:23" ht="28.5" hidden="1">
      <c r="A707" s="3480" t="s">
        <v>67</v>
      </c>
      <c r="B707" s="3444">
        <v>45776</v>
      </c>
      <c r="C707" s="3355" t="s">
        <v>2198</v>
      </c>
      <c r="D707" s="4399"/>
      <c r="E707" s="3614" t="s">
        <v>68</v>
      </c>
      <c r="F707" s="3614" t="s">
        <v>2225</v>
      </c>
      <c r="I707" s="3614">
        <v>705</v>
      </c>
      <c r="J707" s="3614" t="s">
        <v>2226</v>
      </c>
      <c r="K707" s="49"/>
      <c r="L707" s="3614" t="s">
        <v>37</v>
      </c>
      <c r="M707" s="49"/>
      <c r="O707" s="49"/>
      <c r="W707" s="49"/>
    </row>
    <row r="708" spans="1:23" ht="29.25" hidden="1" thickBot="1">
      <c r="A708" s="3494" t="s">
        <v>67</v>
      </c>
      <c r="B708" s="3448">
        <v>45776</v>
      </c>
      <c r="C708" s="3355" t="s">
        <v>2198</v>
      </c>
      <c r="D708" s="4399" t="s">
        <v>2227</v>
      </c>
      <c r="E708" s="3690" t="s">
        <v>421</v>
      </c>
      <c r="F708" s="3690" t="s">
        <v>1598</v>
      </c>
      <c r="I708" s="3690">
        <v>707</v>
      </c>
      <c r="J708" s="3690" t="s">
        <v>1499</v>
      </c>
      <c r="K708" s="57"/>
      <c r="L708" s="3614" t="s">
        <v>37</v>
      </c>
      <c r="M708" s="57"/>
      <c r="O708" s="57"/>
      <c r="W708" s="57"/>
    </row>
    <row r="709" spans="1:23" ht="28.5" hidden="1">
      <c r="A709" s="3456" t="s">
        <v>67</v>
      </c>
      <c r="B709" s="3457">
        <v>45776</v>
      </c>
      <c r="C709" s="3355" t="s">
        <v>2198</v>
      </c>
      <c r="D709" s="4399" t="s">
        <v>2227</v>
      </c>
      <c r="E709" s="3758" t="s">
        <v>80</v>
      </c>
      <c r="F709" s="3758" t="s">
        <v>1598</v>
      </c>
      <c r="I709" s="3614">
        <v>707</v>
      </c>
      <c r="J709" s="3762" t="s">
        <v>489</v>
      </c>
      <c r="K709"/>
      <c r="L709" s="3718" t="s">
        <v>37</v>
      </c>
      <c r="M709" s="192"/>
      <c r="O709" s="192"/>
      <c r="P709" s="3161"/>
      <c r="Q709" s="3161"/>
      <c r="R709" s="3161"/>
      <c r="W709" s="192"/>
    </row>
    <row r="710" spans="1:23" ht="28.5" hidden="1">
      <c r="A710" s="3443" t="s">
        <v>67</v>
      </c>
      <c r="B710" s="3759">
        <v>45776</v>
      </c>
      <c r="C710" s="3355" t="s">
        <v>2198</v>
      </c>
      <c r="D710" s="4399" t="s">
        <v>2228</v>
      </c>
      <c r="E710" s="3614" t="s">
        <v>296</v>
      </c>
      <c r="F710" s="3614" t="s">
        <v>1740</v>
      </c>
      <c r="I710" s="3614">
        <v>705</v>
      </c>
      <c r="J710" s="3614" t="s">
        <v>2229</v>
      </c>
      <c r="K710" s="49"/>
      <c r="L710" s="3614" t="s">
        <v>30</v>
      </c>
      <c r="M710" s="49"/>
      <c r="O710" s="49"/>
      <c r="W710" s="49"/>
    </row>
    <row r="711" spans="1:23" ht="57" hidden="1">
      <c r="A711" s="3443" t="s">
        <v>85</v>
      </c>
      <c r="B711" s="3759">
        <v>45777</v>
      </c>
      <c r="C711" s="3355" t="s">
        <v>2198</v>
      </c>
      <c r="D711" s="4399" t="s">
        <v>2230</v>
      </c>
      <c r="E711" s="3614" t="s">
        <v>2231</v>
      </c>
      <c r="F711" s="3614" t="s">
        <v>2232</v>
      </c>
      <c r="I711" s="3443">
        <v>712</v>
      </c>
      <c r="J711" s="3614" t="s">
        <v>99</v>
      </c>
      <c r="K711" s="49"/>
      <c r="L711" s="3507"/>
      <c r="M711" s="3507" t="s">
        <v>30</v>
      </c>
      <c r="O711" s="3507"/>
      <c r="P711" s="21" t="s">
        <v>231</v>
      </c>
      <c r="Q711" s="21" t="s">
        <v>232</v>
      </c>
      <c r="R711" s="21" t="s">
        <v>32</v>
      </c>
      <c r="W711" s="3507" t="s">
        <v>2233</v>
      </c>
    </row>
    <row r="712" spans="1:23" ht="28.5" hidden="1">
      <c r="A712" s="3443" t="s">
        <v>85</v>
      </c>
      <c r="B712" s="3759">
        <v>45777</v>
      </c>
      <c r="C712" s="3355" t="s">
        <v>2198</v>
      </c>
      <c r="D712" s="4399" t="s">
        <v>2234</v>
      </c>
      <c r="E712" s="3614" t="s">
        <v>296</v>
      </c>
      <c r="F712" s="3614" t="s">
        <v>175</v>
      </c>
      <c r="I712" s="3443">
        <v>705</v>
      </c>
      <c r="J712" s="3614" t="s">
        <v>2235</v>
      </c>
      <c r="K712" s="4722"/>
      <c r="L712" s="3614" t="s">
        <v>30</v>
      </c>
      <c r="M712" s="3443"/>
      <c r="O712" s="3507"/>
      <c r="W712" s="3507"/>
    </row>
    <row r="713" spans="1:23" ht="28.5" hidden="1">
      <c r="A713" s="3443" t="s">
        <v>85</v>
      </c>
      <c r="B713" s="3759">
        <v>45777</v>
      </c>
      <c r="C713" s="3355" t="s">
        <v>2198</v>
      </c>
      <c r="D713" s="4399"/>
      <c r="E713" s="3614" t="s">
        <v>175</v>
      </c>
      <c r="F713" s="3614" t="s">
        <v>296</v>
      </c>
      <c r="I713" s="3443">
        <v>705</v>
      </c>
      <c r="J713" s="3614" t="s">
        <v>2235</v>
      </c>
      <c r="K713" s="49"/>
      <c r="L713" s="3614" t="s">
        <v>37</v>
      </c>
      <c r="M713" s="49"/>
      <c r="O713" s="3507"/>
      <c r="W713" s="3507"/>
    </row>
    <row r="714" spans="1:23" ht="28.5" hidden="1">
      <c r="A714" s="3443" t="s">
        <v>85</v>
      </c>
      <c r="B714" s="3759">
        <v>45777</v>
      </c>
      <c r="C714" s="3355" t="s">
        <v>2198</v>
      </c>
      <c r="D714" s="4399"/>
      <c r="E714" s="3614" t="s">
        <v>421</v>
      </c>
      <c r="F714" s="3614" t="s">
        <v>2236</v>
      </c>
      <c r="I714" s="3443">
        <v>712</v>
      </c>
      <c r="J714" s="3614" t="s">
        <v>2237</v>
      </c>
      <c r="K714" s="49"/>
      <c r="L714" s="3507" t="s">
        <v>37</v>
      </c>
      <c r="M714" s="3507"/>
      <c r="O714" s="3507"/>
      <c r="W714" s="3507"/>
    </row>
    <row r="715" spans="1:23" ht="28.5" hidden="1">
      <c r="A715" s="3443" t="s">
        <v>85</v>
      </c>
      <c r="B715" s="3759">
        <v>45777</v>
      </c>
      <c r="C715" s="3355" t="s">
        <v>2198</v>
      </c>
      <c r="D715" s="4399" t="s">
        <v>2238</v>
      </c>
      <c r="E715" s="3614" t="s">
        <v>2239</v>
      </c>
      <c r="F715" s="3614" t="s">
        <v>2240</v>
      </c>
      <c r="I715" s="3443">
        <v>712</v>
      </c>
      <c r="J715" s="3443" t="s">
        <v>2224</v>
      </c>
      <c r="K715" s="3443"/>
      <c r="L715" s="3507" t="s">
        <v>37</v>
      </c>
      <c r="M715" s="3507"/>
      <c r="O715" s="3507"/>
      <c r="W715" s="3507"/>
    </row>
    <row r="716" spans="1:23" ht="28.5" hidden="1">
      <c r="A716" s="3443" t="s">
        <v>85</v>
      </c>
      <c r="B716" s="3759">
        <v>45777</v>
      </c>
      <c r="C716" s="3355" t="s">
        <v>2198</v>
      </c>
      <c r="D716" s="4399" t="s">
        <v>2241</v>
      </c>
      <c r="E716" s="3614" t="s">
        <v>169</v>
      </c>
      <c r="F716" s="3614" t="s">
        <v>1571</v>
      </c>
      <c r="I716" s="3443">
        <v>712</v>
      </c>
      <c r="J716" s="3614" t="s">
        <v>2026</v>
      </c>
      <c r="K716" s="3511" t="s">
        <v>174</v>
      </c>
      <c r="L716" s="3507" t="s">
        <v>37</v>
      </c>
      <c r="M716" s="3507"/>
      <c r="O716" s="3507"/>
      <c r="W716" s="3507"/>
    </row>
    <row r="717" spans="1:23" ht="28.5" hidden="1">
      <c r="A717" s="3443" t="s">
        <v>85</v>
      </c>
      <c r="B717" s="3759">
        <v>45777</v>
      </c>
      <c r="C717" s="3355" t="s">
        <v>2198</v>
      </c>
      <c r="D717" s="4399" t="s">
        <v>2242</v>
      </c>
      <c r="E717" s="3614" t="s">
        <v>306</v>
      </c>
      <c r="F717" s="3614" t="s">
        <v>80</v>
      </c>
      <c r="I717" s="3614">
        <v>705</v>
      </c>
      <c r="J717" s="3614" t="s">
        <v>2243</v>
      </c>
      <c r="K717" s="4752" t="s">
        <v>174</v>
      </c>
      <c r="L717" s="3507" t="s">
        <v>37</v>
      </c>
      <c r="M717" s="3507"/>
      <c r="O717" s="3507"/>
      <c r="W717" s="3507"/>
    </row>
    <row r="718" spans="1:23" ht="28.5" hidden="1">
      <c r="A718" s="3462" t="s">
        <v>85</v>
      </c>
      <c r="B718" s="3506">
        <v>45777</v>
      </c>
      <c r="C718" s="3355" t="s">
        <v>2198</v>
      </c>
      <c r="D718" s="4399" t="s">
        <v>2244</v>
      </c>
      <c r="E718" s="3689" t="s">
        <v>306</v>
      </c>
      <c r="F718" s="3689" t="s">
        <v>442</v>
      </c>
      <c r="I718" s="3647">
        <v>705</v>
      </c>
      <c r="J718" s="3689" t="s">
        <v>2245</v>
      </c>
      <c r="K718" s="3511" t="s">
        <v>84</v>
      </c>
      <c r="L718" s="3507" t="s">
        <v>37</v>
      </c>
      <c r="M718" s="3507"/>
      <c r="O718" s="3507"/>
      <c r="W718" s="3507"/>
    </row>
    <row r="719" spans="1:23" ht="29.25" hidden="1" thickBot="1">
      <c r="A719" s="3447" t="s">
        <v>85</v>
      </c>
      <c r="B719" s="3448">
        <v>45777</v>
      </c>
      <c r="C719" s="3355" t="s">
        <v>2198</v>
      </c>
      <c r="D719" s="4399" t="s">
        <v>2246</v>
      </c>
      <c r="E719" s="3690" t="s">
        <v>258</v>
      </c>
      <c r="F719" s="3690" t="s">
        <v>1598</v>
      </c>
      <c r="I719" s="3690">
        <v>702</v>
      </c>
      <c r="J719" s="3690" t="s">
        <v>2247</v>
      </c>
      <c r="K719" s="51"/>
      <c r="L719" s="3507" t="s">
        <v>37</v>
      </c>
      <c r="M719" s="3507"/>
      <c r="O719" s="3507"/>
      <c r="W719" s="3507"/>
    </row>
    <row r="720" spans="1:23" ht="29.25" hidden="1" thickBot="1">
      <c r="A720" s="3508" t="s">
        <v>85</v>
      </c>
      <c r="B720" s="3451">
        <v>45777</v>
      </c>
      <c r="C720" s="3355" t="s">
        <v>2198</v>
      </c>
      <c r="D720" s="4399" t="s">
        <v>2248</v>
      </c>
      <c r="E720" s="4822" t="s">
        <v>1464</v>
      </c>
      <c r="F720" s="4822" t="s">
        <v>1465</v>
      </c>
      <c r="I720" s="3508">
        <v>701</v>
      </c>
      <c r="J720" s="3508" t="s">
        <v>1785</v>
      </c>
      <c r="K720" s="3447"/>
      <c r="L720" s="3707" t="s">
        <v>37</v>
      </c>
      <c r="M720" s="3707"/>
      <c r="O720" s="3507"/>
      <c r="W720" s="3507"/>
    </row>
    <row r="721" spans="1:24" ht="28.5" hidden="1">
      <c r="A721" s="3456" t="s">
        <v>85</v>
      </c>
      <c r="B721" s="3457">
        <v>45777</v>
      </c>
      <c r="C721" s="3355" t="s">
        <v>2198</v>
      </c>
      <c r="D721" s="4399"/>
      <c r="E721" s="3843" t="s">
        <v>1465</v>
      </c>
      <c r="F721" s="3843" t="s">
        <v>1464</v>
      </c>
      <c r="I721" s="3456">
        <v>701</v>
      </c>
      <c r="J721" s="3456" t="s">
        <v>1771</v>
      </c>
      <c r="K721" s="3456"/>
      <c r="L721" s="3512" t="s">
        <v>37</v>
      </c>
      <c r="M721" s="3512"/>
      <c r="O721" s="3507"/>
      <c r="W721" s="3507"/>
    </row>
    <row r="722" spans="1:24" ht="28.5" hidden="1">
      <c r="A722" s="3443" t="s">
        <v>105</v>
      </c>
      <c r="B722" s="3444">
        <v>45778</v>
      </c>
      <c r="C722" s="3355" t="s">
        <v>2198</v>
      </c>
      <c r="D722" s="4399" t="s">
        <v>2249</v>
      </c>
      <c r="E722" s="3758" t="s">
        <v>2250</v>
      </c>
      <c r="F722" s="3758" t="s">
        <v>659</v>
      </c>
      <c r="I722" s="3443">
        <v>707</v>
      </c>
      <c r="J722" s="3607" t="s">
        <v>2251</v>
      </c>
      <c r="K722" s="4722"/>
      <c r="L722" s="3505" t="s">
        <v>37</v>
      </c>
      <c r="M722" s="4722"/>
      <c r="O722" s="4722"/>
      <c r="W722" s="4763"/>
    </row>
    <row r="723" spans="1:24" ht="28.5" hidden="1">
      <c r="A723" s="3443" t="s">
        <v>132</v>
      </c>
      <c r="B723" s="3444">
        <v>45779</v>
      </c>
      <c r="C723" s="3355" t="s">
        <v>2198</v>
      </c>
      <c r="D723" s="4399"/>
      <c r="E723" s="3614" t="s">
        <v>450</v>
      </c>
      <c r="F723" s="3614" t="s">
        <v>1766</v>
      </c>
      <c r="I723" s="3443">
        <v>707</v>
      </c>
      <c r="J723" s="3443" t="s">
        <v>2251</v>
      </c>
      <c r="K723" s="3443"/>
      <c r="L723" s="3443" t="s">
        <v>37</v>
      </c>
      <c r="M723" s="3443"/>
      <c r="O723" s="3443"/>
      <c r="P723" s="3161"/>
      <c r="Q723" s="3161"/>
      <c r="R723" s="3161"/>
      <c r="W723" s="3507"/>
    </row>
    <row r="724" spans="1:24" ht="28.5" hidden="1">
      <c r="A724" s="3443" t="s">
        <v>132</v>
      </c>
      <c r="B724" s="3444">
        <v>45779</v>
      </c>
      <c r="C724" s="3355" t="s">
        <v>2198</v>
      </c>
      <c r="D724" s="4399" t="s">
        <v>2252</v>
      </c>
      <c r="E724" s="3614" t="s">
        <v>2253</v>
      </c>
      <c r="F724" s="3614" t="s">
        <v>2232</v>
      </c>
      <c r="I724" s="3443">
        <v>712</v>
      </c>
      <c r="J724" s="3614" t="s">
        <v>99</v>
      </c>
      <c r="K724" s="49"/>
      <c r="L724" s="3507" t="s">
        <v>37</v>
      </c>
      <c r="M724" s="49"/>
      <c r="O724" s="49"/>
      <c r="W724" s="49"/>
    </row>
    <row r="725" spans="1:24" ht="28.5" hidden="1">
      <c r="A725" s="3443" t="s">
        <v>132</v>
      </c>
      <c r="B725" s="3444">
        <v>45779</v>
      </c>
      <c r="C725" s="3355" t="s">
        <v>2198</v>
      </c>
      <c r="D725" s="4399" t="s">
        <v>2254</v>
      </c>
      <c r="E725" s="3614" t="s">
        <v>2240</v>
      </c>
      <c r="F725" s="3614" t="s">
        <v>2255</v>
      </c>
      <c r="I725" s="3443">
        <v>712</v>
      </c>
      <c r="J725" s="3443" t="s">
        <v>2224</v>
      </c>
      <c r="K725" s="3443"/>
      <c r="L725" s="3443"/>
      <c r="M725" s="3443" t="s">
        <v>30</v>
      </c>
      <c r="O725" s="3443"/>
      <c r="P725" s="21" t="s">
        <v>0</v>
      </c>
      <c r="Q725" s="21" t="s">
        <v>31</v>
      </c>
      <c r="R725" s="21" t="s">
        <v>32</v>
      </c>
      <c r="W725" s="3507" t="s">
        <v>2256</v>
      </c>
    </row>
    <row r="726" spans="1:24" ht="147" hidden="1" customHeight="1">
      <c r="A726" s="3443" t="s">
        <v>132</v>
      </c>
      <c r="B726" s="3444">
        <v>45779</v>
      </c>
      <c r="C726" s="3276">
        <v>18</v>
      </c>
      <c r="D726" s="4400" t="s">
        <v>2257</v>
      </c>
      <c r="E726" s="3462" t="s">
        <v>306</v>
      </c>
      <c r="F726" s="3462" t="s">
        <v>80</v>
      </c>
      <c r="G726" s="3273"/>
      <c r="H726" s="3273"/>
      <c r="I726" s="3462">
        <v>705</v>
      </c>
      <c r="J726" s="3462" t="s">
        <v>2258</v>
      </c>
      <c r="K726" s="3462"/>
      <c r="L726" s="3443" t="s">
        <v>37</v>
      </c>
      <c r="M726" s="3462"/>
      <c r="N726" s="3273"/>
      <c r="O726" s="3462"/>
      <c r="S726" s="3273"/>
      <c r="T726" s="3273"/>
      <c r="U726" s="3273"/>
      <c r="V726" s="3273"/>
      <c r="W726" s="3636"/>
      <c r="X726" s="3273"/>
    </row>
    <row r="727" spans="1:24" ht="83.1" hidden="1" customHeight="1">
      <c r="A727" s="3443" t="s">
        <v>132</v>
      </c>
      <c r="B727" s="3444">
        <v>45779</v>
      </c>
      <c r="C727" s="3355" t="s">
        <v>2198</v>
      </c>
      <c r="D727" s="4399" t="s">
        <v>2259</v>
      </c>
      <c r="E727" s="3443" t="s">
        <v>2191</v>
      </c>
      <c r="F727" s="3443" t="s">
        <v>43</v>
      </c>
      <c r="G727" s="3273"/>
      <c r="I727" s="3443">
        <v>707</v>
      </c>
      <c r="J727" s="3443" t="s">
        <v>318</v>
      </c>
      <c r="K727" s="3511" t="s">
        <v>84</v>
      </c>
      <c r="L727" s="3443" t="s">
        <v>37</v>
      </c>
      <c r="M727" s="3443"/>
      <c r="O727" s="3443"/>
      <c r="W727" s="3507"/>
    </row>
    <row r="728" spans="1:24" ht="83.1" hidden="1" customHeight="1">
      <c r="A728" s="3614" t="s">
        <v>25</v>
      </c>
      <c r="B728" s="3444">
        <v>45782</v>
      </c>
      <c r="C728" s="4406">
        <v>19</v>
      </c>
      <c r="D728" s="3617">
        <v>470</v>
      </c>
      <c r="E728" s="3617" t="s">
        <v>1464</v>
      </c>
      <c r="F728" s="3617" t="s">
        <v>1465</v>
      </c>
      <c r="G728" s="3772" t="s">
        <v>1206</v>
      </c>
      <c r="H728" s="3443">
        <v>701</v>
      </c>
      <c r="I728" s="3443">
        <v>701</v>
      </c>
      <c r="J728" s="3443" t="s">
        <v>1785</v>
      </c>
      <c r="K728" s="3443"/>
      <c r="L728" s="3443"/>
      <c r="M728" s="3443" t="s">
        <v>37</v>
      </c>
      <c r="N728" s="3443"/>
      <c r="O728" s="3443"/>
      <c r="P728" s="21" t="s">
        <v>109</v>
      </c>
      <c r="Q728" s="21" t="s">
        <v>323</v>
      </c>
      <c r="R728" s="21" t="s">
        <v>790</v>
      </c>
      <c r="S728" s="3443"/>
      <c r="T728" s="3443"/>
      <c r="U728" s="3443"/>
      <c r="V728" s="3443"/>
      <c r="W728" s="3443" t="s">
        <v>2260</v>
      </c>
      <c r="X728" s="3507"/>
    </row>
    <row r="729" spans="1:24" ht="83.1" hidden="1" customHeight="1">
      <c r="A729" s="3443" t="s">
        <v>25</v>
      </c>
      <c r="B729" s="3444">
        <v>45782</v>
      </c>
      <c r="C729" s="4406">
        <v>19</v>
      </c>
      <c r="D729" s="3617"/>
      <c r="E729" s="3617" t="s">
        <v>1465</v>
      </c>
      <c r="F729" s="3617" t="s">
        <v>1464</v>
      </c>
      <c r="G729" s="3772" t="s">
        <v>1206</v>
      </c>
      <c r="H729" s="3443">
        <v>701</v>
      </c>
      <c r="I729" s="3443">
        <v>701</v>
      </c>
      <c r="J729" s="3443" t="s">
        <v>1771</v>
      </c>
      <c r="K729" s="3443"/>
      <c r="L729" s="3443"/>
      <c r="M729" s="3443"/>
      <c r="N729" s="3443" t="s">
        <v>37</v>
      </c>
      <c r="O729" s="3443"/>
      <c r="P729" s="3443"/>
      <c r="Q729" s="3443"/>
      <c r="R729" s="3443"/>
      <c r="S729" s="3443"/>
      <c r="T729" s="3443"/>
      <c r="U729" s="3443"/>
      <c r="V729" s="3443"/>
      <c r="W729" s="3443"/>
      <c r="X729" s="3507"/>
    </row>
    <row r="730" spans="1:24" ht="83.1" hidden="1" customHeight="1">
      <c r="A730" s="3443" t="s">
        <v>25</v>
      </c>
      <c r="B730" s="3444">
        <v>45782</v>
      </c>
      <c r="C730" s="4406">
        <v>19</v>
      </c>
      <c r="D730" s="3614">
        <v>471</v>
      </c>
      <c r="E730" s="3614" t="s">
        <v>421</v>
      </c>
      <c r="F730" s="3614" t="s">
        <v>2261</v>
      </c>
      <c r="G730" s="3766" t="s">
        <v>1206</v>
      </c>
      <c r="H730" s="3443">
        <v>707</v>
      </c>
      <c r="I730" s="3443">
        <v>707</v>
      </c>
      <c r="J730" s="3443" t="s">
        <v>2262</v>
      </c>
      <c r="K730" s="49"/>
      <c r="L730" s="3443" t="s">
        <v>37</v>
      </c>
      <c r="M730" s="49"/>
      <c r="N730" s="49"/>
      <c r="O730" s="49"/>
      <c r="P730" s="49"/>
      <c r="Q730" s="49"/>
      <c r="R730" s="49"/>
      <c r="S730" s="49"/>
      <c r="T730" s="49"/>
      <c r="U730" s="49"/>
      <c r="V730" s="49"/>
      <c r="W730" s="49"/>
      <c r="X730" s="49"/>
    </row>
    <row r="731" spans="1:24" ht="83.1" hidden="1" customHeight="1">
      <c r="A731" s="3443" t="s">
        <v>25</v>
      </c>
      <c r="B731" s="3444">
        <v>45782</v>
      </c>
      <c r="C731" s="4406">
        <v>19</v>
      </c>
      <c r="D731" s="3614">
        <v>472</v>
      </c>
      <c r="E731" s="3614" t="s">
        <v>296</v>
      </c>
      <c r="F731" s="3614" t="s">
        <v>1598</v>
      </c>
      <c r="G731" s="3766" t="s">
        <v>1206</v>
      </c>
      <c r="H731" s="3443">
        <v>707</v>
      </c>
      <c r="I731" s="3443">
        <v>707</v>
      </c>
      <c r="J731" s="3443">
        <v>60105</v>
      </c>
      <c r="K731" s="49"/>
      <c r="L731" s="3443" t="s">
        <v>37</v>
      </c>
      <c r="M731" s="49"/>
      <c r="N731" s="49"/>
      <c r="O731" s="49"/>
      <c r="P731" s="49"/>
      <c r="Q731" s="49"/>
      <c r="R731" s="49"/>
      <c r="S731" s="49"/>
      <c r="T731" s="49"/>
      <c r="U731" s="49"/>
      <c r="V731" s="49"/>
      <c r="W731" s="49"/>
      <c r="X731" s="49"/>
    </row>
    <row r="732" spans="1:24" ht="83.1" hidden="1" customHeight="1">
      <c r="A732" s="3443" t="s">
        <v>25</v>
      </c>
      <c r="B732" s="3444">
        <v>45782</v>
      </c>
      <c r="C732" s="4406">
        <v>19</v>
      </c>
      <c r="D732" s="3614">
        <v>473</v>
      </c>
      <c r="E732" s="3614" t="s">
        <v>2263</v>
      </c>
      <c r="F732" s="3614" t="s">
        <v>2264</v>
      </c>
      <c r="G732" s="3768" t="s">
        <v>2265</v>
      </c>
      <c r="H732" s="3614">
        <v>712</v>
      </c>
      <c r="I732" s="3443">
        <v>712</v>
      </c>
      <c r="J732" s="3443" t="s">
        <v>2224</v>
      </c>
      <c r="K732" s="3635"/>
      <c r="L732" s="49"/>
      <c r="M732" s="3443"/>
      <c r="N732" s="3443" t="s">
        <v>37</v>
      </c>
      <c r="O732" s="49"/>
      <c r="P732"/>
      <c r="Q732"/>
      <c r="R732"/>
      <c r="S732" s="49"/>
      <c r="T732" s="49"/>
      <c r="U732" s="49"/>
      <c r="V732" s="49"/>
      <c r="W732" s="1357" t="s">
        <v>2266</v>
      </c>
      <c r="X732" s="49"/>
    </row>
    <row r="733" spans="1:24" ht="83.1" hidden="1" customHeight="1">
      <c r="A733" s="3443" t="s">
        <v>25</v>
      </c>
      <c r="B733" s="3444">
        <v>45782</v>
      </c>
      <c r="C733" s="4406">
        <v>19</v>
      </c>
      <c r="D733" s="3689"/>
      <c r="E733" s="3689" t="s">
        <v>2267</v>
      </c>
      <c r="F733" s="3614" t="s">
        <v>2268</v>
      </c>
      <c r="G733" s="4680" t="s">
        <v>2269</v>
      </c>
      <c r="H733" s="3689">
        <v>712</v>
      </c>
      <c r="I733" s="3443">
        <v>712</v>
      </c>
      <c r="J733" s="3443" t="s">
        <v>2270</v>
      </c>
      <c r="K733" s="3635"/>
      <c r="L733" s="3443" t="s">
        <v>37</v>
      </c>
      <c r="M733" s="49"/>
      <c r="N733" s="49"/>
      <c r="O733" s="49"/>
      <c r="P733" s="49"/>
      <c r="Q733" s="49"/>
      <c r="R733" s="49"/>
      <c r="S733" s="49"/>
      <c r="T733" s="49"/>
      <c r="U733" s="49"/>
      <c r="V733" s="49"/>
      <c r="W733" s="49"/>
      <c r="X733" s="49"/>
    </row>
    <row r="734" spans="1:24" ht="83.1" hidden="1" customHeight="1" thickBot="1">
      <c r="A734" s="3443" t="s">
        <v>25</v>
      </c>
      <c r="B734" s="3444">
        <v>45782</v>
      </c>
      <c r="C734" s="4406">
        <v>19</v>
      </c>
      <c r="D734" s="3689">
        <v>474</v>
      </c>
      <c r="E734" s="3689" t="s">
        <v>1598</v>
      </c>
      <c r="F734" s="3614" t="s">
        <v>80</v>
      </c>
      <c r="G734" s="4888"/>
      <c r="H734" s="3690">
        <v>705</v>
      </c>
      <c r="I734" s="3614">
        <v>705</v>
      </c>
      <c r="J734" s="3443" t="s">
        <v>2251</v>
      </c>
      <c r="K734" s="3635"/>
      <c r="L734" s="49"/>
      <c r="M734" s="3443" t="s">
        <v>37</v>
      </c>
      <c r="N734" s="49"/>
      <c r="O734" s="49"/>
      <c r="P734" s="21" t="s">
        <v>231</v>
      </c>
      <c r="Q734" s="21" t="s">
        <v>232</v>
      </c>
      <c r="R734" s="21" t="s">
        <v>160</v>
      </c>
      <c r="S734" s="49"/>
      <c r="T734" s="49"/>
      <c r="U734" s="49"/>
      <c r="V734" s="49"/>
      <c r="W734" s="49"/>
      <c r="X734" s="3507" t="s">
        <v>2271</v>
      </c>
    </row>
    <row r="735" spans="1:24" ht="83.1" hidden="1" customHeight="1">
      <c r="A735" s="3443" t="s">
        <v>25</v>
      </c>
      <c r="B735" s="3444">
        <v>45782</v>
      </c>
      <c r="C735" s="4406">
        <v>19</v>
      </c>
      <c r="D735" s="3614">
        <v>475</v>
      </c>
      <c r="E735" s="3614" t="s">
        <v>2222</v>
      </c>
      <c r="F735" s="3614" t="s">
        <v>148</v>
      </c>
      <c r="G735" s="3766" t="s">
        <v>1199</v>
      </c>
      <c r="H735" s="3614">
        <v>712</v>
      </c>
      <c r="I735" s="3443">
        <v>712</v>
      </c>
      <c r="J735" s="3443" t="s">
        <v>2171</v>
      </c>
      <c r="K735" s="3635"/>
      <c r="L735" s="3443" t="s">
        <v>37</v>
      </c>
      <c r="M735" s="49"/>
      <c r="N735" s="49"/>
      <c r="O735" s="49"/>
      <c r="P735" s="49"/>
      <c r="Q735" s="49"/>
      <c r="R735" s="49"/>
      <c r="S735" s="49"/>
      <c r="T735" s="49"/>
      <c r="U735" s="49"/>
      <c r="V735" s="49"/>
      <c r="W735" s="49"/>
      <c r="X735" s="49"/>
    </row>
    <row r="736" spans="1:24" ht="83.1" hidden="1" customHeight="1">
      <c r="A736" s="3443" t="s">
        <v>25</v>
      </c>
      <c r="B736" s="3444">
        <v>45782</v>
      </c>
      <c r="C736" s="4406">
        <v>19</v>
      </c>
      <c r="D736" s="3614">
        <v>476</v>
      </c>
      <c r="E736" s="3614" t="s">
        <v>1571</v>
      </c>
      <c r="F736" s="3614" t="s">
        <v>169</v>
      </c>
      <c r="G736" s="3772" t="s">
        <v>1206</v>
      </c>
      <c r="H736" s="3685">
        <v>712</v>
      </c>
      <c r="I736" s="3443">
        <v>712</v>
      </c>
      <c r="J736" s="3443" t="s">
        <v>2154</v>
      </c>
      <c r="K736" s="3511" t="s">
        <v>174</v>
      </c>
      <c r="L736" s="3462" t="s">
        <v>37</v>
      </c>
      <c r="M736" s="49"/>
      <c r="N736" s="49"/>
      <c r="O736" s="49"/>
      <c r="P736" s="49"/>
      <c r="Q736" s="49"/>
      <c r="R736" s="49"/>
      <c r="S736" s="49"/>
      <c r="T736" s="49"/>
      <c r="U736" s="49"/>
      <c r="V736" s="49"/>
      <c r="W736" s="49"/>
      <c r="X736" s="49"/>
    </row>
    <row r="737" spans="1:25" ht="83.1" hidden="1" customHeight="1">
      <c r="A737" s="3443" t="s">
        <v>67</v>
      </c>
      <c r="B737" s="3444">
        <v>45783</v>
      </c>
      <c r="C737" s="4406">
        <v>19</v>
      </c>
      <c r="D737" s="3614"/>
      <c r="E737" s="3614" t="s">
        <v>1864</v>
      </c>
      <c r="F737" s="3614" t="s">
        <v>1766</v>
      </c>
      <c r="G737" s="3770" t="s">
        <v>2272</v>
      </c>
      <c r="H737" s="3443">
        <v>707</v>
      </c>
      <c r="I737" s="3443">
        <v>707</v>
      </c>
      <c r="J737" s="3443" t="s">
        <v>1282</v>
      </c>
      <c r="K737" s="49"/>
      <c r="L737" s="3443" t="s">
        <v>37</v>
      </c>
      <c r="M737" s="49"/>
      <c r="N737" s="49"/>
      <c r="O737" s="49"/>
      <c r="P737" s="49"/>
      <c r="Q737" s="49"/>
      <c r="R737" s="49"/>
      <c r="S737" s="49"/>
      <c r="T737" s="49"/>
      <c r="U737" s="49"/>
      <c r="V737" s="49"/>
      <c r="W737" s="49"/>
      <c r="X737" s="49"/>
    </row>
    <row r="738" spans="1:25" ht="83.1" hidden="1" customHeight="1">
      <c r="A738" s="3443" t="s">
        <v>67</v>
      </c>
      <c r="B738" s="3444">
        <v>45783</v>
      </c>
      <c r="C738" s="4406">
        <v>19</v>
      </c>
      <c r="D738" s="3614"/>
      <c r="E738" s="3614" t="s">
        <v>450</v>
      </c>
      <c r="F738" s="3614" t="s">
        <v>2273</v>
      </c>
      <c r="G738" s="4680" t="s">
        <v>2269</v>
      </c>
      <c r="H738" s="3614">
        <v>712</v>
      </c>
      <c r="I738" s="3443">
        <v>712</v>
      </c>
      <c r="J738" s="3443" t="s">
        <v>2274</v>
      </c>
      <c r="K738" s="49"/>
      <c r="L738" s="3443" t="s">
        <v>37</v>
      </c>
      <c r="M738" s="49"/>
      <c r="N738" s="49"/>
      <c r="O738" s="49"/>
      <c r="P738" s="49"/>
      <c r="Q738" s="49"/>
      <c r="R738" s="49"/>
      <c r="S738" s="49"/>
      <c r="T738" s="49"/>
      <c r="U738" s="49"/>
      <c r="V738" s="49"/>
      <c r="W738" s="49"/>
      <c r="X738" s="49"/>
    </row>
    <row r="739" spans="1:25" ht="83.1" hidden="1" customHeight="1">
      <c r="A739" s="3443" t="s">
        <v>67</v>
      </c>
      <c r="B739" s="3444">
        <v>45783</v>
      </c>
      <c r="C739" s="4406">
        <v>19</v>
      </c>
      <c r="D739" s="3614">
        <v>477</v>
      </c>
      <c r="E739" s="3614" t="s">
        <v>1598</v>
      </c>
      <c r="F739" s="3614" t="s">
        <v>148</v>
      </c>
      <c r="G739" s="3770" t="s">
        <v>1199</v>
      </c>
      <c r="H739" s="3443">
        <v>707</v>
      </c>
      <c r="I739" s="3443">
        <v>707</v>
      </c>
      <c r="J739" s="3443" t="s">
        <v>1895</v>
      </c>
      <c r="K739" s="49"/>
      <c r="L739" s="3443" t="s">
        <v>37</v>
      </c>
      <c r="M739" s="49"/>
      <c r="N739" s="49"/>
      <c r="O739" s="49"/>
      <c r="P739" s="49"/>
      <c r="Q739" s="49"/>
      <c r="R739" s="49"/>
      <c r="S739" s="49"/>
      <c r="T739" s="49"/>
      <c r="U739" s="49"/>
      <c r="V739" s="49"/>
      <c r="W739" s="49"/>
      <c r="X739" s="49"/>
    </row>
    <row r="740" spans="1:25" ht="83.1" hidden="1" customHeight="1">
      <c r="A740" s="3443" t="s">
        <v>67</v>
      </c>
      <c r="B740" s="3444">
        <v>45783</v>
      </c>
      <c r="C740" s="4406">
        <v>19</v>
      </c>
      <c r="D740" s="3614">
        <v>478</v>
      </c>
      <c r="E740" s="3614" t="s">
        <v>2275</v>
      </c>
      <c r="F740" s="3614" t="s">
        <v>2276</v>
      </c>
      <c r="G740" s="3770" t="s">
        <v>1199</v>
      </c>
      <c r="H740" s="3462">
        <v>707</v>
      </c>
      <c r="I740" s="3462">
        <v>707</v>
      </c>
      <c r="J740" s="3443" t="s">
        <v>2277</v>
      </c>
      <c r="K740" s="49"/>
      <c r="L740" s="3443" t="s">
        <v>37</v>
      </c>
      <c r="M740" s="49"/>
      <c r="N740" s="49"/>
      <c r="O740" s="49"/>
      <c r="P740" s="49"/>
      <c r="Q740" s="49"/>
      <c r="R740" s="49"/>
      <c r="S740" s="49"/>
      <c r="T740" s="49"/>
      <c r="U740" s="49"/>
      <c r="V740" s="49"/>
      <c r="W740" s="49"/>
      <c r="X740" s="49"/>
    </row>
    <row r="741" spans="1:25" ht="83.1" hidden="1" customHeight="1" thickBot="1">
      <c r="A741" s="3443" t="s">
        <v>67</v>
      </c>
      <c r="B741" s="3444">
        <v>45783</v>
      </c>
      <c r="C741" s="4406">
        <v>19</v>
      </c>
      <c r="D741" s="3614"/>
      <c r="E741" s="3614" t="s">
        <v>339</v>
      </c>
      <c r="F741" s="3614" t="s">
        <v>1766</v>
      </c>
      <c r="G741" s="3770" t="s">
        <v>1199</v>
      </c>
      <c r="H741" s="3447">
        <v>707</v>
      </c>
      <c r="I741" s="3447">
        <v>707</v>
      </c>
      <c r="J741" s="3443" t="s">
        <v>2277</v>
      </c>
      <c r="K741" s="49"/>
      <c r="L741" s="3443" t="s">
        <v>37</v>
      </c>
      <c r="M741" s="49"/>
      <c r="N741" s="49"/>
      <c r="O741" s="49"/>
      <c r="P741" s="49"/>
      <c r="Q741" s="49"/>
      <c r="R741" s="49"/>
      <c r="S741" s="49"/>
      <c r="T741" s="49"/>
      <c r="U741" s="49"/>
      <c r="V741" s="49"/>
      <c r="W741" s="49"/>
      <c r="X741" s="49"/>
    </row>
    <row r="742" spans="1:25" ht="83.1" hidden="1" customHeight="1">
      <c r="A742" s="3443" t="s">
        <v>67</v>
      </c>
      <c r="B742" s="3444">
        <v>45783</v>
      </c>
      <c r="C742" s="4406">
        <v>19</v>
      </c>
      <c r="D742" s="3617">
        <v>479</v>
      </c>
      <c r="E742" s="3617" t="s">
        <v>1464</v>
      </c>
      <c r="F742" s="3617" t="s">
        <v>1465</v>
      </c>
      <c r="G742" s="4664" t="s">
        <v>1199</v>
      </c>
      <c r="H742" s="3456">
        <v>701</v>
      </c>
      <c r="I742" s="3443">
        <v>701</v>
      </c>
      <c r="J742" s="3443" t="s">
        <v>1785</v>
      </c>
      <c r="K742" s="3443"/>
      <c r="L742" s="3443" t="s">
        <v>37</v>
      </c>
      <c r="M742" s="3443"/>
      <c r="N742" s="3462"/>
      <c r="O742" s="3443"/>
      <c r="P742" s="3443"/>
      <c r="Q742" s="3443"/>
      <c r="R742" s="3443"/>
      <c r="S742" s="3443"/>
      <c r="T742" s="3443"/>
      <c r="U742" s="3443"/>
      <c r="V742" s="3443"/>
      <c r="W742" s="3443"/>
      <c r="X742" s="3507"/>
    </row>
    <row r="743" spans="1:25" ht="145.5" hidden="1" customHeight="1">
      <c r="A743" s="3443" t="s">
        <v>67</v>
      </c>
      <c r="B743" s="3444">
        <v>45783</v>
      </c>
      <c r="C743" s="4406">
        <v>19</v>
      </c>
      <c r="D743" s="3617"/>
      <c r="E743" s="3617" t="s">
        <v>1465</v>
      </c>
      <c r="F743" s="3617" t="s">
        <v>1464</v>
      </c>
      <c r="G743" s="4664" t="s">
        <v>1199</v>
      </c>
      <c r="H743" s="3443">
        <v>701</v>
      </c>
      <c r="I743" s="3443">
        <v>701</v>
      </c>
      <c r="J743" s="3443" t="s">
        <v>1771</v>
      </c>
      <c r="K743" s="3443"/>
      <c r="L743" s="3443" t="s">
        <v>37</v>
      </c>
      <c r="M743" s="3443"/>
      <c r="N743" s="3443"/>
      <c r="O743" s="3443"/>
      <c r="P743" s="4722"/>
      <c r="Q743" s="4722"/>
      <c r="R743" s="4722"/>
      <c r="S743" s="3443"/>
      <c r="T743" s="3443"/>
      <c r="U743" s="3443"/>
      <c r="V743" s="3443"/>
      <c r="W743" s="3443"/>
      <c r="X743" s="3507"/>
    </row>
    <row r="744" spans="1:25" ht="83.1" hidden="1" customHeight="1">
      <c r="A744" s="3443" t="s">
        <v>85</v>
      </c>
      <c r="B744" s="3444">
        <v>45784</v>
      </c>
      <c r="C744" s="4406">
        <v>19</v>
      </c>
      <c r="D744" s="3614"/>
      <c r="E744" s="3614" t="s">
        <v>1116</v>
      </c>
      <c r="F744" s="3614" t="s">
        <v>2278</v>
      </c>
      <c r="G744" s="3769" t="s">
        <v>2269</v>
      </c>
      <c r="H744" s="3689">
        <v>712</v>
      </c>
      <c r="I744" s="3443">
        <v>712</v>
      </c>
      <c r="J744" s="3443" t="s">
        <v>2274</v>
      </c>
      <c r="K744" s="3511" t="s">
        <v>84</v>
      </c>
      <c r="L744" s="49"/>
      <c r="M744" s="49"/>
      <c r="N744" s="3443" t="s">
        <v>37</v>
      </c>
      <c r="O744" s="49"/>
      <c r="P744" s="49"/>
      <c r="Q744" s="49"/>
      <c r="R744" s="49"/>
      <c r="S744" s="49"/>
      <c r="T744" s="49"/>
      <c r="U744" s="49"/>
      <c r="V744" s="49"/>
      <c r="W744" s="49"/>
      <c r="X744" s="49"/>
    </row>
    <row r="745" spans="1:25" ht="83.1" hidden="1" customHeight="1">
      <c r="A745" s="3443" t="s">
        <v>85</v>
      </c>
      <c r="B745" s="3444">
        <v>45784</v>
      </c>
      <c r="C745" s="4406">
        <v>19</v>
      </c>
      <c r="D745" s="3614">
        <v>480</v>
      </c>
      <c r="E745" s="3614" t="s">
        <v>1598</v>
      </c>
      <c r="F745" s="3614" t="s">
        <v>840</v>
      </c>
      <c r="G745" s="3556"/>
      <c r="H745" s="3689">
        <v>707</v>
      </c>
      <c r="I745" s="3689">
        <v>707</v>
      </c>
      <c r="J745" s="3443">
        <v>60020</v>
      </c>
      <c r="K745" s="49"/>
      <c r="L745" s="49"/>
      <c r="M745" s="3443" t="s">
        <v>37</v>
      </c>
      <c r="N745" s="49"/>
      <c r="O745" s="49"/>
      <c r="P745" s="21" t="s">
        <v>0</v>
      </c>
      <c r="Q745" s="21" t="s">
        <v>31</v>
      </c>
      <c r="R745" s="21" t="s">
        <v>38</v>
      </c>
      <c r="S745" s="49"/>
      <c r="T745" s="49"/>
      <c r="U745" s="49"/>
      <c r="V745" s="49"/>
      <c r="W745" s="49"/>
      <c r="X745" s="3507" t="s">
        <v>2279</v>
      </c>
    </row>
    <row r="746" spans="1:25" ht="109.5" hidden="1" customHeight="1">
      <c r="A746" s="3443" t="s">
        <v>85</v>
      </c>
      <c r="B746" s="3444">
        <v>45784</v>
      </c>
      <c r="C746" s="4406">
        <v>19</v>
      </c>
      <c r="D746" s="3614">
        <v>481</v>
      </c>
      <c r="E746" s="3614" t="s">
        <v>2232</v>
      </c>
      <c r="F746" s="3614" t="s">
        <v>659</v>
      </c>
      <c r="G746" s="3886" t="s">
        <v>2272</v>
      </c>
      <c r="H746" s="3614">
        <v>712</v>
      </c>
      <c r="I746" s="3443">
        <v>712</v>
      </c>
      <c r="J746" s="3443" t="s">
        <v>99</v>
      </c>
      <c r="K746" s="49"/>
      <c r="L746" s="3443" t="s">
        <v>37</v>
      </c>
      <c r="M746" s="49"/>
      <c r="N746" s="49"/>
      <c r="O746" s="49"/>
      <c r="P746" s="49"/>
      <c r="Q746" s="49"/>
      <c r="R746" s="49"/>
      <c r="S746" s="49"/>
      <c r="T746" s="49"/>
      <c r="U746" s="49"/>
      <c r="V746" s="49"/>
      <c r="W746" s="49"/>
      <c r="X746" s="49"/>
    </row>
    <row r="747" spans="1:25" ht="83.1" hidden="1" customHeight="1" thickBot="1">
      <c r="A747" s="3462" t="s">
        <v>85</v>
      </c>
      <c r="B747" s="3463">
        <v>45784</v>
      </c>
      <c r="C747" s="4407">
        <v>19</v>
      </c>
      <c r="D747" s="3622">
        <v>482</v>
      </c>
      <c r="E747" s="3622" t="s">
        <v>1464</v>
      </c>
      <c r="F747" s="3622" t="s">
        <v>1465</v>
      </c>
      <c r="G747" s="3771" t="s">
        <v>2272</v>
      </c>
      <c r="H747" s="3447">
        <v>701</v>
      </c>
      <c r="I747" s="3443">
        <v>701</v>
      </c>
      <c r="J747" s="3462" t="s">
        <v>1785</v>
      </c>
      <c r="K747" s="3462"/>
      <c r="L747" s="3462" t="s">
        <v>37</v>
      </c>
      <c r="M747" s="3462"/>
      <c r="N747" s="3462"/>
      <c r="O747" s="3462"/>
      <c r="P747" s="24"/>
      <c r="Q747" s="24"/>
      <c r="R747" s="24"/>
      <c r="S747" s="3443"/>
      <c r="T747" s="3443"/>
      <c r="U747" s="3443"/>
      <c r="V747" s="3443"/>
      <c r="W747" s="3462"/>
      <c r="X747" s="3636" t="s">
        <v>2280</v>
      </c>
      <c r="Y747" s="3274"/>
    </row>
    <row r="748" spans="1:25" ht="83.1" hidden="1" customHeight="1" thickBot="1">
      <c r="A748" s="3477" t="s">
        <v>85</v>
      </c>
      <c r="B748" s="3478">
        <v>45784</v>
      </c>
      <c r="C748" s="4408">
        <v>19</v>
      </c>
      <c r="D748" s="3809"/>
      <c r="E748" s="3809" t="s">
        <v>1465</v>
      </c>
      <c r="F748" s="3839" t="s">
        <v>1464</v>
      </c>
      <c r="G748" s="3824" t="s">
        <v>2272</v>
      </c>
      <c r="H748" s="3599">
        <v>701</v>
      </c>
      <c r="I748" s="3477">
        <v>701</v>
      </c>
      <c r="J748" s="3503" t="s">
        <v>1771</v>
      </c>
      <c r="K748" s="3503"/>
      <c r="L748" s="3503"/>
      <c r="M748" s="3503" t="s">
        <v>37</v>
      </c>
      <c r="N748" s="3503"/>
      <c r="O748" s="3503"/>
      <c r="P748" s="34" t="s">
        <v>0</v>
      </c>
      <c r="Q748" s="34" t="s">
        <v>782</v>
      </c>
      <c r="R748" s="4774" t="s">
        <v>790</v>
      </c>
      <c r="S748" s="3534" t="s">
        <v>37</v>
      </c>
      <c r="T748" s="3443"/>
      <c r="U748" s="3443"/>
      <c r="V748" s="3531"/>
      <c r="W748" s="3477"/>
      <c r="X748" s="3519" t="s">
        <v>2281</v>
      </c>
      <c r="Y748" s="3282"/>
    </row>
    <row r="749" spans="1:25" ht="83.1" hidden="1" customHeight="1">
      <c r="A749" s="3480" t="s">
        <v>85</v>
      </c>
      <c r="B749" s="3444">
        <v>45784</v>
      </c>
      <c r="C749" s="4406">
        <v>19</v>
      </c>
      <c r="D749" s="3614">
        <v>483</v>
      </c>
      <c r="E749" s="3614" t="s">
        <v>169</v>
      </c>
      <c r="F749" s="3643" t="s">
        <v>1571</v>
      </c>
      <c r="G749" s="3776" t="s">
        <v>2272</v>
      </c>
      <c r="H749" s="3761">
        <v>712</v>
      </c>
      <c r="I749" s="3443">
        <v>712</v>
      </c>
      <c r="J749" s="3443" t="s">
        <v>2026</v>
      </c>
      <c r="K749" s="3511" t="s">
        <v>174</v>
      </c>
      <c r="L749" s="3443" t="s">
        <v>37</v>
      </c>
      <c r="M749" s="49"/>
      <c r="N749" s="49"/>
      <c r="O749" s="49"/>
      <c r="P749" s="49"/>
      <c r="Q749" s="49"/>
      <c r="R749" s="50"/>
      <c r="S749" s="213"/>
      <c r="T749" s="49"/>
      <c r="U749" s="49"/>
      <c r="V749" s="211"/>
      <c r="W749" s="231"/>
      <c r="X749" s="49"/>
      <c r="Y749" s="3283"/>
    </row>
    <row r="750" spans="1:25" ht="83.1" hidden="1" customHeight="1">
      <c r="A750" s="3480" t="s">
        <v>105</v>
      </c>
      <c r="B750" s="3444">
        <v>45785</v>
      </c>
      <c r="C750" s="4406">
        <v>19</v>
      </c>
      <c r="D750" s="3614">
        <v>484</v>
      </c>
      <c r="E750" s="3614" t="s">
        <v>1740</v>
      </c>
      <c r="F750" s="3643" t="s">
        <v>1071</v>
      </c>
      <c r="G750" s="4046" t="s">
        <v>2272</v>
      </c>
      <c r="H750" s="3761">
        <v>707</v>
      </c>
      <c r="I750" s="3740">
        <v>707</v>
      </c>
      <c r="J750" s="3443" t="s">
        <v>2282</v>
      </c>
      <c r="K750" s="3635"/>
      <c r="L750" s="3443" t="s">
        <v>37</v>
      </c>
      <c r="M750" s="49"/>
      <c r="N750" s="49"/>
      <c r="O750" s="49"/>
      <c r="P750" s="49"/>
      <c r="Q750" s="49"/>
      <c r="R750" s="49"/>
      <c r="S750" s="213"/>
      <c r="T750" s="49"/>
      <c r="U750" s="49"/>
      <c r="V750" s="211"/>
      <c r="W750" s="4791" t="s">
        <v>2283</v>
      </c>
      <c r="X750" s="49"/>
      <c r="Y750" s="3283"/>
    </row>
    <row r="751" spans="1:25" ht="83.1" hidden="1" customHeight="1">
      <c r="A751" s="3480" t="s">
        <v>105</v>
      </c>
      <c r="B751" s="3444">
        <v>45785</v>
      </c>
      <c r="C751" s="4406">
        <v>19</v>
      </c>
      <c r="D751" s="3614"/>
      <c r="E751" s="3614" t="s">
        <v>450</v>
      </c>
      <c r="F751" s="3643" t="s">
        <v>2284</v>
      </c>
      <c r="G751" s="4046" t="s">
        <v>2272</v>
      </c>
      <c r="H751" s="3761">
        <v>712</v>
      </c>
      <c r="I751" s="3500">
        <v>712</v>
      </c>
      <c r="J751" s="3443" t="s">
        <v>99</v>
      </c>
      <c r="K751" s="49"/>
      <c r="L751" s="3443" t="s">
        <v>37</v>
      </c>
      <c r="M751" s="49"/>
      <c r="N751" s="49"/>
      <c r="O751" s="49"/>
      <c r="P751" s="49"/>
      <c r="Q751" s="49"/>
      <c r="R751" s="49"/>
      <c r="S751" s="213"/>
      <c r="T751" s="49"/>
      <c r="U751" s="49"/>
      <c r="V751" s="211"/>
      <c r="W751" s="231"/>
      <c r="X751" s="49"/>
      <c r="Y751" s="3283"/>
    </row>
    <row r="752" spans="1:25" ht="83.1" hidden="1" customHeight="1" thickBot="1">
      <c r="A752" s="3480" t="s">
        <v>105</v>
      </c>
      <c r="B752" s="3444">
        <v>45785</v>
      </c>
      <c r="C752" s="4406">
        <v>19</v>
      </c>
      <c r="D752" s="3614">
        <v>485</v>
      </c>
      <c r="E752" s="3614" t="s">
        <v>306</v>
      </c>
      <c r="F752" s="3643" t="s">
        <v>80</v>
      </c>
      <c r="G752" s="3778" t="s">
        <v>1199</v>
      </c>
      <c r="H752" s="3774">
        <v>705</v>
      </c>
      <c r="I752" s="3780">
        <v>705</v>
      </c>
      <c r="J752" s="3443" t="s">
        <v>2285</v>
      </c>
      <c r="K752" s="49"/>
      <c r="L752" s="49"/>
      <c r="M752" s="3443" t="s">
        <v>37</v>
      </c>
      <c r="N752" s="49"/>
      <c r="O752" s="49"/>
      <c r="P752" s="21" t="s">
        <v>0</v>
      </c>
      <c r="Q752" s="21" t="s">
        <v>782</v>
      </c>
      <c r="R752" s="463" t="s">
        <v>160</v>
      </c>
      <c r="S752" s="3534" t="s">
        <v>37</v>
      </c>
      <c r="T752" s="49"/>
      <c r="U752" s="49"/>
      <c r="V752" s="211"/>
      <c r="W752" s="231"/>
      <c r="X752" s="3507" t="s">
        <v>2286</v>
      </c>
      <c r="Y752" s="3283"/>
    </row>
    <row r="753" spans="1:25" ht="83.1" hidden="1" customHeight="1">
      <c r="A753" s="3480" t="s">
        <v>105</v>
      </c>
      <c r="B753" s="3444">
        <v>45785</v>
      </c>
      <c r="C753" s="4406">
        <v>19</v>
      </c>
      <c r="D753" s="3614">
        <v>486</v>
      </c>
      <c r="E753" s="3614" t="s">
        <v>296</v>
      </c>
      <c r="F753" s="3643" t="s">
        <v>2287</v>
      </c>
      <c r="G753" s="3777" t="s">
        <v>1206</v>
      </c>
      <c r="H753" s="3761">
        <v>705</v>
      </c>
      <c r="I753" s="3740">
        <v>705</v>
      </c>
      <c r="J753" s="3507" t="s">
        <v>2288</v>
      </c>
      <c r="K753" s="49"/>
      <c r="L753" s="49"/>
      <c r="M753" s="3443" t="s">
        <v>37</v>
      </c>
      <c r="N753" s="49"/>
      <c r="O753" s="49"/>
      <c r="P753" s="21" t="s">
        <v>122</v>
      </c>
      <c r="Q753" s="21" t="s">
        <v>231</v>
      </c>
      <c r="R753" s="463" t="s">
        <v>160</v>
      </c>
      <c r="S753" s="3534" t="s">
        <v>37</v>
      </c>
      <c r="T753" s="49"/>
      <c r="U753" s="49"/>
      <c r="V753" s="211"/>
      <c r="W753" s="231"/>
      <c r="X753" s="3507" t="s">
        <v>2289</v>
      </c>
      <c r="Y753" s="3283"/>
    </row>
    <row r="754" spans="1:25" ht="83.1" hidden="1" customHeight="1" thickBot="1">
      <c r="A754" s="3494" t="s">
        <v>105</v>
      </c>
      <c r="B754" s="3448">
        <v>45785</v>
      </c>
      <c r="C754" s="4409">
        <v>19</v>
      </c>
      <c r="D754" s="3690"/>
      <c r="E754" s="3690" t="s">
        <v>175</v>
      </c>
      <c r="F754" s="3715" t="s">
        <v>2290</v>
      </c>
      <c r="G754" s="3777" t="s">
        <v>1206</v>
      </c>
      <c r="H754" s="3774">
        <v>705</v>
      </c>
      <c r="I754" s="3780">
        <v>705</v>
      </c>
      <c r="J754" s="3707" t="s">
        <v>2288</v>
      </c>
      <c r="K754" s="57"/>
      <c r="L754" s="57"/>
      <c r="M754" s="3447"/>
      <c r="N754" s="3443" t="s">
        <v>37</v>
      </c>
      <c r="O754" s="57"/>
      <c r="P754" s="57"/>
      <c r="Q754" s="57"/>
      <c r="R754" s="99"/>
      <c r="S754" s="3534" t="s">
        <v>37</v>
      </c>
      <c r="T754" s="49"/>
      <c r="U754" s="49"/>
      <c r="V754" s="211"/>
      <c r="W754" s="1137"/>
      <c r="X754" s="57"/>
      <c r="Y754" s="3285"/>
    </row>
    <row r="755" spans="1:25" ht="83.1" hidden="1" customHeight="1">
      <c r="A755" s="3477" t="s">
        <v>105</v>
      </c>
      <c r="B755" s="3478">
        <v>45785</v>
      </c>
      <c r="C755" s="4408">
        <v>19</v>
      </c>
      <c r="D755" s="3708"/>
      <c r="E755" s="3708" t="s">
        <v>296</v>
      </c>
      <c r="F755" s="3709" t="s">
        <v>2291</v>
      </c>
      <c r="G755" s="3777" t="s">
        <v>1206</v>
      </c>
      <c r="H755" s="3781">
        <v>705</v>
      </c>
      <c r="I755" s="3783">
        <v>705</v>
      </c>
      <c r="J755" s="3519" t="s">
        <v>2288</v>
      </c>
      <c r="K755" s="55"/>
      <c r="L755" s="55"/>
      <c r="M755" s="3503"/>
      <c r="N755" s="3503" t="s">
        <v>37</v>
      </c>
      <c r="O755" s="55"/>
      <c r="P755" s="55"/>
      <c r="Q755" s="55"/>
      <c r="R755" s="56"/>
      <c r="S755" s="3534" t="s">
        <v>37</v>
      </c>
      <c r="T755" s="49"/>
      <c r="U755" s="49"/>
      <c r="V755" s="211"/>
      <c r="W755" s="230"/>
      <c r="X755" s="55"/>
      <c r="Y755" s="3282"/>
    </row>
    <row r="756" spans="1:25" ht="83.1" hidden="1" customHeight="1">
      <c r="A756" s="3480" t="s">
        <v>105</v>
      </c>
      <c r="B756" s="3444">
        <v>45785</v>
      </c>
      <c r="C756" s="4406">
        <v>19</v>
      </c>
      <c r="D756" s="3614"/>
      <c r="E756" s="3614" t="s">
        <v>175</v>
      </c>
      <c r="F756" s="3643" t="s">
        <v>2292</v>
      </c>
      <c r="G756" s="3777" t="s">
        <v>1206</v>
      </c>
      <c r="H756" s="3761">
        <v>705</v>
      </c>
      <c r="I756" s="3740">
        <v>705</v>
      </c>
      <c r="J756" s="3507" t="s">
        <v>2288</v>
      </c>
      <c r="K756" s="49"/>
      <c r="L756" s="49"/>
      <c r="M756" s="49"/>
      <c r="N756" s="3443" t="s">
        <v>37</v>
      </c>
      <c r="O756" s="49"/>
      <c r="P756" s="49"/>
      <c r="Q756" s="49"/>
      <c r="R756" s="50"/>
      <c r="S756" s="3534" t="s">
        <v>37</v>
      </c>
      <c r="T756" s="49"/>
      <c r="U756" s="49"/>
      <c r="V756" s="211"/>
      <c r="W756" s="231"/>
      <c r="X756" s="49"/>
      <c r="Y756" s="3283"/>
    </row>
    <row r="757" spans="1:25" ht="83.1" hidden="1" customHeight="1">
      <c r="A757" s="3480" t="s">
        <v>132</v>
      </c>
      <c r="B757" s="3444">
        <v>45786</v>
      </c>
      <c r="C757" s="4406">
        <v>19</v>
      </c>
      <c r="D757" s="3614">
        <v>487</v>
      </c>
      <c r="E757" s="3614" t="s">
        <v>306</v>
      </c>
      <c r="F757" s="3643" t="s">
        <v>80</v>
      </c>
      <c r="G757" s="3777" t="s">
        <v>1206</v>
      </c>
      <c r="H757" s="3761">
        <v>705</v>
      </c>
      <c r="I757" s="3740">
        <v>705</v>
      </c>
      <c r="J757" s="3443" t="s">
        <v>2285</v>
      </c>
      <c r="K757" s="49"/>
      <c r="L757" s="3443" t="s">
        <v>37</v>
      </c>
      <c r="M757" s="49"/>
      <c r="N757" s="49"/>
      <c r="O757" s="49"/>
      <c r="P757" s="49"/>
      <c r="Q757" s="49"/>
      <c r="R757" s="49"/>
      <c r="S757" s="213"/>
      <c r="T757" s="49"/>
      <c r="U757" s="49"/>
      <c r="V757" s="211"/>
      <c r="W757" s="231"/>
      <c r="X757" s="49"/>
      <c r="Y757" s="3283"/>
    </row>
    <row r="758" spans="1:25" ht="83.1" hidden="1" customHeight="1">
      <c r="A758" s="3480" t="s">
        <v>132</v>
      </c>
      <c r="B758" s="3444">
        <v>45786</v>
      </c>
      <c r="C758" s="4406">
        <v>19</v>
      </c>
      <c r="D758" s="3614">
        <v>488</v>
      </c>
      <c r="E758" s="3614" t="s">
        <v>80</v>
      </c>
      <c r="F758" s="3643" t="s">
        <v>306</v>
      </c>
      <c r="G758" s="3777" t="s">
        <v>1206</v>
      </c>
      <c r="H758" s="3678">
        <v>705</v>
      </c>
      <c r="I758" s="3647">
        <v>705</v>
      </c>
      <c r="J758" s="3443" t="s">
        <v>2293</v>
      </c>
      <c r="K758" s="49"/>
      <c r="L758" s="3443" t="s">
        <v>37</v>
      </c>
      <c r="M758" s="49"/>
      <c r="N758" s="49"/>
      <c r="O758" s="49"/>
      <c r="P758" s="49"/>
      <c r="Q758" s="49"/>
      <c r="R758" s="50"/>
      <c r="S758" s="213"/>
      <c r="T758" s="49"/>
      <c r="U758" s="49"/>
      <c r="V758" s="211"/>
      <c r="W758" s="231"/>
      <c r="X758" s="49"/>
      <c r="Y758" s="3283"/>
    </row>
    <row r="759" spans="1:25" ht="83.1" hidden="1" customHeight="1">
      <c r="A759" s="3480" t="s">
        <v>132</v>
      </c>
      <c r="B759" s="3444">
        <v>45786</v>
      </c>
      <c r="C759" s="4406">
        <v>19</v>
      </c>
      <c r="D759" s="3614">
        <v>489</v>
      </c>
      <c r="E759" s="3614" t="s">
        <v>80</v>
      </c>
      <c r="F759" s="3643" t="s">
        <v>1598</v>
      </c>
      <c r="G759" s="3782"/>
      <c r="H759" s="3761">
        <v>705</v>
      </c>
      <c r="I759" s="3740">
        <v>705</v>
      </c>
      <c r="J759" s="3443" t="s">
        <v>2251</v>
      </c>
      <c r="K759" s="49"/>
      <c r="L759" s="49"/>
      <c r="M759" s="3443"/>
      <c r="N759" s="3443" t="s">
        <v>37</v>
      </c>
      <c r="O759" s="49"/>
      <c r="P759" s="21" t="s">
        <v>0</v>
      </c>
      <c r="Q759" s="21" t="s">
        <v>187</v>
      </c>
      <c r="R759" s="463" t="s">
        <v>160</v>
      </c>
      <c r="S759" s="213"/>
      <c r="T759" s="49"/>
      <c r="U759" s="49"/>
      <c r="V759" s="211"/>
      <c r="W759" s="231"/>
      <c r="X759" s="3507" t="s">
        <v>2271</v>
      </c>
      <c r="Y759" s="3283"/>
    </row>
    <row r="760" spans="1:25" ht="83.1" hidden="1" customHeight="1" thickBot="1">
      <c r="A760" s="3480" t="s">
        <v>132</v>
      </c>
      <c r="B760" s="3444">
        <v>45786</v>
      </c>
      <c r="C760" s="4406">
        <v>19</v>
      </c>
      <c r="D760" s="3617">
        <v>490</v>
      </c>
      <c r="E760" s="3617" t="s">
        <v>1465</v>
      </c>
      <c r="F760" s="3645" t="s">
        <v>1464</v>
      </c>
      <c r="G760" s="3777" t="s">
        <v>1206</v>
      </c>
      <c r="H760" s="3586">
        <v>701</v>
      </c>
      <c r="I760" s="3494">
        <v>701</v>
      </c>
      <c r="J760" s="3443" t="s">
        <v>1771</v>
      </c>
      <c r="K760" s="3443"/>
      <c r="L760" s="3443" t="s">
        <v>37</v>
      </c>
      <c r="M760" s="3443"/>
      <c r="N760" s="3443"/>
      <c r="O760" s="3443"/>
      <c r="P760" s="3443"/>
      <c r="Q760" s="3443"/>
      <c r="R760" s="3516"/>
      <c r="S760" s="3534"/>
      <c r="T760" s="3443" t="s">
        <v>37</v>
      </c>
      <c r="U760" s="3443"/>
      <c r="V760" s="3531"/>
      <c r="W760" s="3480"/>
      <c r="X760" s="3507"/>
      <c r="Y760" s="3283"/>
    </row>
    <row r="761" spans="1:25" ht="83.1" hidden="1" customHeight="1">
      <c r="A761" s="3480" t="s">
        <v>132</v>
      </c>
      <c r="B761" s="3444">
        <v>45786</v>
      </c>
      <c r="C761" s="4406">
        <v>19</v>
      </c>
      <c r="D761" s="3614">
        <v>491</v>
      </c>
      <c r="E761" s="3614" t="s">
        <v>296</v>
      </c>
      <c r="F761" s="3643" t="s">
        <v>2287</v>
      </c>
      <c r="G761" s="3777" t="s">
        <v>1206</v>
      </c>
      <c r="H761" s="3761">
        <v>705</v>
      </c>
      <c r="I761" s="3740">
        <v>705</v>
      </c>
      <c r="J761" s="3507" t="s">
        <v>2288</v>
      </c>
      <c r="K761" s="49"/>
      <c r="L761" s="3443" t="s">
        <v>37</v>
      </c>
      <c r="M761" s="49"/>
      <c r="N761" s="49"/>
      <c r="O761" s="49"/>
      <c r="P761" s="49"/>
      <c r="Q761" s="49"/>
      <c r="R761" s="50"/>
      <c r="S761" s="3534"/>
      <c r="T761" s="3443" t="s">
        <v>37</v>
      </c>
      <c r="U761" s="49"/>
      <c r="V761" s="211"/>
      <c r="W761" s="231"/>
      <c r="X761" s="3507"/>
      <c r="Y761" s="3283"/>
    </row>
    <row r="762" spans="1:25" ht="83.1" hidden="1" customHeight="1" thickBot="1">
      <c r="A762" s="3480" t="s">
        <v>132</v>
      </c>
      <c r="B762" s="3444">
        <v>45786</v>
      </c>
      <c r="C762" s="4406">
        <v>19</v>
      </c>
      <c r="D762" s="3614"/>
      <c r="E762" s="3614" t="s">
        <v>175</v>
      </c>
      <c r="F762" s="3643" t="s">
        <v>2290</v>
      </c>
      <c r="G762" s="3777" t="s">
        <v>1206</v>
      </c>
      <c r="H762" s="3774">
        <v>705</v>
      </c>
      <c r="I762" s="3780">
        <v>705</v>
      </c>
      <c r="J762" s="3507" t="s">
        <v>2288</v>
      </c>
      <c r="K762" s="49"/>
      <c r="L762" s="3443" t="s">
        <v>37</v>
      </c>
      <c r="M762" s="49"/>
      <c r="N762" s="49"/>
      <c r="O762" s="49"/>
      <c r="P762" s="49"/>
      <c r="Q762" s="49"/>
      <c r="R762" s="50"/>
      <c r="S762" s="3534"/>
      <c r="T762" s="3443" t="s">
        <v>37</v>
      </c>
      <c r="U762" s="49"/>
      <c r="V762" s="211"/>
      <c r="W762" s="231"/>
      <c r="X762" s="49"/>
      <c r="Y762" s="3283"/>
    </row>
    <row r="763" spans="1:25" ht="83.1" hidden="1" customHeight="1" thickBot="1">
      <c r="A763" s="3494" t="s">
        <v>132</v>
      </c>
      <c r="B763" s="3448">
        <v>45786</v>
      </c>
      <c r="C763" s="4409">
        <v>19</v>
      </c>
      <c r="D763" s="3690"/>
      <c r="E763" s="3690" t="s">
        <v>296</v>
      </c>
      <c r="F763" s="3715" t="s">
        <v>2291</v>
      </c>
      <c r="G763" s="3777"/>
      <c r="H763" s="3761">
        <v>705</v>
      </c>
      <c r="I763" s="3780">
        <v>705</v>
      </c>
      <c r="J763" s="3707" t="s">
        <v>2288</v>
      </c>
      <c r="K763" s="57"/>
      <c r="L763" s="3447" t="s">
        <v>37</v>
      </c>
      <c r="M763" s="57"/>
      <c r="N763" s="57"/>
      <c r="O763" s="57"/>
      <c r="P763" s="57"/>
      <c r="Q763" s="57"/>
      <c r="R763" s="99"/>
      <c r="S763" s="3534"/>
      <c r="T763" s="3443"/>
      <c r="U763" s="49"/>
      <c r="V763" s="211"/>
      <c r="W763" s="1137"/>
      <c r="X763" s="57" t="s">
        <v>2294</v>
      </c>
      <c r="Y763" s="3285"/>
    </row>
    <row r="764" spans="1:25" ht="28.5" hidden="1">
      <c r="A764" s="3505" t="s">
        <v>132</v>
      </c>
      <c r="B764" s="3506">
        <v>45786</v>
      </c>
      <c r="C764" s="4406">
        <v>19</v>
      </c>
      <c r="D764" s="3685"/>
      <c r="E764" s="3689" t="s">
        <v>175</v>
      </c>
      <c r="F764" s="3689" t="s">
        <v>2292</v>
      </c>
      <c r="G764" s="3766"/>
      <c r="H764" s="3614">
        <v>705</v>
      </c>
      <c r="I764" s="3689">
        <v>705</v>
      </c>
      <c r="J764" s="3636" t="s">
        <v>2288</v>
      </c>
      <c r="K764" s="51"/>
      <c r="L764" s="3443" t="s">
        <v>37</v>
      </c>
      <c r="M764" s="51"/>
      <c r="N764" s="111"/>
      <c r="O764" s="111"/>
      <c r="P764" s="111"/>
      <c r="Q764" s="111"/>
      <c r="R764" s="111"/>
      <c r="S764" s="3443"/>
      <c r="T764" s="3443"/>
      <c r="U764" s="49"/>
      <c r="V764" s="49"/>
      <c r="W764" s="51"/>
      <c r="X764" s="111"/>
      <c r="Y764" s="3277"/>
    </row>
    <row r="765" spans="1:25" ht="28.5" hidden="1">
      <c r="A765" s="3443" t="s">
        <v>132</v>
      </c>
      <c r="B765" s="3506">
        <v>45786</v>
      </c>
      <c r="C765" s="4406">
        <v>19</v>
      </c>
      <c r="D765" s="3614">
        <v>492</v>
      </c>
      <c r="E765" s="3614" t="s">
        <v>306</v>
      </c>
      <c r="F765" s="3614" t="s">
        <v>80</v>
      </c>
      <c r="G765" s="3766" t="s">
        <v>2295</v>
      </c>
      <c r="H765" s="3614">
        <v>705</v>
      </c>
      <c r="I765" s="3614">
        <v>705</v>
      </c>
      <c r="J765" s="3443" t="s">
        <v>2285</v>
      </c>
      <c r="K765" s="49"/>
      <c r="L765" s="3443" t="s">
        <v>37</v>
      </c>
      <c r="M765" s="49"/>
      <c r="N765" s="49"/>
      <c r="O765" s="49"/>
      <c r="P765" s="49"/>
      <c r="Q765" s="49"/>
      <c r="R765" s="3443"/>
      <c r="S765" s="3443"/>
      <c r="T765" s="3443"/>
      <c r="U765" s="49"/>
      <c r="V765" s="49"/>
      <c r="W765" s="49"/>
      <c r="X765" s="3507"/>
    </row>
    <row r="766" spans="1:25" ht="28.5" hidden="1">
      <c r="A766" s="3614" t="s">
        <v>25</v>
      </c>
      <c r="B766" s="3506">
        <v>45789</v>
      </c>
      <c r="C766" s="3355" t="s">
        <v>2296</v>
      </c>
      <c r="D766" s="4399" t="s">
        <v>2297</v>
      </c>
      <c r="E766" s="3617" t="s">
        <v>1464</v>
      </c>
      <c r="F766" s="3617" t="s">
        <v>1465</v>
      </c>
      <c r="I766" s="3443">
        <v>701</v>
      </c>
      <c r="J766" s="3443" t="s">
        <v>1785</v>
      </c>
      <c r="K766" s="3443"/>
      <c r="L766" s="3443" t="s">
        <v>30</v>
      </c>
      <c r="M766" s="3443"/>
      <c r="W766" s="3507"/>
    </row>
    <row r="767" spans="1:25" ht="28.5" hidden="1">
      <c r="A767" s="3443" t="s">
        <v>25</v>
      </c>
      <c r="B767" s="3506">
        <v>45789</v>
      </c>
      <c r="C767" s="3355" t="s">
        <v>2296</v>
      </c>
      <c r="D767" s="4399"/>
      <c r="E767" s="3617" t="s">
        <v>1465</v>
      </c>
      <c r="F767" s="3617" t="s">
        <v>1464</v>
      </c>
      <c r="I767" s="3443">
        <v>701</v>
      </c>
      <c r="J767" s="3443" t="s">
        <v>1771</v>
      </c>
      <c r="K767" s="3443"/>
      <c r="L767" s="3443" t="s">
        <v>30</v>
      </c>
      <c r="M767" s="3443"/>
      <c r="W767" s="3507"/>
    </row>
    <row r="768" spans="1:25" ht="28.5" hidden="1">
      <c r="A768" s="3443" t="s">
        <v>25</v>
      </c>
      <c r="B768" s="3506">
        <v>45789</v>
      </c>
      <c r="C768" s="3355" t="s">
        <v>2296</v>
      </c>
      <c r="D768" s="4399" t="s">
        <v>2298</v>
      </c>
      <c r="E768" s="3614" t="s">
        <v>2006</v>
      </c>
      <c r="F768" s="3614" t="s">
        <v>2299</v>
      </c>
      <c r="I768" s="3443">
        <v>707</v>
      </c>
      <c r="J768" s="3443" t="s">
        <v>2300</v>
      </c>
      <c r="K768" s="3443"/>
      <c r="L768" s="3443" t="s">
        <v>30</v>
      </c>
      <c r="M768" s="3443"/>
      <c r="O768" s="3160" t="s">
        <v>37</v>
      </c>
      <c r="W768" s="3507"/>
      <c r="X768" s="3160" t="s">
        <v>2301</v>
      </c>
    </row>
    <row r="769" spans="1:25" ht="28.5" hidden="1">
      <c r="A769" s="3443" t="s">
        <v>25</v>
      </c>
      <c r="B769" s="3506">
        <v>45789</v>
      </c>
      <c r="C769" s="3355" t="s">
        <v>2296</v>
      </c>
      <c r="D769" s="4399" t="s">
        <v>2302</v>
      </c>
      <c r="E769" s="3614" t="s">
        <v>2303</v>
      </c>
      <c r="F769" s="3614" t="s">
        <v>183</v>
      </c>
      <c r="I769" s="3443">
        <v>712</v>
      </c>
      <c r="J769" s="3443" t="s">
        <v>2154</v>
      </c>
      <c r="K769" s="3511" t="s">
        <v>174</v>
      </c>
      <c r="L769" s="3443" t="s">
        <v>30</v>
      </c>
      <c r="M769" s="3443"/>
      <c r="W769" s="3507"/>
    </row>
    <row r="770" spans="1:25" ht="28.5" hidden="1">
      <c r="A770" s="3443" t="s">
        <v>25</v>
      </c>
      <c r="B770" s="3506">
        <v>45789</v>
      </c>
      <c r="C770" s="3355" t="s">
        <v>2296</v>
      </c>
      <c r="D770" s="4399" t="s">
        <v>2304</v>
      </c>
      <c r="E770" s="3553" t="s">
        <v>2006</v>
      </c>
      <c r="F770" s="3553" t="s">
        <v>140</v>
      </c>
      <c r="I770" s="3443">
        <v>705</v>
      </c>
      <c r="J770" s="3443" t="s">
        <v>2305</v>
      </c>
      <c r="K770" s="3443"/>
      <c r="L770" s="3443" t="s">
        <v>30</v>
      </c>
      <c r="M770" s="3443"/>
      <c r="O770" s="3160" t="s">
        <v>37</v>
      </c>
      <c r="W770" s="3507"/>
      <c r="X770" s="3160" t="s">
        <v>2301</v>
      </c>
    </row>
    <row r="771" spans="1:25" ht="28.5" hidden="1">
      <c r="A771" s="3443" t="s">
        <v>25</v>
      </c>
      <c r="B771" s="3506">
        <v>45789</v>
      </c>
      <c r="C771" s="3355" t="s">
        <v>2296</v>
      </c>
      <c r="D771" s="4399"/>
      <c r="E771" s="3553" t="s">
        <v>1293</v>
      </c>
      <c r="F771" s="3553" t="s">
        <v>61</v>
      </c>
      <c r="I771" s="3443">
        <v>705</v>
      </c>
      <c r="J771" s="3443" t="s">
        <v>2306</v>
      </c>
      <c r="K771" s="3443"/>
      <c r="L771" s="3443" t="s">
        <v>30</v>
      </c>
      <c r="M771" s="3443"/>
      <c r="W771" s="3507"/>
    </row>
    <row r="772" spans="1:25" ht="28.5" hidden="1">
      <c r="A772" s="3443" t="s">
        <v>25</v>
      </c>
      <c r="B772" s="3506">
        <v>45789</v>
      </c>
      <c r="C772" s="3355" t="s">
        <v>2296</v>
      </c>
      <c r="D772" s="4399" t="s">
        <v>2307</v>
      </c>
      <c r="E772" s="3614" t="s">
        <v>334</v>
      </c>
      <c r="F772" s="3689" t="s">
        <v>80</v>
      </c>
      <c r="I772" s="3443">
        <v>705</v>
      </c>
      <c r="J772" s="3443">
        <v>60015</v>
      </c>
      <c r="K772" s="3462"/>
      <c r="L772" s="3443" t="s">
        <v>30</v>
      </c>
      <c r="M772" s="3462"/>
      <c r="W772" s="3636"/>
    </row>
    <row r="773" spans="1:25" ht="28.5" hidden="1">
      <c r="A773" s="3462" t="s">
        <v>25</v>
      </c>
      <c r="B773" s="3506">
        <v>45789</v>
      </c>
      <c r="C773" s="3368" t="s">
        <v>2296</v>
      </c>
      <c r="D773" s="4400" t="s">
        <v>2308</v>
      </c>
      <c r="E773" s="4823" t="s">
        <v>1160</v>
      </c>
      <c r="F773" s="3785" t="s">
        <v>183</v>
      </c>
      <c r="I773" s="3462">
        <v>712</v>
      </c>
      <c r="J773" s="3545" t="s">
        <v>589</v>
      </c>
      <c r="K773" s="3462"/>
      <c r="L773" s="3462" t="s">
        <v>30</v>
      </c>
      <c r="M773" s="3462"/>
      <c r="N773" s="3273"/>
      <c r="O773" s="3273"/>
      <c r="P773" s="3273"/>
      <c r="Q773" s="3273"/>
      <c r="R773" s="3273"/>
      <c r="W773" s="3636"/>
      <c r="X773" s="3273"/>
      <c r="Y773" s="3274"/>
    </row>
    <row r="774" spans="1:25" ht="28.5" hidden="1">
      <c r="A774" s="3477" t="s">
        <v>25</v>
      </c>
      <c r="B774" s="3657">
        <v>45789</v>
      </c>
      <c r="C774" s="3356" t="s">
        <v>2296</v>
      </c>
      <c r="D774" s="3514"/>
      <c r="E774" s="4588" t="s">
        <v>169</v>
      </c>
      <c r="F774" s="4651" t="s">
        <v>2309</v>
      </c>
      <c r="G774" s="3254"/>
      <c r="H774" s="3253"/>
      <c r="I774" s="3477">
        <v>712</v>
      </c>
      <c r="J774" s="3503" t="s">
        <v>589</v>
      </c>
      <c r="K774" s="3503"/>
      <c r="L774" s="3503" t="s">
        <v>30</v>
      </c>
      <c r="M774" s="3503"/>
      <c r="N774" s="3281"/>
      <c r="O774" s="3281"/>
      <c r="P774" s="3281"/>
      <c r="Q774" s="3281"/>
      <c r="R774" s="3792"/>
      <c r="S774" s="3254"/>
      <c r="V774" s="3253"/>
      <c r="W774" s="3796"/>
      <c r="X774" s="3365"/>
      <c r="Y774" s="3282"/>
    </row>
    <row r="775" spans="1:25" ht="28.5" hidden="1">
      <c r="A775" s="3590" t="s">
        <v>25</v>
      </c>
      <c r="B775" s="3444">
        <v>45789</v>
      </c>
      <c r="C775" s="3355" t="s">
        <v>2296</v>
      </c>
      <c r="D775" s="4399" t="s">
        <v>2310</v>
      </c>
      <c r="E775" s="3786" t="s">
        <v>2311</v>
      </c>
      <c r="F775" s="3790" t="s">
        <v>208</v>
      </c>
      <c r="G775" s="3254"/>
      <c r="H775" s="3253"/>
      <c r="I775" s="3598">
        <v>705</v>
      </c>
      <c r="J775" s="3456" t="s">
        <v>1458</v>
      </c>
      <c r="K775" s="3505"/>
      <c r="L775" s="3456" t="s">
        <v>30</v>
      </c>
      <c r="M775" s="3443"/>
      <c r="P775" s="3161"/>
      <c r="R775" s="4775"/>
      <c r="S775" s="3254"/>
      <c r="V775" s="3253"/>
      <c r="W775" s="3799"/>
      <c r="X775" s="3254"/>
      <c r="Y775" s="3283"/>
    </row>
    <row r="776" spans="1:25" ht="28.5" hidden="1">
      <c r="A776" s="3590" t="s">
        <v>67</v>
      </c>
      <c r="B776" s="3444">
        <v>45790</v>
      </c>
      <c r="C776" s="3355" t="s">
        <v>2296</v>
      </c>
      <c r="D776" s="4399"/>
      <c r="E776" s="3789" t="s">
        <v>219</v>
      </c>
      <c r="F776" s="4615" t="s">
        <v>183</v>
      </c>
      <c r="G776" s="3254"/>
      <c r="H776" s="3253"/>
      <c r="I776" s="3500">
        <v>705</v>
      </c>
      <c r="J776" s="3462" t="s">
        <v>1458</v>
      </c>
      <c r="K776" s="3632" t="s">
        <v>84</v>
      </c>
      <c r="L776" s="3443" t="s">
        <v>30</v>
      </c>
      <c r="M776" s="3462"/>
      <c r="R776" s="3793"/>
      <c r="S776" s="3254"/>
      <c r="V776" s="3253"/>
      <c r="W776" s="3800"/>
      <c r="X776" s="3254"/>
      <c r="Y776" s="3283"/>
    </row>
    <row r="777" spans="1:25" ht="57" hidden="1">
      <c r="A777" s="3590" t="s">
        <v>67</v>
      </c>
      <c r="B777" s="3444">
        <v>45790</v>
      </c>
      <c r="C777" s="3355" t="s">
        <v>2296</v>
      </c>
      <c r="D777" s="4399"/>
      <c r="E777" s="3815" t="s">
        <v>169</v>
      </c>
      <c r="F777" s="3837" t="s">
        <v>2312</v>
      </c>
      <c r="G777" s="3254"/>
      <c r="H777" s="3253"/>
      <c r="I777" s="3480">
        <v>705</v>
      </c>
      <c r="J777" s="3443" t="s">
        <v>1458</v>
      </c>
      <c r="K777" s="3511"/>
      <c r="L777" s="3443"/>
      <c r="M777" s="3443" t="s">
        <v>30</v>
      </c>
      <c r="P777" s="21" t="s">
        <v>122</v>
      </c>
      <c r="Q777" s="21" t="s">
        <v>123</v>
      </c>
      <c r="R777" s="463" t="s">
        <v>160</v>
      </c>
      <c r="S777" s="3254"/>
      <c r="V777" s="3253"/>
      <c r="W777" s="3797" t="s">
        <v>2313</v>
      </c>
      <c r="X777" s="3254"/>
      <c r="Y777" s="3283"/>
    </row>
    <row r="778" spans="1:25" ht="28.5" hidden="1">
      <c r="A778" s="3590" t="s">
        <v>67</v>
      </c>
      <c r="B778" s="3444">
        <v>45790</v>
      </c>
      <c r="C778" s="3355" t="s">
        <v>2296</v>
      </c>
      <c r="D778" s="4399" t="s">
        <v>2314</v>
      </c>
      <c r="E778" s="3617" t="s">
        <v>1464</v>
      </c>
      <c r="F778" s="3645" t="s">
        <v>1465</v>
      </c>
      <c r="G778" s="3254"/>
      <c r="H778" s="3253"/>
      <c r="I778" s="3480">
        <v>701</v>
      </c>
      <c r="J778" s="3443" t="s">
        <v>1785</v>
      </c>
      <c r="K778" s="3443"/>
      <c r="L778" s="3443" t="s">
        <v>30</v>
      </c>
      <c r="M778" s="3443"/>
      <c r="R778" s="3793"/>
      <c r="S778" s="3254"/>
      <c r="V778" s="3253"/>
      <c r="W778" s="3797"/>
      <c r="X778" s="3254"/>
      <c r="Y778" s="3283"/>
    </row>
    <row r="779" spans="1:25" ht="28.5" hidden="1">
      <c r="A779" s="3590" t="s">
        <v>67</v>
      </c>
      <c r="B779" s="3444">
        <v>45790</v>
      </c>
      <c r="C779" s="3355" t="s">
        <v>2296</v>
      </c>
      <c r="D779" s="4399"/>
      <c r="E779" s="3617" t="s">
        <v>1465</v>
      </c>
      <c r="F779" s="3645" t="s">
        <v>1464</v>
      </c>
      <c r="G779" s="3254"/>
      <c r="H779" s="3253"/>
      <c r="I779" s="3480">
        <v>701</v>
      </c>
      <c r="J779" s="3443" t="s">
        <v>1771</v>
      </c>
      <c r="K779" s="3443"/>
      <c r="L779" s="3443" t="s">
        <v>30</v>
      </c>
      <c r="M779" s="3443"/>
      <c r="R779" s="3793"/>
      <c r="S779" s="3254"/>
      <c r="V779" s="3253"/>
      <c r="W779" s="3797"/>
      <c r="X779" s="3254"/>
      <c r="Y779" s="3283"/>
    </row>
    <row r="780" spans="1:25" ht="28.5" hidden="1">
      <c r="A780" s="3590" t="s">
        <v>67</v>
      </c>
      <c r="B780" s="3444">
        <v>45790</v>
      </c>
      <c r="C780" s="3355" t="s">
        <v>2296</v>
      </c>
      <c r="D780" s="4399" t="s">
        <v>2315</v>
      </c>
      <c r="E780" s="3787" t="s">
        <v>2316</v>
      </c>
      <c r="F780" s="3791" t="s">
        <v>2317</v>
      </c>
      <c r="G780" s="3254"/>
      <c r="H780" s="3253"/>
      <c r="I780" s="3480">
        <v>707</v>
      </c>
      <c r="J780" s="3443" t="s">
        <v>2318</v>
      </c>
      <c r="K780" s="3443"/>
      <c r="L780" s="3443" t="s">
        <v>30</v>
      </c>
      <c r="M780" s="3443"/>
      <c r="O780" s="3253"/>
      <c r="R780" s="3793"/>
      <c r="S780" s="3254"/>
      <c r="V780" s="3253"/>
      <c r="W780" s="3797"/>
      <c r="X780" s="3254"/>
      <c r="Y780" s="3283"/>
    </row>
    <row r="781" spans="1:25" ht="29.25" hidden="1" thickBot="1">
      <c r="A781" s="3500" t="s">
        <v>67</v>
      </c>
      <c r="B781" s="3506">
        <v>45790</v>
      </c>
      <c r="C781" s="3368" t="s">
        <v>2296</v>
      </c>
      <c r="D781" s="4400"/>
      <c r="E781" s="4105" t="s">
        <v>2319</v>
      </c>
      <c r="F781" s="4636" t="s">
        <v>2320</v>
      </c>
      <c r="G781" s="3254"/>
      <c r="H781" s="3253"/>
      <c r="I781" s="3500">
        <v>707</v>
      </c>
      <c r="J781" s="3462" t="s">
        <v>2321</v>
      </c>
      <c r="K781" s="3462"/>
      <c r="L781" s="3462" t="s">
        <v>30</v>
      </c>
      <c r="M781" s="3462"/>
      <c r="N781" s="3273"/>
      <c r="O781" s="3273"/>
      <c r="P781" s="3161"/>
      <c r="Q781" s="3161"/>
      <c r="R781" s="4775"/>
      <c r="S781" s="3254"/>
      <c r="V781" s="3253"/>
      <c r="W781" s="3800"/>
      <c r="X781" s="3366"/>
      <c r="Y781" s="3285"/>
    </row>
    <row r="782" spans="1:25" ht="28.5" hidden="1">
      <c r="A782" s="3477" t="s">
        <v>67</v>
      </c>
      <c r="B782" s="3478">
        <v>45790</v>
      </c>
      <c r="C782" s="3356" t="s">
        <v>2296</v>
      </c>
      <c r="D782" s="3514" t="s">
        <v>2322</v>
      </c>
      <c r="E782" s="3548" t="s">
        <v>334</v>
      </c>
      <c r="F782" s="4862" t="s">
        <v>1761</v>
      </c>
      <c r="G782" s="3254"/>
      <c r="H782" s="3253"/>
      <c r="I782" s="3477">
        <v>705</v>
      </c>
      <c r="J782" s="3503" t="s">
        <v>1758</v>
      </c>
      <c r="K782" s="3503"/>
      <c r="L782" s="3503"/>
      <c r="M782" s="3503" t="s">
        <v>37</v>
      </c>
      <c r="N782" s="3281"/>
      <c r="O782" s="3281"/>
      <c r="P782" s="34" t="s">
        <v>0</v>
      </c>
      <c r="Q782" s="34" t="s">
        <v>736</v>
      </c>
      <c r="R782" s="4774" t="s">
        <v>160</v>
      </c>
      <c r="S782" s="3254"/>
      <c r="V782" s="3253"/>
      <c r="W782" s="3796" t="s">
        <v>2323</v>
      </c>
      <c r="X782" s="3307"/>
      <c r="Y782" s="3795"/>
    </row>
    <row r="783" spans="1:25" ht="29.25" hidden="1" thickBot="1">
      <c r="A783" s="3480" t="s">
        <v>67</v>
      </c>
      <c r="B783" s="3444">
        <v>45790</v>
      </c>
      <c r="C783" s="3165" t="s">
        <v>2296</v>
      </c>
      <c r="D783" s="4399"/>
      <c r="E783" s="3536" t="s">
        <v>1763</v>
      </c>
      <c r="F783" s="3712" t="s">
        <v>1166</v>
      </c>
      <c r="G783" s="3254"/>
      <c r="H783" s="3253"/>
      <c r="I783" s="3480">
        <v>705</v>
      </c>
      <c r="J783" s="3443" t="s">
        <v>1758</v>
      </c>
      <c r="K783" s="3443"/>
      <c r="L783" s="3443"/>
      <c r="M783" s="3443" t="s">
        <v>37</v>
      </c>
      <c r="P783" s="21" t="s">
        <v>0</v>
      </c>
      <c r="Q783" s="21" t="s">
        <v>736</v>
      </c>
      <c r="R783" s="463" t="s">
        <v>160</v>
      </c>
      <c r="S783" s="3254"/>
      <c r="V783" s="3253"/>
      <c r="W783" s="3797" t="s">
        <v>2323</v>
      </c>
      <c r="X783" s="3366"/>
      <c r="Y783" s="3285"/>
    </row>
    <row r="784" spans="1:25" ht="28.5" hidden="1">
      <c r="A784" s="3480" t="s">
        <v>85</v>
      </c>
      <c r="B784" s="3444">
        <v>45790</v>
      </c>
      <c r="C784" s="3165" t="s">
        <v>2296</v>
      </c>
      <c r="D784" s="4399"/>
      <c r="E784" s="3815" t="s">
        <v>169</v>
      </c>
      <c r="F784" s="3837" t="s">
        <v>2312</v>
      </c>
      <c r="G784" s="3254"/>
      <c r="H784" s="3253"/>
      <c r="I784" s="3480"/>
      <c r="J784" s="3443"/>
      <c r="K784" s="3511" t="s">
        <v>114</v>
      </c>
      <c r="L784" s="3443" t="s">
        <v>37</v>
      </c>
      <c r="M784" s="3443"/>
      <c r="R784" s="3793"/>
      <c r="S784" s="3254"/>
      <c r="V784" s="3253"/>
      <c r="W784" s="3797" t="s">
        <v>2324</v>
      </c>
      <c r="X784" s="3307"/>
      <c r="Y784" s="3277"/>
    </row>
    <row r="785" spans="1:24" ht="28.5" hidden="1">
      <c r="A785" s="3480" t="s">
        <v>85</v>
      </c>
      <c r="B785" s="3444">
        <v>45791</v>
      </c>
      <c r="C785" s="3165" t="s">
        <v>2296</v>
      </c>
      <c r="D785" s="4399" t="s">
        <v>2325</v>
      </c>
      <c r="E785" s="3617" t="s">
        <v>1464</v>
      </c>
      <c r="F785" s="3645" t="s">
        <v>1465</v>
      </c>
      <c r="G785" s="3254"/>
      <c r="H785" s="3253"/>
      <c r="I785" s="3480">
        <v>701</v>
      </c>
      <c r="J785" s="3443" t="s">
        <v>1785</v>
      </c>
      <c r="K785" s="3443"/>
      <c r="L785" s="3443" t="s">
        <v>30</v>
      </c>
      <c r="M785" s="3443"/>
      <c r="R785" s="3793"/>
      <c r="S785" s="3254"/>
      <c r="V785" s="3253"/>
      <c r="W785" s="3797"/>
      <c r="X785" s="3254"/>
    </row>
    <row r="786" spans="1:24" ht="28.5" hidden="1">
      <c r="A786" s="3480" t="s">
        <v>85</v>
      </c>
      <c r="B786" s="3444">
        <v>45791</v>
      </c>
      <c r="C786" s="3165" t="s">
        <v>2296</v>
      </c>
      <c r="D786" s="4399"/>
      <c r="E786" s="3617" t="s">
        <v>1465</v>
      </c>
      <c r="F786" s="3645" t="s">
        <v>1464</v>
      </c>
      <c r="G786" s="3254"/>
      <c r="H786" s="3253"/>
      <c r="I786" s="3480">
        <v>701</v>
      </c>
      <c r="J786" s="3443" t="s">
        <v>1771</v>
      </c>
      <c r="K786" s="3443"/>
      <c r="L786" s="3443" t="s">
        <v>30</v>
      </c>
      <c r="M786" s="3443"/>
      <c r="R786" s="3793"/>
      <c r="S786" s="3254"/>
      <c r="V786" s="3253"/>
      <c r="W786" s="3797"/>
      <c r="X786" s="3254"/>
    </row>
    <row r="787" spans="1:24" ht="28.5" hidden="1">
      <c r="A787" s="3480" t="s">
        <v>85</v>
      </c>
      <c r="B787" s="3444">
        <v>45791</v>
      </c>
      <c r="C787" s="3165" t="s">
        <v>2296</v>
      </c>
      <c r="D787" s="4399"/>
      <c r="E787" s="3787" t="s">
        <v>491</v>
      </c>
      <c r="F787" s="3791" t="s">
        <v>1625</v>
      </c>
      <c r="G787" s="3254"/>
      <c r="H787" s="3253"/>
      <c r="I787" s="3443">
        <v>707</v>
      </c>
      <c r="J787" s="3443" t="s">
        <v>226</v>
      </c>
      <c r="K787" s="3443"/>
      <c r="L787" s="3443" t="s">
        <v>30</v>
      </c>
      <c r="M787" s="3443"/>
      <c r="R787" s="3793"/>
      <c r="S787" s="3254"/>
      <c r="V787" s="3253"/>
      <c r="W787" s="3797"/>
      <c r="X787" s="3254"/>
    </row>
    <row r="788" spans="1:24" ht="28.5" hidden="1">
      <c r="A788" s="3480" t="s">
        <v>85</v>
      </c>
      <c r="B788" s="3444">
        <v>45791</v>
      </c>
      <c r="C788" s="3165" t="s">
        <v>2296</v>
      </c>
      <c r="D788" s="4399" t="s">
        <v>2326</v>
      </c>
      <c r="E788" s="3623" t="s">
        <v>2327</v>
      </c>
      <c r="F788" s="3652" t="s">
        <v>2328</v>
      </c>
      <c r="G788" s="3254"/>
      <c r="H788" s="3253"/>
      <c r="I788" s="3443">
        <v>705</v>
      </c>
      <c r="J788" s="3443" t="s">
        <v>2329</v>
      </c>
      <c r="K788" s="3443"/>
      <c r="L788" s="3443"/>
      <c r="M788" s="3443" t="s">
        <v>30</v>
      </c>
      <c r="P788" s="21" t="s">
        <v>0</v>
      </c>
      <c r="Q788" s="21" t="s">
        <v>31</v>
      </c>
      <c r="R788" s="463" t="s">
        <v>160</v>
      </c>
      <c r="S788" s="3254"/>
      <c r="V788" s="3253"/>
      <c r="W788" s="3797" t="s">
        <v>2330</v>
      </c>
      <c r="X788" s="3254"/>
    </row>
    <row r="789" spans="1:24" ht="28.5" hidden="1">
      <c r="A789" s="3480" t="s">
        <v>85</v>
      </c>
      <c r="B789" s="3444">
        <v>45791</v>
      </c>
      <c r="C789" s="3165" t="s">
        <v>2296</v>
      </c>
      <c r="D789" s="4399" t="s">
        <v>2331</v>
      </c>
      <c r="E789" s="3787" t="s">
        <v>169</v>
      </c>
      <c r="F789" s="3791" t="s">
        <v>1571</v>
      </c>
      <c r="G789" s="3254"/>
      <c r="H789" s="3253"/>
      <c r="I789" s="3480">
        <v>712</v>
      </c>
      <c r="J789" s="3443" t="s">
        <v>1237</v>
      </c>
      <c r="K789" s="3511" t="s">
        <v>174</v>
      </c>
      <c r="L789" s="3443" t="s">
        <v>30</v>
      </c>
      <c r="M789" s="3443"/>
      <c r="R789" s="3793"/>
      <c r="S789" s="3254"/>
      <c r="V789" s="3253"/>
      <c r="W789" s="3797"/>
      <c r="X789" s="3254"/>
    </row>
    <row r="790" spans="1:24" ht="28.5" hidden="1">
      <c r="A790" s="3480" t="s">
        <v>85</v>
      </c>
      <c r="B790" s="3444">
        <v>45791</v>
      </c>
      <c r="C790" s="3165" t="s">
        <v>2296</v>
      </c>
      <c r="D790" s="4399" t="s">
        <v>2332</v>
      </c>
      <c r="E790" s="3787" t="s">
        <v>2333</v>
      </c>
      <c r="F790" s="3791" t="s">
        <v>2334</v>
      </c>
      <c r="G790" s="3254"/>
      <c r="H790" s="3253"/>
      <c r="I790" s="3480">
        <v>712</v>
      </c>
      <c r="J790" s="3443" t="s">
        <v>2335</v>
      </c>
      <c r="K790" s="3511"/>
      <c r="L790" s="3443" t="s">
        <v>30</v>
      </c>
      <c r="M790" s="3443"/>
      <c r="R790" s="3793"/>
      <c r="S790" s="3254"/>
      <c r="V790" s="3253"/>
      <c r="W790" s="3797"/>
      <c r="X790" s="3254"/>
    </row>
    <row r="791" spans="1:24" ht="28.5" hidden="1">
      <c r="A791" s="3480" t="s">
        <v>85</v>
      </c>
      <c r="B791" s="3444">
        <v>45791</v>
      </c>
      <c r="C791" s="3165" t="s">
        <v>2296</v>
      </c>
      <c r="D791" s="4399" t="s">
        <v>2336</v>
      </c>
      <c r="E791" s="3614" t="s">
        <v>43</v>
      </c>
      <c r="F791" s="3643" t="s">
        <v>296</v>
      </c>
      <c r="G791" s="3254"/>
      <c r="H791" s="3253"/>
      <c r="I791" s="3480">
        <v>705</v>
      </c>
      <c r="J791" s="3443" t="s">
        <v>1952</v>
      </c>
      <c r="K791" s="3443"/>
      <c r="L791" s="3443" t="s">
        <v>30</v>
      </c>
      <c r="M791" s="3443"/>
      <c r="R791" s="3793"/>
      <c r="S791" s="3254"/>
      <c r="V791" s="3253"/>
      <c r="W791" s="3797"/>
      <c r="X791" s="3254"/>
    </row>
    <row r="792" spans="1:24" ht="29.25" hidden="1" thickBot="1">
      <c r="A792" s="3494" t="s">
        <v>85</v>
      </c>
      <c r="B792" s="3448">
        <v>45791</v>
      </c>
      <c r="C792" s="3357" t="s">
        <v>2296</v>
      </c>
      <c r="D792" s="4404" t="s">
        <v>2337</v>
      </c>
      <c r="E792" s="3690" t="s">
        <v>334</v>
      </c>
      <c r="F792" s="3715" t="s">
        <v>2338</v>
      </c>
      <c r="G792" s="3254"/>
      <c r="H792" s="3253"/>
      <c r="I792" s="3494">
        <v>705</v>
      </c>
      <c r="J792" s="3447" t="s">
        <v>2339</v>
      </c>
      <c r="K792" s="3608" t="s">
        <v>174</v>
      </c>
      <c r="L792" s="3447" t="s">
        <v>30</v>
      </c>
      <c r="M792" s="3447"/>
      <c r="N792" s="3284"/>
      <c r="O792" s="3284"/>
      <c r="P792" s="3284"/>
      <c r="Q792" s="3284"/>
      <c r="R792" s="3794"/>
      <c r="S792" s="3254"/>
      <c r="V792" s="3253"/>
      <c r="W792" s="3798"/>
      <c r="X792" s="3254"/>
    </row>
    <row r="793" spans="1:24" ht="52.5" hidden="1">
      <c r="A793" s="3598" t="s">
        <v>85</v>
      </c>
      <c r="B793" s="3506">
        <v>45791</v>
      </c>
      <c r="C793" s="3355" t="s">
        <v>2296</v>
      </c>
      <c r="D793" s="3513" t="s">
        <v>2340</v>
      </c>
      <c r="E793" s="3758" t="s">
        <v>1293</v>
      </c>
      <c r="F793" s="3758" t="s">
        <v>2341</v>
      </c>
      <c r="I793" s="3505">
        <v>705</v>
      </c>
      <c r="J793" s="3505" t="s">
        <v>2342</v>
      </c>
      <c r="K793" s="3505"/>
      <c r="L793" s="3505"/>
      <c r="M793" s="3505" t="s">
        <v>37</v>
      </c>
      <c r="N793" s="3276"/>
      <c r="O793" s="3276"/>
      <c r="P793" s="119" t="s">
        <v>0</v>
      </c>
      <c r="Q793" s="119" t="s">
        <v>126</v>
      </c>
      <c r="R793" s="119" t="s">
        <v>1107</v>
      </c>
      <c r="W793" s="3512" t="s">
        <v>2343</v>
      </c>
      <c r="X793" s="3160" t="s">
        <v>2344</v>
      </c>
    </row>
    <row r="794" spans="1:24" ht="28.5" hidden="1">
      <c r="A794" s="3443" t="s">
        <v>85</v>
      </c>
      <c r="B794" s="3444">
        <v>45791</v>
      </c>
      <c r="C794" s="3355" t="s">
        <v>2296</v>
      </c>
      <c r="D794" s="4399"/>
      <c r="E794" s="3614" t="s">
        <v>2345</v>
      </c>
      <c r="F794" s="3678" t="s">
        <v>2346</v>
      </c>
      <c r="H794" s="3253"/>
      <c r="I794" s="3443">
        <v>705</v>
      </c>
      <c r="J794" s="3443">
        <v>60000</v>
      </c>
      <c r="K794" s="3443"/>
      <c r="L794" s="3443"/>
      <c r="M794" s="3443"/>
      <c r="N794" s="3443" t="s">
        <v>30</v>
      </c>
      <c r="W794" s="3521" t="s">
        <v>2347</v>
      </c>
    </row>
    <row r="795" spans="1:24" ht="28.5" hidden="1">
      <c r="A795" s="3443" t="s">
        <v>105</v>
      </c>
      <c r="B795" s="3444">
        <v>45792</v>
      </c>
      <c r="C795" s="3355" t="s">
        <v>2296</v>
      </c>
      <c r="D795" s="4399" t="s">
        <v>2348</v>
      </c>
      <c r="E795" s="3623" t="s">
        <v>2349</v>
      </c>
      <c r="F795" s="3623" t="s">
        <v>2350</v>
      </c>
      <c r="H795" s="3253"/>
      <c r="I795" s="3443">
        <v>705</v>
      </c>
      <c r="J795" s="3443" t="s">
        <v>2329</v>
      </c>
      <c r="K795" s="3443"/>
      <c r="L795" s="3443" t="s">
        <v>30</v>
      </c>
      <c r="M795" s="3443"/>
      <c r="W795" s="3522"/>
    </row>
    <row r="796" spans="1:24" ht="28.5" hidden="1">
      <c r="A796" s="3443" t="s">
        <v>105</v>
      </c>
      <c r="B796" s="3444">
        <v>45792</v>
      </c>
      <c r="C796" s="3355" t="s">
        <v>2296</v>
      </c>
      <c r="D796" s="4399" t="s">
        <v>2351</v>
      </c>
      <c r="E796" s="3614" t="s">
        <v>1293</v>
      </c>
      <c r="F796" s="3614" t="s">
        <v>2352</v>
      </c>
      <c r="I796" s="3443">
        <v>705</v>
      </c>
      <c r="J796" s="3443" t="s">
        <v>2353</v>
      </c>
      <c r="K796" s="3443"/>
      <c r="L796" s="3443" t="s">
        <v>30</v>
      </c>
      <c r="M796" s="3443"/>
      <c r="W796" s="3522" t="s">
        <v>2354</v>
      </c>
    </row>
    <row r="797" spans="1:24" ht="28.5" hidden="1">
      <c r="A797" s="3443" t="s">
        <v>105</v>
      </c>
      <c r="B797" s="3444">
        <v>45792</v>
      </c>
      <c r="C797" s="3355" t="s">
        <v>2296</v>
      </c>
      <c r="D797" s="4399"/>
      <c r="E797" s="3623" t="s">
        <v>63</v>
      </c>
      <c r="F797" s="3623" t="s">
        <v>2355</v>
      </c>
      <c r="I797" s="3456">
        <v>705</v>
      </c>
      <c r="J797" s="3456" t="s">
        <v>2329</v>
      </c>
      <c r="K797" s="3456"/>
      <c r="L797" s="3456" t="s">
        <v>30</v>
      </c>
      <c r="M797" s="3456"/>
      <c r="W797" s="3636"/>
    </row>
    <row r="798" spans="1:24" ht="28.5" hidden="1">
      <c r="A798" s="3480" t="s">
        <v>105</v>
      </c>
      <c r="B798" s="3444">
        <v>45792</v>
      </c>
      <c r="C798" s="3355" t="s">
        <v>2296</v>
      </c>
      <c r="D798" s="4399"/>
      <c r="E798" s="3623" t="s">
        <v>2356</v>
      </c>
      <c r="F798" s="3623" t="s">
        <v>2357</v>
      </c>
      <c r="I798" s="3443">
        <v>705</v>
      </c>
      <c r="J798" s="3443" t="s">
        <v>2329</v>
      </c>
      <c r="K798" s="3443"/>
      <c r="L798" s="3443" t="s">
        <v>30</v>
      </c>
      <c r="M798" s="3443"/>
      <c r="W798" s="3522"/>
    </row>
    <row r="799" spans="1:24" ht="28.5" hidden="1">
      <c r="A799" s="3598" t="s">
        <v>105</v>
      </c>
      <c r="B799" s="3506">
        <v>45792</v>
      </c>
      <c r="C799" s="3368" t="s">
        <v>2296</v>
      </c>
      <c r="D799" s="4400" t="s">
        <v>2358</v>
      </c>
      <c r="E799" s="3689" t="s">
        <v>2006</v>
      </c>
      <c r="F799" s="3689" t="s">
        <v>2140</v>
      </c>
      <c r="I799" s="3462">
        <v>707</v>
      </c>
      <c r="J799" s="3462" t="s">
        <v>149</v>
      </c>
      <c r="K799" s="3462"/>
      <c r="L799" s="3462"/>
      <c r="M799" s="3462" t="s">
        <v>30</v>
      </c>
      <c r="N799" s="3273"/>
      <c r="O799" s="3273"/>
      <c r="P799" s="24" t="s">
        <v>0</v>
      </c>
      <c r="Q799" s="24" t="s">
        <v>187</v>
      </c>
      <c r="R799" s="24" t="s">
        <v>38</v>
      </c>
      <c r="W799" s="4957" t="s">
        <v>2359</v>
      </c>
    </row>
    <row r="800" spans="1:24" ht="28.5" hidden="1">
      <c r="A800" s="3477" t="s">
        <v>105</v>
      </c>
      <c r="B800" s="3478">
        <v>45792</v>
      </c>
      <c r="C800" s="3356" t="s">
        <v>2296</v>
      </c>
      <c r="D800" s="3514" t="s">
        <v>2360</v>
      </c>
      <c r="E800" s="3708" t="s">
        <v>2361</v>
      </c>
      <c r="F800" s="3709" t="s">
        <v>2303</v>
      </c>
      <c r="G800" s="3254"/>
      <c r="H800" s="3253"/>
      <c r="I800" s="3477">
        <v>712</v>
      </c>
      <c r="J800" s="3503" t="s">
        <v>99</v>
      </c>
      <c r="K800" s="3503"/>
      <c r="L800" s="3503" t="s">
        <v>30</v>
      </c>
      <c r="M800" s="3503"/>
      <c r="N800" s="3281"/>
      <c r="O800" s="3281"/>
      <c r="P800" s="3281"/>
      <c r="Q800" s="3281"/>
      <c r="R800" s="3792"/>
      <c r="S800" s="3254"/>
      <c r="V800" s="3253"/>
      <c r="W800" s="3796"/>
      <c r="X800" s="3254"/>
    </row>
    <row r="801" spans="1:25" ht="28.5" hidden="1">
      <c r="A801" s="3480" t="s">
        <v>105</v>
      </c>
      <c r="B801" s="3444">
        <v>45792</v>
      </c>
      <c r="C801" s="3165" t="s">
        <v>2296</v>
      </c>
      <c r="D801" s="4399" t="s">
        <v>2362</v>
      </c>
      <c r="E801" s="4540" t="s">
        <v>2363</v>
      </c>
      <c r="F801" s="4614" t="s">
        <v>183</v>
      </c>
      <c r="G801" s="3254"/>
      <c r="H801" s="3253"/>
      <c r="I801" s="3480">
        <v>707</v>
      </c>
      <c r="J801" s="3443" t="s">
        <v>1499</v>
      </c>
      <c r="K801" s="3443"/>
      <c r="L801" s="3443" t="s">
        <v>30</v>
      </c>
      <c r="M801" s="3443"/>
      <c r="R801" s="3793"/>
      <c r="S801" s="3254"/>
      <c r="V801" s="3253"/>
      <c r="W801" s="3797"/>
      <c r="X801" s="3254"/>
    </row>
    <row r="802" spans="1:25" ht="28.5" hidden="1">
      <c r="A802" s="3480" t="s">
        <v>132</v>
      </c>
      <c r="B802" s="3444">
        <v>45793</v>
      </c>
      <c r="C802" s="3165" t="s">
        <v>2296</v>
      </c>
      <c r="D802" s="4399"/>
      <c r="E802" s="4540" t="s">
        <v>169</v>
      </c>
      <c r="F802" s="4614" t="s">
        <v>2346</v>
      </c>
      <c r="G802" s="3254"/>
      <c r="H802" s="3253"/>
      <c r="I802" s="3480">
        <v>707</v>
      </c>
      <c r="J802" s="3443" t="s">
        <v>2364</v>
      </c>
      <c r="K802" s="3443"/>
      <c r="L802" s="3443" t="s">
        <v>30</v>
      </c>
      <c r="M802" s="3443"/>
      <c r="R802" s="3793"/>
      <c r="S802" s="3254"/>
      <c r="V802" s="3253"/>
      <c r="W802" s="3797"/>
      <c r="X802" s="3254"/>
    </row>
    <row r="803" spans="1:25" ht="28.5" hidden="1">
      <c r="A803" s="3480" t="s">
        <v>132</v>
      </c>
      <c r="B803" s="3444">
        <v>45793</v>
      </c>
      <c r="C803" s="3165" t="s">
        <v>2296</v>
      </c>
      <c r="D803" s="4399"/>
      <c r="E803" s="3623" t="s">
        <v>227</v>
      </c>
      <c r="F803" s="3652" t="s">
        <v>1625</v>
      </c>
      <c r="G803" s="3254"/>
      <c r="H803" s="3253"/>
      <c r="I803" s="3480">
        <v>705</v>
      </c>
      <c r="J803" s="3443" t="s">
        <v>2329</v>
      </c>
      <c r="K803" s="3443"/>
      <c r="L803" s="3443" t="s">
        <v>30</v>
      </c>
      <c r="M803" s="3443"/>
      <c r="R803" s="3793"/>
      <c r="S803" s="3254"/>
      <c r="V803" s="3253"/>
      <c r="W803" s="3797"/>
      <c r="X803" s="3254"/>
    </row>
    <row r="804" spans="1:25" ht="29.25" hidden="1" thickBot="1">
      <c r="A804" s="3494" t="s">
        <v>132</v>
      </c>
      <c r="B804" s="3448">
        <v>45793</v>
      </c>
      <c r="C804" s="3357" t="s">
        <v>2296</v>
      </c>
      <c r="D804" s="4404" t="s">
        <v>2365</v>
      </c>
      <c r="E804" s="3690" t="s">
        <v>148</v>
      </c>
      <c r="F804" s="3714" t="s">
        <v>43</v>
      </c>
      <c r="G804" s="3254"/>
      <c r="H804" s="3253"/>
      <c r="I804" s="3494">
        <v>707</v>
      </c>
      <c r="J804" s="3447" t="s">
        <v>676</v>
      </c>
      <c r="K804" s="3447"/>
      <c r="L804" s="3447" t="s">
        <v>30</v>
      </c>
      <c r="M804" s="3447"/>
      <c r="N804" s="3284"/>
      <c r="O804" s="3284"/>
      <c r="P804" s="3284"/>
      <c r="Q804" s="3284"/>
      <c r="R804" s="3794"/>
      <c r="S804" s="3254"/>
      <c r="U804" s="3160" t="s">
        <v>37</v>
      </c>
      <c r="V804" s="3253"/>
      <c r="W804" s="3798"/>
      <c r="X804" s="3254"/>
    </row>
    <row r="805" spans="1:25" ht="28.5" hidden="1">
      <c r="A805" s="3505" t="s">
        <v>132</v>
      </c>
      <c r="B805" s="3506">
        <v>45793</v>
      </c>
      <c r="C805" s="3165" t="s">
        <v>2296</v>
      </c>
      <c r="D805" s="4400" t="s">
        <v>2366</v>
      </c>
      <c r="E805" s="3761" t="s">
        <v>2367</v>
      </c>
      <c r="F805" s="3614" t="s">
        <v>1293</v>
      </c>
      <c r="G805" s="3273"/>
      <c r="H805" s="3273"/>
      <c r="I805" s="3462">
        <v>705</v>
      </c>
      <c r="J805" s="3462" t="s">
        <v>1294</v>
      </c>
      <c r="K805" s="3462"/>
      <c r="L805" s="3443" t="s">
        <v>30</v>
      </c>
      <c r="M805" s="3462"/>
      <c r="N805" s="3273"/>
      <c r="O805" s="3273"/>
      <c r="P805" s="3273"/>
      <c r="Q805" s="3273"/>
      <c r="R805" s="3273"/>
      <c r="S805" s="3273"/>
      <c r="T805" s="3273"/>
      <c r="U805" s="3273" t="s">
        <v>37</v>
      </c>
      <c r="V805" s="3273"/>
      <c r="W805" s="3636" t="s">
        <v>2368</v>
      </c>
      <c r="X805" s="3273"/>
      <c r="Y805" s="3274"/>
    </row>
    <row r="806" spans="1:25" ht="28.5" hidden="1">
      <c r="A806" s="3443" t="s">
        <v>132</v>
      </c>
      <c r="B806" s="3444">
        <v>45793</v>
      </c>
      <c r="C806" s="3165" t="s">
        <v>2296</v>
      </c>
      <c r="D806" s="4399" t="s">
        <v>2369</v>
      </c>
      <c r="E806" s="3678" t="s">
        <v>334</v>
      </c>
      <c r="F806" s="3614" t="s">
        <v>2370</v>
      </c>
      <c r="I806" s="3534">
        <v>707</v>
      </c>
      <c r="J806" s="3443" t="s">
        <v>2371</v>
      </c>
      <c r="K806" s="3443"/>
      <c r="L806" s="3443" t="s">
        <v>30</v>
      </c>
      <c r="M806" s="3443"/>
      <c r="W806" s="3507"/>
    </row>
    <row r="807" spans="1:25" ht="28.5" hidden="1">
      <c r="A807" s="3614" t="s">
        <v>25</v>
      </c>
      <c r="B807" s="3444">
        <v>45796</v>
      </c>
      <c r="C807" s="3614">
        <v>21</v>
      </c>
      <c r="D807" s="3617">
        <v>519</v>
      </c>
      <c r="E807" s="3682" t="s">
        <v>1464</v>
      </c>
      <c r="F807" s="3617" t="s">
        <v>1465</v>
      </c>
      <c r="G807" s="3802" t="s">
        <v>1199</v>
      </c>
      <c r="H807" s="3766" t="s">
        <v>1199</v>
      </c>
      <c r="I807" s="3534">
        <v>701</v>
      </c>
      <c r="J807" s="3443" t="s">
        <v>1785</v>
      </c>
      <c r="K807" s="3443"/>
      <c r="L807" s="3443" t="s">
        <v>30</v>
      </c>
      <c r="M807" s="3443"/>
      <c r="N807" s="3443"/>
      <c r="O807" s="3443"/>
      <c r="P807" s="3443"/>
      <c r="Q807" s="3443"/>
      <c r="R807" s="3443"/>
      <c r="S807" s="3443"/>
      <c r="T807" s="3443"/>
      <c r="U807" s="3443"/>
      <c r="V807" s="3443"/>
      <c r="W807" s="3443"/>
      <c r="X807" s="3443"/>
      <c r="Y807" s="3507"/>
    </row>
    <row r="808" spans="1:25" ht="28.5" hidden="1">
      <c r="A808" s="3443" t="s">
        <v>25</v>
      </c>
      <c r="B808" s="3444">
        <v>45796</v>
      </c>
      <c r="C808" s="3614">
        <v>21</v>
      </c>
      <c r="D808" s="3617"/>
      <c r="E808" s="3682" t="s">
        <v>1465</v>
      </c>
      <c r="F808" s="3617" t="s">
        <v>1464</v>
      </c>
      <c r="G808" s="3802" t="s">
        <v>1199</v>
      </c>
      <c r="H808" s="3766" t="s">
        <v>1199</v>
      </c>
      <c r="I808" s="3534">
        <v>701</v>
      </c>
      <c r="J808" s="3443" t="s">
        <v>1771</v>
      </c>
      <c r="K808" s="3443"/>
      <c r="L808" s="3443" t="s">
        <v>30</v>
      </c>
      <c r="M808" s="3443"/>
      <c r="N808" s="3443"/>
      <c r="O808" s="3443"/>
      <c r="P808" s="3443"/>
      <c r="Q808" s="3443"/>
      <c r="R808" s="3443"/>
      <c r="S808" s="3443"/>
      <c r="T808" s="3443"/>
      <c r="U808" s="3443"/>
      <c r="V808" s="3443"/>
      <c r="W808" s="3443"/>
      <c r="X808" s="3443"/>
      <c r="Y808" s="3507"/>
    </row>
    <row r="809" spans="1:25" ht="28.5" hidden="1">
      <c r="A809" s="3443" t="s">
        <v>25</v>
      </c>
      <c r="B809" s="3444">
        <v>45796</v>
      </c>
      <c r="C809" s="3614">
        <v>21</v>
      </c>
      <c r="D809" s="3614">
        <v>520</v>
      </c>
      <c r="E809" s="3678" t="s">
        <v>296</v>
      </c>
      <c r="F809" s="3614" t="s">
        <v>273</v>
      </c>
      <c r="G809" s="3802" t="s">
        <v>1206</v>
      </c>
      <c r="H809" s="3766" t="s">
        <v>1199</v>
      </c>
      <c r="I809" s="3534">
        <v>707</v>
      </c>
      <c r="J809" s="3443" t="s">
        <v>2372</v>
      </c>
      <c r="K809" s="3443"/>
      <c r="L809" s="3443" t="s">
        <v>37</v>
      </c>
      <c r="M809" s="3443"/>
      <c r="N809" s="3443"/>
      <c r="O809" s="3443"/>
      <c r="P809" s="3443"/>
      <c r="Q809" s="3443"/>
      <c r="R809" s="3443"/>
      <c r="S809" s="3443"/>
      <c r="T809" s="3443"/>
      <c r="U809" s="3443"/>
      <c r="V809" s="3443"/>
      <c r="W809" s="3443"/>
      <c r="X809" s="3443"/>
      <c r="Y809" s="3507"/>
    </row>
    <row r="810" spans="1:25" ht="28.5" hidden="1">
      <c r="A810" s="3443" t="s">
        <v>25</v>
      </c>
      <c r="B810" s="3444">
        <v>45796</v>
      </c>
      <c r="C810" s="3614">
        <v>21</v>
      </c>
      <c r="D810" s="3614">
        <v>521</v>
      </c>
      <c r="E810" s="3678" t="s">
        <v>857</v>
      </c>
      <c r="F810" s="3614" t="s">
        <v>273</v>
      </c>
      <c r="G810" s="3802" t="s">
        <v>1206</v>
      </c>
      <c r="H810" s="3802" t="s">
        <v>1206</v>
      </c>
      <c r="I810" s="3545">
        <v>707</v>
      </c>
      <c r="J810" s="3462" t="s">
        <v>245</v>
      </c>
      <c r="K810" s="3462"/>
      <c r="L810" s="3443" t="s">
        <v>37</v>
      </c>
      <c r="M810" s="3462"/>
      <c r="N810" s="3462"/>
      <c r="O810" s="3462"/>
      <c r="P810" s="3462"/>
      <c r="Q810" s="3462"/>
      <c r="R810" s="3462"/>
      <c r="S810" s="3462"/>
      <c r="T810" s="3462"/>
      <c r="U810" s="3462"/>
      <c r="V810" s="3462"/>
      <c r="W810" s="3462"/>
      <c r="X810" s="3462"/>
      <c r="Y810" s="3636" t="s">
        <v>2373</v>
      </c>
    </row>
    <row r="811" spans="1:25" ht="29.25" hidden="1" thickBot="1">
      <c r="A811" s="3447" t="s">
        <v>25</v>
      </c>
      <c r="B811" s="3448">
        <v>45796</v>
      </c>
      <c r="C811" s="3690">
        <v>21</v>
      </c>
      <c r="D811" s="3690">
        <v>522</v>
      </c>
      <c r="E811" s="3774" t="s">
        <v>1598</v>
      </c>
      <c r="F811" s="3614" t="s">
        <v>412</v>
      </c>
      <c r="G811" s="4039" t="s">
        <v>1206</v>
      </c>
      <c r="H811" s="3803" t="s">
        <v>1199</v>
      </c>
      <c r="I811" s="3447">
        <v>707</v>
      </c>
      <c r="J811" s="3447" t="s">
        <v>151</v>
      </c>
      <c r="K811" s="3447"/>
      <c r="L811" s="3443" t="s">
        <v>30</v>
      </c>
      <c r="M811" s="3447"/>
      <c r="N811" s="3447"/>
      <c r="O811" s="3447"/>
      <c r="P811" s="3447"/>
      <c r="Q811" s="3447"/>
      <c r="R811" s="3447"/>
      <c r="S811" s="3447"/>
      <c r="T811" s="3447"/>
      <c r="U811" s="3447"/>
      <c r="V811" s="3447"/>
      <c r="W811" s="3447"/>
      <c r="X811" s="3447"/>
      <c r="Y811" s="3707"/>
    </row>
    <row r="812" spans="1:25" ht="28.5" hidden="1">
      <c r="A812" s="3599" t="s">
        <v>25</v>
      </c>
      <c r="B812" s="3457">
        <v>45796</v>
      </c>
      <c r="C812" s="3827">
        <v>21</v>
      </c>
      <c r="D812" s="3758">
        <v>523</v>
      </c>
      <c r="E812" s="3758" t="s">
        <v>840</v>
      </c>
      <c r="F812" s="3758" t="s">
        <v>80</v>
      </c>
      <c r="G812" s="3805" t="s">
        <v>1206</v>
      </c>
      <c r="H812" s="3806" t="s">
        <v>1199</v>
      </c>
      <c r="I812" s="3288">
        <v>705</v>
      </c>
      <c r="J812" s="3505" t="s">
        <v>2374</v>
      </c>
      <c r="K812" s="3505"/>
      <c r="L812" s="3443" t="s">
        <v>30</v>
      </c>
      <c r="M812" s="3505"/>
      <c r="N812" s="3505"/>
      <c r="O812" s="3505"/>
      <c r="P812" s="3505"/>
      <c r="Q812" s="3505"/>
      <c r="R812" s="3505"/>
      <c r="S812" s="3505"/>
      <c r="T812" s="3505"/>
      <c r="U812" s="3505"/>
      <c r="V812" s="3505"/>
      <c r="W812" s="3505"/>
      <c r="X812" s="3505"/>
      <c r="Y812" s="3764"/>
    </row>
    <row r="813" spans="1:25" ht="28.5" hidden="1">
      <c r="A813" s="3531" t="s">
        <v>25</v>
      </c>
      <c r="B813" s="3444">
        <v>45796</v>
      </c>
      <c r="C813" s="3828">
        <v>21</v>
      </c>
      <c r="D813" s="3614">
        <v>524</v>
      </c>
      <c r="E813" s="3614" t="s">
        <v>169</v>
      </c>
      <c r="F813" s="3678" t="s">
        <v>939</v>
      </c>
      <c r="G813" s="3772" t="s">
        <v>1206</v>
      </c>
      <c r="H813" s="3766" t="s">
        <v>1764</v>
      </c>
      <c r="I813" s="3534">
        <v>705</v>
      </c>
      <c r="J813" s="3443" t="s">
        <v>1294</v>
      </c>
      <c r="K813" s="3443"/>
      <c r="L813" s="3443" t="s">
        <v>30</v>
      </c>
      <c r="M813" s="3443"/>
      <c r="N813" s="3443"/>
      <c r="O813" s="3443"/>
      <c r="P813" s="3443"/>
      <c r="Q813" s="3443"/>
      <c r="R813" s="3443"/>
      <c r="S813" s="3443"/>
      <c r="T813" s="3443"/>
      <c r="U813" s="3443"/>
      <c r="V813" s="3443"/>
      <c r="W813" s="3443"/>
      <c r="X813" s="3443"/>
      <c r="Y813" s="3507"/>
    </row>
    <row r="814" spans="1:25" ht="28.5" hidden="1">
      <c r="A814" s="3531" t="s">
        <v>67</v>
      </c>
      <c r="B814" s="3444">
        <v>45797</v>
      </c>
      <c r="C814" s="3828">
        <v>21</v>
      </c>
      <c r="D814" s="3617">
        <v>525</v>
      </c>
      <c r="E814" s="3617" t="s">
        <v>1464</v>
      </c>
      <c r="F814" s="3682" t="s">
        <v>1465</v>
      </c>
      <c r="G814" s="3802" t="s">
        <v>1206</v>
      </c>
      <c r="H814" s="3766" t="s">
        <v>1199</v>
      </c>
      <c r="I814" s="3534">
        <v>701</v>
      </c>
      <c r="J814" s="3443" t="s">
        <v>1785</v>
      </c>
      <c r="K814" s="3443"/>
      <c r="L814" s="3443" t="s">
        <v>30</v>
      </c>
      <c r="M814" s="3443"/>
      <c r="N814" s="3443"/>
      <c r="O814" s="3443"/>
      <c r="P814" s="3443"/>
      <c r="Q814" s="3443"/>
      <c r="R814" s="3443"/>
      <c r="S814" s="3443"/>
      <c r="T814" s="3443"/>
      <c r="U814" s="3443"/>
      <c r="V814" s="3443"/>
      <c r="W814" s="3443"/>
      <c r="X814" s="3443"/>
      <c r="Y814" s="3507"/>
    </row>
    <row r="815" spans="1:25" ht="28.5" hidden="1">
      <c r="A815" s="3531" t="s">
        <v>67</v>
      </c>
      <c r="B815" s="3444">
        <v>45797</v>
      </c>
      <c r="C815" s="3614">
        <v>21</v>
      </c>
      <c r="D815" s="3617"/>
      <c r="E815" s="3617" t="s">
        <v>1465</v>
      </c>
      <c r="F815" s="3832" t="s">
        <v>1464</v>
      </c>
      <c r="G815" s="3802" t="s">
        <v>1206</v>
      </c>
      <c r="H815" s="3766" t="s">
        <v>1199</v>
      </c>
      <c r="I815" s="3534">
        <v>701</v>
      </c>
      <c r="J815" s="3443" t="s">
        <v>1771</v>
      </c>
      <c r="K815" s="3443"/>
      <c r="L815" s="3443" t="s">
        <v>30</v>
      </c>
      <c r="M815" s="3443"/>
      <c r="N815" s="3443"/>
      <c r="O815" s="3443"/>
      <c r="P815" s="3443"/>
      <c r="Q815" s="3443"/>
      <c r="R815" s="3443"/>
      <c r="S815" s="3443"/>
      <c r="T815" s="3443"/>
      <c r="U815" s="3443"/>
      <c r="V815" s="3443"/>
      <c r="W815" s="3443"/>
      <c r="X815" s="3443"/>
      <c r="Y815" s="3507"/>
    </row>
    <row r="816" spans="1:25" ht="28.5" hidden="1">
      <c r="A816" s="3531" t="s">
        <v>67</v>
      </c>
      <c r="B816" s="3444">
        <v>45797</v>
      </c>
      <c r="C816" s="3828">
        <v>21</v>
      </c>
      <c r="D816" s="3787">
        <v>526</v>
      </c>
      <c r="E816" s="3807" t="s">
        <v>2375</v>
      </c>
      <c r="F816" s="3787" t="s">
        <v>497</v>
      </c>
      <c r="G816" s="3776" t="s">
        <v>1206</v>
      </c>
      <c r="H816" s="3772" t="s">
        <v>1206</v>
      </c>
      <c r="I816" s="3443">
        <v>707</v>
      </c>
      <c r="J816" s="3443" t="s">
        <v>2376</v>
      </c>
      <c r="K816" s="3443"/>
      <c r="L816" s="3443" t="s">
        <v>30</v>
      </c>
      <c r="M816" s="3443"/>
      <c r="N816" s="3443"/>
      <c r="O816" s="3531"/>
      <c r="P816" s="3443"/>
      <c r="Q816" s="3443"/>
      <c r="R816" s="3443"/>
      <c r="S816" s="3443"/>
      <c r="T816" s="3443"/>
      <c r="U816" s="3443"/>
      <c r="V816" s="3443"/>
      <c r="W816" s="3443"/>
      <c r="X816" s="3443"/>
      <c r="Y816" s="3507"/>
    </row>
    <row r="817" spans="1:25" ht="28.5" hidden="1">
      <c r="A817" s="3531" t="s">
        <v>67</v>
      </c>
      <c r="B817" s="3444">
        <v>45797</v>
      </c>
      <c r="C817" s="3828">
        <v>21</v>
      </c>
      <c r="D817" s="3615">
        <v>527</v>
      </c>
      <c r="E817" s="3615" t="s">
        <v>80</v>
      </c>
      <c r="F817" s="3945" t="s">
        <v>2377</v>
      </c>
      <c r="G817" s="3805" t="s">
        <v>1206</v>
      </c>
      <c r="H817" s="3806" t="s">
        <v>1199</v>
      </c>
      <c r="I817" s="3443">
        <v>707</v>
      </c>
      <c r="J817" s="3443" t="s">
        <v>2378</v>
      </c>
      <c r="K817" s="3443"/>
      <c r="L817" s="3443" t="s">
        <v>30</v>
      </c>
      <c r="M817" s="3443"/>
      <c r="N817" s="3443"/>
      <c r="O817" s="3443"/>
      <c r="P817" s="3462"/>
      <c r="Q817" s="3462"/>
      <c r="R817" s="3462"/>
      <c r="S817" s="3443"/>
      <c r="T817" s="3443"/>
      <c r="U817" s="3443"/>
      <c r="V817" s="3443"/>
      <c r="W817" s="3443"/>
      <c r="X817" s="3443"/>
      <c r="Y817" s="3507"/>
    </row>
    <row r="818" spans="1:25" ht="28.5" hidden="1">
      <c r="A818" s="3531" t="s">
        <v>67</v>
      </c>
      <c r="B818" s="3444">
        <v>45797</v>
      </c>
      <c r="C818" s="3614">
        <v>21</v>
      </c>
      <c r="D818" s="3614">
        <v>528</v>
      </c>
      <c r="E818" s="3614" t="s">
        <v>148</v>
      </c>
      <c r="F818" s="3614" t="s">
        <v>79</v>
      </c>
      <c r="G818" s="3801" t="s">
        <v>1206</v>
      </c>
      <c r="H818" s="3770" t="s">
        <v>2379</v>
      </c>
      <c r="I818" s="3443">
        <v>712</v>
      </c>
      <c r="J818" s="3443" t="s">
        <v>206</v>
      </c>
      <c r="K818" s="3462"/>
      <c r="L818" s="3443"/>
      <c r="M818" s="3443" t="s">
        <v>30</v>
      </c>
      <c r="N818" s="3443"/>
      <c r="O818" s="3531"/>
      <c r="P818" s="21" t="s">
        <v>231</v>
      </c>
      <c r="Q818" s="21" t="s">
        <v>232</v>
      </c>
      <c r="R818" s="21" t="s">
        <v>32</v>
      </c>
      <c r="S818" s="3534" t="s">
        <v>37</v>
      </c>
      <c r="T818" s="3443"/>
      <c r="U818" s="3443"/>
      <c r="V818" s="3443"/>
      <c r="W818" s="3443"/>
      <c r="X818" s="3443"/>
      <c r="Y818" s="3507" t="s">
        <v>2380</v>
      </c>
    </row>
    <row r="819" spans="1:25" ht="28.5" hidden="1">
      <c r="A819" s="3600" t="s">
        <v>67</v>
      </c>
      <c r="B819" s="3463">
        <v>45797</v>
      </c>
      <c r="C819" s="3728">
        <v>21</v>
      </c>
      <c r="D819" s="4006">
        <v>529</v>
      </c>
      <c r="E819" s="4006" t="s">
        <v>2381</v>
      </c>
      <c r="F819" s="4006" t="s">
        <v>2382</v>
      </c>
      <c r="G819" s="3770" t="s">
        <v>1206</v>
      </c>
      <c r="H819" s="3770" t="s">
        <v>1206</v>
      </c>
      <c r="I819" s="3462">
        <v>707</v>
      </c>
      <c r="J819" s="3462" t="s">
        <v>2383</v>
      </c>
      <c r="K819" s="3462"/>
      <c r="L819" s="3443" t="s">
        <v>30</v>
      </c>
      <c r="M819" s="3462"/>
      <c r="N819" s="3462"/>
      <c r="O819" s="3600"/>
      <c r="P819" s="3443"/>
      <c r="Q819" s="3443"/>
      <c r="R819" s="3443"/>
      <c r="S819" s="3545"/>
      <c r="T819" s="3462"/>
      <c r="U819" s="3462"/>
      <c r="V819" s="3462"/>
      <c r="W819" s="3462"/>
      <c r="X819" s="3462"/>
      <c r="Y819" s="3636"/>
    </row>
    <row r="820" spans="1:25" ht="28.5" hidden="1">
      <c r="A820" s="3600" t="s">
        <v>67</v>
      </c>
      <c r="B820" s="3463">
        <v>45797</v>
      </c>
      <c r="C820" s="3689">
        <v>21</v>
      </c>
      <c r="D820" s="4006"/>
      <c r="E820" s="4006" t="s">
        <v>1065</v>
      </c>
      <c r="F820" s="4006" t="s">
        <v>488</v>
      </c>
      <c r="G820" s="3770" t="s">
        <v>1199</v>
      </c>
      <c r="H820" s="3770" t="s">
        <v>1199</v>
      </c>
      <c r="I820" s="3462">
        <v>712</v>
      </c>
      <c r="J820" s="3462" t="s">
        <v>2154</v>
      </c>
      <c r="K820" s="3632" t="s">
        <v>174</v>
      </c>
      <c r="L820" s="3462" t="s">
        <v>30</v>
      </c>
      <c r="M820" s="3443"/>
      <c r="N820" s="3443"/>
      <c r="O820" s="3462"/>
      <c r="P820" s="4722"/>
      <c r="Q820" s="4722"/>
      <c r="R820" s="4722"/>
      <c r="S820" s="3462"/>
      <c r="T820" s="3443"/>
      <c r="U820" s="3462"/>
      <c r="V820" s="3462"/>
      <c r="W820" s="3462"/>
      <c r="X820" s="3462"/>
      <c r="Y820" s="3636"/>
    </row>
    <row r="821" spans="1:25" ht="28.5" hidden="1">
      <c r="A821" s="3477" t="s">
        <v>67</v>
      </c>
      <c r="B821" s="3478">
        <v>45797</v>
      </c>
      <c r="C821" s="3708">
        <v>21</v>
      </c>
      <c r="D821" s="3548">
        <v>530</v>
      </c>
      <c r="E821" s="3548" t="s">
        <v>267</v>
      </c>
      <c r="F821" s="3548" t="s">
        <v>2384</v>
      </c>
      <c r="G821" s="3810" t="s">
        <v>1199</v>
      </c>
      <c r="H821" s="3810" t="s">
        <v>1199</v>
      </c>
      <c r="I821" s="3503">
        <v>707</v>
      </c>
      <c r="J821" s="3503" t="s">
        <v>276</v>
      </c>
      <c r="K821" s="3503"/>
      <c r="L821" s="3443" t="s">
        <v>30</v>
      </c>
      <c r="M821" s="3503"/>
      <c r="N821" s="3503"/>
      <c r="O821" s="3503"/>
      <c r="P821" s="3503"/>
      <c r="Q821" s="3503"/>
      <c r="R821" s="3503"/>
      <c r="S821" s="3503"/>
      <c r="T821" s="3503"/>
      <c r="U821" s="3503"/>
      <c r="V821" s="3503"/>
      <c r="W821" s="3503"/>
      <c r="X821" s="3503"/>
      <c r="Y821" s="3521"/>
    </row>
    <row r="822" spans="1:25" ht="28.5" hidden="1">
      <c r="A822" s="3480" t="s">
        <v>67</v>
      </c>
      <c r="B822" s="3444">
        <v>45797</v>
      </c>
      <c r="C822" s="3614">
        <v>21</v>
      </c>
      <c r="D822" s="3614">
        <v>531</v>
      </c>
      <c r="E822" s="3614" t="s">
        <v>80</v>
      </c>
      <c r="F822" s="3614" t="s">
        <v>1838</v>
      </c>
      <c r="G822" s="3811" t="s">
        <v>1199</v>
      </c>
      <c r="H822" s="3811" t="s">
        <v>1199</v>
      </c>
      <c r="I822" s="3443">
        <v>705</v>
      </c>
      <c r="J822" s="3443" t="s">
        <v>2385</v>
      </c>
      <c r="K822" s="3511" t="s">
        <v>174</v>
      </c>
      <c r="L822" s="3443"/>
      <c r="M822" s="3443" t="s">
        <v>30</v>
      </c>
      <c r="N822" s="3443"/>
      <c r="O822" s="3443"/>
      <c r="P822" s="21" t="s">
        <v>231</v>
      </c>
      <c r="Q822" s="21" t="s">
        <v>1048</v>
      </c>
      <c r="R822" s="21" t="s">
        <v>160</v>
      </c>
      <c r="S822" s="3443" t="s">
        <v>37</v>
      </c>
      <c r="T822" s="3443" t="s">
        <v>30</v>
      </c>
      <c r="U822" s="3443"/>
      <c r="V822" s="3443"/>
      <c r="W822" s="3443"/>
      <c r="X822" s="3443"/>
      <c r="Y822" s="3522" t="s">
        <v>2386</v>
      </c>
    </row>
    <row r="823" spans="1:25" ht="28.5" hidden="1">
      <c r="A823" s="3480" t="s">
        <v>85</v>
      </c>
      <c r="B823" s="3444">
        <v>45798</v>
      </c>
      <c r="C823" s="3614">
        <v>21</v>
      </c>
      <c r="D823" s="3617">
        <v>532</v>
      </c>
      <c r="E823" s="3617" t="s">
        <v>1464</v>
      </c>
      <c r="F823" s="3617" t="s">
        <v>1465</v>
      </c>
      <c r="G823" s="3802" t="s">
        <v>1206</v>
      </c>
      <c r="H823" s="3811" t="s">
        <v>1199</v>
      </c>
      <c r="I823" s="3443">
        <v>701</v>
      </c>
      <c r="J823" s="3443" t="s">
        <v>1785</v>
      </c>
      <c r="K823" s="3443"/>
      <c r="L823" s="3443" t="s">
        <v>30</v>
      </c>
      <c r="M823" s="3443"/>
      <c r="N823" s="3443"/>
      <c r="O823" s="3443"/>
      <c r="P823" s="3443"/>
      <c r="Q823" s="3443"/>
      <c r="R823" s="3443"/>
      <c r="S823" s="3443"/>
      <c r="T823" s="3443"/>
      <c r="U823" s="3443"/>
      <c r="V823" s="3443"/>
      <c r="W823" s="3443"/>
      <c r="X823" s="3443"/>
      <c r="Y823" s="3522"/>
    </row>
    <row r="824" spans="1:25" ht="28.5" hidden="1">
      <c r="A824" s="3480" t="s">
        <v>85</v>
      </c>
      <c r="B824" s="3444">
        <v>45798</v>
      </c>
      <c r="C824" s="3689">
        <v>21</v>
      </c>
      <c r="D824" s="3617"/>
      <c r="E824" s="3617" t="s">
        <v>1465</v>
      </c>
      <c r="F824" s="3617" t="s">
        <v>1464</v>
      </c>
      <c r="G824" s="3802" t="s">
        <v>1206</v>
      </c>
      <c r="H824" s="3811" t="s">
        <v>1199</v>
      </c>
      <c r="I824" s="3443">
        <v>701</v>
      </c>
      <c r="J824" s="3443" t="s">
        <v>1771</v>
      </c>
      <c r="K824" s="3443"/>
      <c r="L824" s="3443" t="s">
        <v>37</v>
      </c>
      <c r="M824" s="3443"/>
      <c r="N824" s="3443"/>
      <c r="O824" s="3443"/>
      <c r="P824" s="4722"/>
      <c r="Q824" s="3443"/>
      <c r="R824" s="4722"/>
      <c r="S824" s="3443"/>
      <c r="T824" s="3443"/>
      <c r="U824" s="3443"/>
      <c r="V824" s="3443"/>
      <c r="W824" s="3443"/>
      <c r="X824" s="3443"/>
      <c r="Y824" s="3522"/>
    </row>
    <row r="825" spans="1:25" ht="29.25" hidden="1" thickBot="1">
      <c r="A825" s="3480" t="s">
        <v>85</v>
      </c>
      <c r="B825" s="3444">
        <v>45798</v>
      </c>
      <c r="C825" s="3690">
        <v>21</v>
      </c>
      <c r="D825" s="3787">
        <v>533</v>
      </c>
      <c r="E825" s="3787" t="s">
        <v>491</v>
      </c>
      <c r="F825" s="3787" t="s">
        <v>2387</v>
      </c>
      <c r="G825" s="3802" t="s">
        <v>1206</v>
      </c>
      <c r="H825" s="3772" t="s">
        <v>1199</v>
      </c>
      <c r="I825" s="3443">
        <v>707</v>
      </c>
      <c r="J825" s="3443" t="s">
        <v>2388</v>
      </c>
      <c r="K825" s="3443"/>
      <c r="L825" s="3443" t="s">
        <v>37</v>
      </c>
      <c r="M825" s="3443"/>
      <c r="N825" s="3443"/>
      <c r="O825" s="3443"/>
      <c r="P825" s="3443"/>
      <c r="Q825" s="3443"/>
      <c r="R825" s="3443"/>
      <c r="S825" s="3443"/>
      <c r="T825" s="3443"/>
      <c r="U825" s="3443"/>
      <c r="V825" s="3443"/>
      <c r="W825" s="3443"/>
      <c r="X825" s="3443"/>
      <c r="Y825" s="3522"/>
    </row>
    <row r="826" spans="1:25" ht="29.25" hidden="1" thickBot="1">
      <c r="A826" s="3480" t="s">
        <v>85</v>
      </c>
      <c r="B826" s="3444">
        <v>45798</v>
      </c>
      <c r="C826" s="3690">
        <v>21</v>
      </c>
      <c r="D826" s="3787"/>
      <c r="E826" s="3787" t="s">
        <v>2389</v>
      </c>
      <c r="F826" s="3787" t="s">
        <v>169</v>
      </c>
      <c r="G826" s="3766" t="s">
        <v>2390</v>
      </c>
      <c r="H826" s="3811"/>
      <c r="I826" s="3443">
        <v>712</v>
      </c>
      <c r="J826" s="3443" t="s">
        <v>2391</v>
      </c>
      <c r="K826" s="3443"/>
      <c r="L826" s="3443"/>
      <c r="M826" s="3443" t="s">
        <v>30</v>
      </c>
      <c r="N826" s="3443"/>
      <c r="O826" s="3443"/>
      <c r="P826" s="21" t="s">
        <v>231</v>
      </c>
      <c r="Q826" s="21" t="s">
        <v>232</v>
      </c>
      <c r="R826" s="21" t="s">
        <v>32</v>
      </c>
      <c r="S826" s="3443"/>
      <c r="T826" s="3443"/>
      <c r="U826" s="3443"/>
      <c r="V826" s="3443"/>
      <c r="W826" s="3443"/>
      <c r="X826" s="3443"/>
      <c r="Y826" s="3522" t="s">
        <v>2392</v>
      </c>
    </row>
    <row r="827" spans="1:25" ht="29.25" hidden="1" thickBot="1">
      <c r="A827" s="3480" t="s">
        <v>85</v>
      </c>
      <c r="B827" s="3444">
        <v>45798</v>
      </c>
      <c r="C827" s="3690">
        <v>2</v>
      </c>
      <c r="D827" s="3536"/>
      <c r="E827" s="3536" t="s">
        <v>442</v>
      </c>
      <c r="F827" s="3536" t="s">
        <v>488</v>
      </c>
      <c r="G827" s="3811" t="s">
        <v>1206</v>
      </c>
      <c r="H827" s="3811" t="s">
        <v>1199</v>
      </c>
      <c r="I827" s="3443">
        <v>705</v>
      </c>
      <c r="J827" s="3462" t="s">
        <v>276</v>
      </c>
      <c r="K827" s="3462"/>
      <c r="L827" s="3443" t="s">
        <v>37</v>
      </c>
      <c r="M827" s="3443"/>
      <c r="N827" s="3443"/>
      <c r="O827" s="3443"/>
      <c r="P827" s="3443"/>
      <c r="Q827" s="3443"/>
      <c r="R827" s="3443"/>
      <c r="S827" s="3443"/>
      <c r="T827" s="3443"/>
      <c r="U827" s="3443"/>
      <c r="V827" s="3443"/>
      <c r="W827" s="3443"/>
      <c r="X827" s="3443"/>
      <c r="Y827" s="3522"/>
    </row>
    <row r="828" spans="1:25" ht="86.25" hidden="1" thickBot="1">
      <c r="A828" s="3500" t="s">
        <v>85</v>
      </c>
      <c r="B828" s="3463">
        <v>45798</v>
      </c>
      <c r="C828" s="3690">
        <v>21</v>
      </c>
      <c r="D828" s="3720">
        <v>534</v>
      </c>
      <c r="E828" s="3720" t="s">
        <v>148</v>
      </c>
      <c r="F828" s="3720" t="s">
        <v>79</v>
      </c>
      <c r="G828" s="3808" t="s">
        <v>1206</v>
      </c>
      <c r="H828" s="3808" t="s">
        <v>1199</v>
      </c>
      <c r="I828" s="3462">
        <v>707</v>
      </c>
      <c r="J828" s="3462" t="s">
        <v>206</v>
      </c>
      <c r="K828" s="3462"/>
      <c r="L828" s="3462"/>
      <c r="M828" s="3462"/>
      <c r="N828" s="3462"/>
      <c r="O828" s="3462" t="s">
        <v>37</v>
      </c>
      <c r="P828" s="3462"/>
      <c r="Q828" s="3462"/>
      <c r="R828" s="3462"/>
      <c r="S828" s="3462"/>
      <c r="T828" s="3462"/>
      <c r="U828" s="3462"/>
      <c r="V828" s="3462"/>
      <c r="W828" s="3462"/>
      <c r="X828" s="3462"/>
      <c r="Y828" s="3544" t="s">
        <v>2393</v>
      </c>
    </row>
    <row r="829" spans="1:25" ht="28.5" hidden="1">
      <c r="A829" s="3477" t="s">
        <v>85</v>
      </c>
      <c r="B829" s="3478">
        <v>45798</v>
      </c>
      <c r="C829" s="3708">
        <v>21</v>
      </c>
      <c r="D829" s="3548">
        <v>535</v>
      </c>
      <c r="E829" s="3548" t="s">
        <v>80</v>
      </c>
      <c r="F829" s="3548" t="s">
        <v>1838</v>
      </c>
      <c r="G829" s="3954" t="s">
        <v>1206</v>
      </c>
      <c r="H829" s="3954" t="s">
        <v>1199</v>
      </c>
      <c r="I829" s="3503">
        <v>705</v>
      </c>
      <c r="J829" s="3503" t="s">
        <v>2385</v>
      </c>
      <c r="K829" s="3694" t="s">
        <v>174</v>
      </c>
      <c r="L829" s="3503" t="s">
        <v>37</v>
      </c>
      <c r="M829" s="3503"/>
      <c r="N829" s="3503"/>
      <c r="O829" s="3503"/>
      <c r="P829" s="3503"/>
      <c r="Q829" s="3503"/>
      <c r="R829" s="3503"/>
      <c r="S829" s="3503"/>
      <c r="T829" s="3503"/>
      <c r="U829" s="3503" t="s">
        <v>30</v>
      </c>
      <c r="V829" s="3503"/>
      <c r="W829" s="3503"/>
      <c r="X829" s="3503"/>
      <c r="Y829" s="3521"/>
    </row>
    <row r="830" spans="1:25" ht="28.5" hidden="1">
      <c r="A830" s="3480" t="s">
        <v>85</v>
      </c>
      <c r="B830" s="3444">
        <v>45798</v>
      </c>
      <c r="C830" s="3614">
        <v>21</v>
      </c>
      <c r="D830" s="3536"/>
      <c r="E830" s="3536" t="s">
        <v>169</v>
      </c>
      <c r="F830" s="3536" t="s">
        <v>2394</v>
      </c>
      <c r="G830" s="3766" t="s">
        <v>1764</v>
      </c>
      <c r="H830" s="3766" t="s">
        <v>1764</v>
      </c>
      <c r="I830" s="3443">
        <v>705</v>
      </c>
      <c r="J830" s="3443" t="s">
        <v>276</v>
      </c>
      <c r="K830" s="3443"/>
      <c r="L830" s="3443" t="s">
        <v>37</v>
      </c>
      <c r="M830" s="3443"/>
      <c r="N830" s="3443"/>
      <c r="O830" s="3443"/>
      <c r="P830" s="3443"/>
      <c r="Q830" s="3443"/>
      <c r="R830" s="3443"/>
      <c r="S830" s="3443"/>
      <c r="T830" s="3443"/>
      <c r="U830" s="3443"/>
      <c r="V830" s="3443" t="s">
        <v>30</v>
      </c>
      <c r="W830" s="3443"/>
      <c r="X830" s="3443"/>
      <c r="Y830" s="3522"/>
    </row>
    <row r="831" spans="1:25" ht="28.5" hidden="1">
      <c r="A831" s="3480" t="s">
        <v>105</v>
      </c>
      <c r="B831" s="3444">
        <v>45799</v>
      </c>
      <c r="C831" s="3614">
        <v>21</v>
      </c>
      <c r="D831" s="3615"/>
      <c r="E831" s="3615" t="s">
        <v>2395</v>
      </c>
      <c r="F831" s="3615" t="s">
        <v>1830</v>
      </c>
      <c r="G831" s="3811" t="s">
        <v>1206</v>
      </c>
      <c r="H831" s="3811" t="s">
        <v>1206</v>
      </c>
      <c r="I831" s="3443">
        <v>707</v>
      </c>
      <c r="J831" s="3443" t="s">
        <v>2378</v>
      </c>
      <c r="K831" s="3443"/>
      <c r="L831" s="3443" t="s">
        <v>37</v>
      </c>
      <c r="M831" s="3443"/>
      <c r="N831" s="3443"/>
      <c r="O831" s="3443"/>
      <c r="P831" s="3443"/>
      <c r="Q831" s="3443"/>
      <c r="R831" s="3443"/>
      <c r="S831" s="3443"/>
      <c r="T831" s="3443"/>
      <c r="U831" s="3443"/>
      <c r="V831" s="3443"/>
      <c r="W831" s="3443"/>
      <c r="X831" s="3443"/>
      <c r="Y831" s="3522"/>
    </row>
    <row r="832" spans="1:25" ht="28.5" hidden="1">
      <c r="A832" s="3480" t="s">
        <v>105</v>
      </c>
      <c r="B832" s="3444">
        <v>45799</v>
      </c>
      <c r="C832" s="3614">
        <v>21</v>
      </c>
      <c r="D832" s="3614">
        <v>536</v>
      </c>
      <c r="E832" s="3614" t="s">
        <v>1239</v>
      </c>
      <c r="F832" s="3614" t="s">
        <v>537</v>
      </c>
      <c r="G832" s="3811" t="s">
        <v>1206</v>
      </c>
      <c r="H832" s="3811" t="s">
        <v>1206</v>
      </c>
      <c r="I832" s="3443">
        <v>705</v>
      </c>
      <c r="J832" s="3443" t="s">
        <v>2026</v>
      </c>
      <c r="K832" s="3511" t="s">
        <v>174</v>
      </c>
      <c r="L832" s="3443" t="s">
        <v>37</v>
      </c>
      <c r="M832" s="3443"/>
      <c r="N832" s="3443"/>
      <c r="O832" s="3443"/>
      <c r="P832" s="3443"/>
      <c r="Q832" s="3443"/>
      <c r="R832" s="3443"/>
      <c r="S832" s="3443"/>
      <c r="T832" s="3443"/>
      <c r="U832" s="3443"/>
      <c r="V832" s="3443"/>
      <c r="W832" s="3443"/>
      <c r="X832" s="3443"/>
      <c r="Y832" s="3522"/>
    </row>
    <row r="833" spans="1:25" ht="71.099999999999994" hidden="1" customHeight="1">
      <c r="A833" s="3480" t="s">
        <v>105</v>
      </c>
      <c r="B833" s="3444">
        <v>45799</v>
      </c>
      <c r="C833" s="3614">
        <v>21</v>
      </c>
      <c r="D833" s="3614">
        <v>537</v>
      </c>
      <c r="E833" s="3614" t="s">
        <v>169</v>
      </c>
      <c r="F833" s="3614" t="s">
        <v>2396</v>
      </c>
      <c r="G833" s="3812" t="s">
        <v>1206</v>
      </c>
      <c r="H833" s="3812" t="s">
        <v>1206</v>
      </c>
      <c r="I833" s="3443">
        <v>705</v>
      </c>
      <c r="J833" s="3443" t="s">
        <v>2026</v>
      </c>
      <c r="K833" s="3511" t="s">
        <v>174</v>
      </c>
      <c r="L833" s="3443" t="s">
        <v>37</v>
      </c>
      <c r="M833" s="3462"/>
      <c r="N833" s="3462"/>
      <c r="O833" s="3443"/>
      <c r="P833" s="3443"/>
      <c r="Q833" s="3443"/>
      <c r="R833" s="3443"/>
      <c r="S833" s="3443"/>
      <c r="T833" s="3443"/>
      <c r="U833" s="3443"/>
      <c r="V833" s="3443"/>
      <c r="W833" s="3443"/>
      <c r="X833" s="3443"/>
      <c r="Y833" s="3522"/>
    </row>
    <row r="834" spans="1:25" ht="28.5" hidden="1">
      <c r="A834" s="3480" t="s">
        <v>105</v>
      </c>
      <c r="B834" s="3444">
        <v>45799</v>
      </c>
      <c r="C834" s="3614">
        <v>21</v>
      </c>
      <c r="D834" s="3813">
        <v>538</v>
      </c>
      <c r="E834" s="3813" t="s">
        <v>2397</v>
      </c>
      <c r="F834" s="3813" t="s">
        <v>914</v>
      </c>
      <c r="G834" s="3812" t="s">
        <v>1206</v>
      </c>
      <c r="H834" s="3812" t="s">
        <v>1206</v>
      </c>
      <c r="I834" s="3443">
        <v>712</v>
      </c>
      <c r="J834" s="3443" t="s">
        <v>1141</v>
      </c>
      <c r="K834" s="3511" t="s">
        <v>84</v>
      </c>
      <c r="L834" s="3443" t="s">
        <v>37</v>
      </c>
      <c r="M834" s="3443"/>
      <c r="N834" s="3443"/>
      <c r="O834" s="3443"/>
      <c r="P834" s="3443"/>
      <c r="Q834" s="3443"/>
      <c r="R834" s="3443"/>
      <c r="S834" s="3443"/>
      <c r="T834" s="3443"/>
      <c r="U834" s="3443"/>
      <c r="V834" s="3443"/>
      <c r="W834" s="3443"/>
      <c r="X834" s="3443"/>
      <c r="Y834" s="3522"/>
    </row>
    <row r="835" spans="1:25" ht="28.5" hidden="1">
      <c r="A835" s="3480" t="s">
        <v>105</v>
      </c>
      <c r="B835" s="3444">
        <v>45799</v>
      </c>
      <c r="C835" s="3614">
        <v>21</v>
      </c>
      <c r="D835" s="3618">
        <v>539</v>
      </c>
      <c r="E835" s="3618" t="s">
        <v>79</v>
      </c>
      <c r="F835" s="3618" t="s">
        <v>2398</v>
      </c>
      <c r="G835" s="3772" t="s">
        <v>1199</v>
      </c>
      <c r="H835" s="3772" t="s">
        <v>1199</v>
      </c>
      <c r="I835" s="3443">
        <v>712</v>
      </c>
      <c r="J835" s="3443" t="s">
        <v>2399</v>
      </c>
      <c r="K835" s="3443"/>
      <c r="L835" s="3443"/>
      <c r="M835" s="3462" t="s">
        <v>37</v>
      </c>
      <c r="N835" s="3462"/>
      <c r="O835" s="3443"/>
      <c r="P835" s="21" t="s">
        <v>122</v>
      </c>
      <c r="Q835" s="21" t="s">
        <v>110</v>
      </c>
      <c r="R835" s="21" t="s">
        <v>32</v>
      </c>
      <c r="S835" s="3443"/>
      <c r="T835" s="3443"/>
      <c r="U835" s="3443"/>
      <c r="V835" s="3443"/>
      <c r="W835" s="3443"/>
      <c r="X835" s="3443"/>
      <c r="Y835" s="3522" t="s">
        <v>2400</v>
      </c>
    </row>
    <row r="836" spans="1:25" ht="57" hidden="1">
      <c r="A836" s="3480" t="s">
        <v>105</v>
      </c>
      <c r="B836" s="3444">
        <v>45799</v>
      </c>
      <c r="C836" s="3614">
        <v>21</v>
      </c>
      <c r="D836" s="3618"/>
      <c r="E836" s="3618" t="s">
        <v>1698</v>
      </c>
      <c r="F836" s="3618" t="s">
        <v>314</v>
      </c>
      <c r="G836" s="3814" t="s">
        <v>1046</v>
      </c>
      <c r="H836" s="3814" t="s">
        <v>1764</v>
      </c>
      <c r="I836" s="3443">
        <v>712</v>
      </c>
      <c r="J836" s="3443" t="s">
        <v>2401</v>
      </c>
      <c r="K836" s="3443"/>
      <c r="L836" s="3443" t="s">
        <v>37</v>
      </c>
      <c r="M836" s="3443"/>
      <c r="N836" s="3443"/>
      <c r="O836" s="3443"/>
      <c r="P836" s="360" t="s">
        <v>109</v>
      </c>
      <c r="Q836" s="360" t="s">
        <v>1109</v>
      </c>
      <c r="R836" s="360" t="s">
        <v>32</v>
      </c>
      <c r="S836" s="3443" t="s">
        <v>37</v>
      </c>
      <c r="T836" s="3443"/>
      <c r="U836" s="3443"/>
      <c r="V836" s="3443"/>
      <c r="W836" s="3443"/>
      <c r="X836" s="3443"/>
      <c r="Y836" s="3522" t="s">
        <v>2402</v>
      </c>
    </row>
    <row r="837" spans="1:25" ht="57" hidden="1">
      <c r="A837" s="3480" t="s">
        <v>105</v>
      </c>
      <c r="B837" s="3611">
        <v>45799</v>
      </c>
      <c r="C837" s="3614">
        <v>21</v>
      </c>
      <c r="D837" s="3623">
        <v>540</v>
      </c>
      <c r="E837" s="3623" t="s">
        <v>2403</v>
      </c>
      <c r="F837" s="3623" t="s">
        <v>1074</v>
      </c>
      <c r="G837" s="3811" t="s">
        <v>1199</v>
      </c>
      <c r="H837" s="3811" t="s">
        <v>1199</v>
      </c>
      <c r="I837" s="3443">
        <v>712</v>
      </c>
      <c r="J837" s="3443" t="s">
        <v>2404</v>
      </c>
      <c r="K837" s="3443"/>
      <c r="L837" s="3443"/>
      <c r="M837" s="3443"/>
      <c r="N837" s="3443" t="s">
        <v>37</v>
      </c>
      <c r="O837" s="3443" t="s">
        <v>37</v>
      </c>
      <c r="P837" s="3443"/>
      <c r="Q837" s="3443"/>
      <c r="R837" s="3443"/>
      <c r="S837" s="3443"/>
      <c r="T837" s="3443"/>
      <c r="U837" s="3443"/>
      <c r="V837" s="3443"/>
      <c r="W837" s="3443"/>
      <c r="X837" s="3443"/>
      <c r="Y837" s="3522" t="s">
        <v>2405</v>
      </c>
    </row>
    <row r="838" spans="1:25" ht="29.25" hidden="1" thickBot="1">
      <c r="A838" s="3494" t="s">
        <v>105</v>
      </c>
      <c r="B838" s="3448">
        <v>45799</v>
      </c>
      <c r="C838" s="3690">
        <v>21</v>
      </c>
      <c r="D838" s="3631">
        <v>541</v>
      </c>
      <c r="E838" s="3631" t="s">
        <v>1598</v>
      </c>
      <c r="F838" s="3631" t="s">
        <v>2406</v>
      </c>
      <c r="G838" s="3885" t="s">
        <v>1199</v>
      </c>
      <c r="H838" s="3885" t="s">
        <v>1199</v>
      </c>
      <c r="I838" s="3447">
        <v>702</v>
      </c>
      <c r="J838" s="3447">
        <v>60072</v>
      </c>
      <c r="K838" s="3447"/>
      <c r="L838" s="3447" t="s">
        <v>37</v>
      </c>
      <c r="M838" s="3447"/>
      <c r="N838" s="3447"/>
      <c r="O838" s="3447"/>
      <c r="P838" s="3447"/>
      <c r="Q838" s="3447"/>
      <c r="R838" s="3447"/>
      <c r="S838" s="3447"/>
      <c r="T838" s="3447"/>
      <c r="U838" s="3447"/>
      <c r="V838" s="3447"/>
      <c r="W838" s="3447"/>
      <c r="X838" s="3447"/>
      <c r="Y838" s="3547"/>
    </row>
    <row r="839" spans="1:25" ht="28.5" hidden="1">
      <c r="A839" s="3599" t="s">
        <v>105</v>
      </c>
      <c r="B839" s="3457">
        <v>45799</v>
      </c>
      <c r="C839" s="3685">
        <v>21</v>
      </c>
      <c r="D839" s="3825">
        <v>542</v>
      </c>
      <c r="E839" s="3825" t="s">
        <v>80</v>
      </c>
      <c r="F839" s="4650" t="s">
        <v>2407</v>
      </c>
      <c r="G839" s="3826" t="s">
        <v>1199</v>
      </c>
      <c r="H839" s="3826" t="s">
        <v>1199</v>
      </c>
      <c r="I839" s="3443">
        <v>705</v>
      </c>
      <c r="J839" s="3456" t="s">
        <v>2408</v>
      </c>
      <c r="K839" s="3456"/>
      <c r="L839" s="3456" t="s">
        <v>37</v>
      </c>
      <c r="M839" s="3456"/>
      <c r="N839" s="3456"/>
      <c r="O839" s="3456"/>
      <c r="P839" s="3456"/>
      <c r="Q839" s="3456"/>
      <c r="R839" s="3456"/>
      <c r="S839" s="3456"/>
      <c r="T839" s="3456"/>
      <c r="U839" s="3456"/>
      <c r="V839" s="3456"/>
      <c r="W839" s="3456"/>
      <c r="X839" s="3456"/>
      <c r="Y839" s="3609"/>
    </row>
    <row r="840" spans="1:25" ht="57" hidden="1">
      <c r="A840" s="3599" t="s">
        <v>105</v>
      </c>
      <c r="B840" s="3457">
        <v>45799</v>
      </c>
      <c r="C840" s="3827">
        <v>21</v>
      </c>
      <c r="D840" s="3456">
        <v>543</v>
      </c>
      <c r="E840" s="3456" t="s">
        <v>296</v>
      </c>
      <c r="F840" s="3599" t="s">
        <v>80</v>
      </c>
      <c r="G840" s="3772" t="s">
        <v>1199</v>
      </c>
      <c r="H840" s="3772" t="s">
        <v>1199</v>
      </c>
      <c r="I840" s="3443">
        <v>705</v>
      </c>
      <c r="J840" s="3456" t="s">
        <v>2409</v>
      </c>
      <c r="K840" s="3456"/>
      <c r="L840" s="3456" t="s">
        <v>37</v>
      </c>
      <c r="M840" s="3456"/>
      <c r="N840" s="3456"/>
      <c r="O840" s="3456"/>
      <c r="P840" s="3456"/>
      <c r="Q840" s="3456"/>
      <c r="R840" s="3456"/>
      <c r="S840" s="3456"/>
      <c r="T840" s="3456"/>
      <c r="U840" s="3456"/>
      <c r="V840" s="3456"/>
      <c r="W840" s="3456"/>
      <c r="X840" s="3456"/>
      <c r="Y840" s="3512" t="s">
        <v>2410</v>
      </c>
    </row>
    <row r="841" spans="1:25" ht="28.5" hidden="1">
      <c r="A841" s="3599" t="s">
        <v>132</v>
      </c>
      <c r="B841" s="3457">
        <v>45800</v>
      </c>
      <c r="C841" s="3827">
        <v>21</v>
      </c>
      <c r="D841" s="3816"/>
      <c r="E841" s="3816" t="s">
        <v>517</v>
      </c>
      <c r="F841" s="3816" t="s">
        <v>2411</v>
      </c>
      <c r="G841" s="3818" t="s">
        <v>1206</v>
      </c>
      <c r="H841" s="3818" t="s">
        <v>1206</v>
      </c>
      <c r="I841" s="3456">
        <v>712</v>
      </c>
      <c r="J841" s="3456" t="s">
        <v>1141</v>
      </c>
      <c r="K841" s="3673" t="s">
        <v>84</v>
      </c>
      <c r="L841" s="3456" t="s">
        <v>30</v>
      </c>
      <c r="M841" s="3505"/>
      <c r="N841" s="3505"/>
      <c r="O841" s="3456"/>
      <c r="P841" s="3443"/>
      <c r="Q841" s="3443"/>
      <c r="R841" s="3443"/>
      <c r="S841" s="3456"/>
      <c r="T841" s="3456"/>
      <c r="U841" s="3456"/>
      <c r="V841" s="3456"/>
      <c r="W841" s="3456"/>
      <c r="X841" s="3456"/>
      <c r="Y841" s="3512"/>
    </row>
    <row r="842" spans="1:25" ht="28.5" hidden="1">
      <c r="A842" s="3599" t="s">
        <v>132</v>
      </c>
      <c r="B842" s="3457">
        <v>45800</v>
      </c>
      <c r="C842" s="3827">
        <v>21</v>
      </c>
      <c r="D842" s="3819"/>
      <c r="E842" s="3819" t="s">
        <v>2412</v>
      </c>
      <c r="F842" s="3819" t="s">
        <v>2413</v>
      </c>
      <c r="G842" s="3821"/>
      <c r="H842" s="3821"/>
      <c r="I842" s="3443">
        <v>712</v>
      </c>
      <c r="J842" s="3456" t="s">
        <v>2401</v>
      </c>
      <c r="K842" s="3673" t="s">
        <v>84</v>
      </c>
      <c r="L842" s="3456" t="s">
        <v>37</v>
      </c>
      <c r="M842" s="3462"/>
      <c r="N842" s="3462"/>
      <c r="O842" s="3456"/>
      <c r="P842" s="3456"/>
      <c r="Q842" s="3456"/>
      <c r="R842" s="3456"/>
      <c r="S842" s="3456"/>
      <c r="T842" s="3456"/>
      <c r="U842" s="3456"/>
      <c r="V842" s="3456"/>
      <c r="W842" s="3456"/>
      <c r="X842" s="3456"/>
      <c r="Y842" s="3512" t="s">
        <v>2414</v>
      </c>
    </row>
    <row r="843" spans="1:25" ht="28.5" hidden="1">
      <c r="A843" s="3599" t="s">
        <v>132</v>
      </c>
      <c r="B843" s="3457">
        <v>45800</v>
      </c>
      <c r="C843" s="3827">
        <v>21</v>
      </c>
      <c r="D843" s="3819">
        <v>544</v>
      </c>
      <c r="E843" s="3685" t="s">
        <v>306</v>
      </c>
      <c r="F843" s="3685" t="s">
        <v>80</v>
      </c>
      <c r="G843" s="3443" t="s">
        <v>1686</v>
      </c>
      <c r="H843" s="3443" t="s">
        <v>2415</v>
      </c>
      <c r="I843" s="3456"/>
      <c r="J843" s="3456" t="s">
        <v>2415</v>
      </c>
      <c r="K843" s="3673"/>
      <c r="L843" s="3456"/>
      <c r="M843" s="3462" t="s">
        <v>37</v>
      </c>
      <c r="N843" s="3462"/>
      <c r="O843" s="3456"/>
      <c r="P843" s="21" t="s">
        <v>0</v>
      </c>
      <c r="Q843" s="21" t="s">
        <v>187</v>
      </c>
      <c r="R843" s="21" t="s">
        <v>160</v>
      </c>
      <c r="S843" s="3456"/>
      <c r="T843" s="3456"/>
      <c r="U843" s="3456"/>
      <c r="V843" s="3456"/>
      <c r="W843" s="3456" t="s">
        <v>2416</v>
      </c>
      <c r="X843" s="3456"/>
      <c r="Y843" s="3512"/>
    </row>
    <row r="844" spans="1:25" ht="57.75" hidden="1" thickBot="1">
      <c r="A844" s="3599" t="s">
        <v>132</v>
      </c>
      <c r="B844" s="3457">
        <v>45800</v>
      </c>
      <c r="C844" s="3829">
        <v>21</v>
      </c>
      <c r="D844" s="3628">
        <v>545</v>
      </c>
      <c r="E844" s="3628" t="s">
        <v>204</v>
      </c>
      <c r="F844" s="3628" t="s">
        <v>2417</v>
      </c>
      <c r="G844" s="3775" t="s">
        <v>1206</v>
      </c>
      <c r="H844" s="3775"/>
      <c r="I844" s="3456">
        <v>712</v>
      </c>
      <c r="J844" s="3456" t="s">
        <v>2404</v>
      </c>
      <c r="K844" s="3822" t="s">
        <v>2418</v>
      </c>
      <c r="L844" s="3443"/>
      <c r="M844" s="3443"/>
      <c r="N844" s="3443" t="s">
        <v>37</v>
      </c>
      <c r="O844" s="3443"/>
      <c r="P844" s="3456"/>
      <c r="Q844" s="3456"/>
      <c r="R844" s="3456"/>
      <c r="S844" s="3456"/>
      <c r="T844" s="3462"/>
      <c r="U844" s="3456"/>
      <c r="V844" s="3456"/>
      <c r="W844" s="3456"/>
      <c r="X844" s="3456"/>
      <c r="Y844" s="3512" t="s">
        <v>2419</v>
      </c>
    </row>
    <row r="845" spans="1:25" ht="28.5" hidden="1">
      <c r="A845" s="3599" t="s">
        <v>132</v>
      </c>
      <c r="B845" s="3457">
        <v>45800</v>
      </c>
      <c r="C845" s="3827">
        <v>21</v>
      </c>
      <c r="D845" s="3823"/>
      <c r="E845" s="3823" t="s">
        <v>436</v>
      </c>
      <c r="F845" s="3823" t="s">
        <v>2420</v>
      </c>
      <c r="G845" s="3811" t="s">
        <v>1199</v>
      </c>
      <c r="H845" s="3811" t="s">
        <v>1199</v>
      </c>
      <c r="I845" s="3456">
        <v>702</v>
      </c>
      <c r="J845" s="3456" t="s">
        <v>2421</v>
      </c>
      <c r="K845" s="3456"/>
      <c r="L845" s="3443"/>
      <c r="M845" s="3443" t="s">
        <v>37</v>
      </c>
      <c r="N845" s="3443"/>
      <c r="O845" s="3443"/>
      <c r="P845" s="119" t="s">
        <v>0</v>
      </c>
      <c r="Q845" s="119" t="s">
        <v>126</v>
      </c>
      <c r="R845" s="119" t="s">
        <v>2422</v>
      </c>
      <c r="S845" s="3456" t="s">
        <v>37</v>
      </c>
      <c r="T845" s="3456"/>
      <c r="U845" s="3456"/>
      <c r="V845" s="3456"/>
      <c r="W845" s="3456"/>
      <c r="X845" s="3456"/>
      <c r="Y845" s="3512" t="s">
        <v>2423</v>
      </c>
    </row>
    <row r="846" spans="1:25" ht="28.5" hidden="1">
      <c r="A846" s="3599" t="s">
        <v>132</v>
      </c>
      <c r="B846" s="3457">
        <v>45800</v>
      </c>
      <c r="C846" s="3827">
        <v>21</v>
      </c>
      <c r="D846" s="3823"/>
      <c r="E846" s="3823" t="s">
        <v>2424</v>
      </c>
      <c r="F846" s="3823" t="s">
        <v>2425</v>
      </c>
      <c r="G846" s="3556"/>
      <c r="H846" s="3556"/>
      <c r="I846" s="3456">
        <v>702</v>
      </c>
      <c r="J846" s="3456">
        <v>60072</v>
      </c>
      <c r="K846" s="3456"/>
      <c r="L846" s="3456"/>
      <c r="M846" s="3456"/>
      <c r="N846" s="3456" t="s">
        <v>37</v>
      </c>
      <c r="O846" s="3456"/>
      <c r="P846" s="3456"/>
      <c r="Q846" s="3456"/>
      <c r="R846" s="3456"/>
      <c r="S846" s="3456"/>
      <c r="T846" s="3456"/>
      <c r="U846" s="3456"/>
      <c r="V846" s="3456"/>
      <c r="W846" s="3456"/>
      <c r="X846" s="3456"/>
      <c r="Y846" s="3512"/>
    </row>
    <row r="847" spans="1:25" ht="28.5" hidden="1">
      <c r="A847" s="3599" t="s">
        <v>132</v>
      </c>
      <c r="B847" s="3457">
        <v>45800</v>
      </c>
      <c r="C847" s="3827">
        <v>21</v>
      </c>
      <c r="D847" s="3825"/>
      <c r="E847" s="3825" t="s">
        <v>2426</v>
      </c>
      <c r="F847" s="3825" t="s">
        <v>1830</v>
      </c>
      <c r="G847" s="3811" t="s">
        <v>1199</v>
      </c>
      <c r="H847" s="3811" t="s">
        <v>1199</v>
      </c>
      <c r="I847" s="3456">
        <v>705</v>
      </c>
      <c r="J847" s="3456" t="s">
        <v>2408</v>
      </c>
      <c r="K847" s="3456"/>
      <c r="L847" s="3456" t="s">
        <v>30</v>
      </c>
      <c r="M847" s="3456"/>
      <c r="N847" s="3456"/>
      <c r="O847" s="3456"/>
      <c r="P847" s="3456"/>
      <c r="Q847" s="3456"/>
      <c r="R847" s="3456"/>
      <c r="S847" s="3456"/>
      <c r="T847" s="3456"/>
      <c r="U847" s="3456"/>
      <c r="V847" s="3456"/>
      <c r="W847" s="3456"/>
      <c r="X847" s="3456"/>
      <c r="Y847" s="3512"/>
    </row>
    <row r="848" spans="1:25" ht="28.5" hidden="1">
      <c r="A848" s="3443" t="s">
        <v>132</v>
      </c>
      <c r="B848" s="3444">
        <v>45800</v>
      </c>
      <c r="C848" s="3614">
        <v>21</v>
      </c>
      <c r="D848" s="3614">
        <v>546</v>
      </c>
      <c r="E848" s="3614" t="s">
        <v>296</v>
      </c>
      <c r="F848" s="3614" t="s">
        <v>1217</v>
      </c>
      <c r="G848" s="3808" t="s">
        <v>1199</v>
      </c>
      <c r="H848" s="3808" t="s">
        <v>1199</v>
      </c>
      <c r="I848" s="3443">
        <v>707</v>
      </c>
      <c r="J848" s="3443" t="s">
        <v>1808</v>
      </c>
      <c r="K848" s="3443"/>
      <c r="L848" s="3443" t="s">
        <v>30</v>
      </c>
      <c r="M848" s="3443"/>
      <c r="N848" s="3443"/>
      <c r="O848" s="3443"/>
      <c r="P848" s="3443"/>
      <c r="Q848" s="3443"/>
      <c r="R848" s="3443"/>
      <c r="S848" s="3443"/>
      <c r="T848" s="3443"/>
      <c r="U848" s="3443"/>
      <c r="V848" s="3443"/>
      <c r="W848" s="3443"/>
      <c r="X848" s="3505"/>
      <c r="Y848" s="3764"/>
    </row>
    <row r="849" spans="1:25" ht="28.5" hidden="1">
      <c r="A849" s="3599" t="s">
        <v>132</v>
      </c>
      <c r="B849" s="3457">
        <v>45800</v>
      </c>
      <c r="C849" s="3827">
        <v>21</v>
      </c>
      <c r="D849" s="3685">
        <v>547</v>
      </c>
      <c r="E849" s="3685" t="s">
        <v>273</v>
      </c>
      <c r="F849" s="3685" t="s">
        <v>2427</v>
      </c>
      <c r="G849" s="3766" t="s">
        <v>1199</v>
      </c>
      <c r="H849" s="3766" t="s">
        <v>1199</v>
      </c>
      <c r="I849" s="3456">
        <v>707</v>
      </c>
      <c r="J849" s="3456" t="s">
        <v>2428</v>
      </c>
      <c r="K849" s="3443"/>
      <c r="L849" s="3443" t="s">
        <v>30</v>
      </c>
      <c r="M849" s="3443"/>
      <c r="N849" s="3443"/>
      <c r="O849" s="3443"/>
      <c r="P849" s="3443"/>
      <c r="Q849" s="3443"/>
      <c r="R849" s="3443"/>
      <c r="S849" s="3443"/>
      <c r="T849" s="3443"/>
      <c r="U849" s="3443"/>
      <c r="V849" s="3443"/>
      <c r="W849" s="3443"/>
      <c r="X849" s="3456"/>
      <c r="Y849" s="3512"/>
    </row>
    <row r="850" spans="1:25" ht="28.5" hidden="1">
      <c r="A850" s="3602" t="s">
        <v>132</v>
      </c>
      <c r="B850" s="3506">
        <v>45800</v>
      </c>
      <c r="C850" s="3762">
        <v>21</v>
      </c>
      <c r="D850" s="3758">
        <v>548</v>
      </c>
      <c r="E850" s="3758" t="s">
        <v>2429</v>
      </c>
      <c r="F850" s="3758" t="s">
        <v>2430</v>
      </c>
      <c r="G850" s="3826" t="s">
        <v>1199</v>
      </c>
      <c r="H850" s="3826" t="s">
        <v>1199</v>
      </c>
      <c r="I850" s="3505">
        <v>705</v>
      </c>
      <c r="J850" s="3505" t="s">
        <v>1436</v>
      </c>
      <c r="K850" s="3505"/>
      <c r="L850" s="3505" t="s">
        <v>37</v>
      </c>
      <c r="M850" s="3505"/>
      <c r="N850" s="3505"/>
      <c r="O850" s="3505"/>
      <c r="P850" s="3505"/>
      <c r="Q850" s="3505"/>
      <c r="R850" s="3505"/>
      <c r="S850" s="3505"/>
      <c r="T850" s="3505"/>
      <c r="U850" s="3505" t="s">
        <v>37</v>
      </c>
      <c r="V850" s="3505"/>
      <c r="W850" s="3505" t="s">
        <v>2431</v>
      </c>
      <c r="X850" s="3505"/>
      <c r="Y850" s="3764"/>
    </row>
    <row r="851" spans="1:25" ht="28.5" hidden="1">
      <c r="A851" s="3477" t="s">
        <v>132</v>
      </c>
      <c r="B851" s="3478">
        <v>45800</v>
      </c>
      <c r="C851" s="3708">
        <v>21</v>
      </c>
      <c r="D851" s="3708">
        <v>549</v>
      </c>
      <c r="E851" s="3708" t="s">
        <v>273</v>
      </c>
      <c r="F851" s="3709" t="s">
        <v>1698</v>
      </c>
      <c r="G851" s="4023" t="s">
        <v>1199</v>
      </c>
      <c r="H851" s="4048" t="s">
        <v>1199</v>
      </c>
      <c r="I851" s="3477">
        <v>707</v>
      </c>
      <c r="J851" s="3503" t="s">
        <v>2432</v>
      </c>
      <c r="K851" s="3503"/>
      <c r="L851" s="3503" t="s">
        <v>37</v>
      </c>
      <c r="M851" s="3503"/>
      <c r="N851" s="3503"/>
      <c r="O851" s="3503"/>
      <c r="P851" s="3503"/>
      <c r="Q851" s="3503"/>
      <c r="R851" s="3503"/>
      <c r="S851" s="3503"/>
      <c r="T851" s="3503"/>
      <c r="U851" s="3503" t="s">
        <v>37</v>
      </c>
      <c r="V851" s="3503"/>
      <c r="W851" s="3503"/>
      <c r="X851" s="3503"/>
      <c r="Y851" s="3521"/>
    </row>
    <row r="852" spans="1:25" ht="28.5" hidden="1">
      <c r="A852" s="3480" t="s">
        <v>143</v>
      </c>
      <c r="B852" s="3444">
        <v>45801</v>
      </c>
      <c r="C852" s="3614">
        <v>21</v>
      </c>
      <c r="D852" s="3614">
        <v>550</v>
      </c>
      <c r="E852" s="3614" t="s">
        <v>306</v>
      </c>
      <c r="F852" s="3643" t="s">
        <v>80</v>
      </c>
      <c r="G852" s="4023" t="s">
        <v>1206</v>
      </c>
      <c r="H852" s="4048" t="s">
        <v>1206</v>
      </c>
      <c r="I852" s="3288">
        <v>705</v>
      </c>
      <c r="J852" s="3443" t="s">
        <v>2415</v>
      </c>
      <c r="K852" s="3443"/>
      <c r="L852" s="3443" t="s">
        <v>37</v>
      </c>
      <c r="M852" s="3443"/>
      <c r="N852" s="3443"/>
      <c r="O852" s="3443"/>
      <c r="P852" s="3443"/>
      <c r="Q852" s="3443"/>
      <c r="R852" s="3443"/>
      <c r="S852" s="3443"/>
      <c r="T852" s="3443"/>
      <c r="U852" s="3443"/>
      <c r="V852" s="3443"/>
      <c r="W852" s="3443"/>
      <c r="X852" s="3443"/>
      <c r="Y852" s="3522"/>
    </row>
    <row r="853" spans="1:25" ht="28.5" hidden="1">
      <c r="A853" s="3647" t="s">
        <v>25</v>
      </c>
      <c r="B853" s="3444">
        <v>45803</v>
      </c>
      <c r="C853" s="3165" t="s">
        <v>2433</v>
      </c>
      <c r="D853" s="4399" t="s">
        <v>2434</v>
      </c>
      <c r="E853" s="3617" t="s">
        <v>1464</v>
      </c>
      <c r="F853" s="3645" t="s">
        <v>1465</v>
      </c>
      <c r="G853" s="3254"/>
      <c r="H853" s="3253"/>
      <c r="I853" s="3443">
        <v>701</v>
      </c>
      <c r="J853" s="3443" t="s">
        <v>1785</v>
      </c>
      <c r="K853" s="3443"/>
      <c r="L853" s="3443" t="s">
        <v>37</v>
      </c>
      <c r="M853" s="3443"/>
      <c r="O853" s="3443"/>
      <c r="P853" s="3614"/>
      <c r="Q853" s="3614"/>
      <c r="R853" s="3614"/>
      <c r="S853" s="3443"/>
      <c r="T853" s="3443"/>
      <c r="U853" s="3443"/>
      <c r="V853" s="3443"/>
      <c r="W853" s="3443"/>
      <c r="X853" s="3443"/>
      <c r="Y853" s="3522"/>
    </row>
    <row r="854" spans="1:25" ht="28.5" hidden="1">
      <c r="A854" s="3480" t="s">
        <v>25</v>
      </c>
      <c r="B854" s="3444">
        <v>45803</v>
      </c>
      <c r="C854" s="3165" t="s">
        <v>2433</v>
      </c>
      <c r="D854" s="4399"/>
      <c r="E854" s="3617" t="s">
        <v>1465</v>
      </c>
      <c r="F854" s="3645" t="s">
        <v>1464</v>
      </c>
      <c r="G854" s="3254"/>
      <c r="H854" s="3253"/>
      <c r="I854" s="3480">
        <v>701</v>
      </c>
      <c r="J854" s="3443" t="s">
        <v>1771</v>
      </c>
      <c r="K854" s="3443"/>
      <c r="L854" s="3443" t="s">
        <v>30</v>
      </c>
      <c r="M854" s="3443"/>
      <c r="O854" s="3443"/>
      <c r="P854" s="4768"/>
      <c r="Q854" s="4768"/>
      <c r="R854" s="4768"/>
      <c r="S854" s="3443"/>
      <c r="T854" s="3443"/>
      <c r="U854" s="3443"/>
      <c r="V854" s="3443"/>
      <c r="W854" s="3443"/>
      <c r="X854" s="3443"/>
      <c r="Y854" s="3522"/>
    </row>
    <row r="855" spans="1:25" ht="28.5" hidden="1">
      <c r="A855" s="3480" t="s">
        <v>25</v>
      </c>
      <c r="B855" s="3444">
        <v>45803</v>
      </c>
      <c r="C855" s="3165" t="s">
        <v>2433</v>
      </c>
      <c r="D855" s="4399" t="s">
        <v>2435</v>
      </c>
      <c r="E855" s="3614" t="s">
        <v>2303</v>
      </c>
      <c r="F855" s="3643" t="s">
        <v>1145</v>
      </c>
      <c r="G855" s="3254"/>
      <c r="H855" s="3253"/>
      <c r="I855" s="3480">
        <v>712</v>
      </c>
      <c r="J855" s="3443" t="s">
        <v>2154</v>
      </c>
      <c r="K855" s="3511" t="s">
        <v>174</v>
      </c>
      <c r="L855" s="3443" t="s">
        <v>30</v>
      </c>
      <c r="M855" s="3443"/>
      <c r="O855" s="3443"/>
      <c r="P855" s="3614"/>
      <c r="Q855" s="3614"/>
      <c r="R855" s="3614"/>
      <c r="S855" s="3443"/>
      <c r="T855" s="3443"/>
      <c r="U855" s="3443"/>
      <c r="V855" s="3443"/>
      <c r="W855" s="3443"/>
      <c r="X855" s="3443"/>
      <c r="Y855" s="3522"/>
    </row>
    <row r="856" spans="1:25" ht="57" hidden="1">
      <c r="A856" s="3480" t="s">
        <v>25</v>
      </c>
      <c r="B856" s="3444">
        <v>45803</v>
      </c>
      <c r="C856" s="3165" t="s">
        <v>2433</v>
      </c>
      <c r="D856" s="4399" t="s">
        <v>2436</v>
      </c>
      <c r="E856" s="3787" t="s">
        <v>80</v>
      </c>
      <c r="F856" s="3791" t="s">
        <v>140</v>
      </c>
      <c r="G856" s="3254"/>
      <c r="H856" s="3253"/>
      <c r="I856" s="3480">
        <v>707</v>
      </c>
      <c r="J856" s="3443">
        <v>60105</v>
      </c>
      <c r="K856" s="3443"/>
      <c r="L856" s="3443"/>
      <c r="M856" s="3443" t="s">
        <v>30</v>
      </c>
      <c r="O856" s="3443"/>
      <c r="P856" s="21" t="s">
        <v>109</v>
      </c>
      <c r="Q856" s="21" t="s">
        <v>1367</v>
      </c>
      <c r="R856" s="21" t="s">
        <v>38</v>
      </c>
      <c r="S856" s="3443"/>
      <c r="T856" s="3443"/>
      <c r="U856" s="3443"/>
      <c r="V856" s="3443"/>
      <c r="W856" s="3507" t="s">
        <v>2437</v>
      </c>
      <c r="X856" s="3443"/>
      <c r="Y856" s="3522"/>
    </row>
    <row r="857" spans="1:25" ht="28.5" hidden="1">
      <c r="A857" s="3480" t="s">
        <v>25</v>
      </c>
      <c r="B857" s="3444">
        <v>45803</v>
      </c>
      <c r="C857" s="3165" t="s">
        <v>2433</v>
      </c>
      <c r="D857" s="4399"/>
      <c r="E857" s="3787" t="s">
        <v>80</v>
      </c>
      <c r="F857" s="3791" t="s">
        <v>263</v>
      </c>
      <c r="G857" s="3254"/>
      <c r="H857" s="3253"/>
      <c r="I857" s="3443">
        <v>707</v>
      </c>
      <c r="J857" s="3443" t="s">
        <v>2438</v>
      </c>
      <c r="K857" s="3443"/>
      <c r="L857" s="3443" t="s">
        <v>30</v>
      </c>
      <c r="M857" s="3443"/>
      <c r="N857" s="3160" t="s">
        <v>30</v>
      </c>
      <c r="O857" s="3443"/>
      <c r="P857" s="3614"/>
      <c r="Q857" s="3614"/>
      <c r="R857" s="3614"/>
      <c r="S857" s="3443"/>
      <c r="T857" s="3443"/>
      <c r="U857" s="3443"/>
      <c r="V857" s="3443"/>
      <c r="W857" s="3443"/>
      <c r="X857" s="3443"/>
      <c r="Y857" s="3522" t="s">
        <v>2439</v>
      </c>
    </row>
    <row r="858" spans="1:25" ht="28.5" hidden="1">
      <c r="A858" s="3480" t="s">
        <v>25</v>
      </c>
      <c r="B858" s="3444">
        <v>45803</v>
      </c>
      <c r="C858" s="3165" t="s">
        <v>2433</v>
      </c>
      <c r="D858" s="4399" t="s">
        <v>2440</v>
      </c>
      <c r="E858" s="3815" t="s">
        <v>2175</v>
      </c>
      <c r="F858" s="3837" t="s">
        <v>56</v>
      </c>
      <c r="G858" s="3254"/>
      <c r="H858" s="3253"/>
      <c r="I858" s="3480">
        <v>707</v>
      </c>
      <c r="J858" s="3443" t="s">
        <v>639</v>
      </c>
      <c r="K858" s="3443"/>
      <c r="L858" s="3443" t="s">
        <v>30</v>
      </c>
      <c r="M858" s="3443"/>
      <c r="O858" s="3443"/>
      <c r="P858" s="3614"/>
      <c r="Q858" s="3614"/>
      <c r="R858" s="3614"/>
      <c r="S858" s="3443"/>
      <c r="T858" s="3443"/>
      <c r="U858" s="3443"/>
      <c r="V858" s="3443"/>
      <c r="W858" s="3443"/>
      <c r="X858" s="3443"/>
      <c r="Y858" s="3522"/>
    </row>
    <row r="859" spans="1:25" ht="28.5" hidden="1">
      <c r="A859" s="3480" t="s">
        <v>25</v>
      </c>
      <c r="B859" s="3444">
        <v>45803</v>
      </c>
      <c r="C859" s="3165" t="s">
        <v>2433</v>
      </c>
      <c r="D859" s="4399" t="s">
        <v>2441</v>
      </c>
      <c r="E859" s="3615" t="s">
        <v>79</v>
      </c>
      <c r="F859" s="3641" t="s">
        <v>516</v>
      </c>
      <c r="G859" s="3254"/>
      <c r="H859" s="3253"/>
      <c r="I859" s="3480">
        <v>712</v>
      </c>
      <c r="J859" s="3443" t="s">
        <v>2442</v>
      </c>
      <c r="K859" s="3511" t="s">
        <v>84</v>
      </c>
      <c r="L859" s="3443" t="s">
        <v>30</v>
      </c>
      <c r="M859" s="3443"/>
      <c r="O859" s="3443"/>
      <c r="P859" s="3614"/>
      <c r="Q859" s="3614"/>
      <c r="R859" s="3614"/>
      <c r="S859" s="3443"/>
      <c r="T859" s="3443"/>
      <c r="U859" s="3443"/>
      <c r="V859" s="3443"/>
      <c r="W859" s="3443"/>
      <c r="X859" s="3443"/>
      <c r="Y859" s="3522"/>
    </row>
    <row r="860" spans="1:25" ht="28.5" hidden="1">
      <c r="A860" s="3480" t="s">
        <v>25</v>
      </c>
      <c r="B860" s="3444">
        <v>45803</v>
      </c>
      <c r="C860" s="3165" t="s">
        <v>2433</v>
      </c>
      <c r="D860" s="4399" t="s">
        <v>2443</v>
      </c>
      <c r="E860" s="3443" t="s">
        <v>1598</v>
      </c>
      <c r="F860" s="3516" t="s">
        <v>2444</v>
      </c>
      <c r="G860" s="3254"/>
      <c r="H860" s="3253"/>
      <c r="I860" s="3480">
        <v>707</v>
      </c>
      <c r="J860" s="3443" t="s">
        <v>149</v>
      </c>
      <c r="K860" s="3443"/>
      <c r="L860" s="3443" t="s">
        <v>30</v>
      </c>
      <c r="M860" s="3443"/>
      <c r="O860" s="3443"/>
      <c r="P860" s="3614"/>
      <c r="Q860" s="3614"/>
      <c r="R860" s="3614"/>
      <c r="S860" s="3443"/>
      <c r="T860" s="3443"/>
      <c r="U860" s="3443"/>
      <c r="V860" s="3443"/>
      <c r="W860" s="3443"/>
      <c r="X860" s="3443"/>
      <c r="Y860" s="3522"/>
    </row>
    <row r="861" spans="1:25" ht="28.5" hidden="1">
      <c r="A861" s="3480" t="s">
        <v>25</v>
      </c>
      <c r="B861" s="3444">
        <v>45803</v>
      </c>
      <c r="C861" s="3165" t="s">
        <v>2433</v>
      </c>
      <c r="D861" s="4399" t="s">
        <v>2445</v>
      </c>
      <c r="E861" s="3443" t="s">
        <v>80</v>
      </c>
      <c r="F861" s="3516" t="s">
        <v>1838</v>
      </c>
      <c r="G861" s="3254"/>
      <c r="H861" s="3253"/>
      <c r="I861" s="3480">
        <v>705</v>
      </c>
      <c r="J861" s="3443" t="s">
        <v>2446</v>
      </c>
      <c r="K861" s="3443"/>
      <c r="L861" s="3443" t="s">
        <v>30</v>
      </c>
      <c r="M861" s="3443"/>
      <c r="O861" s="3443"/>
      <c r="P861" s="3614"/>
      <c r="Q861" s="3614"/>
      <c r="R861" s="3614"/>
      <c r="S861" s="3443"/>
      <c r="T861" s="3443"/>
      <c r="U861" s="3443"/>
      <c r="V861" s="3443"/>
      <c r="W861" s="3443"/>
      <c r="X861" s="3443"/>
      <c r="Y861" s="3522"/>
    </row>
    <row r="862" spans="1:25" ht="28.5" hidden="1">
      <c r="A862" s="3480" t="s">
        <v>25</v>
      </c>
      <c r="B862" s="3444">
        <v>45803</v>
      </c>
      <c r="C862" s="3165" t="s">
        <v>2433</v>
      </c>
      <c r="D862" s="4399" t="s">
        <v>2447</v>
      </c>
      <c r="E862" s="3443" t="s">
        <v>306</v>
      </c>
      <c r="F862" s="3516" t="s">
        <v>1254</v>
      </c>
      <c r="G862" s="3254"/>
      <c r="H862" s="3253"/>
      <c r="I862" s="3480">
        <v>705</v>
      </c>
      <c r="J862" s="3443" t="s">
        <v>2448</v>
      </c>
      <c r="K862" s="3511" t="s">
        <v>1613</v>
      </c>
      <c r="L862" s="3443"/>
      <c r="M862" s="3443" t="s">
        <v>30</v>
      </c>
      <c r="O862" s="3443"/>
      <c r="P862" s="21" t="s">
        <v>0</v>
      </c>
      <c r="Q862" s="21" t="s">
        <v>736</v>
      </c>
      <c r="R862" s="21" t="s">
        <v>160</v>
      </c>
      <c r="S862" s="3443"/>
      <c r="T862" s="3443"/>
      <c r="U862" s="3443"/>
      <c r="V862" s="3443"/>
      <c r="W862" s="3443"/>
      <c r="X862" s="3443"/>
      <c r="Y862" s="3522" t="s">
        <v>2449</v>
      </c>
    </row>
    <row r="863" spans="1:25" ht="29.25" hidden="1" thickBot="1">
      <c r="A863" s="3494" t="s">
        <v>25</v>
      </c>
      <c r="B863" s="3448">
        <v>45804</v>
      </c>
      <c r="C863" s="3357" t="s">
        <v>2433</v>
      </c>
      <c r="D863" s="4404" t="s">
        <v>2450</v>
      </c>
      <c r="E863" s="4563" t="s">
        <v>537</v>
      </c>
      <c r="F863" s="4865" t="s">
        <v>56</v>
      </c>
      <c r="G863" s="3254"/>
      <c r="H863" s="3253"/>
      <c r="I863" s="3494">
        <v>707</v>
      </c>
      <c r="J863" s="3447" t="s">
        <v>2451</v>
      </c>
      <c r="K863" s="3608" t="s">
        <v>2452</v>
      </c>
      <c r="L863" s="3447" t="s">
        <v>30</v>
      </c>
      <c r="M863" s="3447"/>
      <c r="N863" s="3284"/>
      <c r="O863" s="3447"/>
      <c r="P863" s="3690"/>
      <c r="Q863" s="3690"/>
      <c r="R863" s="3690"/>
      <c r="S863" s="3447"/>
      <c r="T863" s="3447"/>
      <c r="U863" s="3447"/>
      <c r="V863" s="3447"/>
      <c r="W863" s="3447"/>
      <c r="X863" s="3447"/>
      <c r="Y863" s="3547"/>
    </row>
    <row r="864" spans="1:25" ht="28.5" hidden="1">
      <c r="A864" s="3456" t="s">
        <v>25</v>
      </c>
      <c r="B864" s="3506">
        <v>45804</v>
      </c>
      <c r="C864" s="3355" t="s">
        <v>2433</v>
      </c>
      <c r="D864" s="3513" t="s">
        <v>2453</v>
      </c>
      <c r="E864" s="4539" t="s">
        <v>517</v>
      </c>
      <c r="F864" s="4539" t="s">
        <v>615</v>
      </c>
      <c r="I864" s="3505">
        <v>707</v>
      </c>
      <c r="J864" s="3505" t="s">
        <v>2454</v>
      </c>
      <c r="K864" s="3693" t="s">
        <v>114</v>
      </c>
      <c r="L864" s="3456" t="s">
        <v>30</v>
      </c>
      <c r="M864" s="3505"/>
      <c r="N864" s="3276"/>
      <c r="O864" s="3505"/>
      <c r="P864" s="3758"/>
      <c r="Q864" s="3758"/>
      <c r="R864" s="3758"/>
      <c r="S864" s="3505"/>
      <c r="T864" s="3505"/>
      <c r="U864" s="3505"/>
      <c r="V864" s="3505"/>
      <c r="W864" s="3505"/>
      <c r="X864" s="3505"/>
      <c r="Y864" s="3764"/>
    </row>
    <row r="865" spans="1:292" ht="28.5" hidden="1">
      <c r="A865" s="3443" t="s">
        <v>25</v>
      </c>
      <c r="B865" s="3506">
        <v>45804</v>
      </c>
      <c r="C865" s="3165" t="s">
        <v>2433</v>
      </c>
      <c r="D865" s="4399" t="s">
        <v>2455</v>
      </c>
      <c r="E865" s="3695" t="s">
        <v>840</v>
      </c>
      <c r="F865" s="3695" t="s">
        <v>80</v>
      </c>
      <c r="I865" s="3443">
        <v>707</v>
      </c>
      <c r="J865" s="3443" t="s">
        <v>269</v>
      </c>
      <c r="K865" s="3511" t="s">
        <v>114</v>
      </c>
      <c r="L865" s="3443" t="s">
        <v>30</v>
      </c>
      <c r="M865" s="3443"/>
      <c r="O865" s="3443"/>
      <c r="P865" s="3614"/>
      <c r="Q865" s="3614"/>
      <c r="R865" s="3614"/>
      <c r="S865" s="3443"/>
      <c r="T865" s="3443"/>
      <c r="U865" s="3443"/>
      <c r="V865" s="3443"/>
      <c r="W865" s="3443"/>
      <c r="X865" s="3443"/>
      <c r="Y865" s="3507"/>
    </row>
    <row r="866" spans="1:292" ht="28.5" hidden="1">
      <c r="A866" s="3443" t="s">
        <v>67</v>
      </c>
      <c r="B866" s="3506">
        <v>45804</v>
      </c>
      <c r="C866" s="3165" t="s">
        <v>2433</v>
      </c>
      <c r="D866" s="4399" t="s">
        <v>2456</v>
      </c>
      <c r="E866" s="3617" t="s">
        <v>1464</v>
      </c>
      <c r="F866" s="3617" t="s">
        <v>1465</v>
      </c>
      <c r="I866" s="3443">
        <v>701</v>
      </c>
      <c r="J866" s="3443" t="s">
        <v>1785</v>
      </c>
      <c r="K866" s="3443"/>
      <c r="L866" s="3443" t="s">
        <v>37</v>
      </c>
      <c r="M866" s="3443"/>
      <c r="O866" s="3443"/>
      <c r="P866" s="3443"/>
      <c r="Q866" s="3443"/>
      <c r="R866" s="3443"/>
      <c r="S866" s="3443"/>
      <c r="T866" s="3443"/>
      <c r="U866" s="3443"/>
      <c r="V866" s="3443"/>
      <c r="W866" s="3443"/>
      <c r="X866" s="3443"/>
      <c r="Y866" s="3507"/>
    </row>
    <row r="867" spans="1:292" ht="28.5" hidden="1">
      <c r="A867" s="3443" t="s">
        <v>67</v>
      </c>
      <c r="B867" s="3506">
        <v>45804</v>
      </c>
      <c r="C867" s="3165" t="s">
        <v>2433</v>
      </c>
      <c r="D867" s="4399"/>
      <c r="E867" s="3617" t="s">
        <v>1465</v>
      </c>
      <c r="F867" s="3617" t="s">
        <v>1464</v>
      </c>
      <c r="I867" s="3443">
        <v>701</v>
      </c>
      <c r="J867" s="3443" t="s">
        <v>1771</v>
      </c>
      <c r="K867" s="3443"/>
      <c r="L867" s="3443" t="s">
        <v>37</v>
      </c>
      <c r="M867" s="3443"/>
      <c r="O867" s="3443"/>
      <c r="P867" s="3443"/>
      <c r="Q867" s="3443"/>
      <c r="R867" s="3443"/>
      <c r="S867" s="3443"/>
      <c r="T867" s="3443"/>
      <c r="U867" s="3443"/>
      <c r="V867" s="3443"/>
      <c r="W867" s="3443"/>
      <c r="X867" s="3443"/>
      <c r="Y867" s="3507" t="s">
        <v>2457</v>
      </c>
    </row>
    <row r="868" spans="1:292" s="3834" customFormat="1" ht="28.5" hidden="1">
      <c r="A868" s="3443" t="s">
        <v>67</v>
      </c>
      <c r="B868" s="3506">
        <v>45804</v>
      </c>
      <c r="C868" s="3165" t="s">
        <v>2433</v>
      </c>
      <c r="D868" s="4399"/>
      <c r="E868" s="3815" t="s">
        <v>79</v>
      </c>
      <c r="F868" s="3815" t="s">
        <v>2458</v>
      </c>
      <c r="G868" s="3160"/>
      <c r="H868" s="3160"/>
      <c r="I868" s="3443">
        <v>707</v>
      </c>
      <c r="J868" s="3443" t="s">
        <v>639</v>
      </c>
      <c r="K868" s="3443"/>
      <c r="L868" s="3443" t="s">
        <v>37</v>
      </c>
      <c r="M868" s="3443"/>
      <c r="N868" s="3160"/>
      <c r="O868" s="3443"/>
      <c r="P868" s="3443"/>
      <c r="Q868" s="3443"/>
      <c r="R868" s="3443"/>
      <c r="S868" s="3443"/>
      <c r="T868" s="3443"/>
      <c r="U868" s="3443"/>
      <c r="V868" s="3443"/>
      <c r="W868" s="3443"/>
      <c r="X868" s="3443"/>
      <c r="Y868" s="3507"/>
      <c r="Z868" s="3258"/>
      <c r="AA868" s="3161"/>
      <c r="AB868" s="3161"/>
      <c r="AC868" s="3161"/>
      <c r="AD868" s="3161"/>
      <c r="AE868" s="3161"/>
      <c r="AF868" s="3161"/>
      <c r="AG868" s="3161"/>
      <c r="AH868" s="3161"/>
      <c r="AI868" s="3161"/>
      <c r="AJ868" s="3161"/>
      <c r="AK868" s="3161"/>
      <c r="AL868" s="3161"/>
      <c r="AM868" s="3161"/>
      <c r="AN868" s="3161"/>
      <c r="AO868" s="3161"/>
      <c r="AP868" s="3161"/>
      <c r="AQ868" s="3161"/>
      <c r="AR868" s="3161"/>
      <c r="AS868" s="3161"/>
      <c r="AT868" s="3161"/>
      <c r="AU868" s="3161"/>
      <c r="AV868" s="3161"/>
      <c r="AW868" s="3161"/>
      <c r="AX868" s="3161"/>
      <c r="AY868" s="3161"/>
      <c r="AZ868" s="3161"/>
      <c r="BA868" s="3161"/>
      <c r="BB868" s="3161"/>
      <c r="BC868" s="3161"/>
      <c r="BD868" s="3161"/>
      <c r="BE868" s="3161"/>
      <c r="BF868" s="3161"/>
      <c r="BG868" s="3161"/>
      <c r="BH868" s="3161"/>
      <c r="BI868" s="3161"/>
      <c r="BJ868" s="3161"/>
      <c r="BK868" s="3161"/>
      <c r="BL868" s="3161"/>
      <c r="BM868" s="3161"/>
      <c r="BN868" s="3161"/>
      <c r="BO868" s="3161"/>
      <c r="BP868" s="3161"/>
      <c r="BQ868" s="3161"/>
      <c r="BR868" s="3161"/>
      <c r="BS868" s="3161"/>
      <c r="BT868" s="3161"/>
      <c r="BU868" s="3161"/>
      <c r="BV868" s="3161"/>
      <c r="BW868" s="3161"/>
      <c r="BX868" s="3161"/>
      <c r="BY868" s="3161"/>
      <c r="BZ868" s="3161"/>
      <c r="CA868" s="3161"/>
      <c r="CB868" s="3161"/>
      <c r="CC868" s="3161"/>
      <c r="CD868" s="3161"/>
      <c r="CE868" s="3161"/>
      <c r="CF868" s="3161"/>
      <c r="CG868" s="3161"/>
      <c r="CH868" s="3161"/>
      <c r="CI868" s="3161"/>
      <c r="CJ868" s="3161"/>
      <c r="CK868" s="3161"/>
      <c r="CL868" s="3161"/>
      <c r="CM868" s="3161"/>
      <c r="CN868" s="3161"/>
      <c r="CO868" s="3161"/>
      <c r="CP868" s="3161"/>
      <c r="CQ868" s="3161"/>
      <c r="CR868" s="3161"/>
      <c r="CS868" s="3161"/>
      <c r="CT868" s="3161"/>
      <c r="CU868" s="3161"/>
      <c r="CV868" s="3161"/>
      <c r="CW868" s="3161"/>
      <c r="CX868" s="3161"/>
      <c r="CY868" s="3161"/>
      <c r="CZ868" s="3161"/>
      <c r="DA868" s="3161"/>
      <c r="DB868" s="3161"/>
      <c r="DC868" s="3161"/>
      <c r="DD868" s="3161"/>
      <c r="DE868" s="3161"/>
      <c r="DF868" s="3161"/>
      <c r="DG868" s="3161"/>
      <c r="DH868" s="3161"/>
      <c r="DI868" s="3161"/>
      <c r="DJ868" s="3161"/>
      <c r="DK868" s="3161"/>
      <c r="DL868" s="3161"/>
      <c r="DM868" s="3161"/>
      <c r="DN868" s="3161"/>
      <c r="DO868" s="3161"/>
      <c r="DP868" s="3161"/>
      <c r="DQ868" s="3161"/>
      <c r="DR868" s="3161"/>
      <c r="DS868" s="3161"/>
      <c r="DT868" s="3161"/>
      <c r="DU868" s="3161"/>
      <c r="DV868" s="3161"/>
      <c r="DW868" s="3161"/>
      <c r="DX868" s="3161"/>
      <c r="DY868" s="3161"/>
      <c r="DZ868" s="3161"/>
      <c r="EA868" s="3161"/>
      <c r="EB868" s="3161"/>
      <c r="EC868" s="3161"/>
      <c r="ED868" s="3161"/>
      <c r="EE868" s="3161"/>
      <c r="EF868" s="3161"/>
      <c r="EG868" s="3161"/>
      <c r="EH868" s="3161"/>
      <c r="EI868" s="3161"/>
      <c r="EJ868" s="3161"/>
      <c r="EK868" s="3161"/>
      <c r="EL868" s="3161"/>
      <c r="EM868" s="3161"/>
      <c r="EN868" s="3161"/>
      <c r="EO868" s="3161"/>
      <c r="EP868" s="3161"/>
      <c r="EQ868" s="3161"/>
      <c r="ER868" s="3161"/>
      <c r="ES868" s="3161"/>
      <c r="ET868" s="3161"/>
      <c r="EU868" s="3161"/>
      <c r="EV868" s="3161"/>
      <c r="EW868" s="3161"/>
      <c r="EX868" s="3161"/>
      <c r="EY868" s="3161"/>
      <c r="EZ868" s="3161"/>
      <c r="FA868" s="3161"/>
      <c r="FB868" s="3161"/>
      <c r="FC868" s="3161"/>
      <c r="FD868" s="3161"/>
      <c r="FE868" s="3161"/>
      <c r="FF868" s="3161"/>
      <c r="FG868" s="3161"/>
      <c r="FH868" s="3161"/>
      <c r="FI868" s="3161"/>
      <c r="FJ868" s="3161"/>
      <c r="FK868" s="3161"/>
      <c r="FL868" s="3161"/>
      <c r="FM868" s="3161"/>
      <c r="FN868" s="3161"/>
      <c r="FO868" s="3161"/>
      <c r="FP868" s="3161"/>
      <c r="FQ868" s="3161"/>
      <c r="FR868" s="3161"/>
      <c r="FS868" s="3161"/>
      <c r="FT868" s="3161"/>
      <c r="FU868" s="3161"/>
      <c r="FV868" s="3161"/>
      <c r="FW868" s="3161"/>
      <c r="FX868" s="3161"/>
      <c r="FY868" s="3161"/>
      <c r="FZ868" s="3161"/>
      <c r="GA868" s="3161"/>
      <c r="GB868" s="3161"/>
      <c r="GC868" s="3161"/>
      <c r="GD868" s="3161"/>
      <c r="GE868" s="3161"/>
      <c r="GF868" s="3161"/>
      <c r="GG868" s="3161"/>
      <c r="GH868" s="3161"/>
      <c r="GI868" s="3161"/>
      <c r="GJ868" s="3161"/>
      <c r="GK868" s="3161"/>
      <c r="GL868" s="3161"/>
      <c r="GM868" s="3161"/>
      <c r="GN868" s="3161"/>
      <c r="GO868" s="3161"/>
      <c r="GP868" s="3161"/>
      <c r="GQ868" s="3161"/>
      <c r="GR868" s="3161"/>
      <c r="GS868" s="3161"/>
      <c r="GT868" s="3161"/>
      <c r="GU868" s="3161"/>
      <c r="GV868" s="3161"/>
      <c r="GW868" s="3161"/>
      <c r="GX868" s="3161"/>
      <c r="GY868" s="3161"/>
      <c r="GZ868" s="3161"/>
      <c r="HA868" s="3161"/>
      <c r="HB868" s="3161"/>
      <c r="HC868" s="3161"/>
      <c r="HD868" s="3161"/>
      <c r="HE868" s="3161"/>
      <c r="HF868" s="3161"/>
      <c r="HG868" s="3161"/>
      <c r="HH868" s="3161"/>
      <c r="HI868" s="3161"/>
      <c r="HJ868" s="3161"/>
      <c r="HK868" s="3161"/>
      <c r="HL868" s="3161"/>
      <c r="HM868" s="3161"/>
      <c r="HN868" s="3161"/>
      <c r="HO868" s="3161"/>
      <c r="HP868" s="3161"/>
      <c r="HQ868" s="3161"/>
      <c r="HR868" s="3161"/>
      <c r="HS868" s="3161"/>
      <c r="HT868" s="3161"/>
      <c r="HU868" s="3161"/>
      <c r="HV868" s="3161"/>
      <c r="HW868" s="3161"/>
      <c r="HX868" s="3161"/>
      <c r="HY868" s="3161"/>
      <c r="HZ868" s="3161"/>
      <c r="IA868" s="3161"/>
      <c r="IB868" s="3161"/>
      <c r="IC868" s="3161"/>
      <c r="ID868" s="3161"/>
      <c r="IE868" s="3161"/>
      <c r="IF868" s="3161"/>
      <c r="IG868" s="3161"/>
      <c r="IH868" s="3161"/>
      <c r="II868" s="3161"/>
      <c r="IJ868" s="3161"/>
      <c r="IK868" s="3161"/>
      <c r="IL868" s="3161"/>
      <c r="IM868" s="3161"/>
      <c r="IN868" s="3161"/>
      <c r="IO868" s="3161"/>
      <c r="IP868" s="3161"/>
      <c r="IQ868" s="3161"/>
      <c r="IR868" s="3161"/>
      <c r="IS868" s="3161"/>
      <c r="IT868" s="3161"/>
      <c r="IU868" s="3161"/>
      <c r="IV868" s="3161"/>
      <c r="IW868" s="3161"/>
      <c r="IX868" s="3161"/>
      <c r="IY868" s="3161"/>
      <c r="IZ868" s="3161"/>
      <c r="JA868" s="3161"/>
      <c r="JB868" s="3161"/>
      <c r="JC868" s="3161"/>
      <c r="JD868" s="3161"/>
      <c r="JE868" s="3161"/>
      <c r="JF868" s="3161"/>
      <c r="JG868" s="3161"/>
      <c r="JH868" s="3161"/>
      <c r="JI868" s="3161"/>
      <c r="JJ868" s="3161"/>
      <c r="JK868" s="3161"/>
      <c r="JL868" s="3161"/>
      <c r="JM868" s="3161"/>
      <c r="JN868" s="3161"/>
      <c r="JO868" s="3161"/>
      <c r="JP868" s="3161"/>
      <c r="JQ868" s="3161"/>
      <c r="JR868" s="3161"/>
      <c r="JS868" s="3161"/>
      <c r="JT868" s="3161"/>
      <c r="JU868" s="3161"/>
      <c r="JV868" s="3161"/>
      <c r="JW868" s="3161"/>
      <c r="JX868" s="3161"/>
      <c r="JY868" s="3161"/>
      <c r="JZ868" s="3161"/>
      <c r="KA868" s="3161"/>
      <c r="KB868" s="3161"/>
      <c r="KC868" s="3161"/>
      <c r="KD868" s="3161"/>
      <c r="KE868" s="3161"/>
      <c r="KF868" s="3161"/>
    </row>
    <row r="869" spans="1:292" ht="114" hidden="1">
      <c r="A869" s="3443" t="s">
        <v>67</v>
      </c>
      <c r="B869" s="3506">
        <v>45804</v>
      </c>
      <c r="C869" s="3165" t="s">
        <v>2433</v>
      </c>
      <c r="D869" s="4399"/>
      <c r="E869" s="3787" t="s">
        <v>148</v>
      </c>
      <c r="F869" s="3787" t="s">
        <v>466</v>
      </c>
      <c r="I869" s="3443">
        <v>707</v>
      </c>
      <c r="J869" s="3443" t="s">
        <v>2438</v>
      </c>
      <c r="K869" s="3443"/>
      <c r="L869" s="3443" t="s">
        <v>30</v>
      </c>
      <c r="M869" s="3443"/>
      <c r="N869" s="3160" t="s">
        <v>30</v>
      </c>
      <c r="O869" s="3443"/>
      <c r="P869" s="360"/>
      <c r="Q869" s="360"/>
      <c r="R869" s="360"/>
      <c r="S869" s="3443"/>
      <c r="T869" s="3443"/>
      <c r="U869" s="3443"/>
      <c r="V869" s="3443"/>
      <c r="W869" s="3507" t="s">
        <v>2459</v>
      </c>
      <c r="X869" s="3443"/>
      <c r="Y869" s="3507"/>
    </row>
    <row r="870" spans="1:292" ht="28.5" hidden="1">
      <c r="A870" s="3443" t="s">
        <v>67</v>
      </c>
      <c r="B870" s="3506">
        <v>45804</v>
      </c>
      <c r="C870" s="3165" t="s">
        <v>2433</v>
      </c>
      <c r="D870" s="4399"/>
      <c r="E870" s="3615" t="s">
        <v>517</v>
      </c>
      <c r="F870" s="3615" t="s">
        <v>2460</v>
      </c>
      <c r="I870" s="3443">
        <v>712</v>
      </c>
      <c r="J870" s="3443" t="s">
        <v>2442</v>
      </c>
      <c r="K870" s="3443"/>
      <c r="L870" s="3443" t="s">
        <v>37</v>
      </c>
      <c r="M870" s="3443"/>
      <c r="O870" s="3443"/>
      <c r="P870" s="3443"/>
      <c r="Q870" s="3443"/>
      <c r="R870" s="3443"/>
      <c r="S870" s="3443"/>
      <c r="T870" s="3443"/>
      <c r="U870" s="3443"/>
      <c r="V870" s="3443"/>
      <c r="W870" s="3443"/>
      <c r="X870" s="3443"/>
      <c r="Y870" s="3507"/>
    </row>
    <row r="871" spans="1:292" ht="28.5" hidden="1">
      <c r="A871" s="3443" t="s">
        <v>67</v>
      </c>
      <c r="B871" s="3506">
        <v>45804</v>
      </c>
      <c r="C871" s="3165" t="s">
        <v>2433</v>
      </c>
      <c r="D871" s="4399"/>
      <c r="E871" s="3695" t="s">
        <v>79</v>
      </c>
      <c r="F871" s="3695" t="s">
        <v>2461</v>
      </c>
      <c r="I871" s="3443">
        <v>707</v>
      </c>
      <c r="J871" s="3443" t="s">
        <v>2451</v>
      </c>
      <c r="K871" s="3443"/>
      <c r="L871" s="3443" t="s">
        <v>37</v>
      </c>
      <c r="M871" s="3443"/>
      <c r="O871" s="3443"/>
      <c r="P871" s="3443"/>
      <c r="Q871" s="3443"/>
      <c r="R871" s="3443"/>
      <c r="S871" s="3443"/>
      <c r="T871" s="3443"/>
      <c r="U871" s="3443"/>
      <c r="V871" s="3443"/>
      <c r="W871" s="3443"/>
      <c r="X871" s="3443"/>
      <c r="Y871" s="3507"/>
    </row>
    <row r="872" spans="1:292" ht="28.5" hidden="1">
      <c r="A872" s="3443" t="s">
        <v>67</v>
      </c>
      <c r="B872" s="3506">
        <v>45804</v>
      </c>
      <c r="C872" s="3165" t="s">
        <v>2433</v>
      </c>
      <c r="D872" s="4399" t="s">
        <v>2462</v>
      </c>
      <c r="E872" s="3443" t="s">
        <v>1838</v>
      </c>
      <c r="F872" s="3443" t="s">
        <v>80</v>
      </c>
      <c r="I872" s="3443">
        <v>707</v>
      </c>
      <c r="J872" s="3443" t="s">
        <v>2463</v>
      </c>
      <c r="K872" s="3443"/>
      <c r="L872" s="3443" t="s">
        <v>37</v>
      </c>
      <c r="M872" s="3443"/>
      <c r="O872" s="3443"/>
      <c r="P872" s="3443"/>
      <c r="Q872" s="3443"/>
      <c r="R872" s="3443"/>
      <c r="S872" s="3443"/>
      <c r="T872" s="3443"/>
      <c r="U872" s="3443"/>
      <c r="V872" s="3443" t="s">
        <v>30</v>
      </c>
      <c r="W872" s="3443"/>
      <c r="X872" s="3443"/>
      <c r="Y872" s="3507"/>
    </row>
    <row r="873" spans="1:292" ht="28.5" hidden="1">
      <c r="A873" s="3443" t="s">
        <v>67</v>
      </c>
      <c r="B873" s="3506">
        <v>45804</v>
      </c>
      <c r="C873" s="3165" t="s">
        <v>2433</v>
      </c>
      <c r="D873" s="4399"/>
      <c r="E873" s="3443" t="s">
        <v>80</v>
      </c>
      <c r="F873" s="3443" t="s">
        <v>1838</v>
      </c>
      <c r="I873" s="3443">
        <v>707</v>
      </c>
      <c r="J873" s="3443">
        <v>60093</v>
      </c>
      <c r="K873" s="3443"/>
      <c r="L873" s="3443" t="s">
        <v>37</v>
      </c>
      <c r="M873" s="3443"/>
      <c r="O873" s="3443"/>
      <c r="P873" s="3443"/>
      <c r="Q873" s="3443"/>
      <c r="R873" s="3443"/>
      <c r="S873" s="3443"/>
      <c r="T873" s="3443"/>
      <c r="U873" s="3443"/>
      <c r="V873" s="3443" t="s">
        <v>30</v>
      </c>
      <c r="W873" s="3443"/>
      <c r="X873" s="3443"/>
      <c r="Y873" s="3507"/>
    </row>
    <row r="874" spans="1:292" ht="57" hidden="1">
      <c r="A874" s="3443" t="s">
        <v>67</v>
      </c>
      <c r="B874" s="3506">
        <v>45804</v>
      </c>
      <c r="C874" s="3165" t="s">
        <v>2433</v>
      </c>
      <c r="D874" s="4399" t="s">
        <v>2464</v>
      </c>
      <c r="E874" s="3443" t="s">
        <v>80</v>
      </c>
      <c r="F874" s="3443" t="s">
        <v>2465</v>
      </c>
      <c r="I874" s="3443">
        <v>707</v>
      </c>
      <c r="J874" s="3443">
        <v>60015</v>
      </c>
      <c r="K874" s="3443"/>
      <c r="L874" s="3443" t="s">
        <v>37</v>
      </c>
      <c r="M874" s="3443"/>
      <c r="N874" s="3160" t="s">
        <v>30</v>
      </c>
      <c r="O874" s="3443"/>
      <c r="P874" s="4722"/>
      <c r="Q874" s="4722"/>
      <c r="R874" s="4722"/>
      <c r="S874" s="3443"/>
      <c r="T874" s="3443"/>
      <c r="U874" s="3443"/>
      <c r="V874" s="3443"/>
      <c r="W874" s="3507" t="s">
        <v>2466</v>
      </c>
      <c r="X874" s="3443"/>
      <c r="Y874" s="3507"/>
    </row>
    <row r="875" spans="1:292" ht="28.5" hidden="1">
      <c r="A875" s="3443" t="s">
        <v>67</v>
      </c>
      <c r="B875" s="3506">
        <v>45804</v>
      </c>
      <c r="C875" s="3165" t="s">
        <v>2433</v>
      </c>
      <c r="D875" s="4399" t="s">
        <v>2467</v>
      </c>
      <c r="E875" s="3443" t="s">
        <v>97</v>
      </c>
      <c r="F875" s="3531" t="s">
        <v>89</v>
      </c>
      <c r="I875" s="3443">
        <v>712</v>
      </c>
      <c r="J875" s="3443" t="s">
        <v>2468</v>
      </c>
      <c r="K875" s="3511" t="s">
        <v>2469</v>
      </c>
      <c r="L875" s="3443" t="s">
        <v>37</v>
      </c>
      <c r="M875" s="3443"/>
      <c r="O875" s="3443"/>
      <c r="P875" s="3443"/>
      <c r="Q875" s="3443"/>
      <c r="R875" s="3443"/>
      <c r="S875" s="3443"/>
      <c r="T875" s="3443"/>
      <c r="U875" s="3443"/>
      <c r="V875" s="3443"/>
      <c r="W875" s="3443"/>
      <c r="X875" s="3443"/>
      <c r="Y875" s="3507"/>
    </row>
    <row r="876" spans="1:292" ht="28.5" hidden="1">
      <c r="A876" s="3443" t="s">
        <v>67</v>
      </c>
      <c r="B876" s="3506">
        <v>45804</v>
      </c>
      <c r="C876" s="3165" t="s">
        <v>2433</v>
      </c>
      <c r="D876" s="4399"/>
      <c r="E876" s="3443" t="s">
        <v>89</v>
      </c>
      <c r="F876" s="3443" t="s">
        <v>450</v>
      </c>
      <c r="I876" s="3462">
        <v>712</v>
      </c>
      <c r="J876" s="3443" t="s">
        <v>2470</v>
      </c>
      <c r="K876" s="3511" t="s">
        <v>2469</v>
      </c>
      <c r="L876" s="3443"/>
      <c r="M876" s="3443" t="s">
        <v>30</v>
      </c>
      <c r="O876" s="3443"/>
      <c r="P876" s="21" t="s">
        <v>122</v>
      </c>
      <c r="Q876" s="21" t="s">
        <v>110</v>
      </c>
      <c r="R876" s="21"/>
      <c r="S876" s="3443"/>
      <c r="T876" s="3443"/>
      <c r="U876" s="3443"/>
      <c r="V876" s="3443"/>
      <c r="W876" s="3443"/>
      <c r="X876" s="3443"/>
      <c r="Y876" s="3507"/>
    </row>
    <row r="877" spans="1:292" ht="57" hidden="1">
      <c r="A877" s="3443" t="s">
        <v>67</v>
      </c>
      <c r="B877" s="3506">
        <v>45804</v>
      </c>
      <c r="C877" s="3165" t="s">
        <v>2433</v>
      </c>
      <c r="D877" s="4399"/>
      <c r="E877" s="3443" t="s">
        <v>450</v>
      </c>
      <c r="F877" s="3443" t="s">
        <v>2471</v>
      </c>
      <c r="I877" s="3443">
        <v>712</v>
      </c>
      <c r="J877" s="3443" t="s">
        <v>495</v>
      </c>
      <c r="K877" s="3443"/>
      <c r="L877" s="3443" t="s">
        <v>37</v>
      </c>
      <c r="M877" s="3443"/>
      <c r="O877" s="3443"/>
      <c r="P877" s="360" t="s">
        <v>109</v>
      </c>
      <c r="Q877" s="360" t="s">
        <v>300</v>
      </c>
      <c r="R877" s="360" t="s">
        <v>32</v>
      </c>
      <c r="S877" s="3443"/>
      <c r="T877" s="3443"/>
      <c r="U877" s="3443"/>
      <c r="V877" s="3443"/>
      <c r="W877" s="3507" t="s">
        <v>2472</v>
      </c>
      <c r="X877" s="3443"/>
      <c r="Y877" s="3507"/>
    </row>
    <row r="878" spans="1:292" ht="28.5" hidden="1">
      <c r="A878" s="3462" t="s">
        <v>67</v>
      </c>
      <c r="B878" s="3506">
        <v>45804</v>
      </c>
      <c r="C878" s="3165" t="s">
        <v>2433</v>
      </c>
      <c r="D878" s="4399" t="s">
        <v>2473</v>
      </c>
      <c r="E878" s="3462" t="s">
        <v>339</v>
      </c>
      <c r="F878" s="3462" t="s">
        <v>1698</v>
      </c>
      <c r="I878" s="3443">
        <v>707</v>
      </c>
      <c r="J878" s="3462">
        <v>60072</v>
      </c>
      <c r="K878" s="3462"/>
      <c r="L878" s="3462" t="s">
        <v>37</v>
      </c>
      <c r="M878" s="3462"/>
      <c r="O878" s="3462"/>
      <c r="P878" s="3462"/>
      <c r="Q878" s="3462"/>
      <c r="R878" s="3462"/>
      <c r="S878" s="3462"/>
      <c r="T878" s="3462"/>
      <c r="U878" s="3462"/>
      <c r="V878" s="3462"/>
      <c r="W878" s="3462"/>
      <c r="X878" s="3462"/>
      <c r="Y878" s="3636"/>
    </row>
    <row r="879" spans="1:292" ht="28.5" hidden="1">
      <c r="A879" s="3456" t="s">
        <v>67</v>
      </c>
      <c r="B879" s="3506">
        <v>45804</v>
      </c>
      <c r="C879" s="3165" t="s">
        <v>2433</v>
      </c>
      <c r="D879" s="4399" t="s">
        <v>2474</v>
      </c>
      <c r="E879" s="3443" t="s">
        <v>643</v>
      </c>
      <c r="F879" s="3443" t="s">
        <v>2475</v>
      </c>
      <c r="I879" s="3443">
        <v>707</v>
      </c>
      <c r="J879" s="3443" t="s">
        <v>151</v>
      </c>
      <c r="K879" s="3511" t="s">
        <v>84</v>
      </c>
      <c r="L879" s="3443" t="s">
        <v>37</v>
      </c>
      <c r="M879" s="3443"/>
      <c r="O879" s="3443"/>
      <c r="P879" s="3443"/>
      <c r="Q879" s="3443"/>
      <c r="R879" s="3443"/>
      <c r="S879" s="3443"/>
      <c r="T879" s="3443"/>
      <c r="U879" s="3443"/>
      <c r="V879" s="3443"/>
      <c r="W879" s="3443"/>
      <c r="X879" s="3443"/>
      <c r="Y879" s="3507"/>
    </row>
    <row r="880" spans="1:292" ht="28.5" hidden="1">
      <c r="A880" s="3456" t="s">
        <v>67</v>
      </c>
      <c r="B880" s="3506">
        <v>45804</v>
      </c>
      <c r="C880" s="3165" t="s">
        <v>2433</v>
      </c>
      <c r="D880" s="4399" t="s">
        <v>2476</v>
      </c>
      <c r="E880" s="3628" t="s">
        <v>1091</v>
      </c>
      <c r="F880" s="3628" t="s">
        <v>659</v>
      </c>
      <c r="I880" s="3443">
        <v>712</v>
      </c>
      <c r="J880" s="3456" t="s">
        <v>2171</v>
      </c>
      <c r="K880" s="3456"/>
      <c r="L880" s="3456" t="s">
        <v>37</v>
      </c>
      <c r="M880" s="3456"/>
      <c r="O880" s="3456"/>
      <c r="P880" s="3456"/>
      <c r="Q880" s="3456"/>
      <c r="R880" s="3456"/>
      <c r="S880" s="3456"/>
      <c r="T880" s="3456"/>
      <c r="U880" s="3456"/>
      <c r="V880" s="3456"/>
      <c r="W880" s="3456"/>
      <c r="X880" s="3456"/>
      <c r="Y880" s="3512"/>
    </row>
    <row r="881" spans="1:25" ht="28.5" hidden="1">
      <c r="A881" s="3462" t="s">
        <v>67</v>
      </c>
      <c r="B881" s="3506">
        <v>45804</v>
      </c>
      <c r="C881" s="3354" t="s">
        <v>2433</v>
      </c>
      <c r="D881" s="4400" t="s">
        <v>2477</v>
      </c>
      <c r="E881" s="3462" t="s">
        <v>306</v>
      </c>
      <c r="F881" s="3462" t="s">
        <v>1254</v>
      </c>
      <c r="I881" s="3443">
        <v>705</v>
      </c>
      <c r="J881" s="3462" t="s">
        <v>2448</v>
      </c>
      <c r="K881" s="3632" t="s">
        <v>1613</v>
      </c>
      <c r="L881" s="3462" t="s">
        <v>37</v>
      </c>
      <c r="M881" s="3462"/>
      <c r="N881" s="3273"/>
      <c r="O881" s="3462"/>
      <c r="P881" s="3462"/>
      <c r="Q881" s="3462"/>
      <c r="R881" s="3462"/>
      <c r="S881" s="3462"/>
      <c r="T881" s="3462"/>
      <c r="U881" s="3462" t="s">
        <v>37</v>
      </c>
      <c r="V881" s="3462"/>
      <c r="W881" s="3462"/>
      <c r="X881" s="3462"/>
      <c r="Y881" s="3636"/>
    </row>
    <row r="882" spans="1:25" ht="28.5" hidden="1">
      <c r="A882" s="3477" t="s">
        <v>67</v>
      </c>
      <c r="B882" s="3657">
        <v>45804</v>
      </c>
      <c r="C882" s="3356" t="s">
        <v>2433</v>
      </c>
      <c r="D882" s="3514" t="s">
        <v>2478</v>
      </c>
      <c r="E882" s="3718" t="s">
        <v>169</v>
      </c>
      <c r="F882" s="3726" t="s">
        <v>1571</v>
      </c>
      <c r="G882" s="3254"/>
      <c r="H882" s="3253"/>
      <c r="I882" s="3656">
        <v>712</v>
      </c>
      <c r="J882" s="3668" t="s">
        <v>2479</v>
      </c>
      <c r="K882" s="3667" t="s">
        <v>174</v>
      </c>
      <c r="L882" s="3503" t="s">
        <v>37</v>
      </c>
      <c r="M882" s="3668"/>
      <c r="N882" s="3281"/>
      <c r="O882" s="3668"/>
      <c r="P882" s="3668"/>
      <c r="Q882" s="3668"/>
      <c r="R882" s="3668"/>
      <c r="S882" s="3668"/>
      <c r="T882" s="3668"/>
      <c r="U882" s="3668"/>
      <c r="V882" s="3668"/>
      <c r="W882" s="3668"/>
      <c r="X882" s="3668"/>
      <c r="Y882" s="3669"/>
    </row>
    <row r="883" spans="1:25" ht="28.5" hidden="1">
      <c r="A883" s="3480" t="s">
        <v>67</v>
      </c>
      <c r="B883" s="3506">
        <v>45804</v>
      </c>
      <c r="C883" s="3165" t="s">
        <v>2433</v>
      </c>
      <c r="D883" s="4399" t="s">
        <v>2480</v>
      </c>
      <c r="E883" s="3614" t="s">
        <v>2303</v>
      </c>
      <c r="F883" s="3643" t="s">
        <v>1145</v>
      </c>
      <c r="G883" s="3254"/>
      <c r="H883" s="3253"/>
      <c r="I883" s="3480">
        <v>712</v>
      </c>
      <c r="J883" s="3443" t="s">
        <v>2479</v>
      </c>
      <c r="K883" s="3511" t="s">
        <v>174</v>
      </c>
      <c r="L883" s="3443" t="s">
        <v>37</v>
      </c>
      <c r="M883" s="3443"/>
      <c r="O883" s="3443"/>
      <c r="P883" s="3443"/>
      <c r="Q883" s="3443"/>
      <c r="R883" s="3443"/>
      <c r="S883" s="3443"/>
      <c r="T883" s="3443"/>
      <c r="U883" s="3443"/>
      <c r="V883" s="3443"/>
      <c r="W883" s="3443"/>
      <c r="X883" s="3443"/>
      <c r="Y883" s="3522"/>
    </row>
    <row r="884" spans="1:25" ht="28.5" hidden="1">
      <c r="A884" s="3480" t="s">
        <v>85</v>
      </c>
      <c r="B884" s="3506">
        <v>45805</v>
      </c>
      <c r="C884" s="3165" t="s">
        <v>2433</v>
      </c>
      <c r="D884" s="4399" t="s">
        <v>2481</v>
      </c>
      <c r="E884" s="3617" t="s">
        <v>1464</v>
      </c>
      <c r="F884" s="3645" t="s">
        <v>1465</v>
      </c>
      <c r="G884" s="3254"/>
      <c r="H884" s="3253"/>
      <c r="I884" s="3443">
        <v>701</v>
      </c>
      <c r="J884" s="3443" t="s">
        <v>1785</v>
      </c>
      <c r="K884" s="3443"/>
      <c r="L884" s="3443" t="s">
        <v>37</v>
      </c>
      <c r="M884" s="3443"/>
      <c r="O884" s="3443"/>
      <c r="P884" s="3443"/>
      <c r="Q884" s="3443"/>
      <c r="R884" s="3443"/>
      <c r="S884" s="3443"/>
      <c r="T884" s="3443"/>
      <c r="U884" s="3443"/>
      <c r="V884" s="3443"/>
      <c r="W884" s="3443"/>
      <c r="X884" s="3443"/>
      <c r="Y884" s="3522"/>
    </row>
    <row r="885" spans="1:25" ht="28.5" hidden="1">
      <c r="A885" s="3480" t="s">
        <v>85</v>
      </c>
      <c r="B885" s="3506">
        <v>45805</v>
      </c>
      <c r="C885" s="3165" t="s">
        <v>2433</v>
      </c>
      <c r="D885" s="4399"/>
      <c r="E885" s="3617" t="s">
        <v>1465</v>
      </c>
      <c r="F885" s="3645" t="s">
        <v>1464</v>
      </c>
      <c r="G885" s="3254"/>
      <c r="H885" s="3253"/>
      <c r="I885" s="3443">
        <v>701</v>
      </c>
      <c r="J885" s="3443" t="s">
        <v>1771</v>
      </c>
      <c r="K885" s="3443"/>
      <c r="L885" s="3443" t="s">
        <v>37</v>
      </c>
      <c r="M885" s="3443"/>
      <c r="O885" s="3443"/>
      <c r="P885" s="3462"/>
      <c r="Q885" s="3462"/>
      <c r="R885" s="3462"/>
      <c r="S885" s="3443"/>
      <c r="T885" s="3443"/>
      <c r="U885" s="3443"/>
      <c r="V885" s="3443"/>
      <c r="W885" s="3443"/>
      <c r="X885" s="3443"/>
      <c r="Y885" s="3522"/>
    </row>
    <row r="886" spans="1:25" ht="28.5" hidden="1">
      <c r="A886" s="3480" t="s">
        <v>85</v>
      </c>
      <c r="B886" s="3444">
        <v>45805</v>
      </c>
      <c r="C886" s="3165" t="s">
        <v>2433</v>
      </c>
      <c r="D886" s="4399" t="s">
        <v>2482</v>
      </c>
      <c r="E886" s="3615" t="s">
        <v>1116</v>
      </c>
      <c r="F886" s="3641" t="s">
        <v>2483</v>
      </c>
      <c r="G886" s="3254"/>
      <c r="H886" s="3253"/>
      <c r="I886" s="3480">
        <v>712</v>
      </c>
      <c r="J886" s="3443" t="s">
        <v>2442</v>
      </c>
      <c r="K886" s="3443"/>
      <c r="L886" s="3443" t="s">
        <v>37</v>
      </c>
      <c r="M886" s="3443"/>
      <c r="O886" s="3531"/>
      <c r="P886" s="3443"/>
      <c r="Q886" s="3443"/>
      <c r="R886" s="3443"/>
      <c r="S886" s="3534"/>
      <c r="T886" s="3443"/>
      <c r="U886" s="3443"/>
      <c r="V886" s="3443"/>
      <c r="W886" s="3443"/>
      <c r="X886" s="3443"/>
      <c r="Y886" s="3522"/>
    </row>
    <row r="887" spans="1:25" ht="28.5" hidden="1">
      <c r="A887" s="3480" t="s">
        <v>85</v>
      </c>
      <c r="B887" s="3506">
        <v>45805</v>
      </c>
      <c r="C887" s="3165" t="s">
        <v>2433</v>
      </c>
      <c r="D887" s="4399"/>
      <c r="E887" s="3623" t="s">
        <v>450</v>
      </c>
      <c r="F887" s="3652" t="s">
        <v>2484</v>
      </c>
      <c r="G887" s="3254"/>
      <c r="H887" s="3253"/>
      <c r="I887" s="3443">
        <v>712</v>
      </c>
      <c r="J887" s="3443" t="s">
        <v>2485</v>
      </c>
      <c r="K887" s="3443"/>
      <c r="L887" s="3443" t="s">
        <v>37</v>
      </c>
      <c r="M887" s="3443"/>
      <c r="O887" s="3531"/>
      <c r="P887" s="3443"/>
      <c r="Q887" s="3443"/>
      <c r="R887" s="3443"/>
      <c r="S887" s="3534"/>
      <c r="T887" s="3443"/>
      <c r="U887" s="3443"/>
      <c r="V887" s="3443"/>
      <c r="W887" s="3443"/>
      <c r="X887" s="3443"/>
      <c r="Y887" s="3522"/>
    </row>
    <row r="888" spans="1:25" ht="28.5" hidden="1">
      <c r="A888" s="3480" t="s">
        <v>2486</v>
      </c>
      <c r="B888" s="3506">
        <v>45805</v>
      </c>
      <c r="C888" s="3165" t="s">
        <v>2433</v>
      </c>
      <c r="D888" s="4399" t="s">
        <v>2487</v>
      </c>
      <c r="E888" s="3443" t="s">
        <v>304</v>
      </c>
      <c r="F888" s="3516" t="s">
        <v>2488</v>
      </c>
      <c r="G888" s="3254"/>
      <c r="H888" s="3253"/>
      <c r="I888" s="3443">
        <v>705</v>
      </c>
      <c r="J888" s="3443" t="s">
        <v>2448</v>
      </c>
      <c r="K888" s="3511" t="s">
        <v>1613</v>
      </c>
      <c r="L888" s="3443"/>
      <c r="M888" s="3443" t="s">
        <v>37</v>
      </c>
      <c r="O888" s="3443"/>
      <c r="P888" s="119" t="s">
        <v>71</v>
      </c>
      <c r="Q888" s="119" t="s">
        <v>138</v>
      </c>
      <c r="R888" s="119" t="s">
        <v>160</v>
      </c>
      <c r="S888" s="3443"/>
      <c r="T888" s="3443"/>
      <c r="U888" s="3443"/>
      <c r="V888" s="3443"/>
      <c r="W888" s="3443"/>
      <c r="X888" s="3443"/>
      <c r="Y888" s="3522" t="s">
        <v>2489</v>
      </c>
    </row>
    <row r="889" spans="1:25" ht="57" hidden="1">
      <c r="A889" s="3480" t="s">
        <v>85</v>
      </c>
      <c r="B889" s="3506">
        <v>45805</v>
      </c>
      <c r="C889" s="3165" t="s">
        <v>2433</v>
      </c>
      <c r="D889" s="4399" t="s">
        <v>2490</v>
      </c>
      <c r="E889" s="3614" t="s">
        <v>169</v>
      </c>
      <c r="F889" s="3643" t="s">
        <v>2475</v>
      </c>
      <c r="G889" s="3254"/>
      <c r="H889" s="3253"/>
      <c r="I889" s="3443">
        <v>712</v>
      </c>
      <c r="J889" s="3443" t="s">
        <v>99</v>
      </c>
      <c r="K889" s="3511" t="s">
        <v>84</v>
      </c>
      <c r="L889" s="3443" t="s">
        <v>37</v>
      </c>
      <c r="M889" s="3443"/>
      <c r="O889" s="3443"/>
      <c r="P889" s="21"/>
      <c r="Q889" s="21"/>
      <c r="R889" s="21"/>
      <c r="S889" s="3443"/>
      <c r="T889" s="3443"/>
      <c r="U889" s="3443"/>
      <c r="V889" s="3443"/>
      <c r="W889" s="3443"/>
      <c r="X889" s="3443"/>
      <c r="Y889" s="3522" t="s">
        <v>2491</v>
      </c>
    </row>
    <row r="890" spans="1:25" ht="28.5" hidden="1">
      <c r="A890" s="3480" t="s">
        <v>85</v>
      </c>
      <c r="B890" s="3506">
        <v>45805</v>
      </c>
      <c r="C890" s="3165" t="s">
        <v>2433</v>
      </c>
      <c r="D890" s="4399" t="s">
        <v>2492</v>
      </c>
      <c r="E890" s="3614" t="s">
        <v>169</v>
      </c>
      <c r="F890" s="3643" t="s">
        <v>1571</v>
      </c>
      <c r="G890" s="3254"/>
      <c r="H890" s="3253"/>
      <c r="I890" s="3480">
        <v>712</v>
      </c>
      <c r="J890" s="3443" t="s">
        <v>2026</v>
      </c>
      <c r="K890" s="3511" t="s">
        <v>174</v>
      </c>
      <c r="L890" s="3443" t="s">
        <v>37</v>
      </c>
      <c r="M890" s="3443"/>
      <c r="O890" s="3443"/>
      <c r="P890" s="3443"/>
      <c r="Q890" s="3443"/>
      <c r="R890" s="3443"/>
      <c r="S890" s="3443"/>
      <c r="T890" s="3443"/>
      <c r="U890" s="3443"/>
      <c r="V890" s="3443"/>
      <c r="W890" s="3443"/>
      <c r="X890" s="3443"/>
      <c r="Y890" s="3522"/>
    </row>
    <row r="891" spans="1:25" ht="28.5" hidden="1">
      <c r="A891" s="3480" t="s">
        <v>85</v>
      </c>
      <c r="B891" s="3506">
        <v>45805</v>
      </c>
      <c r="C891" s="3165" t="s">
        <v>2433</v>
      </c>
      <c r="D891" s="4399" t="s">
        <v>2493</v>
      </c>
      <c r="E891" s="3614" t="s">
        <v>169</v>
      </c>
      <c r="F891" s="3643" t="s">
        <v>339</v>
      </c>
      <c r="G891" s="3254"/>
      <c r="H891" s="3253"/>
      <c r="I891" s="3480">
        <v>712</v>
      </c>
      <c r="J891" s="3443" t="s">
        <v>274</v>
      </c>
      <c r="K891" s="3511" t="s">
        <v>84</v>
      </c>
      <c r="L891" s="3443" t="s">
        <v>37</v>
      </c>
      <c r="M891" s="3443"/>
      <c r="O891" s="3443"/>
      <c r="P891" s="3443"/>
      <c r="Q891" s="3443"/>
      <c r="R891" s="3443"/>
      <c r="S891" s="3443"/>
      <c r="T891" s="3443"/>
      <c r="U891" s="3443"/>
      <c r="V891" s="3443" t="s">
        <v>37</v>
      </c>
      <c r="W891" s="3443"/>
      <c r="X891" s="3443"/>
      <c r="Y891" s="3522" t="s">
        <v>2494</v>
      </c>
    </row>
    <row r="892" spans="1:25" ht="28.5" hidden="1">
      <c r="A892" s="3480" t="s">
        <v>85</v>
      </c>
      <c r="B892" s="3506">
        <v>45805</v>
      </c>
      <c r="C892" s="3165" t="s">
        <v>2433</v>
      </c>
      <c r="D892" s="4399" t="s">
        <v>2495</v>
      </c>
      <c r="E892" s="3614" t="s">
        <v>80</v>
      </c>
      <c r="F892" s="3643" t="s">
        <v>392</v>
      </c>
      <c r="G892" s="3254"/>
      <c r="H892" s="3253"/>
      <c r="I892" s="3480">
        <v>705</v>
      </c>
      <c r="J892" s="3443" t="s">
        <v>2124</v>
      </c>
      <c r="K892" s="3635"/>
      <c r="L892" s="3443" t="s">
        <v>37</v>
      </c>
      <c r="M892" s="3443"/>
      <c r="O892" s="3443"/>
      <c r="P892" s="3443"/>
      <c r="Q892" s="3443"/>
      <c r="R892" s="3443"/>
      <c r="S892" s="3443"/>
      <c r="T892" s="3443"/>
      <c r="U892" s="3443"/>
      <c r="V892" s="3443"/>
      <c r="W892" s="3443"/>
      <c r="X892" s="3443"/>
      <c r="Y892" s="3522"/>
    </row>
    <row r="893" spans="1:25" ht="29.25" hidden="1" thickBot="1">
      <c r="A893" s="3494" t="s">
        <v>85</v>
      </c>
      <c r="B893" s="3451">
        <v>45805</v>
      </c>
      <c r="C893" s="3357" t="s">
        <v>2433</v>
      </c>
      <c r="D893" s="4404" t="s">
        <v>2496</v>
      </c>
      <c r="E893" s="3690" t="s">
        <v>1838</v>
      </c>
      <c r="F893" s="3715" t="s">
        <v>80</v>
      </c>
      <c r="G893" s="3254"/>
      <c r="H893" s="3253"/>
      <c r="I893" s="3494"/>
      <c r="J893" s="3447"/>
      <c r="K893" s="3634"/>
      <c r="L893" s="3447" t="s">
        <v>37</v>
      </c>
      <c r="M893" s="3447"/>
      <c r="N893" s="3284"/>
      <c r="O893" s="3447"/>
      <c r="P893" s="3447"/>
      <c r="Q893" s="3447"/>
      <c r="R893" s="3447"/>
      <c r="S893" s="3447"/>
      <c r="T893" s="3447"/>
      <c r="U893" s="3447"/>
      <c r="V893" s="3447" t="s">
        <v>37</v>
      </c>
      <c r="W893" s="3447"/>
      <c r="X893" s="3447"/>
      <c r="Y893" s="3547" t="s">
        <v>2497</v>
      </c>
    </row>
    <row r="894" spans="1:25" ht="28.5" hidden="1">
      <c r="A894" s="3505" t="s">
        <v>85</v>
      </c>
      <c r="B894" s="3506">
        <v>45805</v>
      </c>
      <c r="C894" s="3355" t="s">
        <v>2433</v>
      </c>
      <c r="D894" s="3513"/>
      <c r="E894" s="3758" t="s">
        <v>392</v>
      </c>
      <c r="F894" s="3758" t="s">
        <v>80</v>
      </c>
      <c r="I894" s="3505">
        <v>705</v>
      </c>
      <c r="J894" s="3505" t="s">
        <v>2498</v>
      </c>
      <c r="K894" s="3692"/>
      <c r="L894" s="3505" t="s">
        <v>37</v>
      </c>
      <c r="M894" s="3505"/>
      <c r="N894" s="3276"/>
      <c r="O894" s="3505"/>
      <c r="P894" s="3505"/>
      <c r="Q894" s="3505"/>
      <c r="R894" s="3505"/>
      <c r="S894" s="3505"/>
      <c r="T894" s="3505"/>
      <c r="U894" s="3505"/>
      <c r="V894" s="3505"/>
      <c r="W894" s="3505"/>
      <c r="X894" s="3505"/>
      <c r="Y894" s="3764"/>
    </row>
    <row r="895" spans="1:25" ht="28.5" hidden="1">
      <c r="A895" s="3462" t="s">
        <v>85</v>
      </c>
      <c r="B895" s="3506">
        <v>45805</v>
      </c>
      <c r="C895" s="3354" t="s">
        <v>2433</v>
      </c>
      <c r="D895" s="4400" t="s">
        <v>2499</v>
      </c>
      <c r="E895" s="3689" t="s">
        <v>282</v>
      </c>
      <c r="F895" s="3689" t="s">
        <v>148</v>
      </c>
      <c r="I895" s="3607">
        <v>707</v>
      </c>
      <c r="J895" s="3505" t="s">
        <v>107</v>
      </c>
      <c r="K895" s="3693" t="s">
        <v>84</v>
      </c>
      <c r="L895" s="3505" t="s">
        <v>37</v>
      </c>
      <c r="M895" s="3505"/>
      <c r="N895" s="3273"/>
      <c r="O895" s="3505"/>
      <c r="P895" s="3505"/>
      <c r="Q895" s="3505"/>
      <c r="R895" s="3505"/>
      <c r="S895" s="3505"/>
      <c r="T895" s="3505"/>
      <c r="U895" s="3505"/>
      <c r="V895" s="3505"/>
      <c r="W895" s="3505"/>
      <c r="X895" s="3505"/>
      <c r="Y895" s="3764"/>
    </row>
    <row r="896" spans="1:25" ht="28.5" hidden="1">
      <c r="A896" s="3477" t="s">
        <v>105</v>
      </c>
      <c r="B896" s="3478">
        <v>45806</v>
      </c>
      <c r="C896" s="3356" t="s">
        <v>2433</v>
      </c>
      <c r="D896" s="3514" t="s">
        <v>2500</v>
      </c>
      <c r="E896" s="3708" t="s">
        <v>2501</v>
      </c>
      <c r="F896" s="3709" t="s">
        <v>80</v>
      </c>
      <c r="G896" s="3254"/>
      <c r="H896" s="3253"/>
      <c r="I896" s="3477">
        <v>705</v>
      </c>
      <c r="J896" s="3503" t="s">
        <v>2502</v>
      </c>
      <c r="K896" s="3779"/>
      <c r="L896" s="3503" t="s">
        <v>37</v>
      </c>
      <c r="M896" s="3503"/>
      <c r="N896" s="3281"/>
      <c r="O896" s="3503"/>
      <c r="P896" s="3503"/>
      <c r="Q896" s="3503"/>
      <c r="R896" s="3503"/>
      <c r="S896" s="3503"/>
      <c r="T896" s="3503"/>
      <c r="U896" s="3503"/>
      <c r="V896" s="3503"/>
      <c r="W896" s="3503"/>
      <c r="X896" s="3503"/>
      <c r="Y896" s="3521"/>
    </row>
    <row r="897" spans="1:25" ht="28.5" hidden="1">
      <c r="A897" s="3480" t="s">
        <v>105</v>
      </c>
      <c r="B897" s="3444">
        <v>45806</v>
      </c>
      <c r="C897" s="3165" t="s">
        <v>2433</v>
      </c>
      <c r="D897" s="4399"/>
      <c r="E897" s="3614" t="s">
        <v>80</v>
      </c>
      <c r="F897" s="3643" t="s">
        <v>1838</v>
      </c>
      <c r="G897" s="3254"/>
      <c r="H897" s="3253"/>
      <c r="I897" s="3480">
        <v>705</v>
      </c>
      <c r="J897" s="3443" t="s">
        <v>2503</v>
      </c>
      <c r="K897" s="3635"/>
      <c r="L897" s="3443" t="s">
        <v>37</v>
      </c>
      <c r="M897" s="3443"/>
      <c r="O897" s="3443"/>
      <c r="P897" s="3443"/>
      <c r="Q897" s="3443"/>
      <c r="R897" s="3443"/>
      <c r="S897" s="3443"/>
      <c r="T897" s="3443"/>
      <c r="U897" s="3443"/>
      <c r="V897" s="3443"/>
      <c r="W897" s="3443"/>
      <c r="X897" s="3443"/>
      <c r="Y897" s="3522"/>
    </row>
    <row r="898" spans="1:25" ht="57" hidden="1">
      <c r="A898" s="3480" t="s">
        <v>132</v>
      </c>
      <c r="B898" s="3444">
        <v>45807</v>
      </c>
      <c r="C898" s="3165" t="s">
        <v>2433</v>
      </c>
      <c r="D898" s="4399" t="s">
        <v>2504</v>
      </c>
      <c r="E898" s="3443" t="s">
        <v>1293</v>
      </c>
      <c r="F898" s="3516" t="s">
        <v>339</v>
      </c>
      <c r="G898" s="3254"/>
      <c r="H898" s="3253"/>
      <c r="I898" s="3480">
        <v>705</v>
      </c>
      <c r="J898" s="3443" t="s">
        <v>2505</v>
      </c>
      <c r="K898" s="3443"/>
      <c r="L898" s="3443"/>
      <c r="M898" s="3443" t="s">
        <v>37</v>
      </c>
      <c r="O898" s="3443"/>
      <c r="P898" s="21" t="s">
        <v>231</v>
      </c>
      <c r="Q898" s="21" t="s">
        <v>232</v>
      </c>
      <c r="R898" s="21" t="s">
        <v>38</v>
      </c>
      <c r="S898" s="3443"/>
      <c r="T898" s="3443"/>
      <c r="U898" s="3443"/>
      <c r="V898" s="3443"/>
      <c r="W898" s="3443"/>
      <c r="X898" s="3443"/>
      <c r="Y898" s="3522" t="s">
        <v>2506</v>
      </c>
    </row>
    <row r="899" spans="1:25" ht="114.75" hidden="1" thickBot="1">
      <c r="A899" s="3494" t="s">
        <v>132</v>
      </c>
      <c r="B899" s="3448">
        <v>45807</v>
      </c>
      <c r="C899" s="3357" t="s">
        <v>2433</v>
      </c>
      <c r="D899" s="4404" t="s">
        <v>2507</v>
      </c>
      <c r="E899" s="3447" t="s">
        <v>1838</v>
      </c>
      <c r="F899" s="3523" t="s">
        <v>1145</v>
      </c>
      <c r="G899" s="3254"/>
      <c r="H899" s="3253"/>
      <c r="I899" s="3494">
        <v>705</v>
      </c>
      <c r="J899" s="3447" t="s">
        <v>2508</v>
      </c>
      <c r="K899" s="3447"/>
      <c r="L899" s="3447"/>
      <c r="M899" s="3447" t="s">
        <v>37</v>
      </c>
      <c r="N899" s="3284"/>
      <c r="O899" s="3447"/>
      <c r="P899" s="35" t="s">
        <v>71</v>
      </c>
      <c r="Q899" s="35" t="s">
        <v>720</v>
      </c>
      <c r="R899" s="35" t="s">
        <v>160</v>
      </c>
      <c r="S899" s="3447"/>
      <c r="T899" s="3447"/>
      <c r="U899" s="3447"/>
      <c r="V899" s="3447"/>
      <c r="W899" s="3447"/>
      <c r="X899" s="3447"/>
      <c r="Y899" s="3547" t="s">
        <v>2509</v>
      </c>
    </row>
    <row r="900" spans="1:25" ht="28.5" hidden="1">
      <c r="A900" s="3443" t="s">
        <v>132</v>
      </c>
      <c r="B900" s="3506">
        <v>45807</v>
      </c>
      <c r="C900" s="3355" t="s">
        <v>2433</v>
      </c>
      <c r="D900" s="3513" t="s">
        <v>2510</v>
      </c>
      <c r="E900" s="3462" t="s">
        <v>615</v>
      </c>
      <c r="F900" s="3443" t="s">
        <v>312</v>
      </c>
      <c r="I900" s="3443">
        <v>705</v>
      </c>
      <c r="J900" s="3443" t="s">
        <v>2511</v>
      </c>
      <c r="K900" s="3443"/>
      <c r="L900" s="3443"/>
      <c r="M900" s="3443" t="s">
        <v>30</v>
      </c>
      <c r="N900" s="3161"/>
      <c r="O900" s="4722"/>
      <c r="P900" s="20" t="s">
        <v>109</v>
      </c>
      <c r="Q900" s="20" t="s">
        <v>110</v>
      </c>
      <c r="R900" s="20" t="s">
        <v>32</v>
      </c>
      <c r="S900" s="4722"/>
      <c r="T900" s="4722"/>
      <c r="U900" s="4722"/>
      <c r="V900" s="4722"/>
      <c r="W900" s="4722" t="s">
        <v>2512</v>
      </c>
      <c r="X900" s="4722"/>
      <c r="Y900" s="4763" t="s">
        <v>2513</v>
      </c>
    </row>
    <row r="901" spans="1:25" ht="28.5" hidden="1">
      <c r="A901" s="3443" t="s">
        <v>132</v>
      </c>
      <c r="B901" s="3444">
        <v>45807</v>
      </c>
      <c r="C901" s="3355" t="s">
        <v>2433</v>
      </c>
      <c r="D901" s="4399" t="s">
        <v>2514</v>
      </c>
      <c r="E901" s="3443" t="s">
        <v>2515</v>
      </c>
      <c r="F901" s="3456" t="s">
        <v>2516</v>
      </c>
      <c r="I901" s="3456">
        <v>705</v>
      </c>
      <c r="J901" s="3456" t="s">
        <v>2517</v>
      </c>
      <c r="K901" s="3673" t="s">
        <v>84</v>
      </c>
      <c r="L901" s="3456" t="s">
        <v>37</v>
      </c>
      <c r="M901" s="3456"/>
      <c r="O901" s="3443"/>
      <c r="P901" s="3443"/>
      <c r="Q901" s="3443"/>
      <c r="R901" s="3443"/>
      <c r="S901" s="3443"/>
      <c r="T901" s="3443"/>
      <c r="U901" s="3443" t="s">
        <v>37</v>
      </c>
      <c r="V901" s="3443"/>
      <c r="W901" s="3443"/>
      <c r="X901" s="3443"/>
      <c r="Y901" s="3507"/>
    </row>
    <row r="902" spans="1:25" ht="28.5" hidden="1">
      <c r="A902" s="3443" t="s">
        <v>25</v>
      </c>
      <c r="B902" s="3444">
        <v>45810</v>
      </c>
      <c r="C902" s="3355" t="s">
        <v>2518</v>
      </c>
      <c r="D902" s="4399" t="s">
        <v>2519</v>
      </c>
      <c r="E902" s="3614" t="s">
        <v>2303</v>
      </c>
      <c r="F902" s="3685" t="s">
        <v>1145</v>
      </c>
      <c r="I902" s="3456"/>
      <c r="J902" s="3456" t="s">
        <v>1066</v>
      </c>
      <c r="K902" s="3673" t="s">
        <v>174</v>
      </c>
      <c r="L902" s="3456" t="s">
        <v>37</v>
      </c>
      <c r="M902" s="3456"/>
      <c r="N902" s="49"/>
      <c r="O902" s="49"/>
      <c r="P902" s="49"/>
      <c r="Q902" s="49"/>
      <c r="R902" s="49"/>
      <c r="S902" s="49"/>
      <c r="T902" s="49"/>
      <c r="U902" s="49"/>
      <c r="V902" s="49"/>
      <c r="W902" s="49"/>
      <c r="X902" s="49"/>
      <c r="Y902" s="49"/>
    </row>
    <row r="903" spans="1:25" ht="28.5" hidden="1">
      <c r="A903" s="3443" t="s">
        <v>25</v>
      </c>
      <c r="B903" s="3444">
        <v>45810</v>
      </c>
      <c r="C903" s="3355" t="s">
        <v>2518</v>
      </c>
      <c r="D903" s="4399" t="s">
        <v>2520</v>
      </c>
      <c r="E903" s="3443" t="s">
        <v>2175</v>
      </c>
      <c r="F903" s="3456" t="s">
        <v>2521</v>
      </c>
      <c r="I903" s="3456">
        <v>707</v>
      </c>
      <c r="J903" s="3456" t="s">
        <v>2522</v>
      </c>
      <c r="K903" s="3456"/>
      <c r="L903" s="3456" t="s">
        <v>37</v>
      </c>
      <c r="M903" s="3456"/>
    </row>
    <row r="904" spans="1:25" ht="28.5" hidden="1">
      <c r="A904" s="3443" t="s">
        <v>25</v>
      </c>
      <c r="B904" s="3444">
        <v>45810</v>
      </c>
      <c r="C904" s="3355" t="s">
        <v>2518</v>
      </c>
      <c r="D904" s="4399" t="s">
        <v>2523</v>
      </c>
      <c r="E904" s="3541" t="s">
        <v>148</v>
      </c>
      <c r="F904" s="3823" t="s">
        <v>2524</v>
      </c>
      <c r="I904" s="3456">
        <v>707</v>
      </c>
      <c r="J904" s="3456">
        <v>60015</v>
      </c>
      <c r="K904" s="3456"/>
      <c r="L904" s="3456"/>
      <c r="M904" s="3456" t="s">
        <v>30</v>
      </c>
    </row>
    <row r="905" spans="1:25" ht="28.5" hidden="1">
      <c r="A905" s="3462" t="s">
        <v>25</v>
      </c>
      <c r="B905" s="3444">
        <v>45810</v>
      </c>
      <c r="C905" s="3355" t="s">
        <v>2518</v>
      </c>
      <c r="D905" s="4399"/>
      <c r="E905" s="3541" t="s">
        <v>2444</v>
      </c>
      <c r="F905" s="3630" t="s">
        <v>1766</v>
      </c>
      <c r="I905" s="3505">
        <v>707</v>
      </c>
      <c r="J905" s="3505" t="s">
        <v>2525</v>
      </c>
      <c r="K905" s="3505"/>
      <c r="L905" s="3505" t="s">
        <v>37</v>
      </c>
      <c r="M905" s="3505"/>
    </row>
    <row r="906" spans="1:25" ht="28.5" hidden="1">
      <c r="A906" s="3443" t="s">
        <v>25</v>
      </c>
      <c r="B906" s="3444">
        <v>45810</v>
      </c>
      <c r="C906" s="3355" t="s">
        <v>2518</v>
      </c>
      <c r="D906" s="4399" t="s">
        <v>2526</v>
      </c>
      <c r="E906" s="3443" t="s">
        <v>779</v>
      </c>
      <c r="F906" s="3443" t="s">
        <v>1598</v>
      </c>
      <c r="I906" s="3443">
        <v>707</v>
      </c>
      <c r="J906" s="3443" t="s">
        <v>639</v>
      </c>
      <c r="K906" s="3443"/>
      <c r="L906" s="3443" t="s">
        <v>37</v>
      </c>
      <c r="M906" s="3443"/>
    </row>
    <row r="907" spans="1:25" ht="28.5" hidden="1">
      <c r="A907" s="3443" t="s">
        <v>25</v>
      </c>
      <c r="B907" s="3444">
        <v>45810</v>
      </c>
      <c r="C907" s="3355" t="s">
        <v>2518</v>
      </c>
      <c r="D907" s="4399" t="s">
        <v>2527</v>
      </c>
      <c r="E907" s="3443" t="s">
        <v>339</v>
      </c>
      <c r="F907" s="3443" t="s">
        <v>80</v>
      </c>
      <c r="I907" s="3443">
        <v>705</v>
      </c>
      <c r="J907" s="3443" t="s">
        <v>2528</v>
      </c>
      <c r="K907" s="3443"/>
      <c r="L907" s="3443" t="s">
        <v>37</v>
      </c>
      <c r="M907" s="3443"/>
    </row>
    <row r="908" spans="1:25" ht="29.25" hidden="1" thickBot="1">
      <c r="A908" s="3447" t="s">
        <v>25</v>
      </c>
      <c r="B908" s="3451">
        <v>45810</v>
      </c>
      <c r="C908" s="3355" t="s">
        <v>2518</v>
      </c>
      <c r="D908" s="4399" t="s">
        <v>2529</v>
      </c>
      <c r="E908" s="3508" t="s">
        <v>169</v>
      </c>
      <c r="F908" s="3508" t="s">
        <v>1838</v>
      </c>
      <c r="I908" s="3508">
        <v>705</v>
      </c>
      <c r="J908" s="3508" t="s">
        <v>2530</v>
      </c>
      <c r="K908" s="3508"/>
      <c r="L908" s="3508"/>
      <c r="M908" s="3508" t="s">
        <v>30</v>
      </c>
    </row>
    <row r="909" spans="1:25" ht="28.5" hidden="1">
      <c r="A909" s="3505" t="s">
        <v>25</v>
      </c>
      <c r="B909" s="3506">
        <v>45810</v>
      </c>
      <c r="C909" s="3355" t="s">
        <v>2518</v>
      </c>
      <c r="D909" s="4399" t="s">
        <v>2531</v>
      </c>
      <c r="E909" s="3505" t="s">
        <v>80</v>
      </c>
      <c r="F909" s="3505" t="s">
        <v>1838</v>
      </c>
      <c r="I909" s="3505">
        <v>705</v>
      </c>
      <c r="J909" s="3505"/>
      <c r="K909" s="3505"/>
      <c r="L909" s="3456" t="s">
        <v>37</v>
      </c>
      <c r="M909" s="3505"/>
    </row>
    <row r="910" spans="1:25" ht="28.5" hidden="1">
      <c r="A910" s="3443" t="s">
        <v>25</v>
      </c>
      <c r="B910" s="3444">
        <v>45810</v>
      </c>
      <c r="C910" s="3355" t="s">
        <v>2518</v>
      </c>
      <c r="D910" s="4399"/>
      <c r="E910" s="3443" t="s">
        <v>1838</v>
      </c>
      <c r="F910" s="3443" t="s">
        <v>80</v>
      </c>
      <c r="I910" s="3443">
        <v>705</v>
      </c>
      <c r="J910" s="3443">
        <v>1546</v>
      </c>
      <c r="K910" s="3443"/>
      <c r="L910" s="3443" t="s">
        <v>37</v>
      </c>
      <c r="M910" s="3443"/>
    </row>
    <row r="911" spans="1:25" ht="28.5" hidden="1">
      <c r="A911" s="3443" t="s">
        <v>67</v>
      </c>
      <c r="B911" s="3444">
        <v>45811</v>
      </c>
      <c r="C911" s="3355" t="s">
        <v>2518</v>
      </c>
      <c r="D911" s="4399" t="s">
        <v>2532</v>
      </c>
      <c r="E911" s="3843" t="s">
        <v>1464</v>
      </c>
      <c r="F911" s="3843" t="s">
        <v>1465</v>
      </c>
      <c r="I911" s="3456">
        <v>701</v>
      </c>
      <c r="J911" s="3456" t="s">
        <v>1785</v>
      </c>
      <c r="K911" s="3456"/>
      <c r="L911" s="3456" t="s">
        <v>30</v>
      </c>
      <c r="M911" s="3456"/>
    </row>
    <row r="912" spans="1:25" ht="28.5" hidden="1">
      <c r="A912" s="3443" t="s">
        <v>67</v>
      </c>
      <c r="B912" s="3506">
        <v>45811</v>
      </c>
      <c r="C912" s="3355" t="s">
        <v>2518</v>
      </c>
      <c r="D912" s="4399"/>
      <c r="E912" s="3843" t="s">
        <v>1465</v>
      </c>
      <c r="F912" s="3843" t="s">
        <v>1464</v>
      </c>
      <c r="I912" s="3456">
        <v>701</v>
      </c>
      <c r="J912" s="3456" t="s">
        <v>1771</v>
      </c>
      <c r="K912" s="3456"/>
      <c r="L912" s="3456" t="s">
        <v>30</v>
      </c>
      <c r="M912" s="3456"/>
    </row>
    <row r="913" spans="1:13" ht="28.5" hidden="1">
      <c r="A913" s="3443" t="s">
        <v>67</v>
      </c>
      <c r="B913" s="3444">
        <v>45811</v>
      </c>
      <c r="C913" s="3355" t="s">
        <v>2518</v>
      </c>
      <c r="D913" s="4399" t="s">
        <v>2533</v>
      </c>
      <c r="E913" s="3819" t="s">
        <v>2534</v>
      </c>
      <c r="F913" s="3819" t="s">
        <v>2535</v>
      </c>
      <c r="I913" s="3456">
        <v>705</v>
      </c>
      <c r="J913" s="3456" t="s">
        <v>1053</v>
      </c>
      <c r="K913" s="3443"/>
      <c r="L913" s="3456" t="s">
        <v>30</v>
      </c>
      <c r="M913" s="3456"/>
    </row>
    <row r="914" spans="1:13" ht="28.5" hidden="1">
      <c r="A914" s="3443" t="s">
        <v>67</v>
      </c>
      <c r="B914" s="3840">
        <v>45811</v>
      </c>
      <c r="C914" s="3355" t="s">
        <v>2518</v>
      </c>
      <c r="D914" s="4399"/>
      <c r="E914" s="4538" t="s">
        <v>1598</v>
      </c>
      <c r="F914" s="3556" t="s">
        <v>80</v>
      </c>
      <c r="I914" s="3443">
        <v>707</v>
      </c>
      <c r="J914" s="3505">
        <v>60015</v>
      </c>
      <c r="K914" s="3505"/>
      <c r="L914" s="3505"/>
      <c r="M914" s="3505"/>
    </row>
    <row r="915" spans="1:13" ht="28.5" hidden="1">
      <c r="A915" s="3443" t="s">
        <v>67</v>
      </c>
      <c r="B915" s="3840">
        <v>45811</v>
      </c>
      <c r="C915" s="3355" t="s">
        <v>2518</v>
      </c>
      <c r="D915" s="4399" t="s">
        <v>2536</v>
      </c>
      <c r="E915" s="3534" t="s">
        <v>405</v>
      </c>
      <c r="F915" s="3443" t="s">
        <v>1698</v>
      </c>
      <c r="I915" s="3505">
        <v>707</v>
      </c>
      <c r="J915" s="3443" t="s">
        <v>2537</v>
      </c>
      <c r="K915" s="3511" t="s">
        <v>84</v>
      </c>
      <c r="L915" s="3443" t="s">
        <v>30</v>
      </c>
      <c r="M915" s="3443"/>
    </row>
    <row r="916" spans="1:13" ht="28.5" hidden="1">
      <c r="A916" s="3443" t="s">
        <v>67</v>
      </c>
      <c r="B916" s="3840">
        <v>45811</v>
      </c>
      <c r="C916" s="3355" t="s">
        <v>2518</v>
      </c>
      <c r="D916" s="4399" t="s">
        <v>2538</v>
      </c>
      <c r="E916" s="3605" t="s">
        <v>2539</v>
      </c>
      <c r="F916" s="3456" t="s">
        <v>273</v>
      </c>
      <c r="I916" s="3456">
        <v>712</v>
      </c>
      <c r="J916" s="3505" t="s">
        <v>99</v>
      </c>
      <c r="K916" s="3456"/>
      <c r="L916" s="3456" t="s">
        <v>30</v>
      </c>
      <c r="M916" s="3456"/>
    </row>
    <row r="917" spans="1:13" ht="28.5" hidden="1">
      <c r="A917" s="3443" t="s">
        <v>67</v>
      </c>
      <c r="B917" s="3840">
        <v>45811</v>
      </c>
      <c r="C917" s="3355" t="s">
        <v>2518</v>
      </c>
      <c r="D917" s="4399" t="s">
        <v>2540</v>
      </c>
      <c r="E917" s="3443" t="s">
        <v>1698</v>
      </c>
      <c r="F917" s="3443" t="s">
        <v>80</v>
      </c>
      <c r="I917" s="3443">
        <v>707</v>
      </c>
      <c r="J917" s="3443">
        <v>60015</v>
      </c>
      <c r="K917" s="3443"/>
      <c r="L917" s="3443" t="s">
        <v>30</v>
      </c>
      <c r="M917" s="3443"/>
    </row>
    <row r="918" spans="1:13" ht="29.25" hidden="1" thickBot="1">
      <c r="A918" s="3447" t="s">
        <v>67</v>
      </c>
      <c r="B918" s="3448">
        <v>45811</v>
      </c>
      <c r="C918" s="3355" t="s">
        <v>2518</v>
      </c>
      <c r="D918" s="4399" t="s">
        <v>2541</v>
      </c>
      <c r="E918" s="3508" t="s">
        <v>1838</v>
      </c>
      <c r="F918" s="3508" t="s">
        <v>80</v>
      </c>
      <c r="I918" s="3508">
        <v>705</v>
      </c>
      <c r="J918" s="3508" t="s">
        <v>2542</v>
      </c>
      <c r="K918" s="3508"/>
      <c r="L918" s="3508" t="s">
        <v>37</v>
      </c>
      <c r="M918" s="3508"/>
    </row>
    <row r="919" spans="1:13" ht="28.5" hidden="1">
      <c r="A919" s="3456" t="s">
        <v>67</v>
      </c>
      <c r="B919" s="3506">
        <v>45811</v>
      </c>
      <c r="C919" s="3355" t="s">
        <v>2518</v>
      </c>
      <c r="D919" s="4399"/>
      <c r="E919" s="3505" t="s">
        <v>80</v>
      </c>
      <c r="F919" s="3456" t="s">
        <v>1838</v>
      </c>
      <c r="I919" s="3443">
        <v>705</v>
      </c>
      <c r="J919" s="3456" t="s">
        <v>2543</v>
      </c>
      <c r="K919" s="3456"/>
      <c r="L919" s="3456"/>
      <c r="M919" s="3456" t="s">
        <v>37</v>
      </c>
    </row>
    <row r="920" spans="1:13" ht="28.5" hidden="1">
      <c r="A920" s="3443" t="s">
        <v>67</v>
      </c>
      <c r="B920" s="3444">
        <v>45811</v>
      </c>
      <c r="C920" s="3355" t="s">
        <v>2518</v>
      </c>
      <c r="D920" s="4399" t="s">
        <v>2544</v>
      </c>
      <c r="E920" s="3443" t="s">
        <v>1293</v>
      </c>
      <c r="F920" s="3456" t="s">
        <v>2545</v>
      </c>
      <c r="I920" s="3456">
        <v>705</v>
      </c>
      <c r="J920" s="3456">
        <v>1544</v>
      </c>
      <c r="K920" s="3443"/>
      <c r="L920" s="3456"/>
      <c r="M920" s="3456" t="s">
        <v>37</v>
      </c>
    </row>
    <row r="921" spans="1:13" ht="28.5" hidden="1">
      <c r="A921" s="3443" t="s">
        <v>85</v>
      </c>
      <c r="B921" s="3444">
        <v>45812</v>
      </c>
      <c r="C921" s="3355" t="s">
        <v>2518</v>
      </c>
      <c r="D921" s="4399" t="s">
        <v>2546</v>
      </c>
      <c r="E921" s="3614" t="s">
        <v>1145</v>
      </c>
      <c r="F921" s="3685" t="s">
        <v>2303</v>
      </c>
      <c r="I921" s="3456">
        <v>712</v>
      </c>
      <c r="J921" s="3456" t="s">
        <v>1237</v>
      </c>
      <c r="K921" s="3443"/>
      <c r="L921" s="3456" t="s">
        <v>30</v>
      </c>
      <c r="M921" s="3456"/>
    </row>
    <row r="922" spans="1:13" ht="28.5" hidden="1">
      <c r="A922" s="3443" t="s">
        <v>85</v>
      </c>
      <c r="B922" s="3444">
        <v>45812</v>
      </c>
      <c r="C922" s="3355" t="s">
        <v>2518</v>
      </c>
      <c r="D922" s="4399" t="s">
        <v>2547</v>
      </c>
      <c r="E922" s="3443" t="s">
        <v>2475</v>
      </c>
      <c r="F922" s="3456" t="s">
        <v>2548</v>
      </c>
      <c r="I922" s="3456">
        <v>707</v>
      </c>
      <c r="J922" s="3456" t="s">
        <v>151</v>
      </c>
      <c r="K922" s="3673" t="s">
        <v>84</v>
      </c>
      <c r="L922" s="3456" t="s">
        <v>30</v>
      </c>
      <c r="M922" s="3456"/>
    </row>
    <row r="923" spans="1:13" ht="28.5" hidden="1">
      <c r="A923" s="3443" t="s">
        <v>85</v>
      </c>
      <c r="B923" s="3444">
        <v>45812</v>
      </c>
      <c r="C923" s="3355" t="s">
        <v>2518</v>
      </c>
      <c r="D923" s="4399"/>
      <c r="E923" s="3556" t="s">
        <v>405</v>
      </c>
      <c r="F923" s="4866" t="s">
        <v>2549</v>
      </c>
      <c r="I923" s="3505">
        <v>707</v>
      </c>
      <c r="J923" s="3505" t="s">
        <v>2550</v>
      </c>
      <c r="K923" s="3632" t="s">
        <v>84</v>
      </c>
      <c r="L923" s="3443"/>
      <c r="M923" s="3462"/>
    </row>
    <row r="924" spans="1:13" ht="28.5" hidden="1">
      <c r="A924" s="3443" t="s">
        <v>85</v>
      </c>
      <c r="B924" s="3444">
        <v>45812</v>
      </c>
      <c r="C924" s="3355" t="s">
        <v>2518</v>
      </c>
      <c r="D924" s="4399"/>
      <c r="E924" s="3618" t="s">
        <v>106</v>
      </c>
      <c r="F924" s="3618" t="s">
        <v>2551</v>
      </c>
      <c r="I924" s="3443">
        <v>705</v>
      </c>
      <c r="J924" s="3443" t="s">
        <v>1053</v>
      </c>
      <c r="K924" s="3443"/>
      <c r="L924" s="3443" t="s">
        <v>30</v>
      </c>
      <c r="M924" s="3443"/>
    </row>
    <row r="925" spans="1:13" ht="29.25" hidden="1" thickBot="1">
      <c r="A925" s="3447" t="s">
        <v>85</v>
      </c>
      <c r="B925" s="3451">
        <v>45812</v>
      </c>
      <c r="C925" s="3355" t="s">
        <v>2518</v>
      </c>
      <c r="D925" s="4399" t="s">
        <v>2552</v>
      </c>
      <c r="E925" s="4822" t="s">
        <v>1464</v>
      </c>
      <c r="F925" s="3684" t="s">
        <v>1465</v>
      </c>
      <c r="I925" s="3447">
        <v>701</v>
      </c>
      <c r="J925" s="3447" t="s">
        <v>1785</v>
      </c>
      <c r="K925" s="3447"/>
      <c r="L925" s="3447" t="s">
        <v>30</v>
      </c>
      <c r="M925" s="3447"/>
    </row>
    <row r="926" spans="1:13" ht="28.5" hidden="1">
      <c r="A926" s="3505" t="s">
        <v>85</v>
      </c>
      <c r="B926" s="3506">
        <v>45812</v>
      </c>
      <c r="C926" s="3355" t="s">
        <v>2518</v>
      </c>
      <c r="D926" s="4399"/>
      <c r="E926" s="3804" t="s">
        <v>1465</v>
      </c>
      <c r="F926" s="3804" t="s">
        <v>1464</v>
      </c>
      <c r="I926" s="3505">
        <v>701</v>
      </c>
      <c r="J926" s="3505" t="s">
        <v>1771</v>
      </c>
      <c r="K926" s="3505"/>
      <c r="L926" s="3456" t="s">
        <v>30</v>
      </c>
      <c r="M926" s="3505"/>
    </row>
    <row r="927" spans="1:13" ht="28.5" hidden="1">
      <c r="A927" s="3443" t="s">
        <v>85</v>
      </c>
      <c r="B927" s="3444">
        <v>45812</v>
      </c>
      <c r="C927" s="3355" t="s">
        <v>2518</v>
      </c>
      <c r="D927" s="4399" t="s">
        <v>2553</v>
      </c>
      <c r="E927" s="3443" t="s">
        <v>1160</v>
      </c>
      <c r="F927" s="3443" t="s">
        <v>2548</v>
      </c>
      <c r="I927" s="3443">
        <v>707</v>
      </c>
      <c r="J927" s="3443" t="s">
        <v>2554</v>
      </c>
      <c r="K927" s="3443"/>
      <c r="L927" s="3443"/>
      <c r="M927" s="3443" t="s">
        <v>37</v>
      </c>
    </row>
    <row r="928" spans="1:13" ht="28.5" hidden="1">
      <c r="A928" s="3443" t="s">
        <v>105</v>
      </c>
      <c r="B928" s="3444">
        <v>45813</v>
      </c>
      <c r="C928" s="3355" t="s">
        <v>2518</v>
      </c>
      <c r="D928" s="4399" t="s">
        <v>2555</v>
      </c>
      <c r="E928" s="3617" t="s">
        <v>1464</v>
      </c>
      <c r="F928" s="3843" t="s">
        <v>1465</v>
      </c>
      <c r="I928" s="3456">
        <v>701</v>
      </c>
      <c r="J928" s="3456" t="s">
        <v>1785</v>
      </c>
      <c r="K928" s="3456"/>
      <c r="L928" s="3456"/>
      <c r="M928" s="3456"/>
    </row>
    <row r="929" spans="1:13" ht="28.5" hidden="1">
      <c r="A929" s="3443" t="s">
        <v>105</v>
      </c>
      <c r="B929" s="3444">
        <v>45813</v>
      </c>
      <c r="C929" s="3355" t="s">
        <v>2518</v>
      </c>
      <c r="D929" s="4399"/>
      <c r="E929" s="3617" t="s">
        <v>1465</v>
      </c>
      <c r="F929" s="3843" t="s">
        <v>1464</v>
      </c>
      <c r="I929" s="3456">
        <v>701</v>
      </c>
      <c r="J929" s="3456" t="s">
        <v>1771</v>
      </c>
      <c r="K929" s="3456"/>
      <c r="L929" s="3456"/>
      <c r="M929" s="3456"/>
    </row>
    <row r="930" spans="1:13" ht="28.5" hidden="1">
      <c r="A930" s="3443" t="s">
        <v>105</v>
      </c>
      <c r="B930" s="3444">
        <v>45813</v>
      </c>
      <c r="C930" s="3355" t="s">
        <v>2518</v>
      </c>
      <c r="D930" s="4399" t="s">
        <v>2556</v>
      </c>
      <c r="E930" s="3557" t="s">
        <v>1293</v>
      </c>
      <c r="F930" s="3841" t="s">
        <v>2557</v>
      </c>
      <c r="I930" s="3456">
        <v>705</v>
      </c>
      <c r="J930" s="3456" t="s">
        <v>2558</v>
      </c>
      <c r="K930" s="3456"/>
      <c r="L930" s="3456"/>
      <c r="M930" s="3456"/>
    </row>
    <row r="931" spans="1:13" ht="28.5" hidden="1">
      <c r="A931" s="3443" t="s">
        <v>105</v>
      </c>
      <c r="B931" s="3444">
        <v>45813</v>
      </c>
      <c r="C931" s="3355" t="s">
        <v>2518</v>
      </c>
      <c r="D931" s="4399" t="s">
        <v>2559</v>
      </c>
      <c r="E931" s="3567" t="s">
        <v>1838</v>
      </c>
      <c r="F931" s="3842" t="s">
        <v>80</v>
      </c>
      <c r="I931" s="3456">
        <v>705</v>
      </c>
      <c r="J931" s="3456" t="s">
        <v>2560</v>
      </c>
      <c r="K931" s="3456"/>
      <c r="L931" s="3456"/>
      <c r="M931" s="3456"/>
    </row>
    <row r="932" spans="1:13" ht="28.5" hidden="1">
      <c r="A932" s="3443" t="s">
        <v>105</v>
      </c>
      <c r="B932" s="3444">
        <v>45813</v>
      </c>
      <c r="C932" s="3355" t="s">
        <v>2518</v>
      </c>
      <c r="D932" s="4399"/>
      <c r="E932" s="3567" t="s">
        <v>80</v>
      </c>
      <c r="F932" s="3842" t="s">
        <v>1838</v>
      </c>
      <c r="I932" s="3456">
        <v>705</v>
      </c>
      <c r="J932" s="3456" t="s">
        <v>2560</v>
      </c>
      <c r="K932" s="3456"/>
      <c r="L932" s="3456"/>
      <c r="M932" s="3456"/>
    </row>
    <row r="933" spans="1:13" ht="28.5" hidden="1">
      <c r="A933" s="3462" t="s">
        <v>105</v>
      </c>
      <c r="B933" s="3463">
        <v>45813</v>
      </c>
      <c r="C933" s="3355" t="s">
        <v>2518</v>
      </c>
      <c r="D933" s="4399" t="s">
        <v>2561</v>
      </c>
      <c r="E933" s="3622" t="s">
        <v>2562</v>
      </c>
      <c r="F933" s="3804" t="s">
        <v>2209</v>
      </c>
      <c r="I933" s="3505">
        <v>705</v>
      </c>
      <c r="J933" s="3505" t="s">
        <v>2563</v>
      </c>
      <c r="K933" s="3456"/>
      <c r="L933" s="3505"/>
      <c r="M933" s="3505"/>
    </row>
    <row r="934" spans="1:13" ht="28.5" hidden="1">
      <c r="A934" s="3443" t="s">
        <v>105</v>
      </c>
      <c r="B934" s="3444">
        <v>45813</v>
      </c>
      <c r="C934" s="3355" t="s">
        <v>2518</v>
      </c>
      <c r="D934" s="4399"/>
      <c r="E934" s="3617" t="s">
        <v>537</v>
      </c>
      <c r="F934" s="3617" t="s">
        <v>2564</v>
      </c>
      <c r="I934" s="3443">
        <v>705</v>
      </c>
      <c r="J934" s="3443" t="s">
        <v>2563</v>
      </c>
      <c r="K934" s="3443"/>
      <c r="L934" s="3443"/>
      <c r="M934" s="3443"/>
    </row>
    <row r="935" spans="1:13" ht="28.5" hidden="1">
      <c r="A935" s="3443" t="s">
        <v>105</v>
      </c>
      <c r="B935" s="3444">
        <v>45813</v>
      </c>
      <c r="C935" s="3355" t="s">
        <v>2518</v>
      </c>
      <c r="D935" s="4399" t="s">
        <v>2565</v>
      </c>
      <c r="E935" s="3553" t="s">
        <v>273</v>
      </c>
      <c r="F935" s="3553" t="s">
        <v>275</v>
      </c>
      <c r="I935" s="3443"/>
      <c r="J935" s="3443" t="s">
        <v>1674</v>
      </c>
      <c r="K935" s="3443"/>
      <c r="L935" s="3443"/>
      <c r="M935" s="3443"/>
    </row>
    <row r="936" spans="1:13" ht="28.5" hidden="1">
      <c r="A936" s="3443" t="s">
        <v>105</v>
      </c>
      <c r="B936" s="3444">
        <v>45813</v>
      </c>
      <c r="C936" s="3355" t="s">
        <v>2518</v>
      </c>
      <c r="D936" s="4399" t="s">
        <v>2566</v>
      </c>
      <c r="E936" s="3443" t="s">
        <v>2567</v>
      </c>
      <c r="F936" s="3456" t="s">
        <v>2545</v>
      </c>
      <c r="I936" s="3456">
        <v>705</v>
      </c>
      <c r="J936" s="3456">
        <v>1544</v>
      </c>
      <c r="K936" s="3511" t="s">
        <v>29</v>
      </c>
      <c r="L936" s="3456"/>
      <c r="M936" s="3456"/>
    </row>
    <row r="937" spans="1:13" ht="28.5" hidden="1">
      <c r="A937" s="3443" t="s">
        <v>105</v>
      </c>
      <c r="B937" s="3444">
        <v>45813</v>
      </c>
      <c r="C937" s="3355" t="s">
        <v>2518</v>
      </c>
      <c r="D937" s="4399" t="s">
        <v>2568</v>
      </c>
      <c r="E937" s="3846" t="s">
        <v>304</v>
      </c>
      <c r="F937" s="4867" t="s">
        <v>2569</v>
      </c>
      <c r="I937" s="3443">
        <v>705</v>
      </c>
      <c r="J937" s="3505">
        <v>1544</v>
      </c>
      <c r="K937" s="3693" t="s">
        <v>29</v>
      </c>
      <c r="L937" s="3505"/>
      <c r="M937" s="3505"/>
    </row>
    <row r="938" spans="1:13" ht="29.25" hidden="1" thickBot="1">
      <c r="A938" s="3447" t="s">
        <v>105</v>
      </c>
      <c r="B938" s="3448">
        <v>45813</v>
      </c>
      <c r="C938" s="3355" t="s">
        <v>2518</v>
      </c>
      <c r="D938" s="4399"/>
      <c r="E938" s="4564" t="s">
        <v>669</v>
      </c>
      <c r="F938" s="4564" t="s">
        <v>2346</v>
      </c>
      <c r="I938" s="3443">
        <v>705</v>
      </c>
      <c r="J938" s="3447">
        <v>1544</v>
      </c>
      <c r="K938" s="3608" t="s">
        <v>84</v>
      </c>
      <c r="L938" s="3447"/>
      <c r="M938" s="3447"/>
    </row>
    <row r="939" spans="1:13" ht="28.5" hidden="1">
      <c r="A939" s="3456" t="s">
        <v>105</v>
      </c>
      <c r="B939" s="3506">
        <v>45813</v>
      </c>
      <c r="C939" s="3355" t="s">
        <v>2518</v>
      </c>
      <c r="D939" s="4399" t="s">
        <v>2570</v>
      </c>
      <c r="E939" s="3685" t="s">
        <v>2571</v>
      </c>
      <c r="F939" s="3685" t="s">
        <v>2572</v>
      </c>
      <c r="I939" s="3443">
        <v>712</v>
      </c>
      <c r="J939" s="3505">
        <v>1122</v>
      </c>
      <c r="K939" s="3673" t="s">
        <v>627</v>
      </c>
      <c r="L939" s="3456" t="s">
        <v>37</v>
      </c>
      <c r="M939" s="3456"/>
    </row>
    <row r="940" spans="1:13" ht="28.5" hidden="1">
      <c r="A940" s="3602" t="s">
        <v>105</v>
      </c>
      <c r="B940" s="3444">
        <v>45813</v>
      </c>
      <c r="C940" s="3355" t="s">
        <v>2518</v>
      </c>
      <c r="D940" s="4399" t="s">
        <v>2573</v>
      </c>
      <c r="E940" s="3849" t="s">
        <v>2574</v>
      </c>
      <c r="F940" s="3849" t="s">
        <v>2575</v>
      </c>
      <c r="I940" s="3443">
        <v>712</v>
      </c>
      <c r="J940" s="3443" t="s">
        <v>2576</v>
      </c>
      <c r="K940" s="3456"/>
      <c r="L940" s="3456" t="s">
        <v>37</v>
      </c>
      <c r="M940" s="3456"/>
    </row>
    <row r="941" spans="1:13" ht="28.5" hidden="1">
      <c r="A941" s="3443" t="s">
        <v>132</v>
      </c>
      <c r="B941" s="3444">
        <v>45814</v>
      </c>
      <c r="C941" s="3355" t="s">
        <v>2518</v>
      </c>
      <c r="D941" s="4399"/>
      <c r="E941" s="4531" t="s">
        <v>1160</v>
      </c>
      <c r="F941" s="4531" t="s">
        <v>1300</v>
      </c>
      <c r="I941" s="3443">
        <v>712</v>
      </c>
      <c r="J941" s="3443" t="s">
        <v>2576</v>
      </c>
      <c r="K941" s="3456"/>
      <c r="L941" s="3456" t="s">
        <v>37</v>
      </c>
      <c r="M941" s="3456"/>
    </row>
    <row r="942" spans="1:13" ht="28.5" hidden="1">
      <c r="A942" s="3443" t="s">
        <v>132</v>
      </c>
      <c r="B942" s="3444">
        <v>45814</v>
      </c>
      <c r="C942" s="3355" t="s">
        <v>2518</v>
      </c>
      <c r="D942" s="4399"/>
      <c r="E942" s="4531" t="s">
        <v>1153</v>
      </c>
      <c r="F942" s="4531" t="s">
        <v>2577</v>
      </c>
      <c r="I942" s="3443">
        <v>712</v>
      </c>
      <c r="J942" s="3443" t="s">
        <v>2576</v>
      </c>
      <c r="K942" s="3456"/>
      <c r="L942" s="3456" t="s">
        <v>37</v>
      </c>
      <c r="M942" s="3456"/>
    </row>
    <row r="943" spans="1:13" ht="28.5" hidden="1">
      <c r="A943" s="3443" t="s">
        <v>132</v>
      </c>
      <c r="B943" s="3444">
        <v>45814</v>
      </c>
      <c r="C943" s="3355" t="s">
        <v>2518</v>
      </c>
      <c r="D943" s="4399" t="s">
        <v>2578</v>
      </c>
      <c r="E943" s="3563" t="s">
        <v>2579</v>
      </c>
      <c r="F943" s="3563" t="s">
        <v>2580</v>
      </c>
      <c r="I943" s="3443">
        <v>712</v>
      </c>
      <c r="J943" s="3443" t="s">
        <v>2581</v>
      </c>
      <c r="K943" s="3456"/>
      <c r="L943" s="3456" t="s">
        <v>37</v>
      </c>
      <c r="M943" s="3456"/>
    </row>
    <row r="944" spans="1:13" ht="28.5" hidden="1">
      <c r="A944" s="3443" t="s">
        <v>132</v>
      </c>
      <c r="B944" s="3444">
        <v>45814</v>
      </c>
      <c r="C944" s="3355" t="s">
        <v>2518</v>
      </c>
      <c r="D944" s="4399"/>
      <c r="E944" s="3563" t="s">
        <v>2582</v>
      </c>
      <c r="F944" s="3563" t="s">
        <v>2583</v>
      </c>
      <c r="I944" s="3443">
        <v>712</v>
      </c>
      <c r="J944" s="3443" t="s">
        <v>2581</v>
      </c>
      <c r="K944" s="3443"/>
      <c r="L944" s="3443" t="s">
        <v>37</v>
      </c>
      <c r="M944" s="3456"/>
    </row>
    <row r="945" spans="1:24" ht="28.5" hidden="1">
      <c r="A945" s="3443" t="s">
        <v>132</v>
      </c>
      <c r="B945" s="3444">
        <v>45814</v>
      </c>
      <c r="C945" s="3355" t="s">
        <v>2518</v>
      </c>
      <c r="D945" s="4399"/>
      <c r="E945" s="3557" t="s">
        <v>2584</v>
      </c>
      <c r="F945" s="3557" t="s">
        <v>2585</v>
      </c>
      <c r="I945" s="3534">
        <v>705</v>
      </c>
      <c r="J945" s="3443" t="s">
        <v>2558</v>
      </c>
      <c r="K945" s="3443"/>
      <c r="L945" s="3443"/>
      <c r="M945" s="3456"/>
    </row>
    <row r="946" spans="1:24" ht="28.5" hidden="1">
      <c r="A946" s="3443" t="s">
        <v>132</v>
      </c>
      <c r="B946" s="3444">
        <v>45814</v>
      </c>
      <c r="C946" s="3355" t="s">
        <v>2518</v>
      </c>
      <c r="D946" s="4399" t="s">
        <v>2586</v>
      </c>
      <c r="E946" s="3443" t="s">
        <v>1160</v>
      </c>
      <c r="F946" s="3443" t="s">
        <v>2345</v>
      </c>
      <c r="I946" s="3443">
        <v>705</v>
      </c>
      <c r="J946" s="3443">
        <v>60105</v>
      </c>
      <c r="K946" s="3443"/>
      <c r="L946" s="3443"/>
      <c r="M946" s="3456" t="s">
        <v>30</v>
      </c>
    </row>
    <row r="947" spans="1:24" ht="28.5" hidden="1">
      <c r="A947" s="3443" t="s">
        <v>132</v>
      </c>
      <c r="B947" s="3444">
        <v>45814</v>
      </c>
      <c r="C947" s="3355" t="s">
        <v>2518</v>
      </c>
      <c r="D947" s="4399" t="s">
        <v>2587</v>
      </c>
      <c r="E947" s="3443" t="s">
        <v>2345</v>
      </c>
      <c r="F947" s="3443" t="s">
        <v>1293</v>
      </c>
      <c r="I947" s="3443">
        <v>705</v>
      </c>
      <c r="J947" s="3443" t="s">
        <v>2588</v>
      </c>
      <c r="K947" s="3443"/>
      <c r="L947" s="3443" t="s">
        <v>37</v>
      </c>
      <c r="M947" s="3505"/>
    </row>
    <row r="948" spans="1:24" ht="28.5" hidden="1">
      <c r="A948" s="3462" t="s">
        <v>132</v>
      </c>
      <c r="B948" s="3463">
        <v>45814</v>
      </c>
      <c r="C948" s="3355" t="s">
        <v>2518</v>
      </c>
      <c r="D948" s="4399"/>
      <c r="E948" s="3462" t="s">
        <v>1293</v>
      </c>
      <c r="F948" s="3462" t="s">
        <v>2352</v>
      </c>
      <c r="I948" s="3462">
        <v>705</v>
      </c>
      <c r="J948" s="3462">
        <v>60105</v>
      </c>
      <c r="K948" s="3462"/>
      <c r="L948" s="3462" t="s">
        <v>37</v>
      </c>
      <c r="M948" s="3462"/>
    </row>
    <row r="949" spans="1:24" ht="29.25" hidden="1" thickBot="1">
      <c r="A949" s="3447" t="s">
        <v>132</v>
      </c>
      <c r="B949" s="3448">
        <v>45814</v>
      </c>
      <c r="C949" s="3355" t="s">
        <v>2518</v>
      </c>
      <c r="D949" s="4399" t="s">
        <v>2589</v>
      </c>
      <c r="E949" s="3447" t="s">
        <v>1598</v>
      </c>
      <c r="F949" s="3447" t="s">
        <v>339</v>
      </c>
      <c r="I949" s="3447"/>
      <c r="J949" s="3447"/>
      <c r="K949" s="3447"/>
      <c r="L949" s="3447" t="s">
        <v>37</v>
      </c>
      <c r="M949" s="3447"/>
    </row>
    <row r="950" spans="1:24" ht="29.25" hidden="1" thickBot="1">
      <c r="A950" s="3447" t="s">
        <v>132</v>
      </c>
      <c r="B950" s="3448">
        <v>45814</v>
      </c>
      <c r="C950" s="3165" t="s">
        <v>2518</v>
      </c>
      <c r="D950" s="4399"/>
      <c r="E950" s="3443" t="s">
        <v>339</v>
      </c>
      <c r="F950" s="3443" t="s">
        <v>2590</v>
      </c>
      <c r="I950" s="3443"/>
      <c r="J950" s="3443" t="s">
        <v>278</v>
      </c>
      <c r="K950" s="3443"/>
      <c r="L950" s="3443" t="s">
        <v>37</v>
      </c>
      <c r="M950" s="3443"/>
      <c r="W950" s="4790"/>
    </row>
    <row r="951" spans="1:24" ht="28.5" hidden="1">
      <c r="A951" s="3505" t="s">
        <v>132</v>
      </c>
      <c r="B951" s="3506">
        <v>45814</v>
      </c>
      <c r="C951" s="3165" t="s">
        <v>2518</v>
      </c>
      <c r="D951" s="4399"/>
      <c r="E951" s="3844" t="s">
        <v>282</v>
      </c>
      <c r="F951" s="3844" t="s">
        <v>2591</v>
      </c>
      <c r="I951" s="3443"/>
      <c r="J951" s="3462" t="s">
        <v>1674</v>
      </c>
      <c r="K951" s="3462"/>
      <c r="L951" s="3462" t="s">
        <v>37</v>
      </c>
      <c r="M951" s="3462"/>
      <c r="N951" s="3273"/>
      <c r="S951" s="3273"/>
      <c r="T951" s="3273"/>
    </row>
    <row r="952" spans="1:24" ht="28.5" hidden="1">
      <c r="A952" s="3443" t="s">
        <v>25</v>
      </c>
      <c r="B952" s="3444">
        <v>45817</v>
      </c>
      <c r="C952" s="3165" t="s">
        <v>2592</v>
      </c>
      <c r="D952" s="4399"/>
      <c r="E952" s="3443" t="s">
        <v>669</v>
      </c>
      <c r="F952" s="3443" t="s">
        <v>2593</v>
      </c>
      <c r="I952" s="3443">
        <v>705</v>
      </c>
      <c r="J952" s="3443" t="s">
        <v>1674</v>
      </c>
      <c r="K952" s="3443"/>
      <c r="L952" s="3443" t="s">
        <v>37</v>
      </c>
      <c r="M952" s="3443"/>
      <c r="N952" s="3443"/>
      <c r="S952" s="3443"/>
      <c r="T952" s="3443"/>
      <c r="W952" s="3853"/>
    </row>
    <row r="953" spans="1:24" ht="28.5" hidden="1">
      <c r="A953" s="3443" t="s">
        <v>67</v>
      </c>
      <c r="B953" s="3444">
        <v>45818</v>
      </c>
      <c r="C953" s="3165" t="s">
        <v>2592</v>
      </c>
      <c r="D953" s="4399" t="s">
        <v>2594</v>
      </c>
      <c r="E953" s="3614" t="s">
        <v>2303</v>
      </c>
      <c r="F953" s="3614" t="s">
        <v>1145</v>
      </c>
      <c r="I953" s="3443">
        <v>712</v>
      </c>
      <c r="J953" s="3443"/>
      <c r="K953" s="3511" t="s">
        <v>174</v>
      </c>
      <c r="L953" s="3443" t="s">
        <v>37</v>
      </c>
      <c r="M953" s="3443"/>
      <c r="N953" s="3443"/>
      <c r="S953" s="3443"/>
      <c r="T953" s="3443"/>
      <c r="W953" s="3853"/>
    </row>
    <row r="954" spans="1:24" ht="28.5" hidden="1">
      <c r="A954" s="3443" t="s">
        <v>67</v>
      </c>
      <c r="B954" s="3444">
        <v>45818</v>
      </c>
      <c r="C954" s="3165" t="s">
        <v>2592</v>
      </c>
      <c r="D954" s="4399" t="s">
        <v>2595</v>
      </c>
      <c r="E954" s="3620" t="s">
        <v>1838</v>
      </c>
      <c r="F954" s="3620" t="s">
        <v>140</v>
      </c>
      <c r="I954" s="3443">
        <v>707</v>
      </c>
      <c r="J954" s="3443" t="s">
        <v>2502</v>
      </c>
      <c r="K954" s="3443"/>
      <c r="L954" s="3443" t="s">
        <v>37</v>
      </c>
      <c r="M954" s="3443"/>
      <c r="N954" s="3443"/>
      <c r="S954" s="3443"/>
      <c r="T954" s="3443"/>
      <c r="W954" s="3575"/>
    </row>
    <row r="955" spans="1:24" ht="28.5" hidden="1">
      <c r="A955" s="3443" t="s">
        <v>67</v>
      </c>
      <c r="B955" s="3444">
        <v>45818</v>
      </c>
      <c r="C955" s="3165" t="s">
        <v>2592</v>
      </c>
      <c r="D955" s="4399" t="s">
        <v>2596</v>
      </c>
      <c r="E955" s="3617" t="s">
        <v>1464</v>
      </c>
      <c r="F955" s="3617" t="s">
        <v>1465</v>
      </c>
      <c r="I955" s="3443">
        <v>701</v>
      </c>
      <c r="J955" s="3443" t="s">
        <v>1785</v>
      </c>
      <c r="K955" s="3443"/>
      <c r="L955" s="3443" t="s">
        <v>37</v>
      </c>
      <c r="M955" s="3443"/>
      <c r="N955" s="3443"/>
      <c r="S955" s="3443"/>
      <c r="T955" s="3443"/>
      <c r="W955" s="3854"/>
    </row>
    <row r="956" spans="1:24" ht="28.5" hidden="1">
      <c r="A956" s="3443" t="s">
        <v>67</v>
      </c>
      <c r="B956" s="3444">
        <v>45818</v>
      </c>
      <c r="C956" s="3165" t="s">
        <v>2592</v>
      </c>
      <c r="D956" s="4399"/>
      <c r="E956" s="3617" t="s">
        <v>1465</v>
      </c>
      <c r="F956" s="3617" t="s">
        <v>1464</v>
      </c>
      <c r="I956" s="3443">
        <v>701</v>
      </c>
      <c r="J956" s="3443" t="s">
        <v>1771</v>
      </c>
      <c r="K956" s="3443"/>
      <c r="L956" s="3443" t="s">
        <v>37</v>
      </c>
      <c r="M956" s="3443"/>
      <c r="N956" s="3443"/>
      <c r="S956" s="3443"/>
      <c r="T956" s="3443"/>
      <c r="W956" s="3854"/>
    </row>
    <row r="957" spans="1:24" ht="28.5" hidden="1">
      <c r="A957" s="3443" t="s">
        <v>67</v>
      </c>
      <c r="B957" s="3444">
        <v>45818</v>
      </c>
      <c r="C957" s="3165" t="s">
        <v>2592</v>
      </c>
      <c r="D957" s="4399" t="s">
        <v>2597</v>
      </c>
      <c r="E957" s="3618" t="s">
        <v>1160</v>
      </c>
      <c r="F957" s="3618" t="s">
        <v>2598</v>
      </c>
      <c r="I957" s="3443">
        <v>707</v>
      </c>
      <c r="J957" s="3443">
        <v>1124</v>
      </c>
      <c r="K957" s="3443"/>
      <c r="L957" s="3443" t="s">
        <v>37</v>
      </c>
      <c r="M957" s="3443"/>
      <c r="N957" s="3443"/>
      <c r="P957" s="3161"/>
      <c r="Q957" s="3161"/>
      <c r="R957" s="3161"/>
      <c r="S957" s="3443"/>
      <c r="T957" s="3443"/>
      <c r="W957" s="3854"/>
    </row>
    <row r="958" spans="1:24" ht="28.5" hidden="1">
      <c r="A958" s="3443" t="s">
        <v>67</v>
      </c>
      <c r="B958" s="3444">
        <v>45818</v>
      </c>
      <c r="C958" s="3165" t="s">
        <v>2592</v>
      </c>
      <c r="D958" s="4399" t="s">
        <v>2599</v>
      </c>
      <c r="E958" s="3541" t="s">
        <v>2600</v>
      </c>
      <c r="F958" s="3541" t="s">
        <v>2601</v>
      </c>
      <c r="I958" s="3443">
        <v>707</v>
      </c>
      <c r="J958" s="3443">
        <v>60020</v>
      </c>
      <c r="K958" s="3443"/>
      <c r="L958" s="3443" t="s">
        <v>37</v>
      </c>
      <c r="M958" s="3443"/>
      <c r="N958" s="3443"/>
      <c r="S958" s="3443"/>
      <c r="T958" s="3443"/>
      <c r="W958" s="3507"/>
    </row>
    <row r="959" spans="1:24" ht="28.5" hidden="1">
      <c r="A959" s="3505" t="s">
        <v>67</v>
      </c>
      <c r="B959" s="3506">
        <v>45818</v>
      </c>
      <c r="C959" s="3354" t="s">
        <v>2592</v>
      </c>
      <c r="D959" s="4400" t="s">
        <v>2602</v>
      </c>
      <c r="E959" s="4824" t="s">
        <v>1698</v>
      </c>
      <c r="F959" s="4824" t="s">
        <v>2603</v>
      </c>
      <c r="I959" s="3505">
        <v>705</v>
      </c>
      <c r="J959" s="3505" t="s">
        <v>1895</v>
      </c>
      <c r="K959" s="3505"/>
      <c r="L959" s="3505"/>
      <c r="M959" s="3505" t="s">
        <v>37</v>
      </c>
      <c r="N959" s="3505"/>
      <c r="O959" s="3273"/>
      <c r="P959" s="24" t="s">
        <v>109</v>
      </c>
      <c r="Q959" s="24" t="s">
        <v>1367</v>
      </c>
      <c r="R959" s="24" t="s">
        <v>160</v>
      </c>
      <c r="S959" s="3505" t="s">
        <v>30</v>
      </c>
      <c r="T959" s="3505"/>
      <c r="U959" s="3273"/>
      <c r="V959" s="3273"/>
      <c r="W959" s="3764" t="s">
        <v>2604</v>
      </c>
    </row>
    <row r="960" spans="1:24" ht="28.5" hidden="1">
      <c r="A960" s="3656" t="s">
        <v>67</v>
      </c>
      <c r="B960" s="3657">
        <v>45818</v>
      </c>
      <c r="C960" s="3356" t="s">
        <v>2592</v>
      </c>
      <c r="D960" s="3514" t="s">
        <v>2605</v>
      </c>
      <c r="E960" s="3668" t="s">
        <v>2606</v>
      </c>
      <c r="F960" s="4613" t="s">
        <v>273</v>
      </c>
      <c r="G960" s="3254"/>
      <c r="H960" s="3253"/>
      <c r="I960" s="3656">
        <v>707</v>
      </c>
      <c r="J960" s="3668" t="s">
        <v>107</v>
      </c>
      <c r="K960" s="3668"/>
      <c r="L960" s="3668" t="s">
        <v>37</v>
      </c>
      <c r="M960" s="3668"/>
      <c r="N960" s="3668"/>
      <c r="O960" s="3281"/>
      <c r="P960" s="3281"/>
      <c r="Q960" s="3281"/>
      <c r="R960" s="3281"/>
      <c r="S960" s="3668"/>
      <c r="T960" s="3668"/>
      <c r="U960" s="3281"/>
      <c r="V960" s="3281"/>
      <c r="W960" s="3669"/>
      <c r="X960" s="3254"/>
    </row>
    <row r="961" spans="1:25" ht="28.5" hidden="1">
      <c r="A961" s="3480" t="s">
        <v>67</v>
      </c>
      <c r="B961" s="3444">
        <v>45818</v>
      </c>
      <c r="C961" s="3165" t="s">
        <v>2592</v>
      </c>
      <c r="D961" s="4399"/>
      <c r="E961" s="3620" t="s">
        <v>2430</v>
      </c>
      <c r="F961" s="3648" t="s">
        <v>2607</v>
      </c>
      <c r="G961" s="3254"/>
      <c r="H961" s="3253"/>
      <c r="I961" s="3480">
        <v>705</v>
      </c>
      <c r="J961" s="3443" t="s">
        <v>2608</v>
      </c>
      <c r="K961" s="3443"/>
      <c r="L961" s="3443" t="s">
        <v>37</v>
      </c>
      <c r="M961" s="3443"/>
      <c r="N961" s="3443"/>
      <c r="S961" s="3443"/>
      <c r="T961" s="3443"/>
      <c r="W961" s="3522"/>
      <c r="X961" s="3254"/>
    </row>
    <row r="962" spans="1:25" ht="57" hidden="1">
      <c r="A962" s="3480" t="s">
        <v>85</v>
      </c>
      <c r="B962" s="3444">
        <v>45819</v>
      </c>
      <c r="C962" s="3165" t="s">
        <v>2592</v>
      </c>
      <c r="D962" s="4399"/>
      <c r="E962" s="3721" t="s">
        <v>306</v>
      </c>
      <c r="F962" s="3738" t="s">
        <v>932</v>
      </c>
      <c r="G962" s="3254"/>
      <c r="H962" s="3253"/>
      <c r="I962" s="3480">
        <v>705</v>
      </c>
      <c r="J962" s="3443" t="s">
        <v>2609</v>
      </c>
      <c r="K962" s="3443"/>
      <c r="L962" s="3443"/>
      <c r="M962" s="3443"/>
      <c r="N962" s="3443" t="s">
        <v>37</v>
      </c>
      <c r="S962" s="3443"/>
      <c r="T962" s="3443"/>
      <c r="W962" s="3522" t="s">
        <v>2610</v>
      </c>
      <c r="X962" s="3254"/>
    </row>
    <row r="963" spans="1:25" ht="28.5" hidden="1">
      <c r="A963" s="3480" t="s">
        <v>85</v>
      </c>
      <c r="B963" s="3444">
        <v>45819</v>
      </c>
      <c r="C963" s="3165" t="s">
        <v>2592</v>
      </c>
      <c r="D963" s="4399"/>
      <c r="E963" s="3721" t="s">
        <v>169</v>
      </c>
      <c r="F963" s="3738" t="s">
        <v>2611</v>
      </c>
      <c r="G963" s="3254"/>
      <c r="H963" s="3253"/>
      <c r="I963" s="3598">
        <v>705</v>
      </c>
      <c r="J963" s="3505" t="s">
        <v>2612</v>
      </c>
      <c r="K963" s="3443"/>
      <c r="L963" s="3443"/>
      <c r="M963" s="3443"/>
      <c r="N963" s="3443" t="s">
        <v>37</v>
      </c>
      <c r="S963" s="3443"/>
      <c r="T963" s="3443"/>
      <c r="W963" s="3522" t="s">
        <v>2613</v>
      </c>
      <c r="X963" s="3254"/>
    </row>
    <row r="964" spans="1:25" ht="28.5" hidden="1">
      <c r="A964" s="3480" t="s">
        <v>85</v>
      </c>
      <c r="B964" s="3444">
        <v>45819</v>
      </c>
      <c r="C964" s="3165" t="s">
        <v>2592</v>
      </c>
      <c r="D964" s="4399"/>
      <c r="E964" s="3721" t="s">
        <v>169</v>
      </c>
      <c r="F964" s="3738" t="s">
        <v>2614</v>
      </c>
      <c r="G964" s="3254"/>
      <c r="H964" s="3253"/>
      <c r="I964" s="3480">
        <v>705</v>
      </c>
      <c r="J964" s="3443" t="s">
        <v>1895</v>
      </c>
      <c r="K964" s="3443"/>
      <c r="L964" s="3443" t="s">
        <v>37</v>
      </c>
      <c r="M964" s="3443"/>
      <c r="N964" s="3443"/>
      <c r="S964" s="3443"/>
      <c r="T964" s="3443" t="s">
        <v>37</v>
      </c>
      <c r="W964" s="3522"/>
      <c r="X964" s="3254"/>
    </row>
    <row r="965" spans="1:25" ht="28.5" hidden="1">
      <c r="A965" s="3480" t="s">
        <v>85</v>
      </c>
      <c r="B965" s="3444">
        <v>45819</v>
      </c>
      <c r="C965" s="3165" t="s">
        <v>2592</v>
      </c>
      <c r="D965" s="4399"/>
      <c r="E965" s="3721" t="s">
        <v>306</v>
      </c>
      <c r="F965" s="3738" t="s">
        <v>1988</v>
      </c>
      <c r="G965" s="3254"/>
      <c r="H965" s="3253"/>
      <c r="I965" s="3480">
        <v>705</v>
      </c>
      <c r="J965" s="3443" t="s">
        <v>2609</v>
      </c>
      <c r="K965" s="3443"/>
      <c r="L965" s="3443" t="s">
        <v>37</v>
      </c>
      <c r="M965" s="3443"/>
      <c r="N965" s="3443"/>
      <c r="S965" s="3443"/>
      <c r="T965" s="3443" t="s">
        <v>37</v>
      </c>
      <c r="W965" s="3522"/>
      <c r="X965" s="3254"/>
    </row>
    <row r="966" spans="1:25" ht="28.5" hidden="1">
      <c r="A966" s="3480" t="s">
        <v>85</v>
      </c>
      <c r="B966" s="3444">
        <v>45819</v>
      </c>
      <c r="C966" s="3165" t="s">
        <v>2592</v>
      </c>
      <c r="D966" s="4399"/>
      <c r="E966" s="3541" t="s">
        <v>502</v>
      </c>
      <c r="F966" s="3659" t="s">
        <v>1586</v>
      </c>
      <c r="G966" s="3254"/>
      <c r="H966" s="3253"/>
      <c r="I966" s="3480">
        <v>707</v>
      </c>
      <c r="J966" s="3443" t="s">
        <v>2615</v>
      </c>
      <c r="K966" s="3443"/>
      <c r="L966" s="3443" t="s">
        <v>37</v>
      </c>
      <c r="M966" s="3443"/>
      <c r="N966" s="3443"/>
      <c r="S966" s="3443"/>
      <c r="T966" s="3443"/>
      <c r="W966" s="3522"/>
      <c r="X966" s="3254"/>
    </row>
    <row r="967" spans="1:25" ht="114" hidden="1">
      <c r="A967" s="3480" t="s">
        <v>85</v>
      </c>
      <c r="B967" s="3444">
        <v>45819</v>
      </c>
      <c r="C967" s="3165" t="s">
        <v>2592</v>
      </c>
      <c r="D967" s="4399"/>
      <c r="E967" s="3618" t="s">
        <v>2616</v>
      </c>
      <c r="F967" s="3646" t="s">
        <v>2617</v>
      </c>
      <c r="G967" s="3254"/>
      <c r="H967" s="3253"/>
      <c r="I967" s="3480">
        <v>707</v>
      </c>
      <c r="J967" s="3443">
        <v>1124</v>
      </c>
      <c r="K967" s="3443"/>
      <c r="L967" s="3443"/>
      <c r="M967" s="3443" t="s">
        <v>30</v>
      </c>
      <c r="N967" s="3443"/>
      <c r="P967" s="21" t="s">
        <v>109</v>
      </c>
      <c r="Q967" s="21" t="s">
        <v>110</v>
      </c>
      <c r="R967" s="21" t="s">
        <v>38</v>
      </c>
      <c r="S967" s="3443"/>
      <c r="T967" s="3443"/>
      <c r="W967" s="3522" t="s">
        <v>2618</v>
      </c>
      <c r="X967" s="3254"/>
    </row>
    <row r="968" spans="1:25" ht="28.5" hidden="1">
      <c r="A968" s="3500" t="s">
        <v>85</v>
      </c>
      <c r="B968" s="3463">
        <v>45819</v>
      </c>
      <c r="C968" s="3354" t="s">
        <v>2592</v>
      </c>
      <c r="D968" s="4400" t="s">
        <v>2619</v>
      </c>
      <c r="E968" s="3689" t="s">
        <v>304</v>
      </c>
      <c r="F968" s="3714" t="s">
        <v>80</v>
      </c>
      <c r="G968" s="3254"/>
      <c r="H968" s="3253"/>
      <c r="I968" s="3500">
        <v>705</v>
      </c>
      <c r="J968" s="3462">
        <v>1544</v>
      </c>
      <c r="K968" s="3632" t="s">
        <v>627</v>
      </c>
      <c r="L968" s="3462" t="s">
        <v>37</v>
      </c>
      <c r="M968" s="3462"/>
      <c r="N968" s="3462"/>
      <c r="O968" s="3273"/>
      <c r="P968" s="3273"/>
      <c r="Q968" s="3273"/>
      <c r="R968" s="3273"/>
      <c r="S968" s="3462"/>
      <c r="T968" s="3462"/>
      <c r="U968" s="3273"/>
      <c r="V968" s="3273"/>
      <c r="W968" s="3544"/>
      <c r="X968" s="3364"/>
      <c r="Y968" s="3274"/>
    </row>
    <row r="969" spans="1:25" ht="28.5" hidden="1">
      <c r="A969" s="3477" t="s">
        <v>85</v>
      </c>
      <c r="B969" s="3478">
        <v>45819</v>
      </c>
      <c r="C969" s="3356" t="s">
        <v>2592</v>
      </c>
      <c r="D969" s="3514" t="s">
        <v>2620</v>
      </c>
      <c r="E969" s="3809" t="s">
        <v>1464</v>
      </c>
      <c r="F969" s="3839" t="s">
        <v>1465</v>
      </c>
      <c r="G969" s="3254"/>
      <c r="H969" s="3253"/>
      <c r="I969" s="3477">
        <v>701</v>
      </c>
      <c r="J969" s="3503" t="s">
        <v>1785</v>
      </c>
      <c r="K969" s="3503"/>
      <c r="L969" s="3668" t="s">
        <v>37</v>
      </c>
      <c r="M969" s="3666"/>
      <c r="N969" s="3668"/>
      <c r="O969" s="3281"/>
      <c r="P969" s="3281"/>
      <c r="Q969" s="3281"/>
      <c r="R969" s="3281"/>
      <c r="S969" s="3668"/>
      <c r="T969" s="3668"/>
      <c r="U969" s="3281"/>
      <c r="V969" s="3281"/>
      <c r="W969" s="3763"/>
      <c r="X969" s="3281"/>
      <c r="Y969" s="3282"/>
    </row>
    <row r="970" spans="1:25" ht="28.5" hidden="1">
      <c r="A970" s="3480" t="s">
        <v>85</v>
      </c>
      <c r="B970" s="3444">
        <v>45819</v>
      </c>
      <c r="C970" s="3165" t="s">
        <v>2592</v>
      </c>
      <c r="D970" s="4399"/>
      <c r="E970" s="3617" t="s">
        <v>1465</v>
      </c>
      <c r="F970" s="3645" t="s">
        <v>1464</v>
      </c>
      <c r="G970" s="3254"/>
      <c r="H970" s="3253"/>
      <c r="I970" s="3480">
        <v>701</v>
      </c>
      <c r="J970" s="3443" t="s">
        <v>1771</v>
      </c>
      <c r="K970" s="3531"/>
      <c r="L970" s="3443"/>
      <c r="M970" s="3443" t="s">
        <v>37</v>
      </c>
      <c r="N970" s="3443"/>
      <c r="P970" s="21" t="s">
        <v>109</v>
      </c>
      <c r="Q970" s="21" t="s">
        <v>1367</v>
      </c>
      <c r="R970" s="21" t="s">
        <v>38</v>
      </c>
      <c r="S970" s="3443" t="s">
        <v>37</v>
      </c>
      <c r="T970" s="3443"/>
      <c r="W970" s="3575" t="s">
        <v>2621</v>
      </c>
      <c r="Y970" s="3283"/>
    </row>
    <row r="971" spans="1:25" ht="28.5" hidden="1">
      <c r="A971" s="3480" t="s">
        <v>105</v>
      </c>
      <c r="B971" s="3444">
        <v>45820</v>
      </c>
      <c r="C971" s="3165" t="s">
        <v>2592</v>
      </c>
      <c r="D971" s="4399" t="s">
        <v>2622</v>
      </c>
      <c r="E971" s="3617" t="s">
        <v>1464</v>
      </c>
      <c r="F971" s="3645" t="s">
        <v>1465</v>
      </c>
      <c r="G971" s="3254"/>
      <c r="H971" s="3253"/>
      <c r="I971" s="3480">
        <v>701</v>
      </c>
      <c r="J971" s="3443" t="s">
        <v>1785</v>
      </c>
      <c r="K971" s="3531"/>
      <c r="L971" s="3443"/>
      <c r="M971" s="3443"/>
      <c r="N971" s="3443" t="s">
        <v>37</v>
      </c>
      <c r="S971" s="3443"/>
      <c r="T971" s="3443"/>
      <c r="W971" s="3854" t="s">
        <v>545</v>
      </c>
      <c r="Y971" s="3283"/>
    </row>
    <row r="972" spans="1:25" ht="28.5" hidden="1">
      <c r="A972" s="3500" t="s">
        <v>1495</v>
      </c>
      <c r="B972" s="3463">
        <v>45820</v>
      </c>
      <c r="C972" s="3165" t="s">
        <v>2592</v>
      </c>
      <c r="D972" s="4399"/>
      <c r="E972" s="3622" t="s">
        <v>1465</v>
      </c>
      <c r="F972" s="3650" t="s">
        <v>1464</v>
      </c>
      <c r="G972" s="3254"/>
      <c r="H972" s="3253"/>
      <c r="I972" s="3500">
        <v>701</v>
      </c>
      <c r="J972" s="3462" t="s">
        <v>1771</v>
      </c>
      <c r="K972" s="3600"/>
      <c r="L972" s="3462"/>
      <c r="M972" s="3443"/>
      <c r="N972" s="3443" t="s">
        <v>37</v>
      </c>
      <c r="S972" s="3443"/>
      <c r="T972" s="3443"/>
      <c r="W972" s="3854" t="s">
        <v>545</v>
      </c>
      <c r="Y972" s="3283"/>
    </row>
    <row r="973" spans="1:25" ht="57" hidden="1">
      <c r="A973" s="3480" t="s">
        <v>105</v>
      </c>
      <c r="B973" s="3444">
        <v>45820</v>
      </c>
      <c r="C973" s="3165" t="s">
        <v>2592</v>
      </c>
      <c r="D973" s="4399"/>
      <c r="E973" s="3541" t="s">
        <v>169</v>
      </c>
      <c r="F973" s="3659" t="s">
        <v>2623</v>
      </c>
      <c r="G973" s="3254"/>
      <c r="H973" s="3253"/>
      <c r="I973" s="3480">
        <v>707</v>
      </c>
      <c r="J973" s="3443" t="s">
        <v>2624</v>
      </c>
      <c r="K973" s="3443"/>
      <c r="L973" s="3443"/>
      <c r="M973" s="3534"/>
      <c r="N973" s="3443" t="s">
        <v>30</v>
      </c>
      <c r="S973" s="3443"/>
      <c r="T973" s="3443"/>
      <c r="W973" s="3854" t="s">
        <v>2625</v>
      </c>
      <c r="Y973" s="3283"/>
    </row>
    <row r="974" spans="1:25" ht="28.5" hidden="1">
      <c r="A974" s="3480" t="s">
        <v>105</v>
      </c>
      <c r="B974" s="3444">
        <v>45820</v>
      </c>
      <c r="C974" s="3165" t="s">
        <v>2592</v>
      </c>
      <c r="D974" s="4399"/>
      <c r="E974" s="3618" t="s">
        <v>2175</v>
      </c>
      <c r="F974" s="3646" t="s">
        <v>1988</v>
      </c>
      <c r="G974" s="3254"/>
      <c r="H974" s="3253"/>
      <c r="I974" s="3480">
        <v>707</v>
      </c>
      <c r="J974" s="3443" t="s">
        <v>2626</v>
      </c>
      <c r="K974" s="3443"/>
      <c r="L974" s="3443"/>
      <c r="M974" s="3534"/>
      <c r="N974" s="3443" t="s">
        <v>30</v>
      </c>
      <c r="S974" s="3443"/>
      <c r="T974" s="3443"/>
      <c r="W974" s="3853" t="s">
        <v>2627</v>
      </c>
      <c r="Y974" s="3283"/>
    </row>
    <row r="975" spans="1:25" ht="28.5" hidden="1">
      <c r="A975" s="3598" t="s">
        <v>105</v>
      </c>
      <c r="B975" s="3506">
        <v>45820</v>
      </c>
      <c r="C975" s="3165" t="s">
        <v>2592</v>
      </c>
      <c r="D975" s="4399" t="s">
        <v>2628</v>
      </c>
      <c r="E975" s="3505" t="s">
        <v>1698</v>
      </c>
      <c r="F975" s="3859" t="s">
        <v>80</v>
      </c>
      <c r="G975" s="3254"/>
      <c r="H975" s="3253"/>
      <c r="I975" s="3598">
        <v>705</v>
      </c>
      <c r="J975" s="3505" t="s">
        <v>2629</v>
      </c>
      <c r="K975" s="3505"/>
      <c r="L975" s="3505" t="s">
        <v>37</v>
      </c>
      <c r="M975" s="3505"/>
      <c r="N975" s="3505"/>
      <c r="S975" s="3505"/>
      <c r="T975" s="3505"/>
      <c r="W975" s="3636"/>
      <c r="Y975" s="3283"/>
    </row>
    <row r="976" spans="1:25" ht="28.5" hidden="1">
      <c r="A976" s="3480" t="s">
        <v>105</v>
      </c>
      <c r="B976" s="3444">
        <v>45820</v>
      </c>
      <c r="C976" s="3165" t="s">
        <v>2592</v>
      </c>
      <c r="D976" s="4399" t="s">
        <v>2630</v>
      </c>
      <c r="E976" s="3443" t="s">
        <v>2631</v>
      </c>
      <c r="F976" s="3516" t="s">
        <v>169</v>
      </c>
      <c r="G976" s="3254"/>
      <c r="H976" s="3253"/>
      <c r="I976" s="3480">
        <v>705</v>
      </c>
      <c r="J976" s="3443" t="s">
        <v>186</v>
      </c>
      <c r="K976" s="3443"/>
      <c r="L976" s="3443" t="s">
        <v>37</v>
      </c>
      <c r="M976" s="3443"/>
      <c r="N976" s="3443"/>
      <c r="S976" s="3443"/>
      <c r="T976" s="3443"/>
      <c r="W976" s="3507"/>
      <c r="Y976" s="3283"/>
    </row>
    <row r="977" spans="1:25" ht="28.5" hidden="1">
      <c r="A977" s="3480" t="s">
        <v>105</v>
      </c>
      <c r="B977" s="3444">
        <v>45820</v>
      </c>
      <c r="C977" s="3165" t="s">
        <v>2592</v>
      </c>
      <c r="D977" s="4399" t="s">
        <v>2632</v>
      </c>
      <c r="E977" s="3443" t="s">
        <v>1698</v>
      </c>
      <c r="F977" s="3516" t="s">
        <v>183</v>
      </c>
      <c r="G977" s="3254"/>
      <c r="H977" s="3253"/>
      <c r="I977" s="3480">
        <v>707</v>
      </c>
      <c r="J977" s="3505">
        <v>60072</v>
      </c>
      <c r="K977" s="3443"/>
      <c r="L977" s="3443" t="s">
        <v>37</v>
      </c>
      <c r="M977" s="3443"/>
      <c r="N977" s="3443"/>
      <c r="S977" s="3443"/>
      <c r="T977" s="3443"/>
      <c r="W977" s="3854"/>
      <c r="Y977" s="3283"/>
    </row>
    <row r="978" spans="1:25" ht="28.5" hidden="1">
      <c r="A978" s="3480" t="s">
        <v>105</v>
      </c>
      <c r="B978" s="3444">
        <v>45820</v>
      </c>
      <c r="C978" s="3165" t="s">
        <v>2592</v>
      </c>
      <c r="D978" s="4399" t="s">
        <v>2633</v>
      </c>
      <c r="E978" s="3443" t="s">
        <v>169</v>
      </c>
      <c r="F978" s="3516" t="s">
        <v>1571</v>
      </c>
      <c r="G978" s="3254"/>
      <c r="H978" s="3253"/>
      <c r="I978" s="3480"/>
      <c r="J978" s="3443" t="s">
        <v>1237</v>
      </c>
      <c r="K978" s="3443"/>
      <c r="L978" s="3443" t="s">
        <v>37</v>
      </c>
      <c r="M978" s="3443"/>
      <c r="N978" s="3443"/>
      <c r="S978" s="3443"/>
      <c r="T978" s="3443"/>
      <c r="W978" s="3507"/>
      <c r="Y978" s="3283"/>
    </row>
    <row r="979" spans="1:25" ht="57.75" hidden="1" thickBot="1">
      <c r="A979" s="3481" t="s">
        <v>105</v>
      </c>
      <c r="B979" s="3451">
        <v>45820</v>
      </c>
      <c r="C979" s="3357" t="s">
        <v>2592</v>
      </c>
      <c r="D979" s="4404"/>
      <c r="E979" s="4825" t="s">
        <v>169</v>
      </c>
      <c r="F979" s="4868" t="s">
        <v>2634</v>
      </c>
      <c r="G979" s="3254"/>
      <c r="H979" s="3253"/>
      <c r="I979" s="3494">
        <v>705</v>
      </c>
      <c r="J979" s="3447" t="s">
        <v>2609</v>
      </c>
      <c r="K979" s="3508"/>
      <c r="L979" s="3508"/>
      <c r="M979" s="3508"/>
      <c r="N979" s="3508" t="s">
        <v>30</v>
      </c>
      <c r="O979" s="3284"/>
      <c r="P979" s="3284"/>
      <c r="Q979" s="3284"/>
      <c r="R979" s="3284"/>
      <c r="S979" s="3508"/>
      <c r="T979" s="3508"/>
      <c r="U979" s="3284"/>
      <c r="V979" s="3284"/>
      <c r="W979" s="3733" t="s">
        <v>2625</v>
      </c>
      <c r="X979" s="3284"/>
      <c r="Y979" s="3285"/>
    </row>
    <row r="980" spans="1:25" ht="28.5" hidden="1">
      <c r="A980" s="3598" t="s">
        <v>105</v>
      </c>
      <c r="B980" s="3506">
        <v>45820</v>
      </c>
      <c r="C980" s="3355" t="s">
        <v>2592</v>
      </c>
      <c r="D980" s="3513" t="s">
        <v>2635</v>
      </c>
      <c r="E980" s="4826" t="s">
        <v>1598</v>
      </c>
      <c r="F980" s="4869" t="s">
        <v>2276</v>
      </c>
      <c r="G980" s="3254"/>
      <c r="H980" s="3253"/>
      <c r="I980" s="3598">
        <v>707</v>
      </c>
      <c r="J980" s="3505" t="s">
        <v>149</v>
      </c>
      <c r="K980" s="3505"/>
      <c r="L980" s="3505" t="s">
        <v>37</v>
      </c>
      <c r="M980" s="3505"/>
      <c r="N980" s="3505"/>
      <c r="O980" s="3276"/>
      <c r="P980" s="3276"/>
      <c r="Q980" s="3276"/>
      <c r="R980" s="3276"/>
      <c r="S980" s="3505"/>
      <c r="T980" s="3505"/>
      <c r="U980" s="3276"/>
      <c r="V980" s="3276"/>
      <c r="W980" s="3764"/>
      <c r="X980" s="3276"/>
      <c r="Y980" s="3795"/>
    </row>
    <row r="981" spans="1:25" ht="28.5" hidden="1">
      <c r="A981" s="3480" t="s">
        <v>105</v>
      </c>
      <c r="B981" s="3444">
        <v>45820</v>
      </c>
      <c r="C981" s="3165" t="s">
        <v>2592</v>
      </c>
      <c r="D981" s="4399"/>
      <c r="E981" s="4120" t="s">
        <v>419</v>
      </c>
      <c r="F981" s="3860" t="s">
        <v>2636</v>
      </c>
      <c r="G981" s="3254"/>
      <c r="H981" s="3253"/>
      <c r="I981" s="3857">
        <v>707</v>
      </c>
      <c r="J981" s="3443" t="s">
        <v>149</v>
      </c>
      <c r="K981" s="3545"/>
      <c r="L981" s="3443" t="s">
        <v>37</v>
      </c>
      <c r="M981" s="3443"/>
      <c r="N981" s="3443"/>
      <c r="S981" s="3443"/>
      <c r="T981" s="3443"/>
      <c r="W981" s="3507"/>
      <c r="Y981" s="3283"/>
    </row>
    <row r="982" spans="1:25" ht="28.5" hidden="1">
      <c r="A982" s="3480" t="s">
        <v>132</v>
      </c>
      <c r="B982" s="3444">
        <v>45821</v>
      </c>
      <c r="C982" s="3165" t="s">
        <v>2592</v>
      </c>
      <c r="D982" s="4399"/>
      <c r="E982" s="3600" t="s">
        <v>169</v>
      </c>
      <c r="F982" s="3516" t="s">
        <v>2637</v>
      </c>
      <c r="G982" s="3254"/>
      <c r="H982" s="3253"/>
      <c r="I982" s="3590">
        <v>707</v>
      </c>
      <c r="J982" s="3443" t="s">
        <v>2638</v>
      </c>
      <c r="K982" s="3855"/>
      <c r="L982" s="3462" t="s">
        <v>37</v>
      </c>
      <c r="M982" s="3443"/>
      <c r="N982" s="3443"/>
      <c r="O982" s="3160" t="s">
        <v>30</v>
      </c>
      <c r="S982" s="3443"/>
      <c r="T982" s="3443"/>
      <c r="W982" s="3854" t="s">
        <v>2639</v>
      </c>
      <c r="Y982" s="3283"/>
    </row>
    <row r="983" spans="1:25" ht="31.5" hidden="1">
      <c r="A983" s="3480" t="s">
        <v>132</v>
      </c>
      <c r="B983" s="3444">
        <v>45821</v>
      </c>
      <c r="C983" s="3165" t="s">
        <v>2592</v>
      </c>
      <c r="D983" s="4399"/>
      <c r="E983" s="3852" t="s">
        <v>169</v>
      </c>
      <c r="F983" s="3738" t="s">
        <v>2634</v>
      </c>
      <c r="G983" s="3254"/>
      <c r="H983" s="3253"/>
      <c r="I983" s="3590">
        <v>705</v>
      </c>
      <c r="J983" s="3443" t="s">
        <v>2640</v>
      </c>
      <c r="K983" s="3403" t="s">
        <v>1630</v>
      </c>
      <c r="L983" s="3443"/>
      <c r="M983" s="3443" t="s">
        <v>37</v>
      </c>
      <c r="N983" s="3443"/>
      <c r="P983" s="21" t="s">
        <v>109</v>
      </c>
      <c r="Q983" s="21" t="s">
        <v>794</v>
      </c>
      <c r="R983" s="21" t="s">
        <v>160</v>
      </c>
      <c r="S983" s="3443"/>
      <c r="T983" s="3443"/>
      <c r="W983" s="3507"/>
      <c r="Y983" s="3283"/>
    </row>
    <row r="984" spans="1:25" ht="28.5" hidden="1">
      <c r="A984" s="3480" t="s">
        <v>132</v>
      </c>
      <c r="B984" s="3444">
        <v>45821</v>
      </c>
      <c r="C984" s="3165" t="s">
        <v>2592</v>
      </c>
      <c r="D984" s="4399"/>
      <c r="E984" s="3948" t="s">
        <v>491</v>
      </c>
      <c r="F984" s="3646" t="s">
        <v>1988</v>
      </c>
      <c r="G984" s="3254"/>
      <c r="H984" s="3253"/>
      <c r="I984" s="3590">
        <v>707</v>
      </c>
      <c r="J984" s="3443" t="s">
        <v>2626</v>
      </c>
      <c r="K984" s="3545"/>
      <c r="L984" s="3443" t="s">
        <v>37</v>
      </c>
      <c r="M984" s="3443"/>
      <c r="N984" s="3443"/>
      <c r="S984" s="3443"/>
      <c r="T984" s="3443"/>
      <c r="W984" s="3507"/>
      <c r="Y984" s="3283"/>
    </row>
    <row r="985" spans="1:25" ht="29.25" hidden="1" thickBot="1">
      <c r="A985" s="3494" t="s">
        <v>132</v>
      </c>
      <c r="B985" s="3448">
        <v>45821</v>
      </c>
      <c r="C985" s="3357" t="s">
        <v>2592</v>
      </c>
      <c r="D985" s="4404"/>
      <c r="E985" s="4654" t="s">
        <v>1293</v>
      </c>
      <c r="F985" s="3665" t="s">
        <v>2641</v>
      </c>
      <c r="G985" s="3254"/>
      <c r="H985" s="3253"/>
      <c r="I985" s="3481">
        <v>707</v>
      </c>
      <c r="J985" s="3447" t="s">
        <v>2624</v>
      </c>
      <c r="K985" s="3447"/>
      <c r="L985" s="3447" t="s">
        <v>37</v>
      </c>
      <c r="M985" s="3447"/>
      <c r="N985" s="3447"/>
      <c r="O985" s="3284"/>
      <c r="P985" s="3284"/>
      <c r="Q985" s="3284"/>
      <c r="R985" s="3284"/>
      <c r="S985" s="3447"/>
      <c r="T985" s="3447"/>
      <c r="U985" s="3284"/>
      <c r="V985" s="3284"/>
      <c r="W985" s="3707"/>
      <c r="X985" s="3284"/>
      <c r="Y985" s="3285"/>
    </row>
    <row r="986" spans="1:25" ht="28.5" hidden="1">
      <c r="A986" s="3505" t="s">
        <v>132</v>
      </c>
      <c r="B986" s="3506">
        <v>45821</v>
      </c>
      <c r="C986" s="3355" t="s">
        <v>2592</v>
      </c>
      <c r="D986" s="3513" t="s">
        <v>2642</v>
      </c>
      <c r="E986" s="3505" t="s">
        <v>2643</v>
      </c>
      <c r="F986" s="3505" t="s">
        <v>1071</v>
      </c>
      <c r="I986" s="3443">
        <v>705</v>
      </c>
      <c r="J986" s="3456" t="s">
        <v>406</v>
      </c>
      <c r="K986" s="3632" t="s">
        <v>84</v>
      </c>
      <c r="L986" s="3443" t="s">
        <v>37</v>
      </c>
      <c r="M986" s="3456"/>
      <c r="N986" s="3456"/>
      <c r="O986" s="3276"/>
      <c r="P986" s="3276"/>
      <c r="Q986" s="3276"/>
      <c r="R986" s="3276"/>
      <c r="S986" s="3456"/>
      <c r="T986" s="3456"/>
      <c r="U986" s="3276"/>
      <c r="V986" s="3276"/>
      <c r="W986" s="3853"/>
      <c r="X986" s="3276"/>
      <c r="Y986" s="3277"/>
    </row>
    <row r="987" spans="1:25" ht="28.5" hidden="1">
      <c r="A987" s="3443" t="s">
        <v>132</v>
      </c>
      <c r="B987" s="3444">
        <v>45821</v>
      </c>
      <c r="C987" s="3355" t="s">
        <v>2592</v>
      </c>
      <c r="D987" s="4399" t="s">
        <v>2644</v>
      </c>
      <c r="E987" s="3443" t="s">
        <v>2590</v>
      </c>
      <c r="F987" s="3443" t="s">
        <v>80</v>
      </c>
      <c r="I987" s="3462">
        <v>705</v>
      </c>
      <c r="J987" s="3462" t="s">
        <v>639</v>
      </c>
      <c r="K987" s="3462"/>
      <c r="L987" s="3443" t="s">
        <v>37</v>
      </c>
      <c r="M987" s="3462"/>
      <c r="N987" s="3443"/>
      <c r="O987" s="3273"/>
      <c r="S987" s="3462"/>
      <c r="T987" s="3462"/>
      <c r="U987" s="3273"/>
      <c r="W987" s="3507"/>
    </row>
    <row r="988" spans="1:25" ht="28.5" hidden="1">
      <c r="A988" s="3443" t="s">
        <v>25</v>
      </c>
      <c r="B988" s="3444">
        <v>45824</v>
      </c>
      <c r="C988" s="3355" t="s">
        <v>2645</v>
      </c>
      <c r="D988" s="4399" t="s">
        <v>2646</v>
      </c>
      <c r="E988" s="3614" t="s">
        <v>2303</v>
      </c>
      <c r="F988" s="3614" t="s">
        <v>1145</v>
      </c>
      <c r="I988" s="3443">
        <v>712</v>
      </c>
      <c r="J988" s="3443" t="s">
        <v>2154</v>
      </c>
      <c r="K988" s="3511" t="s">
        <v>174</v>
      </c>
      <c r="L988" s="3443" t="s">
        <v>37</v>
      </c>
      <c r="M988" s="3443"/>
      <c r="O988" s="3443"/>
      <c r="S988" s="3443"/>
      <c r="T988" s="3443"/>
      <c r="U988" s="3443"/>
      <c r="W988" s="3854"/>
    </row>
    <row r="989" spans="1:25" ht="28.5" hidden="1">
      <c r="A989" s="3443" t="s">
        <v>25</v>
      </c>
      <c r="B989" s="3444">
        <v>45824</v>
      </c>
      <c r="C989" s="3355" t="s">
        <v>2645</v>
      </c>
      <c r="D989" s="4399" t="s">
        <v>2647</v>
      </c>
      <c r="E989" s="3685" t="s">
        <v>80</v>
      </c>
      <c r="F989" s="3685" t="s">
        <v>273</v>
      </c>
      <c r="I989" s="3456">
        <v>707</v>
      </c>
      <c r="J989" s="3456" t="s">
        <v>489</v>
      </c>
      <c r="K989" s="3443"/>
      <c r="L989" s="3443" t="s">
        <v>37</v>
      </c>
      <c r="M989" s="3443"/>
      <c r="O989" s="3443"/>
      <c r="S989" s="3443"/>
      <c r="T989" s="3443"/>
      <c r="U989" s="3443"/>
      <c r="W989" s="3507"/>
    </row>
    <row r="990" spans="1:25" ht="28.5" hidden="1">
      <c r="A990" s="3443" t="s">
        <v>25</v>
      </c>
      <c r="B990" s="3444">
        <v>45824</v>
      </c>
      <c r="C990" s="3355" t="s">
        <v>2645</v>
      </c>
      <c r="D990" s="4399" t="s">
        <v>2648</v>
      </c>
      <c r="E990" s="3623" t="s">
        <v>80</v>
      </c>
      <c r="F990" s="3623" t="s">
        <v>169</v>
      </c>
      <c r="I990" s="3443">
        <v>705</v>
      </c>
      <c r="J990" s="3443" t="s">
        <v>1499</v>
      </c>
      <c r="K990" s="3443"/>
      <c r="L990" s="3443" t="s">
        <v>37</v>
      </c>
      <c r="M990" s="3443"/>
      <c r="O990" s="3443"/>
      <c r="S990" s="3443"/>
      <c r="T990" s="3443"/>
      <c r="U990" s="3443"/>
      <c r="W990" s="3853"/>
    </row>
    <row r="991" spans="1:25" ht="28.5" hidden="1">
      <c r="A991" s="3443" t="s">
        <v>25</v>
      </c>
      <c r="B991" s="3444">
        <v>45824</v>
      </c>
      <c r="C991" s="3355" t="s">
        <v>2645</v>
      </c>
      <c r="D991" s="4399"/>
      <c r="E991" s="3623" t="s">
        <v>169</v>
      </c>
      <c r="F991" s="3623" t="s">
        <v>80</v>
      </c>
      <c r="I991" s="3443">
        <v>705</v>
      </c>
      <c r="J991" s="3443" t="s">
        <v>2649</v>
      </c>
      <c r="K991" s="3443"/>
      <c r="L991" s="3443" t="s">
        <v>37</v>
      </c>
      <c r="M991" s="3443"/>
      <c r="O991" s="3443"/>
      <c r="S991" s="3443"/>
      <c r="T991" s="3443"/>
      <c r="U991" s="3443"/>
      <c r="W991" s="3575"/>
    </row>
    <row r="992" spans="1:25" ht="28.5" hidden="1">
      <c r="A992" s="3456" t="s">
        <v>25</v>
      </c>
      <c r="B992" s="3457">
        <v>45824</v>
      </c>
      <c r="C992" s="3355" t="s">
        <v>2645</v>
      </c>
      <c r="D992" s="4399" t="s">
        <v>2650</v>
      </c>
      <c r="E992" s="3685" t="s">
        <v>1071</v>
      </c>
      <c r="F992" s="3685" t="s">
        <v>2651</v>
      </c>
      <c r="I992" s="3443">
        <v>705</v>
      </c>
      <c r="J992" s="3456" t="s">
        <v>2652</v>
      </c>
      <c r="K992" s="3443"/>
      <c r="L992" s="3443" t="s">
        <v>37</v>
      </c>
      <c r="M992" s="3443"/>
      <c r="O992" s="3443"/>
      <c r="S992" s="3443"/>
      <c r="T992" s="3443"/>
      <c r="U992" s="3443"/>
      <c r="W992" s="3507"/>
    </row>
    <row r="993" spans="1:25" ht="28.5" hidden="1">
      <c r="A993" s="3443" t="s">
        <v>25</v>
      </c>
      <c r="B993" s="3444">
        <v>45824</v>
      </c>
      <c r="C993" s="3355" t="s">
        <v>2645</v>
      </c>
      <c r="D993" s="4399" t="s">
        <v>2653</v>
      </c>
      <c r="E993" s="3614" t="s">
        <v>296</v>
      </c>
      <c r="F993" s="3614" t="s">
        <v>339</v>
      </c>
      <c r="I993" s="3443">
        <v>705</v>
      </c>
      <c r="J993" s="3443" t="s">
        <v>2329</v>
      </c>
      <c r="K993" s="3462"/>
      <c r="L993" s="3443"/>
      <c r="M993" s="3443" t="s">
        <v>37</v>
      </c>
      <c r="O993" s="3443"/>
      <c r="P993" s="21" t="s">
        <v>0</v>
      </c>
      <c r="Q993" s="21" t="s">
        <v>736</v>
      </c>
      <c r="R993" s="21" t="s">
        <v>160</v>
      </c>
      <c r="S993" s="3443" t="s">
        <v>37</v>
      </c>
      <c r="T993" s="3443"/>
      <c r="U993" s="3443"/>
      <c r="W993" s="3854" t="s">
        <v>2654</v>
      </c>
    </row>
    <row r="994" spans="1:25" ht="28.5" hidden="1">
      <c r="A994" s="3443" t="s">
        <v>25</v>
      </c>
      <c r="B994" s="3444">
        <v>45824</v>
      </c>
      <c r="C994" s="3355" t="s">
        <v>2645</v>
      </c>
      <c r="D994" s="4399" t="s">
        <v>2655</v>
      </c>
      <c r="E994" s="3443" t="s">
        <v>169</v>
      </c>
      <c r="F994" s="3443" t="s">
        <v>1145</v>
      </c>
      <c r="I994" s="3443">
        <v>705</v>
      </c>
      <c r="J994" s="3443"/>
      <c r="K994" s="3443"/>
      <c r="L994" s="3443" t="s">
        <v>37</v>
      </c>
      <c r="M994" s="3443"/>
      <c r="O994" s="3443"/>
      <c r="S994" s="3443"/>
      <c r="T994" s="3443"/>
      <c r="U994" s="3443"/>
      <c r="W994" s="3854"/>
    </row>
    <row r="995" spans="1:25" ht="28.5" hidden="1">
      <c r="A995" s="3462" t="s">
        <v>25</v>
      </c>
      <c r="B995" s="3463">
        <v>45824</v>
      </c>
      <c r="C995" s="3368" t="s">
        <v>2645</v>
      </c>
      <c r="D995" s="4400" t="s">
        <v>2656</v>
      </c>
      <c r="E995" s="3689" t="s">
        <v>1071</v>
      </c>
      <c r="F995" s="3689" t="s">
        <v>1740</v>
      </c>
      <c r="I995" s="3462">
        <v>705</v>
      </c>
      <c r="J995" s="3462" t="s">
        <v>2657</v>
      </c>
      <c r="K995" s="3632" t="s">
        <v>2658</v>
      </c>
      <c r="L995" s="3462" t="s">
        <v>37</v>
      </c>
      <c r="M995" s="3462"/>
      <c r="N995" s="3273"/>
      <c r="O995" s="3462"/>
      <c r="S995" s="3462"/>
      <c r="T995" s="3462"/>
      <c r="U995" s="3462"/>
      <c r="V995" s="3273"/>
      <c r="W995" s="3865"/>
      <c r="X995" s="3273"/>
      <c r="Y995" s="3274"/>
    </row>
    <row r="996" spans="1:25" ht="28.5" hidden="1">
      <c r="A996" s="3656" t="s">
        <v>25</v>
      </c>
      <c r="B996" s="3657">
        <v>45824</v>
      </c>
      <c r="C996" s="3356" t="s">
        <v>2645</v>
      </c>
      <c r="D996" s="3514" t="s">
        <v>2659</v>
      </c>
      <c r="E996" s="4827" t="s">
        <v>169</v>
      </c>
      <c r="F996" s="4870" t="s">
        <v>2660</v>
      </c>
      <c r="G996" s="3254"/>
      <c r="H996" s="3253"/>
      <c r="I996" s="3656">
        <v>705</v>
      </c>
      <c r="J996" s="3668" t="s">
        <v>186</v>
      </c>
      <c r="K996" s="3503"/>
      <c r="L996" s="3503"/>
      <c r="M996" s="3503" t="s">
        <v>37</v>
      </c>
      <c r="N996" s="3281"/>
      <c r="O996" s="3503"/>
      <c r="P996" s="34" t="s">
        <v>0</v>
      </c>
      <c r="Q996" s="34" t="s">
        <v>736</v>
      </c>
      <c r="R996" s="34" t="s">
        <v>160</v>
      </c>
      <c r="S996" s="3503" t="s">
        <v>37</v>
      </c>
      <c r="T996" s="3503"/>
      <c r="U996" s="3503"/>
      <c r="V996" s="3281"/>
      <c r="W996" s="3866" t="s">
        <v>2661</v>
      </c>
      <c r="X996" s="3281"/>
      <c r="Y996" s="3282"/>
    </row>
    <row r="997" spans="1:25" ht="28.5" hidden="1">
      <c r="A997" s="3480" t="s">
        <v>25</v>
      </c>
      <c r="B997" s="3444">
        <v>45824</v>
      </c>
      <c r="C997" s="3355" t="s">
        <v>2645</v>
      </c>
      <c r="D997" s="4399"/>
      <c r="E997" s="3541" t="s">
        <v>2662</v>
      </c>
      <c r="F997" s="3659" t="s">
        <v>2663</v>
      </c>
      <c r="G997" s="3254"/>
      <c r="H997" s="3253"/>
      <c r="I997" s="3480">
        <v>705</v>
      </c>
      <c r="J997" s="3443" t="s">
        <v>2664</v>
      </c>
      <c r="K997" s="3511" t="s">
        <v>2658</v>
      </c>
      <c r="L997" s="3443"/>
      <c r="M997" s="3443"/>
      <c r="N997" s="3160" t="s">
        <v>37</v>
      </c>
      <c r="O997" s="3443"/>
      <c r="P997" s="21" t="s">
        <v>0</v>
      </c>
      <c r="Q997" s="21" t="s">
        <v>736</v>
      </c>
      <c r="R997" s="21" t="s">
        <v>160</v>
      </c>
      <c r="S997" s="3443" t="s">
        <v>37</v>
      </c>
      <c r="T997" s="3443"/>
      <c r="U997" s="3443"/>
      <c r="W997" s="3854"/>
      <c r="Y997" s="3283"/>
    </row>
    <row r="998" spans="1:25" ht="28.5" hidden="1">
      <c r="A998" s="3480" t="s">
        <v>67</v>
      </c>
      <c r="B998" s="3444">
        <v>45825</v>
      </c>
      <c r="C998" s="3355" t="s">
        <v>2645</v>
      </c>
      <c r="D998" s="4399" t="s">
        <v>2665</v>
      </c>
      <c r="E998" s="3614" t="s">
        <v>296</v>
      </c>
      <c r="F998" s="3643" t="s">
        <v>339</v>
      </c>
      <c r="G998" s="3254"/>
      <c r="H998" s="3253"/>
      <c r="I998" s="3480">
        <v>705</v>
      </c>
      <c r="J998" s="3443" t="s">
        <v>2329</v>
      </c>
      <c r="K998" s="3462"/>
      <c r="L998" s="3443" t="s">
        <v>37</v>
      </c>
      <c r="M998" s="3443"/>
      <c r="O998" s="3443"/>
      <c r="S998" s="3443"/>
      <c r="T998" s="3443" t="s">
        <v>37</v>
      </c>
      <c r="U998" s="3443"/>
      <c r="W998" s="3854"/>
      <c r="Y998" s="3283"/>
    </row>
    <row r="999" spans="1:25" ht="28.5" hidden="1">
      <c r="A999" s="3480" t="s">
        <v>67</v>
      </c>
      <c r="B999" s="3444">
        <v>45825</v>
      </c>
      <c r="C999" s="3355" t="s">
        <v>2645</v>
      </c>
      <c r="D999" s="4399" t="s">
        <v>2666</v>
      </c>
      <c r="E999" s="3541" t="s">
        <v>169</v>
      </c>
      <c r="F999" s="3659" t="s">
        <v>2660</v>
      </c>
      <c r="G999" s="3254"/>
      <c r="H999" s="3253"/>
      <c r="I999" s="3443">
        <v>705</v>
      </c>
      <c r="J999" s="3443" t="s">
        <v>186</v>
      </c>
      <c r="K999" s="3456"/>
      <c r="L999" s="3443" t="s">
        <v>37</v>
      </c>
      <c r="M999" s="3456"/>
      <c r="O999" s="3443"/>
      <c r="S999" s="3443"/>
      <c r="T999" s="3443" t="s">
        <v>37</v>
      </c>
      <c r="U999" s="3443"/>
      <c r="W999" s="3507"/>
      <c r="Y999" s="3283"/>
    </row>
    <row r="1000" spans="1:25" ht="28.5" hidden="1">
      <c r="A1000" s="3480" t="s">
        <v>67</v>
      </c>
      <c r="B1000" s="3444">
        <v>45825</v>
      </c>
      <c r="C1000" s="3355" t="s">
        <v>2645</v>
      </c>
      <c r="D1000" s="4399"/>
      <c r="E1000" s="3541" t="s">
        <v>2662</v>
      </c>
      <c r="F1000" s="3659" t="s">
        <v>2663</v>
      </c>
      <c r="G1000" s="3254"/>
      <c r="H1000" s="3253"/>
      <c r="I1000" s="3480">
        <v>705</v>
      </c>
      <c r="J1000" s="3443" t="s">
        <v>2664</v>
      </c>
      <c r="K1000" s="3511" t="s">
        <v>2658</v>
      </c>
      <c r="L1000" s="3443" t="s">
        <v>37</v>
      </c>
      <c r="M1000" s="3443"/>
      <c r="O1000" s="3443"/>
      <c r="S1000" s="3443"/>
      <c r="T1000" s="3443" t="s">
        <v>37</v>
      </c>
      <c r="U1000" s="3443"/>
      <c r="W1000" s="3507"/>
      <c r="Y1000" s="3283"/>
    </row>
    <row r="1001" spans="1:25" ht="28.5" hidden="1">
      <c r="A1001" s="3480" t="s">
        <v>67</v>
      </c>
      <c r="B1001" s="3444">
        <v>45825</v>
      </c>
      <c r="C1001" s="3355" t="s">
        <v>2645</v>
      </c>
      <c r="D1001" s="4399" t="s">
        <v>2667</v>
      </c>
      <c r="E1001" s="3617" t="s">
        <v>1905</v>
      </c>
      <c r="F1001" s="3645" t="s">
        <v>2035</v>
      </c>
      <c r="G1001" s="3254"/>
      <c r="H1001" s="3253"/>
      <c r="I1001" s="3480">
        <v>712</v>
      </c>
      <c r="J1001" s="3443" t="s">
        <v>495</v>
      </c>
      <c r="K1001" s="3462"/>
      <c r="L1001" s="3443" t="s">
        <v>37</v>
      </c>
      <c r="M1001" s="3462"/>
      <c r="O1001" s="3462"/>
      <c r="P1001" s="3161"/>
      <c r="Q1001" s="3161"/>
      <c r="R1001" s="3161"/>
      <c r="S1001" s="3462"/>
      <c r="T1001" s="3462"/>
      <c r="U1001" s="3462"/>
      <c r="W1001" s="3636"/>
      <c r="Y1001" s="3283"/>
    </row>
    <row r="1002" spans="1:25" ht="28.5" hidden="1">
      <c r="A1002" s="3480" t="s">
        <v>67</v>
      </c>
      <c r="B1002" s="3444">
        <v>45825</v>
      </c>
      <c r="C1002" s="3355" t="s">
        <v>2645</v>
      </c>
      <c r="D1002" s="4399" t="s">
        <v>2668</v>
      </c>
      <c r="E1002" s="3614" t="s">
        <v>1905</v>
      </c>
      <c r="F1002" s="3643" t="s">
        <v>80</v>
      </c>
      <c r="G1002" s="3254"/>
      <c r="H1002" s="3253"/>
      <c r="I1002" s="3480">
        <v>701</v>
      </c>
      <c r="J1002" s="3443" t="s">
        <v>318</v>
      </c>
      <c r="K1002" s="3462"/>
      <c r="L1002" s="3443" t="s">
        <v>37</v>
      </c>
      <c r="M1002" s="3462"/>
      <c r="O1002" s="3462"/>
      <c r="S1002" s="3462"/>
      <c r="T1002" s="3462"/>
      <c r="U1002" s="3462"/>
      <c r="W1002" s="3636"/>
      <c r="Y1002" s="3283"/>
    </row>
    <row r="1003" spans="1:25" ht="28.5" hidden="1">
      <c r="A1003" s="3480" t="s">
        <v>67</v>
      </c>
      <c r="B1003" s="3444">
        <v>45825</v>
      </c>
      <c r="C1003" s="3355" t="s">
        <v>2645</v>
      </c>
      <c r="D1003" s="4399" t="s">
        <v>2669</v>
      </c>
      <c r="E1003" s="3614" t="s">
        <v>80</v>
      </c>
      <c r="F1003" s="3643" t="s">
        <v>1887</v>
      </c>
      <c r="G1003" s="3254"/>
      <c r="H1003" s="3253"/>
      <c r="I1003" s="3480">
        <v>705</v>
      </c>
      <c r="J1003" s="3443" t="s">
        <v>1255</v>
      </c>
      <c r="K1003" s="3632" t="s">
        <v>174</v>
      </c>
      <c r="L1003" s="3443"/>
      <c r="M1003" s="3462" t="s">
        <v>37</v>
      </c>
      <c r="O1003" s="3462" t="s">
        <v>37</v>
      </c>
      <c r="P1003" s="21" t="s">
        <v>231</v>
      </c>
      <c r="Q1003" s="21" t="s">
        <v>1048</v>
      </c>
      <c r="R1003" s="21" t="s">
        <v>160</v>
      </c>
      <c r="S1003" s="3462"/>
      <c r="T1003" s="3462"/>
      <c r="U1003" s="3462"/>
      <c r="W1003" s="3636" t="s">
        <v>2670</v>
      </c>
      <c r="Y1003" s="3283"/>
    </row>
    <row r="1004" spans="1:25" ht="29.25" hidden="1" thickBot="1">
      <c r="A1004" s="3481" t="s">
        <v>67</v>
      </c>
      <c r="B1004" s="3451">
        <v>45825</v>
      </c>
      <c r="C1004" s="3372" t="s">
        <v>2645</v>
      </c>
      <c r="D1004" s="4404" t="s">
        <v>2671</v>
      </c>
      <c r="E1004" s="3760" t="s">
        <v>2501</v>
      </c>
      <c r="F1004" s="3715" t="s">
        <v>80</v>
      </c>
      <c r="G1004" s="3254"/>
      <c r="H1004" s="3253"/>
      <c r="I1004" s="3494">
        <v>705</v>
      </c>
      <c r="J1004" s="3447" t="s">
        <v>1255</v>
      </c>
      <c r="K1004" s="3608" t="s">
        <v>174</v>
      </c>
      <c r="L1004" s="3447" t="s">
        <v>37</v>
      </c>
      <c r="M1004" s="3447"/>
      <c r="N1004" s="3284"/>
      <c r="O1004" s="3447"/>
      <c r="P1004" s="3284"/>
      <c r="Q1004" s="3284"/>
      <c r="R1004" s="3284"/>
      <c r="S1004" s="3447"/>
      <c r="T1004" s="3447"/>
      <c r="U1004" s="3447"/>
      <c r="V1004" s="3284"/>
      <c r="W1004" s="3707"/>
      <c r="X1004" s="3284"/>
      <c r="Y1004" s="3285"/>
    </row>
    <row r="1005" spans="1:25" ht="28.5" hidden="1">
      <c r="A1005" s="3656" t="s">
        <v>67</v>
      </c>
      <c r="B1005" s="3657">
        <v>45825</v>
      </c>
      <c r="C1005" s="3356" t="s">
        <v>2645</v>
      </c>
      <c r="D1005" s="3514" t="s">
        <v>2672</v>
      </c>
      <c r="E1005" s="3718" t="s">
        <v>169</v>
      </c>
      <c r="F1005" s="3726" t="s">
        <v>169</v>
      </c>
      <c r="G1005" s="3254"/>
      <c r="H1005" s="3253"/>
      <c r="I1005" s="3443">
        <v>707</v>
      </c>
      <c r="J1005" s="3668" t="s">
        <v>94</v>
      </c>
      <c r="K1005" s="3503"/>
      <c r="L1005" s="3503" t="s">
        <v>37</v>
      </c>
      <c r="M1005" s="3503"/>
      <c r="N1005" s="3281"/>
      <c r="O1005" s="3503"/>
      <c r="P1005" s="3281"/>
      <c r="Q1005" s="3281"/>
      <c r="R1005" s="3281"/>
      <c r="S1005" s="3503"/>
      <c r="T1005" s="3503"/>
      <c r="U1005" s="3503"/>
      <c r="V1005" s="3281"/>
      <c r="W1005" s="3519"/>
      <c r="X1005" s="3281"/>
      <c r="Y1005" s="3282"/>
    </row>
    <row r="1006" spans="1:25" ht="28.5" hidden="1">
      <c r="A1006" s="3480" t="s">
        <v>67</v>
      </c>
      <c r="B1006" s="3444">
        <v>45825</v>
      </c>
      <c r="C1006" s="3355" t="s">
        <v>2645</v>
      </c>
      <c r="D1006" s="4399" t="s">
        <v>2673</v>
      </c>
      <c r="E1006" s="3614" t="s">
        <v>2674</v>
      </c>
      <c r="F1006" s="3643" t="s">
        <v>296</v>
      </c>
      <c r="G1006" s="3254"/>
      <c r="H1006" s="3253"/>
      <c r="I1006" s="3443">
        <v>705</v>
      </c>
      <c r="J1006" s="3443" t="s">
        <v>1674</v>
      </c>
      <c r="K1006" s="3456"/>
      <c r="L1006" s="3443" t="s">
        <v>37</v>
      </c>
      <c r="M1006" s="3456"/>
      <c r="O1006" s="3456"/>
      <c r="S1006" s="3456"/>
      <c r="T1006" s="3456"/>
      <c r="U1006" s="3456"/>
      <c r="W1006" s="3853"/>
      <c r="Y1006" s="3283"/>
    </row>
    <row r="1007" spans="1:25" ht="28.5" hidden="1">
      <c r="A1007" s="3500" t="s">
        <v>85</v>
      </c>
      <c r="B1007" s="3463">
        <v>45826</v>
      </c>
      <c r="C1007" s="3355" t="s">
        <v>2645</v>
      </c>
      <c r="D1007" s="4399"/>
      <c r="E1007" s="3622" t="s">
        <v>1116</v>
      </c>
      <c r="F1007" s="3650" t="s">
        <v>1986</v>
      </c>
      <c r="G1007" s="3254"/>
      <c r="H1007" s="3253"/>
      <c r="I1007" s="3500">
        <v>712</v>
      </c>
      <c r="J1007" s="3462" t="s">
        <v>495</v>
      </c>
      <c r="K1007" s="3505"/>
      <c r="L1007" s="3443" t="s">
        <v>37</v>
      </c>
      <c r="M1007" s="3505"/>
      <c r="O1007" s="3505"/>
      <c r="S1007" s="3505"/>
      <c r="T1007" s="3505"/>
      <c r="U1007" s="3505"/>
      <c r="W1007" s="4958"/>
      <c r="Y1007" s="3283"/>
    </row>
    <row r="1008" spans="1:25" ht="29.25" hidden="1" thickBot="1">
      <c r="A1008" s="3494" t="s">
        <v>85</v>
      </c>
      <c r="B1008" s="3448">
        <v>45826</v>
      </c>
      <c r="C1008" s="3372" t="s">
        <v>2645</v>
      </c>
      <c r="D1008" s="4404" t="s">
        <v>2675</v>
      </c>
      <c r="E1008" s="3690" t="s">
        <v>169</v>
      </c>
      <c r="F1008" s="3715" t="s">
        <v>1571</v>
      </c>
      <c r="G1008" s="3254"/>
      <c r="H1008" s="3253"/>
      <c r="I1008" s="3494">
        <v>712</v>
      </c>
      <c r="J1008" s="3447" t="s">
        <v>2026</v>
      </c>
      <c r="K1008" s="3447"/>
      <c r="L1008" s="3447" t="s">
        <v>37</v>
      </c>
      <c r="M1008" s="3447"/>
      <c r="N1008" s="3284"/>
      <c r="O1008" s="3447"/>
      <c r="P1008" s="3284"/>
      <c r="Q1008" s="3284"/>
      <c r="R1008" s="3284"/>
      <c r="S1008" s="3447"/>
      <c r="T1008" s="3447"/>
      <c r="U1008" s="3447"/>
      <c r="V1008" s="3284"/>
      <c r="W1008" s="3863"/>
      <c r="X1008" s="3284"/>
      <c r="Y1008" s="3285"/>
    </row>
    <row r="1009" spans="1:25" ht="28.5" hidden="1">
      <c r="A1009" s="3505" t="s">
        <v>85</v>
      </c>
      <c r="B1009" s="3506">
        <v>45826</v>
      </c>
      <c r="C1009" s="3355" t="s">
        <v>2645</v>
      </c>
      <c r="D1009" s="3513" t="s">
        <v>2676</v>
      </c>
      <c r="E1009" s="3862" t="s">
        <v>1740</v>
      </c>
      <c r="F1009" s="3862" t="s">
        <v>2677</v>
      </c>
      <c r="I1009" s="3505">
        <v>705</v>
      </c>
      <c r="J1009" s="3505" t="s">
        <v>2657</v>
      </c>
      <c r="K1009" s="3456"/>
      <c r="L1009" s="3456" t="s">
        <v>37</v>
      </c>
      <c r="M1009" s="3456"/>
      <c r="N1009" s="3276"/>
      <c r="O1009" s="3456"/>
      <c r="P1009" s="3276"/>
      <c r="Q1009" s="3276"/>
      <c r="R1009" s="3276"/>
      <c r="S1009" s="3456"/>
      <c r="T1009" s="3456"/>
      <c r="U1009" s="3456"/>
      <c r="V1009" s="3276"/>
      <c r="W1009" s="3853"/>
      <c r="X1009" s="3276"/>
      <c r="Y1009" s="3277"/>
    </row>
    <row r="1010" spans="1:25" ht="28.5" hidden="1">
      <c r="A1010" s="3443" t="s">
        <v>85</v>
      </c>
      <c r="B1010" s="3444">
        <v>45826</v>
      </c>
      <c r="C1010" s="3355" t="s">
        <v>2645</v>
      </c>
      <c r="D1010" s="4399" t="s">
        <v>2678</v>
      </c>
      <c r="E1010" s="3614" t="s">
        <v>339</v>
      </c>
      <c r="F1010" s="3614" t="s">
        <v>273</v>
      </c>
      <c r="I1010" s="3443">
        <v>705</v>
      </c>
      <c r="J1010" s="3443" t="s">
        <v>1245</v>
      </c>
      <c r="K1010" s="3456"/>
      <c r="L1010" s="3443" t="s">
        <v>37</v>
      </c>
      <c r="M1010" s="3456"/>
      <c r="O1010" s="3456"/>
      <c r="S1010" s="3456"/>
      <c r="T1010" s="3456"/>
      <c r="U1010" s="3456"/>
      <c r="V1010" s="3253"/>
      <c r="W1010" s="3507"/>
      <c r="X1010" s="3254"/>
    </row>
    <row r="1011" spans="1:25" ht="28.5" hidden="1">
      <c r="A1011" s="3443" t="s">
        <v>105</v>
      </c>
      <c r="B1011" s="3444">
        <v>45827</v>
      </c>
      <c r="C1011" s="3355" t="s">
        <v>2645</v>
      </c>
      <c r="D1011" s="4399"/>
      <c r="E1011" s="4587" t="s">
        <v>2679</v>
      </c>
      <c r="F1011" s="3563" t="s">
        <v>2680</v>
      </c>
      <c r="I1011" s="3443">
        <v>705</v>
      </c>
      <c r="J1011" s="3443" t="s">
        <v>2657</v>
      </c>
      <c r="K1011" s="3456"/>
      <c r="L1011" s="3443" t="s">
        <v>37</v>
      </c>
      <c r="M1011" s="3456"/>
      <c r="O1011" s="3456"/>
      <c r="S1011" s="3456"/>
      <c r="T1011" s="3456"/>
      <c r="U1011" s="3456"/>
      <c r="V1011" s="3253"/>
      <c r="W1011" s="3507"/>
      <c r="X1011" s="3254"/>
    </row>
    <row r="1012" spans="1:25" ht="28.5" hidden="1">
      <c r="A1012" s="3443" t="s">
        <v>105</v>
      </c>
      <c r="B1012" s="3444">
        <v>45827</v>
      </c>
      <c r="C1012" s="3355" t="s">
        <v>2645</v>
      </c>
      <c r="D1012" s="4399" t="s">
        <v>2681</v>
      </c>
      <c r="E1012" s="3569" t="s">
        <v>2606</v>
      </c>
      <c r="F1012" s="3569" t="s">
        <v>263</v>
      </c>
      <c r="I1012" s="3443">
        <v>707</v>
      </c>
      <c r="J1012" s="3443" t="s">
        <v>2682</v>
      </c>
      <c r="K1012" s="3456"/>
      <c r="L1012" s="3443" t="s">
        <v>37</v>
      </c>
      <c r="M1012" s="3456"/>
      <c r="O1012" s="3456"/>
      <c r="S1012" s="3456"/>
      <c r="T1012" s="3456"/>
      <c r="U1012" s="3456"/>
      <c r="V1012" s="3253"/>
      <c r="W1012" s="3507"/>
      <c r="X1012" s="3254"/>
    </row>
    <row r="1013" spans="1:25" ht="28.5" hidden="1">
      <c r="A1013" s="3443" t="s">
        <v>105</v>
      </c>
      <c r="B1013" s="3444">
        <v>45827</v>
      </c>
      <c r="C1013" s="3355" t="s">
        <v>2645</v>
      </c>
      <c r="D1013" s="4399"/>
      <c r="E1013" s="3569" t="s">
        <v>1160</v>
      </c>
      <c r="F1013" s="3569" t="s">
        <v>659</v>
      </c>
      <c r="I1013" s="3443">
        <v>707</v>
      </c>
      <c r="J1013" s="3443" t="s">
        <v>2682</v>
      </c>
      <c r="K1013" s="3462"/>
      <c r="L1013" s="3443" t="s">
        <v>37</v>
      </c>
      <c r="M1013" s="3443"/>
      <c r="O1013" s="3443"/>
      <c r="S1013" s="3443"/>
      <c r="T1013" s="3443"/>
      <c r="U1013" s="3443"/>
      <c r="W1013" s="3854"/>
    </row>
    <row r="1014" spans="1:25" ht="28.5" hidden="1">
      <c r="A1014" s="3462" t="s">
        <v>105</v>
      </c>
      <c r="B1014" s="3463">
        <v>45827</v>
      </c>
      <c r="C1014" s="3368" t="s">
        <v>2645</v>
      </c>
      <c r="D1014" s="4400" t="s">
        <v>2683</v>
      </c>
      <c r="E1014" s="3689" t="s">
        <v>163</v>
      </c>
      <c r="F1014" s="3689" t="s">
        <v>2684</v>
      </c>
      <c r="I1014" s="3462">
        <v>701</v>
      </c>
      <c r="J1014" s="3462" t="s">
        <v>676</v>
      </c>
      <c r="K1014" s="3462"/>
      <c r="L1014" s="3462" t="s">
        <v>37</v>
      </c>
      <c r="M1014" s="3545"/>
      <c r="N1014" s="3273"/>
      <c r="O1014" s="3462"/>
      <c r="P1014" s="3273"/>
      <c r="Q1014" s="3273"/>
      <c r="R1014" s="3273"/>
      <c r="S1014" s="3462"/>
      <c r="T1014" s="3462"/>
      <c r="U1014" s="3462"/>
      <c r="V1014" s="3273"/>
      <c r="W1014" s="3865"/>
    </row>
    <row r="1015" spans="1:25" ht="28.5" hidden="1">
      <c r="A1015" s="3477" t="s">
        <v>105</v>
      </c>
      <c r="B1015" s="3478">
        <v>45827</v>
      </c>
      <c r="C1015" s="3356" t="s">
        <v>2645</v>
      </c>
      <c r="D1015" s="3514" t="s">
        <v>2685</v>
      </c>
      <c r="E1015" s="4074" t="s">
        <v>273</v>
      </c>
      <c r="F1015" s="4611" t="s">
        <v>584</v>
      </c>
      <c r="G1015" s="3254"/>
      <c r="H1015" s="3253"/>
      <c r="I1015" s="3477">
        <v>703</v>
      </c>
      <c r="J1015" s="3503" t="s">
        <v>2686</v>
      </c>
      <c r="K1015" s="3503"/>
      <c r="L1015" s="3503" t="s">
        <v>37</v>
      </c>
      <c r="M1015" s="3503"/>
      <c r="N1015" s="3281"/>
      <c r="O1015" s="3503"/>
      <c r="P1015" s="3281"/>
      <c r="Q1015" s="3281"/>
      <c r="R1015" s="3281"/>
      <c r="S1015" s="3503"/>
      <c r="T1015" s="3503"/>
      <c r="U1015" s="3503"/>
      <c r="V1015" s="3281"/>
      <c r="W1015" s="3521"/>
      <c r="X1015" s="3254"/>
    </row>
    <row r="1016" spans="1:25" ht="28.5" hidden="1">
      <c r="A1016" s="3480" t="s">
        <v>105</v>
      </c>
      <c r="B1016" s="3444">
        <v>45827</v>
      </c>
      <c r="C1016" s="3165" t="s">
        <v>2645</v>
      </c>
      <c r="D1016" s="4399"/>
      <c r="E1016" s="3541" t="s">
        <v>586</v>
      </c>
      <c r="F1016" s="3659" t="s">
        <v>389</v>
      </c>
      <c r="G1016" s="3254"/>
      <c r="H1016" s="3253"/>
      <c r="I1016" s="3480">
        <v>703</v>
      </c>
      <c r="J1016" s="3443" t="s">
        <v>2687</v>
      </c>
      <c r="K1016" s="3443"/>
      <c r="L1016" s="3443" t="s">
        <v>37</v>
      </c>
      <c r="M1016" s="3443"/>
      <c r="O1016" s="3443"/>
      <c r="S1016" s="3443"/>
      <c r="T1016" s="3443"/>
      <c r="U1016" s="3443"/>
      <c r="W1016" s="3522"/>
      <c r="X1016" s="3254"/>
    </row>
    <row r="1017" spans="1:25" ht="29.25" hidden="1" thickBot="1">
      <c r="A1017" s="3494" t="s">
        <v>132</v>
      </c>
      <c r="B1017" s="3448">
        <v>45828</v>
      </c>
      <c r="C1017" s="3357" t="s">
        <v>2645</v>
      </c>
      <c r="D1017" s="4404" t="s">
        <v>2688</v>
      </c>
      <c r="E1017" s="3447" t="s">
        <v>2689</v>
      </c>
      <c r="F1017" s="3523" t="s">
        <v>2690</v>
      </c>
      <c r="G1017" s="3254"/>
      <c r="H1017" s="3253"/>
      <c r="I1017" s="3494">
        <v>705</v>
      </c>
      <c r="J1017" s="3447" t="s">
        <v>2691</v>
      </c>
      <c r="K1017" s="3447" t="s">
        <v>1202</v>
      </c>
      <c r="L1017" s="3447"/>
      <c r="M1017" s="3447" t="s">
        <v>37</v>
      </c>
      <c r="N1017" s="3284"/>
      <c r="O1017" s="3447"/>
      <c r="P1017" s="35" t="s">
        <v>0</v>
      </c>
      <c r="Q1017" s="35" t="s">
        <v>187</v>
      </c>
      <c r="R1017" s="35" t="s">
        <v>160</v>
      </c>
      <c r="S1017" s="3447"/>
      <c r="T1017" s="3447"/>
      <c r="U1017" s="3447" t="s">
        <v>37</v>
      </c>
      <c r="V1017" s="3284"/>
      <c r="W1017" s="3547" t="s">
        <v>2692</v>
      </c>
      <c r="X1017" s="3254"/>
    </row>
    <row r="1018" spans="1:25" ht="28.5" hidden="1">
      <c r="A1018" s="3505" t="s">
        <v>132</v>
      </c>
      <c r="B1018" s="3506">
        <v>45828</v>
      </c>
      <c r="C1018" s="3355" t="s">
        <v>2645</v>
      </c>
      <c r="D1018" s="3513"/>
      <c r="E1018" s="4828" t="s">
        <v>450</v>
      </c>
      <c r="F1018" s="4828" t="s">
        <v>2693</v>
      </c>
      <c r="I1018" s="3443">
        <v>707</v>
      </c>
      <c r="J1018" s="3443" t="s">
        <v>2682</v>
      </c>
      <c r="K1018" s="3443"/>
      <c r="L1018" s="3456" t="s">
        <v>37</v>
      </c>
      <c r="M1018" s="3456"/>
      <c r="N1018" s="3276"/>
      <c r="O1018" s="3456"/>
      <c r="P1018" s="3276"/>
      <c r="Q1018" s="3276"/>
      <c r="R1018" s="3276"/>
      <c r="S1018" s="3456"/>
      <c r="T1018" s="3456"/>
      <c r="U1018" s="3456"/>
      <c r="V1018" s="3276"/>
      <c r="W1018" s="3853"/>
    </row>
    <row r="1019" spans="1:25" ht="28.5" hidden="1">
      <c r="A1019" s="3443" t="s">
        <v>132</v>
      </c>
      <c r="B1019" s="3444">
        <v>45828</v>
      </c>
      <c r="C1019" s="3355" t="s">
        <v>2645</v>
      </c>
      <c r="D1019" s="4399" t="s">
        <v>2694</v>
      </c>
      <c r="E1019" s="3443" t="s">
        <v>2695</v>
      </c>
      <c r="F1019" s="3443" t="s">
        <v>1293</v>
      </c>
      <c r="I1019" s="4717">
        <v>707</v>
      </c>
      <c r="J1019" s="3443" t="s">
        <v>2696</v>
      </c>
      <c r="L1019" s="3462" t="s">
        <v>37</v>
      </c>
      <c r="M1019" s="3462"/>
      <c r="N1019" s="3273"/>
      <c r="O1019" s="3273"/>
      <c r="P1019" s="3273"/>
      <c r="Q1019" s="3273"/>
      <c r="R1019" s="3273"/>
      <c r="S1019" s="3462"/>
      <c r="T1019" s="3462"/>
      <c r="U1019" s="3462" t="s">
        <v>37</v>
      </c>
      <c r="W1019" s="3507"/>
    </row>
    <row r="1020" spans="1:25" ht="28.5" hidden="1">
      <c r="A1020" s="3443" t="s">
        <v>25</v>
      </c>
      <c r="B1020" s="3444">
        <v>45831</v>
      </c>
      <c r="C1020" s="3355" t="s">
        <v>2697</v>
      </c>
      <c r="D1020" s="4399" t="s">
        <v>2698</v>
      </c>
      <c r="E1020" s="3614" t="s">
        <v>2303</v>
      </c>
      <c r="F1020" s="3614" t="s">
        <v>1145</v>
      </c>
      <c r="I1020" s="3600">
        <v>712</v>
      </c>
      <c r="J1020" s="3443" t="s">
        <v>2699</v>
      </c>
      <c r="K1020" s="3511" t="s">
        <v>174</v>
      </c>
      <c r="L1020" s="3462" t="s">
        <v>30</v>
      </c>
      <c r="M1020" s="3462"/>
      <c r="N1020" s="3462"/>
      <c r="O1020" s="3462"/>
      <c r="P1020" s="4722"/>
      <c r="Q1020" s="4722"/>
      <c r="R1020" s="4722"/>
      <c r="S1020" s="3462"/>
      <c r="T1020" s="3462"/>
      <c r="U1020" s="3462"/>
      <c r="W1020" s="3507"/>
    </row>
    <row r="1021" spans="1:25" ht="28.5" hidden="1">
      <c r="A1021" s="3443" t="s">
        <v>25</v>
      </c>
      <c r="B1021" s="3444">
        <v>45831</v>
      </c>
      <c r="C1021" s="3355" t="s">
        <v>2697</v>
      </c>
      <c r="D1021" s="4399" t="s">
        <v>2700</v>
      </c>
      <c r="E1021" s="3614" t="s">
        <v>1071</v>
      </c>
      <c r="F1021" s="3614" t="s">
        <v>175</v>
      </c>
      <c r="I1021" s="3600">
        <v>705</v>
      </c>
      <c r="J1021" s="3443" t="s">
        <v>1294</v>
      </c>
      <c r="K1021" s="2369"/>
      <c r="L1021" s="3462" t="s">
        <v>30</v>
      </c>
      <c r="M1021" s="3462"/>
      <c r="N1021" s="3462"/>
      <c r="O1021" s="3462"/>
      <c r="P1021" s="3462"/>
      <c r="Q1021" s="3462"/>
      <c r="R1021" s="3462"/>
      <c r="S1021" s="3462"/>
      <c r="T1021" s="3462"/>
      <c r="U1021" s="3462"/>
      <c r="W1021" s="3507"/>
    </row>
    <row r="1022" spans="1:25" ht="29.25" hidden="1" thickBot="1">
      <c r="A1022" s="3447" t="s">
        <v>25</v>
      </c>
      <c r="B1022" s="3448">
        <v>45831</v>
      </c>
      <c r="C1022" s="3355" t="s">
        <v>2697</v>
      </c>
      <c r="D1022" s="4399" t="s">
        <v>2701</v>
      </c>
      <c r="E1022" s="3690" t="s">
        <v>2702</v>
      </c>
      <c r="F1022" s="3690" t="s">
        <v>1225</v>
      </c>
      <c r="I1022" s="3586">
        <v>707</v>
      </c>
      <c r="J1022" s="3443"/>
      <c r="K1022" s="3443"/>
      <c r="L1022" s="3545"/>
      <c r="M1022" s="3462" t="s">
        <v>30</v>
      </c>
      <c r="N1022" s="3462"/>
      <c r="O1022" s="3462"/>
      <c r="P1022" s="24" t="s">
        <v>71</v>
      </c>
      <c r="Q1022" s="24" t="s">
        <v>72</v>
      </c>
      <c r="R1022" s="24" t="s">
        <v>38</v>
      </c>
      <c r="S1022" s="3462" t="s">
        <v>37</v>
      </c>
      <c r="T1022" s="3462"/>
      <c r="U1022" s="3462"/>
      <c r="W1022" s="3507" t="s">
        <v>2703</v>
      </c>
    </row>
    <row r="1023" spans="1:25" ht="28.5" hidden="1">
      <c r="A1023" s="3477" t="s">
        <v>25</v>
      </c>
      <c r="B1023" s="3657">
        <v>45831</v>
      </c>
      <c r="C1023" s="3355" t="s">
        <v>2697</v>
      </c>
      <c r="D1023" s="4399" t="s">
        <v>2704</v>
      </c>
      <c r="E1023" s="3718" t="s">
        <v>1464</v>
      </c>
      <c r="F1023" s="3718" t="s">
        <v>1465</v>
      </c>
      <c r="I1023" s="3716">
        <v>701</v>
      </c>
      <c r="J1023" s="3462" t="s">
        <v>2705</v>
      </c>
      <c r="K1023" s="2369"/>
      <c r="L1023" s="3462" t="s">
        <v>30</v>
      </c>
      <c r="M1023" s="3462"/>
      <c r="N1023" s="3462"/>
      <c r="O1023" s="3462"/>
      <c r="P1023" s="4722"/>
      <c r="Q1023" s="4722"/>
      <c r="R1023" s="4722"/>
      <c r="S1023" s="3462"/>
      <c r="T1023" s="3462"/>
      <c r="U1023" s="3462"/>
      <c r="W1023" s="3507" t="s">
        <v>2706</v>
      </c>
    </row>
    <row r="1024" spans="1:25" ht="28.5" hidden="1">
      <c r="A1024" s="3868" t="s">
        <v>25</v>
      </c>
      <c r="B1024" s="3444">
        <v>45831</v>
      </c>
      <c r="C1024" s="3355" t="s">
        <v>2697</v>
      </c>
      <c r="D1024" s="4399"/>
      <c r="E1024" s="3614" t="s">
        <v>1465</v>
      </c>
      <c r="F1024" s="3614" t="s">
        <v>1464</v>
      </c>
      <c r="I1024" s="3443">
        <v>701</v>
      </c>
      <c r="J1024" s="3443" t="s">
        <v>2707</v>
      </c>
      <c r="K1024" s="2369"/>
      <c r="L1024" s="3462" t="s">
        <v>30</v>
      </c>
      <c r="M1024" s="3462"/>
      <c r="N1024" s="3462"/>
      <c r="O1024" s="3462"/>
      <c r="P1024" s="3462"/>
      <c r="Q1024" s="3462"/>
      <c r="R1024" s="3462"/>
      <c r="S1024" s="3462"/>
      <c r="T1024" s="3462"/>
      <c r="U1024" s="3462"/>
      <c r="W1024" s="3507"/>
    </row>
    <row r="1025" spans="1:24" ht="57" hidden="1">
      <c r="A1025" s="3480" t="s">
        <v>67</v>
      </c>
      <c r="B1025" s="3444">
        <v>45832</v>
      </c>
      <c r="C1025" s="3355" t="s">
        <v>2697</v>
      </c>
      <c r="D1025" s="4399" t="s">
        <v>2708</v>
      </c>
      <c r="E1025" s="3614" t="s">
        <v>175</v>
      </c>
      <c r="F1025" s="3614" t="s">
        <v>2709</v>
      </c>
      <c r="I1025" s="3600">
        <v>705</v>
      </c>
      <c r="J1025" s="3443" t="s">
        <v>1294</v>
      </c>
      <c r="K1025" s="2369"/>
      <c r="L1025" s="3462"/>
      <c r="M1025" s="3462" t="s">
        <v>30</v>
      </c>
      <c r="N1025" s="3462"/>
      <c r="O1025" s="3462"/>
      <c r="P1025" s="24" t="s">
        <v>122</v>
      </c>
      <c r="Q1025" s="24" t="s">
        <v>174</v>
      </c>
      <c r="R1025" s="24" t="s">
        <v>160</v>
      </c>
      <c r="S1025" s="3462"/>
      <c r="T1025" s="3462"/>
      <c r="U1025" s="3462"/>
      <c r="W1025" s="3636" t="s">
        <v>2710</v>
      </c>
    </row>
    <row r="1026" spans="1:24" ht="28.5" hidden="1">
      <c r="A1026" s="3480" t="s">
        <v>67</v>
      </c>
      <c r="B1026" s="3444">
        <v>45832</v>
      </c>
      <c r="C1026" s="3355" t="s">
        <v>2697</v>
      </c>
      <c r="D1026" s="4399" t="s">
        <v>2711</v>
      </c>
      <c r="E1026" s="3614" t="s">
        <v>2712</v>
      </c>
      <c r="F1026" s="3614" t="s">
        <v>2695</v>
      </c>
      <c r="I1026" s="3600">
        <v>705</v>
      </c>
      <c r="J1026" s="3443">
        <v>60020</v>
      </c>
      <c r="K1026" s="2369"/>
      <c r="L1026" s="3462" t="s">
        <v>30</v>
      </c>
      <c r="M1026" s="3462"/>
      <c r="N1026" s="3462"/>
      <c r="O1026" s="3462"/>
      <c r="P1026" s="3462"/>
      <c r="Q1026" s="3462"/>
      <c r="R1026" s="3462"/>
      <c r="S1026" s="3462"/>
      <c r="T1026" s="3462" t="s">
        <v>37</v>
      </c>
      <c r="U1026" s="3462"/>
      <c r="W1026" s="3507"/>
    </row>
    <row r="1027" spans="1:24" ht="57" hidden="1">
      <c r="A1027" s="3480" t="s">
        <v>67</v>
      </c>
      <c r="B1027" s="3444">
        <v>45832</v>
      </c>
      <c r="C1027" s="3355" t="s">
        <v>2697</v>
      </c>
      <c r="D1027" s="4399" t="s">
        <v>2713</v>
      </c>
      <c r="E1027" s="3621" t="s">
        <v>2714</v>
      </c>
      <c r="F1027" s="3621" t="s">
        <v>2715</v>
      </c>
      <c r="I1027" s="3600">
        <v>705</v>
      </c>
      <c r="J1027" s="3443" t="s">
        <v>211</v>
      </c>
      <c r="K1027" s="2369"/>
      <c r="L1027" s="3462"/>
      <c r="M1027" s="3462"/>
      <c r="N1027" s="3462"/>
      <c r="O1027" s="3462" t="s">
        <v>30</v>
      </c>
      <c r="P1027" s="3462"/>
      <c r="Q1027" s="3462"/>
      <c r="R1027" s="3462"/>
      <c r="S1027" s="3462"/>
      <c r="T1027" s="3462"/>
      <c r="U1027" s="3462"/>
      <c r="W1027" s="3507" t="s">
        <v>2716</v>
      </c>
    </row>
    <row r="1028" spans="1:24" ht="28.5" hidden="1">
      <c r="A1028" s="3480" t="s">
        <v>67</v>
      </c>
      <c r="B1028" s="3444">
        <v>45832</v>
      </c>
      <c r="C1028" s="3355" t="s">
        <v>2697</v>
      </c>
      <c r="D1028" s="4399"/>
      <c r="E1028" s="3621" t="s">
        <v>2717</v>
      </c>
      <c r="F1028" s="3621" t="s">
        <v>2718</v>
      </c>
      <c r="I1028" s="3600">
        <v>705</v>
      </c>
      <c r="J1028" s="3443" t="s">
        <v>211</v>
      </c>
      <c r="K1028" s="2369"/>
      <c r="L1028" s="3462" t="s">
        <v>30</v>
      </c>
      <c r="M1028" s="3462"/>
      <c r="N1028" s="3462"/>
      <c r="O1028" s="3462"/>
      <c r="P1028" s="3462"/>
      <c r="Q1028" s="3462"/>
      <c r="R1028" s="3462"/>
      <c r="S1028" s="3462"/>
      <c r="T1028" s="3462"/>
      <c r="U1028" s="3462"/>
      <c r="W1028" s="3507"/>
    </row>
    <row r="1029" spans="1:24" ht="28.5" hidden="1">
      <c r="A1029" s="3480" t="s">
        <v>67</v>
      </c>
      <c r="B1029" s="3444">
        <v>45832</v>
      </c>
      <c r="C1029" s="3355" t="s">
        <v>2697</v>
      </c>
      <c r="D1029" s="4399" t="s">
        <v>2719</v>
      </c>
      <c r="E1029" s="3614" t="s">
        <v>1464</v>
      </c>
      <c r="F1029" s="3614" t="s">
        <v>1465</v>
      </c>
      <c r="I1029" s="3443">
        <v>701</v>
      </c>
      <c r="J1029" s="3443" t="s">
        <v>2705</v>
      </c>
      <c r="K1029" s="2369"/>
      <c r="L1029" s="3462" t="s">
        <v>30</v>
      </c>
      <c r="M1029" s="3462"/>
      <c r="N1029" s="3462"/>
      <c r="O1029" s="3462"/>
      <c r="P1029" s="3462"/>
      <c r="Q1029" s="3462"/>
      <c r="R1029" s="3462"/>
      <c r="S1029" s="3462"/>
      <c r="T1029" s="3462"/>
      <c r="U1029" s="3462"/>
      <c r="W1029" s="3507"/>
    </row>
    <row r="1030" spans="1:24" ht="29.25" hidden="1" thickBot="1">
      <c r="A1030" s="3494" t="s">
        <v>67</v>
      </c>
      <c r="B1030" s="3448">
        <v>45832</v>
      </c>
      <c r="C1030" s="3355" t="s">
        <v>2697</v>
      </c>
      <c r="D1030" s="4399"/>
      <c r="E1030" s="3690" t="s">
        <v>1465</v>
      </c>
      <c r="F1030" s="3774" t="s">
        <v>1464</v>
      </c>
      <c r="I1030" s="3443">
        <v>701</v>
      </c>
      <c r="J1030" s="3447" t="s">
        <v>2707</v>
      </c>
      <c r="K1030" s="2369"/>
      <c r="L1030" s="3462" t="s">
        <v>37</v>
      </c>
      <c r="M1030" s="3462"/>
      <c r="N1030" s="3462"/>
      <c r="O1030" s="3462"/>
      <c r="P1030" s="3462"/>
      <c r="Q1030" s="3462"/>
      <c r="R1030" s="3462"/>
      <c r="S1030" s="3462"/>
      <c r="T1030" s="3462"/>
      <c r="U1030" s="3462"/>
      <c r="W1030" s="3507"/>
    </row>
    <row r="1031" spans="1:24" ht="28.5" hidden="1">
      <c r="A1031" s="3456" t="s">
        <v>67</v>
      </c>
      <c r="B1031" s="3457">
        <v>45832</v>
      </c>
      <c r="C1031" s="3355" t="s">
        <v>2697</v>
      </c>
      <c r="D1031" s="4399" t="s">
        <v>2720</v>
      </c>
      <c r="E1031" s="3685" t="s">
        <v>2571</v>
      </c>
      <c r="F1031" s="3685" t="s">
        <v>2721</v>
      </c>
      <c r="I1031" s="3443">
        <v>712</v>
      </c>
      <c r="J1031" s="3456" t="s">
        <v>2722</v>
      </c>
      <c r="K1031" s="3511" t="s">
        <v>1274</v>
      </c>
      <c r="L1031" s="3462" t="s">
        <v>37</v>
      </c>
      <c r="M1031" s="3462"/>
      <c r="N1031" s="3462"/>
      <c r="O1031" s="3462"/>
      <c r="P1031" s="3462"/>
      <c r="Q1031" s="3462"/>
      <c r="R1031" s="3462"/>
      <c r="S1031" s="3462"/>
      <c r="T1031" s="3462"/>
      <c r="U1031" s="3462"/>
      <c r="W1031" s="3507"/>
    </row>
    <row r="1032" spans="1:24" ht="28.5" hidden="1">
      <c r="A1032" s="3443" t="s">
        <v>67</v>
      </c>
      <c r="B1032" s="3444">
        <v>45832</v>
      </c>
      <c r="C1032" s="3355" t="s">
        <v>2697</v>
      </c>
      <c r="D1032" s="4399"/>
      <c r="E1032" s="3614" t="s">
        <v>2723</v>
      </c>
      <c r="F1032" s="3614" t="s">
        <v>1169</v>
      </c>
      <c r="I1032" s="3600">
        <v>712</v>
      </c>
      <c r="J1032" s="3443" t="s">
        <v>2724</v>
      </c>
      <c r="K1032" s="3511" t="s">
        <v>1274</v>
      </c>
      <c r="L1032" s="3462" t="s">
        <v>37</v>
      </c>
      <c r="M1032" s="3462"/>
      <c r="N1032" s="3462"/>
      <c r="O1032" s="3462"/>
      <c r="P1032" s="3462"/>
      <c r="Q1032" s="3462"/>
      <c r="R1032" s="3462"/>
      <c r="S1032" s="3462"/>
      <c r="T1032" s="3462"/>
      <c r="U1032" s="3462"/>
      <c r="W1032" s="3507"/>
    </row>
    <row r="1033" spans="1:24" ht="28.5" hidden="1">
      <c r="A1033" s="3443" t="s">
        <v>85</v>
      </c>
      <c r="B1033" s="3444">
        <v>45833</v>
      </c>
      <c r="C1033" s="3355" t="s">
        <v>2697</v>
      </c>
      <c r="D1033" s="4399" t="s">
        <v>2725</v>
      </c>
      <c r="E1033" s="3614" t="s">
        <v>169</v>
      </c>
      <c r="F1033" s="3614" t="s">
        <v>1065</v>
      </c>
      <c r="I1033" s="3600">
        <v>712</v>
      </c>
      <c r="J1033" s="3443" t="s">
        <v>2026</v>
      </c>
      <c r="K1033" s="3511" t="s">
        <v>174</v>
      </c>
      <c r="L1033" s="3462" t="s">
        <v>37</v>
      </c>
      <c r="M1033" s="3462"/>
      <c r="N1033" s="3462"/>
      <c r="O1033" s="3462"/>
      <c r="P1033" s="3462"/>
      <c r="Q1033" s="3462"/>
      <c r="R1033" s="3462"/>
      <c r="S1033" s="3462"/>
      <c r="T1033" s="3462"/>
      <c r="U1033" s="3462"/>
      <c r="W1033" s="3507"/>
    </row>
    <row r="1034" spans="1:24" ht="28.5" hidden="1">
      <c r="A1034" s="3443" t="s">
        <v>85</v>
      </c>
      <c r="B1034" s="3444">
        <v>45833</v>
      </c>
      <c r="C1034" s="3355" t="s">
        <v>2697</v>
      </c>
      <c r="D1034" s="4399" t="s">
        <v>2726</v>
      </c>
      <c r="E1034" s="3614" t="s">
        <v>1464</v>
      </c>
      <c r="F1034" s="3614" t="s">
        <v>1465</v>
      </c>
      <c r="I1034" s="3600">
        <v>701</v>
      </c>
      <c r="J1034" s="3443" t="s">
        <v>2705</v>
      </c>
      <c r="K1034" s="2369"/>
      <c r="L1034" s="3462" t="s">
        <v>37</v>
      </c>
      <c r="M1034" s="3462"/>
      <c r="N1034" s="3462"/>
      <c r="O1034" s="3462"/>
      <c r="P1034" s="3462"/>
      <c r="Q1034" s="3462"/>
      <c r="R1034" s="3462"/>
      <c r="S1034" s="3462"/>
      <c r="T1034" s="3462"/>
      <c r="U1034" s="3462"/>
      <c r="W1034" s="3507"/>
    </row>
    <row r="1035" spans="1:24" ht="28.5" hidden="1">
      <c r="A1035" s="3462" t="s">
        <v>85</v>
      </c>
      <c r="B1035" s="3463">
        <v>45833</v>
      </c>
      <c r="C1035" s="3368" t="s">
        <v>2697</v>
      </c>
      <c r="D1035" s="4400" t="s">
        <v>2727</v>
      </c>
      <c r="E1035" s="3689" t="s">
        <v>2728</v>
      </c>
      <c r="F1035" s="3689" t="s">
        <v>2729</v>
      </c>
      <c r="I1035" s="3600">
        <v>707</v>
      </c>
      <c r="J1035" s="3462" t="s">
        <v>260</v>
      </c>
      <c r="K1035" s="2371"/>
      <c r="L1035" s="3462" t="s">
        <v>37</v>
      </c>
      <c r="M1035" s="3462"/>
      <c r="N1035" s="3462"/>
      <c r="O1035" s="3462"/>
      <c r="P1035" s="3462"/>
      <c r="Q1035" s="3462"/>
      <c r="R1035" s="3462"/>
      <c r="S1035" s="3462"/>
      <c r="T1035" s="3462"/>
      <c r="U1035" s="3462"/>
      <c r="V1035" s="3273"/>
      <c r="W1035" s="3636"/>
    </row>
    <row r="1036" spans="1:24" ht="28.5" hidden="1">
      <c r="A1036" s="3656" t="s">
        <v>85</v>
      </c>
      <c r="B1036" s="3657">
        <v>45833</v>
      </c>
      <c r="C1036" s="3356" t="s">
        <v>2697</v>
      </c>
      <c r="D1036" s="3514"/>
      <c r="E1036" s="3718" t="s">
        <v>1465</v>
      </c>
      <c r="F1036" s="3709" t="s">
        <v>1464</v>
      </c>
      <c r="G1036" s="3254"/>
      <c r="I1036" s="3704">
        <v>701</v>
      </c>
      <c r="J1036" s="3503" t="s">
        <v>2707</v>
      </c>
      <c r="K1036" s="3871"/>
      <c r="L1036" s="3668" t="s">
        <v>37</v>
      </c>
      <c r="M1036" s="3668"/>
      <c r="N1036" s="3668"/>
      <c r="O1036" s="3668"/>
      <c r="P1036" s="3668"/>
      <c r="Q1036" s="3668"/>
      <c r="R1036" s="3668"/>
      <c r="S1036" s="3668" t="s">
        <v>37</v>
      </c>
      <c r="T1036" s="3668"/>
      <c r="U1036" s="3668"/>
      <c r="V1036" s="3281"/>
      <c r="W1036" s="3521" t="s">
        <v>2730</v>
      </c>
      <c r="X1036" s="3254"/>
    </row>
    <row r="1037" spans="1:24" ht="57" hidden="1">
      <c r="A1037" s="3480" t="s">
        <v>85</v>
      </c>
      <c r="B1037" s="3444">
        <v>45833</v>
      </c>
      <c r="C1037" s="3355" t="s">
        <v>2697</v>
      </c>
      <c r="D1037" s="4399" t="s">
        <v>2731</v>
      </c>
      <c r="E1037" s="3614" t="s">
        <v>80</v>
      </c>
      <c r="F1037" s="3643" t="s">
        <v>263</v>
      </c>
      <c r="G1037" s="3254"/>
      <c r="I1037" s="3857">
        <v>707</v>
      </c>
      <c r="J1037" s="3443" t="s">
        <v>639</v>
      </c>
      <c r="K1037" s="3955"/>
      <c r="L1037" s="3462" t="s">
        <v>30</v>
      </c>
      <c r="M1037" s="3462"/>
      <c r="N1037" s="3462"/>
      <c r="O1037" s="3462" t="s">
        <v>30</v>
      </c>
      <c r="P1037" s="3462"/>
      <c r="Q1037" s="3462"/>
      <c r="R1037" s="3462"/>
      <c r="S1037" s="3462"/>
      <c r="T1037" s="3462"/>
      <c r="U1037" s="3462"/>
      <c r="W1037" s="3522" t="s">
        <v>2716</v>
      </c>
      <c r="X1037" s="3254"/>
    </row>
    <row r="1038" spans="1:24" ht="28.5" hidden="1">
      <c r="A1038" s="3480" t="s">
        <v>105</v>
      </c>
      <c r="B1038" s="3444">
        <v>45834</v>
      </c>
      <c r="C1038" s="3355" t="s">
        <v>2697</v>
      </c>
      <c r="D1038" s="4399" t="s">
        <v>2732</v>
      </c>
      <c r="E1038" s="3614" t="s">
        <v>1464</v>
      </c>
      <c r="F1038" s="3643" t="s">
        <v>1465</v>
      </c>
      <c r="G1038" s="3254"/>
      <c r="I1038" s="3857">
        <v>701</v>
      </c>
      <c r="J1038" s="3443" t="s">
        <v>2705</v>
      </c>
      <c r="K1038" s="2369"/>
      <c r="L1038" s="3462" t="s">
        <v>37</v>
      </c>
      <c r="M1038" s="3462"/>
      <c r="N1038" s="3462"/>
      <c r="O1038" s="3462"/>
      <c r="P1038" s="3462"/>
      <c r="Q1038" s="3462"/>
      <c r="R1038" s="3462"/>
      <c r="S1038" s="3462"/>
      <c r="T1038" s="3462"/>
      <c r="U1038" s="3462"/>
      <c r="W1038" s="3522" t="s">
        <v>2733</v>
      </c>
      <c r="X1038" s="3254"/>
    </row>
    <row r="1039" spans="1:24" ht="28.5" hidden="1">
      <c r="A1039" s="3480" t="s">
        <v>105</v>
      </c>
      <c r="B1039" s="3444">
        <v>45834</v>
      </c>
      <c r="C1039" s="3355" t="s">
        <v>2697</v>
      </c>
      <c r="D1039" s="4399"/>
      <c r="E1039" s="3614" t="s">
        <v>1465</v>
      </c>
      <c r="F1039" s="3643" t="s">
        <v>1464</v>
      </c>
      <c r="G1039" s="3254"/>
      <c r="I1039" s="3857">
        <v>701</v>
      </c>
      <c r="J1039" s="3443" t="s">
        <v>2707</v>
      </c>
      <c r="K1039" s="2369"/>
      <c r="L1039" s="3462" t="s">
        <v>37</v>
      </c>
      <c r="M1039" s="3462"/>
      <c r="N1039" s="3462"/>
      <c r="O1039" s="3462"/>
      <c r="P1039" s="3462"/>
      <c r="Q1039" s="3462"/>
      <c r="R1039" s="3462"/>
      <c r="S1039" s="3462"/>
      <c r="T1039" s="3462"/>
      <c r="U1039" s="3462"/>
      <c r="W1039" s="3522" t="s">
        <v>2734</v>
      </c>
      <c r="X1039" s="3254"/>
    </row>
    <row r="1040" spans="1:24" ht="28.5" hidden="1">
      <c r="A1040" s="3480" t="s">
        <v>105</v>
      </c>
      <c r="B1040" s="3444">
        <v>45834</v>
      </c>
      <c r="C1040" s="3355" t="s">
        <v>2697</v>
      </c>
      <c r="D1040" s="4399" t="s">
        <v>2735</v>
      </c>
      <c r="E1040" s="3614" t="s">
        <v>80</v>
      </c>
      <c r="F1040" s="3643" t="s">
        <v>53</v>
      </c>
      <c r="G1040" s="3254"/>
      <c r="I1040" s="3443">
        <v>707</v>
      </c>
      <c r="J1040" s="3443">
        <v>60015</v>
      </c>
      <c r="K1040" s="2369"/>
      <c r="L1040" s="3462" t="s">
        <v>37</v>
      </c>
      <c r="M1040" s="3462"/>
      <c r="N1040" s="3462"/>
      <c r="O1040" s="3462"/>
      <c r="P1040" s="3462"/>
      <c r="Q1040" s="3462"/>
      <c r="R1040" s="3462"/>
      <c r="S1040" s="3462"/>
      <c r="T1040" s="3462"/>
      <c r="U1040" s="3462"/>
      <c r="W1040" s="3522"/>
      <c r="X1040" s="3254"/>
    </row>
    <row r="1041" spans="1:25" ht="28.5" hidden="1">
      <c r="A1041" s="3480" t="s">
        <v>105</v>
      </c>
      <c r="B1041" s="3444">
        <v>45834</v>
      </c>
      <c r="C1041" s="3355" t="s">
        <v>2697</v>
      </c>
      <c r="D1041" s="4399"/>
      <c r="E1041" s="3614" t="s">
        <v>148</v>
      </c>
      <c r="F1041" s="3643" t="s">
        <v>2637</v>
      </c>
      <c r="G1041" s="3254"/>
      <c r="I1041" s="3443">
        <v>707</v>
      </c>
      <c r="J1041" s="3443" t="s">
        <v>1383</v>
      </c>
      <c r="K1041" s="2369"/>
      <c r="L1041" s="3462" t="s">
        <v>37</v>
      </c>
      <c r="M1041" s="3462"/>
      <c r="N1041" s="3462"/>
      <c r="O1041" s="3462"/>
      <c r="P1041" s="3462"/>
      <c r="Q1041" s="3462"/>
      <c r="R1041" s="3462"/>
      <c r="S1041" s="3462"/>
      <c r="T1041" s="3462"/>
      <c r="U1041" s="3462"/>
      <c r="W1041" s="3522"/>
      <c r="X1041" s="3254"/>
    </row>
    <row r="1042" spans="1:25" ht="28.5" hidden="1">
      <c r="A1042" s="3500" t="s">
        <v>105</v>
      </c>
      <c r="B1042" s="3463">
        <v>45834</v>
      </c>
      <c r="C1042" s="3355" t="s">
        <v>2697</v>
      </c>
      <c r="D1042" s="4399" t="s">
        <v>2736</v>
      </c>
      <c r="E1042" s="3689" t="s">
        <v>97</v>
      </c>
      <c r="F1042" s="3714" t="s">
        <v>615</v>
      </c>
      <c r="G1042" s="3254"/>
      <c r="I1042" s="3443">
        <v>712</v>
      </c>
      <c r="J1042" s="3443" t="s">
        <v>2737</v>
      </c>
      <c r="K1042" s="3443"/>
      <c r="L1042" s="3462" t="s">
        <v>37</v>
      </c>
      <c r="M1042" s="3462"/>
      <c r="N1042" s="3462"/>
      <c r="O1042" s="3462"/>
      <c r="P1042" s="3443"/>
      <c r="Q1042" s="3443"/>
      <c r="R1042" s="3443"/>
      <c r="S1042" s="3462"/>
      <c r="T1042" s="3462"/>
      <c r="U1042" s="3462"/>
      <c r="W1042" s="3544"/>
      <c r="X1042" s="3254"/>
    </row>
    <row r="1043" spans="1:25" ht="29.25" hidden="1" thickBot="1">
      <c r="A1043" s="3494" t="s">
        <v>105</v>
      </c>
      <c r="B1043" s="3448">
        <v>45834</v>
      </c>
      <c r="C1043" s="3372" t="s">
        <v>2697</v>
      </c>
      <c r="D1043" s="4404"/>
      <c r="E1043" s="3690" t="s">
        <v>615</v>
      </c>
      <c r="F1043" s="3715" t="s">
        <v>1986</v>
      </c>
      <c r="G1043" s="3254"/>
      <c r="I1043" s="3443">
        <v>712</v>
      </c>
      <c r="J1043" s="3447" t="s">
        <v>2737</v>
      </c>
      <c r="K1043" s="3447"/>
      <c r="L1043" s="3447" t="s">
        <v>37</v>
      </c>
      <c r="M1043" s="3447"/>
      <c r="N1043" s="3447"/>
      <c r="O1043" s="3447"/>
      <c r="P1043" s="3447"/>
      <c r="Q1043" s="3447"/>
      <c r="R1043" s="3447"/>
      <c r="S1043" s="3447"/>
      <c r="T1043" s="3447"/>
      <c r="U1043" s="3447"/>
      <c r="V1043" s="3284"/>
      <c r="W1043" s="3547"/>
      <c r="X1043" s="3254"/>
    </row>
    <row r="1044" spans="1:25" ht="28.5" hidden="1">
      <c r="A1044" s="3477" t="s">
        <v>105</v>
      </c>
      <c r="B1044" s="3478">
        <v>45834</v>
      </c>
      <c r="C1044" s="3356" t="s">
        <v>2697</v>
      </c>
      <c r="D1044" s="3514" t="s">
        <v>2738</v>
      </c>
      <c r="E1044" s="3718" t="s">
        <v>97</v>
      </c>
      <c r="F1044" s="3726" t="s">
        <v>2739</v>
      </c>
      <c r="G1044" s="3254"/>
      <c r="H1044" s="3253"/>
      <c r="I1044" s="3704">
        <v>712</v>
      </c>
      <c r="J1044" s="3503" t="s">
        <v>2740</v>
      </c>
      <c r="K1044" s="3503"/>
      <c r="L1044" s="3668"/>
      <c r="M1044" s="3668" t="s">
        <v>37</v>
      </c>
      <c r="N1044" s="3668"/>
      <c r="O1044" s="3668"/>
      <c r="P1044" s="58" t="s">
        <v>71</v>
      </c>
      <c r="Q1044" s="58" t="s">
        <v>72</v>
      </c>
      <c r="R1044" s="58" t="s">
        <v>32</v>
      </c>
      <c r="S1044" s="3668"/>
      <c r="T1044" s="3668"/>
      <c r="U1044" s="3668"/>
      <c r="V1044" s="3281"/>
      <c r="W1044" s="3669" t="s">
        <v>2741</v>
      </c>
      <c r="X1044" s="3254"/>
    </row>
    <row r="1045" spans="1:25" ht="28.5" hidden="1">
      <c r="A1045" s="3480" t="s">
        <v>105</v>
      </c>
      <c r="B1045" s="3840">
        <v>45834</v>
      </c>
      <c r="C1045" s="3355" t="s">
        <v>2697</v>
      </c>
      <c r="D1045" s="4399"/>
      <c r="E1045" s="3614" t="s">
        <v>2739</v>
      </c>
      <c r="F1045" s="3643" t="s">
        <v>2742</v>
      </c>
      <c r="G1045" s="3254"/>
      <c r="H1045" s="3253"/>
      <c r="I1045" s="3590">
        <v>712</v>
      </c>
      <c r="J1045" s="3443" t="s">
        <v>2740</v>
      </c>
      <c r="K1045" s="3443"/>
      <c r="L1045" s="3443"/>
      <c r="M1045" s="3443"/>
      <c r="N1045" s="3443" t="s">
        <v>37</v>
      </c>
      <c r="O1045" s="3443"/>
      <c r="P1045" s="3443"/>
      <c r="Q1045" s="3443"/>
      <c r="R1045" s="3443"/>
      <c r="S1045" s="3443"/>
      <c r="T1045" s="3443"/>
      <c r="U1045" s="3443"/>
      <c r="W1045" s="3522"/>
      <c r="X1045" s="3254"/>
    </row>
    <row r="1046" spans="1:25" ht="28.5" hidden="1">
      <c r="A1046" s="3480" t="s">
        <v>132</v>
      </c>
      <c r="B1046" s="3840">
        <v>45835</v>
      </c>
      <c r="C1046" s="3355" t="s">
        <v>2697</v>
      </c>
      <c r="D1046" s="4399" t="s">
        <v>2743</v>
      </c>
      <c r="E1046" s="3614" t="s">
        <v>2744</v>
      </c>
      <c r="F1046" s="3643" t="s">
        <v>2745</v>
      </c>
      <c r="G1046" s="3254"/>
      <c r="H1046" s="3253"/>
      <c r="I1046" s="3443"/>
      <c r="J1046" s="3443"/>
      <c r="K1046" s="3443"/>
      <c r="L1046" s="3443" t="s">
        <v>37</v>
      </c>
      <c r="M1046" s="3443"/>
      <c r="N1046" s="3443"/>
      <c r="O1046" s="3443"/>
      <c r="P1046" s="3443"/>
      <c r="Q1046" s="3443"/>
      <c r="R1046" s="3443"/>
      <c r="S1046" s="3443"/>
      <c r="T1046" s="3443"/>
      <c r="U1046" s="3443"/>
      <c r="W1046" s="3522"/>
      <c r="X1046" s="3254"/>
    </row>
    <row r="1047" spans="1:25" ht="28.5" hidden="1">
      <c r="A1047" s="3480" t="s">
        <v>132</v>
      </c>
      <c r="B1047" s="3444">
        <v>45835</v>
      </c>
      <c r="C1047" s="3355" t="s">
        <v>2697</v>
      </c>
      <c r="D1047" s="4399" t="s">
        <v>2746</v>
      </c>
      <c r="E1047" s="4829" t="s">
        <v>53</v>
      </c>
      <c r="F1047" s="3869" t="s">
        <v>2521</v>
      </c>
      <c r="G1047" s="3254"/>
      <c r="H1047" s="3253"/>
      <c r="I1047" s="3870">
        <v>707</v>
      </c>
      <c r="J1047" s="3443">
        <v>60015</v>
      </c>
      <c r="K1047" s="3443"/>
      <c r="L1047" s="3505" t="s">
        <v>37</v>
      </c>
      <c r="M1047" s="3505"/>
      <c r="N1047" s="3505"/>
      <c r="O1047" s="3505"/>
      <c r="P1047" s="3505"/>
      <c r="Q1047" s="3505"/>
      <c r="R1047" s="3505"/>
      <c r="S1047" s="3505"/>
      <c r="T1047" s="3505"/>
      <c r="U1047" s="3505" t="s">
        <v>30</v>
      </c>
      <c r="W1047" s="3609"/>
      <c r="X1047" s="3254"/>
    </row>
    <row r="1048" spans="1:25" ht="28.5" hidden="1">
      <c r="A1048" s="3480" t="s">
        <v>132</v>
      </c>
      <c r="B1048" s="3444">
        <v>45835</v>
      </c>
      <c r="C1048" s="3355" t="s">
        <v>2697</v>
      </c>
      <c r="D1048" s="4399" t="s">
        <v>2747</v>
      </c>
      <c r="E1048" s="3614" t="s">
        <v>204</v>
      </c>
      <c r="F1048" s="3643" t="s">
        <v>1780</v>
      </c>
      <c r="G1048" s="3254"/>
      <c r="H1048" s="3253"/>
      <c r="I1048" s="3857">
        <v>712</v>
      </c>
      <c r="J1048" s="3443" t="s">
        <v>2748</v>
      </c>
      <c r="K1048" s="3443"/>
      <c r="L1048" s="3462" t="s">
        <v>37</v>
      </c>
      <c r="M1048" s="3462"/>
      <c r="N1048" s="3462"/>
      <c r="O1048" s="3462"/>
      <c r="P1048" s="3462"/>
      <c r="Q1048" s="3462"/>
      <c r="R1048" s="3462"/>
      <c r="S1048" s="3462"/>
      <c r="T1048" s="3462"/>
      <c r="U1048" s="3462"/>
      <c r="W1048" s="3522"/>
      <c r="X1048" s="3254"/>
    </row>
    <row r="1049" spans="1:25" ht="28.5" hidden="1">
      <c r="A1049" s="3480" t="s">
        <v>132</v>
      </c>
      <c r="B1049" s="3444">
        <v>45835</v>
      </c>
      <c r="C1049" s="3355" t="s">
        <v>2697</v>
      </c>
      <c r="D1049" s="4399" t="s">
        <v>2749</v>
      </c>
      <c r="E1049" s="3614" t="s">
        <v>2483</v>
      </c>
      <c r="F1049" s="3643" t="s">
        <v>615</v>
      </c>
      <c r="G1049" s="3254"/>
      <c r="H1049" s="3253"/>
      <c r="I1049" s="3857"/>
      <c r="J1049" s="3443"/>
      <c r="K1049" s="3443"/>
      <c r="L1049" s="3462" t="s">
        <v>37</v>
      </c>
      <c r="M1049" s="3462"/>
      <c r="N1049" s="3462"/>
      <c r="O1049" s="3462"/>
      <c r="P1049" s="3462"/>
      <c r="Q1049" s="3462"/>
      <c r="R1049" s="3462"/>
      <c r="S1049" s="3462"/>
      <c r="T1049" s="3462"/>
      <c r="U1049" s="3462"/>
      <c r="W1049" s="3522"/>
      <c r="X1049" s="3254"/>
    </row>
    <row r="1050" spans="1:25" ht="29.25" hidden="1" thickBot="1">
      <c r="A1050" s="3494" t="s">
        <v>132</v>
      </c>
      <c r="B1050" s="3448">
        <v>45835</v>
      </c>
      <c r="C1050" s="3372" t="s">
        <v>2697</v>
      </c>
      <c r="D1050" s="4404"/>
      <c r="E1050" s="3690" t="s">
        <v>615</v>
      </c>
      <c r="F1050" s="3715" t="s">
        <v>2750</v>
      </c>
      <c r="G1050" s="3254"/>
      <c r="H1050" s="3253"/>
      <c r="I1050" s="3593"/>
      <c r="J1050" s="3447"/>
      <c r="K1050" s="3447"/>
      <c r="L1050" s="3447" t="s">
        <v>37</v>
      </c>
      <c r="M1050" s="3447"/>
      <c r="N1050" s="3546"/>
      <c r="O1050" s="3447"/>
      <c r="P1050" s="3447"/>
      <c r="Q1050" s="3447"/>
      <c r="R1050" s="3447"/>
      <c r="S1050" s="3447"/>
      <c r="T1050" s="3447"/>
      <c r="U1050" s="3447"/>
      <c r="V1050" s="3284"/>
      <c r="W1050" s="3547"/>
      <c r="X1050" s="3254"/>
    </row>
    <row r="1051" spans="1:25" ht="29.25" hidden="1" thickBot="1">
      <c r="A1051" s="3481" t="s">
        <v>132</v>
      </c>
      <c r="B1051" s="3451">
        <v>45835</v>
      </c>
      <c r="C1051" s="3355" t="s">
        <v>2697</v>
      </c>
      <c r="D1051" s="3513" t="s">
        <v>2751</v>
      </c>
      <c r="E1051" s="3760" t="s">
        <v>2752</v>
      </c>
      <c r="F1051" s="3760" t="s">
        <v>1464</v>
      </c>
      <c r="I1051" s="3601">
        <v>701</v>
      </c>
      <c r="J1051" s="3508" t="s">
        <v>2707</v>
      </c>
      <c r="K1051" s="4934"/>
      <c r="L1051" s="3508" t="s">
        <v>37</v>
      </c>
      <c r="M1051" s="3508"/>
      <c r="N1051" s="3606"/>
      <c r="O1051" s="3508"/>
      <c r="P1051" s="3508"/>
      <c r="Q1051" s="3508"/>
      <c r="R1051" s="3508"/>
      <c r="S1051" s="3508"/>
      <c r="T1051" s="3508" t="s">
        <v>37</v>
      </c>
      <c r="U1051" s="3456"/>
      <c r="V1051" s="3276"/>
      <c r="W1051" s="3610" t="s">
        <v>2734</v>
      </c>
    </row>
    <row r="1052" spans="1:25" ht="28.5" hidden="1">
      <c r="A1052" s="3505" t="s">
        <v>132</v>
      </c>
      <c r="B1052" s="3506">
        <v>45835</v>
      </c>
      <c r="C1052" s="3368" t="s">
        <v>2697</v>
      </c>
      <c r="D1052" s="4400" t="s">
        <v>2753</v>
      </c>
      <c r="E1052" s="3758" t="s">
        <v>2501</v>
      </c>
      <c r="F1052" s="3758" t="s">
        <v>1870</v>
      </c>
      <c r="I1052" s="3602">
        <v>705</v>
      </c>
      <c r="J1052" s="3505" t="s">
        <v>2754</v>
      </c>
      <c r="K1052" s="3693" t="s">
        <v>174</v>
      </c>
      <c r="L1052" s="3505" t="s">
        <v>37</v>
      </c>
      <c r="M1052" s="3505"/>
      <c r="N1052" s="3505"/>
      <c r="O1052" s="3505"/>
      <c r="P1052" s="3505"/>
      <c r="Q1052" s="3505"/>
      <c r="R1052" s="3505"/>
      <c r="S1052" s="3505"/>
      <c r="T1052" s="3505"/>
      <c r="U1052" s="3505"/>
      <c r="V1052" s="3273"/>
      <c r="W1052" s="3764" t="s">
        <v>2755</v>
      </c>
      <c r="X1052" s="3273"/>
      <c r="Y1052" s="3274"/>
    </row>
    <row r="1053" spans="1:25" ht="28.5" hidden="1">
      <c r="A1053" s="3656" t="s">
        <v>132</v>
      </c>
      <c r="B1053" s="3657">
        <v>45835</v>
      </c>
      <c r="C1053" s="3356" t="s">
        <v>2697</v>
      </c>
      <c r="D1053" s="3514" t="s">
        <v>2756</v>
      </c>
      <c r="E1053" s="3718" t="s">
        <v>2757</v>
      </c>
      <c r="F1053" s="3726" t="s">
        <v>669</v>
      </c>
      <c r="G1053" s="3254"/>
      <c r="H1053" s="3253"/>
      <c r="I1053" s="3868"/>
      <c r="J1053" s="3515" t="s">
        <v>226</v>
      </c>
      <c r="K1053" s="3694" t="s">
        <v>84</v>
      </c>
      <c r="L1053" s="3503" t="s">
        <v>37</v>
      </c>
      <c r="M1053" s="3503"/>
      <c r="N1053" s="3503"/>
      <c r="O1053" s="3503"/>
      <c r="P1053" s="3503"/>
      <c r="Q1053" s="3503"/>
      <c r="R1053" s="3503"/>
      <c r="S1053" s="3503"/>
      <c r="T1053" s="3503"/>
      <c r="U1053" s="3503" t="s">
        <v>30</v>
      </c>
      <c r="V1053" s="3281"/>
      <c r="W1053" s="3877"/>
      <c r="X1053" s="3281"/>
      <c r="Y1053" s="3282"/>
    </row>
    <row r="1054" spans="1:25" ht="28.5" hidden="1">
      <c r="A1054" s="3480" t="s">
        <v>143</v>
      </c>
      <c r="B1054" s="3444">
        <v>45836</v>
      </c>
      <c r="C1054" s="3165" t="s">
        <v>2697</v>
      </c>
      <c r="D1054" s="4399" t="s">
        <v>2758</v>
      </c>
      <c r="E1054" s="3614" t="s">
        <v>80</v>
      </c>
      <c r="F1054" s="3643" t="s">
        <v>1838</v>
      </c>
      <c r="G1054" s="3254"/>
      <c r="H1054" s="3253"/>
      <c r="I1054" s="3857">
        <v>705</v>
      </c>
      <c r="J1054" s="3516" t="s">
        <v>2759</v>
      </c>
      <c r="K1054" s="3511" t="s">
        <v>174</v>
      </c>
      <c r="L1054" s="3462" t="s">
        <v>37</v>
      </c>
      <c r="M1054" s="3462"/>
      <c r="N1054" s="3462"/>
      <c r="O1054" s="3443" t="s">
        <v>37</v>
      </c>
      <c r="P1054" s="3443"/>
      <c r="Q1054" s="3443"/>
      <c r="R1054" s="3443"/>
      <c r="S1054" s="3443"/>
      <c r="T1054" s="3443"/>
      <c r="U1054" s="3462"/>
      <c r="W1054" s="3507" t="s">
        <v>2760</v>
      </c>
      <c r="Y1054" s="3283"/>
    </row>
    <row r="1055" spans="1:25" ht="28.5" hidden="1">
      <c r="A1055" s="3480" t="s">
        <v>25</v>
      </c>
      <c r="B1055" s="3444">
        <v>45838</v>
      </c>
      <c r="C1055" s="3165" t="s">
        <v>2761</v>
      </c>
      <c r="D1055" s="4399" t="s">
        <v>2762</v>
      </c>
      <c r="E1055" s="3614" t="s">
        <v>2303</v>
      </c>
      <c r="F1055" s="3643" t="s">
        <v>1145</v>
      </c>
      <c r="G1055" s="3254"/>
      <c r="H1055" s="3253"/>
      <c r="I1055" s="3857"/>
      <c r="J1055" s="3516" t="s">
        <v>2763</v>
      </c>
      <c r="K1055" s="3511" t="s">
        <v>174</v>
      </c>
      <c r="L1055" s="3462" t="s">
        <v>30</v>
      </c>
      <c r="M1055" s="3462"/>
      <c r="N1055" s="3462"/>
      <c r="U1055" s="3462"/>
      <c r="W1055" s="3507"/>
      <c r="Y1055" s="3283"/>
    </row>
    <row r="1056" spans="1:25" ht="28.5" hidden="1">
      <c r="A1056" s="3480" t="s">
        <v>25</v>
      </c>
      <c r="B1056" s="3444">
        <v>45838</v>
      </c>
      <c r="C1056" s="3165" t="s">
        <v>2761</v>
      </c>
      <c r="D1056" s="4399" t="s">
        <v>2764</v>
      </c>
      <c r="E1056" s="3614" t="s">
        <v>1464</v>
      </c>
      <c r="F1056" s="3643" t="s">
        <v>1465</v>
      </c>
      <c r="G1056" s="3254"/>
      <c r="H1056" s="3253"/>
      <c r="I1056" s="3857">
        <v>701</v>
      </c>
      <c r="J1056" s="3516" t="s">
        <v>2705</v>
      </c>
      <c r="K1056" s="2369"/>
      <c r="L1056" s="3462" t="s">
        <v>30</v>
      </c>
      <c r="M1056" s="3462"/>
      <c r="N1056" s="3462"/>
      <c r="U1056" s="3462"/>
      <c r="W1056" s="3507"/>
      <c r="Y1056" s="3283"/>
    </row>
    <row r="1057" spans="1:25" ht="28.5" hidden="1">
      <c r="A1057" s="3480" t="s">
        <v>25</v>
      </c>
      <c r="B1057" s="3444">
        <v>45838</v>
      </c>
      <c r="C1057" s="3165" t="s">
        <v>2761</v>
      </c>
      <c r="D1057" s="4399"/>
      <c r="E1057" s="3614" t="s">
        <v>1465</v>
      </c>
      <c r="F1057" s="3643" t="s">
        <v>1464</v>
      </c>
      <c r="G1057" s="3254"/>
      <c r="H1057" s="3253"/>
      <c r="I1057" s="3443">
        <v>701</v>
      </c>
      <c r="J1057" s="3516"/>
      <c r="K1057" s="2369"/>
      <c r="L1057" s="3462" t="s">
        <v>30</v>
      </c>
      <c r="M1057" s="3462"/>
      <c r="N1057" s="3462"/>
      <c r="U1057" s="3462"/>
      <c r="W1057" s="3507"/>
      <c r="Y1057" s="3283"/>
    </row>
    <row r="1058" spans="1:25" ht="28.5" hidden="1">
      <c r="A1058" s="3480" t="s">
        <v>25</v>
      </c>
      <c r="B1058" s="3444">
        <v>45838</v>
      </c>
      <c r="C1058" s="3165" t="s">
        <v>2761</v>
      </c>
      <c r="D1058" s="4399" t="s">
        <v>2765</v>
      </c>
      <c r="E1058" s="3614" t="s">
        <v>243</v>
      </c>
      <c r="F1058" s="3643" t="s">
        <v>183</v>
      </c>
      <c r="G1058" s="3254"/>
      <c r="H1058" s="3253"/>
      <c r="I1058" s="3857">
        <v>707</v>
      </c>
      <c r="J1058" s="3516" t="s">
        <v>2251</v>
      </c>
      <c r="K1058" s="2369"/>
      <c r="L1058" s="3462" t="s">
        <v>30</v>
      </c>
      <c r="M1058" s="3462"/>
      <c r="N1058" s="3462"/>
      <c r="U1058" s="3462"/>
      <c r="W1058" s="3507"/>
      <c r="Y1058" s="3283"/>
    </row>
    <row r="1059" spans="1:25" ht="28.5" hidden="1">
      <c r="A1059" s="3480" t="s">
        <v>25</v>
      </c>
      <c r="B1059" s="3444">
        <v>45838</v>
      </c>
      <c r="C1059" s="3165" t="s">
        <v>2761</v>
      </c>
      <c r="D1059" s="4399" t="s">
        <v>2766</v>
      </c>
      <c r="E1059" s="3614" t="s">
        <v>169</v>
      </c>
      <c r="F1059" s="3643" t="s">
        <v>368</v>
      </c>
      <c r="G1059" s="3254"/>
      <c r="H1059" s="3253"/>
      <c r="I1059" s="3857">
        <v>712</v>
      </c>
      <c r="J1059" s="3516" t="s">
        <v>2767</v>
      </c>
      <c r="K1059" s="3872" t="s">
        <v>1274</v>
      </c>
      <c r="L1059" s="3462" t="s">
        <v>30</v>
      </c>
      <c r="M1059" s="3462"/>
      <c r="N1059" s="3462"/>
      <c r="U1059" s="3462"/>
      <c r="W1059" s="3507"/>
      <c r="Y1059" s="3283"/>
    </row>
    <row r="1060" spans="1:25" ht="28.5" hidden="1">
      <c r="A1060" s="3480" t="s">
        <v>25</v>
      </c>
      <c r="B1060" s="3444">
        <v>45838</v>
      </c>
      <c r="C1060" s="3165" t="s">
        <v>2761</v>
      </c>
      <c r="D1060" s="4399" t="s">
        <v>2768</v>
      </c>
      <c r="E1060" s="3614" t="s">
        <v>1136</v>
      </c>
      <c r="F1060" s="3643" t="s">
        <v>2769</v>
      </c>
      <c r="G1060" s="3254"/>
      <c r="H1060" s="3253"/>
      <c r="I1060" s="3443">
        <v>705</v>
      </c>
      <c r="J1060" s="3516" t="s">
        <v>2770</v>
      </c>
      <c r="K1060" s="2369"/>
      <c r="L1060" s="3462" t="s">
        <v>30</v>
      </c>
      <c r="M1060" s="3462"/>
      <c r="N1060" s="3462"/>
      <c r="U1060" s="3462"/>
      <c r="W1060" s="3507"/>
      <c r="Y1060" s="3283"/>
    </row>
    <row r="1061" spans="1:25" ht="28.5" hidden="1">
      <c r="A1061" s="3480" t="s">
        <v>25</v>
      </c>
      <c r="B1061" s="3444">
        <v>45838</v>
      </c>
      <c r="C1061" s="3165" t="s">
        <v>2761</v>
      </c>
      <c r="D1061" s="4399" t="s">
        <v>2771</v>
      </c>
      <c r="E1061" s="3614" t="s">
        <v>80</v>
      </c>
      <c r="F1061" s="3643" t="s">
        <v>1740</v>
      </c>
      <c r="G1061" s="3254"/>
      <c r="H1061" s="3253"/>
      <c r="I1061" s="3443"/>
      <c r="J1061" s="3516"/>
      <c r="K1061" s="2369"/>
      <c r="L1061" s="3462" t="s">
        <v>30</v>
      </c>
      <c r="M1061" s="3462"/>
      <c r="N1061" s="3462"/>
      <c r="U1061" s="3462"/>
      <c r="W1061" s="3507"/>
      <c r="Y1061" s="3283"/>
    </row>
    <row r="1062" spans="1:25" ht="29.25" hidden="1" thickBot="1">
      <c r="A1062" s="3494" t="s">
        <v>25</v>
      </c>
      <c r="B1062" s="3448">
        <v>45838</v>
      </c>
      <c r="C1062" s="3357" t="s">
        <v>2761</v>
      </c>
      <c r="D1062" s="4404" t="s">
        <v>2772</v>
      </c>
      <c r="E1062" s="3690" t="s">
        <v>1838</v>
      </c>
      <c r="F1062" s="3715" t="s">
        <v>209</v>
      </c>
      <c r="G1062" s="3364"/>
      <c r="H1062" s="3876"/>
      <c r="I1062" s="3593">
        <v>705</v>
      </c>
      <c r="J1062" s="3523" t="s">
        <v>1895</v>
      </c>
      <c r="K1062" s="3875"/>
      <c r="L1062" s="3447" t="s">
        <v>30</v>
      </c>
      <c r="M1062" s="3447"/>
      <c r="N1062" s="3447"/>
      <c r="O1062" s="3284"/>
      <c r="P1062" s="3284"/>
      <c r="Q1062" s="3284"/>
      <c r="R1062" s="3284"/>
      <c r="S1062" s="3284"/>
      <c r="T1062" s="3284"/>
      <c r="U1062" s="3447"/>
      <c r="V1062" s="3284"/>
      <c r="W1062" s="3707" t="s">
        <v>2773</v>
      </c>
      <c r="X1062" s="3284"/>
      <c r="Y1062" s="3285"/>
    </row>
    <row r="1063" spans="1:25" ht="28.5" hidden="1">
      <c r="A1063" s="3493" t="s">
        <v>25</v>
      </c>
      <c r="B1063" s="3457">
        <v>45838</v>
      </c>
      <c r="C1063" s="3355" t="s">
        <v>2761</v>
      </c>
      <c r="D1063" s="3513" t="s">
        <v>2774</v>
      </c>
      <c r="E1063" s="3685" t="s">
        <v>89</v>
      </c>
      <c r="F1063" s="3685" t="s">
        <v>209</v>
      </c>
      <c r="G1063" s="3281"/>
      <c r="H1063" s="3281"/>
      <c r="I1063" s="3443">
        <v>712</v>
      </c>
      <c r="J1063" s="3603" t="s">
        <v>2775</v>
      </c>
      <c r="K1063" s="3873"/>
      <c r="L1063" s="3505" t="s">
        <v>30</v>
      </c>
      <c r="M1063" s="3505"/>
      <c r="N1063" s="3505"/>
      <c r="O1063" s="3276"/>
      <c r="P1063" s="3276"/>
      <c r="Q1063" s="3276"/>
      <c r="R1063" s="3276"/>
      <c r="S1063" s="3276"/>
      <c r="T1063" s="3276"/>
      <c r="U1063" s="3505"/>
      <c r="V1063" s="3276"/>
      <c r="W1063" s="3512"/>
      <c r="X1063" s="3276"/>
      <c r="Y1063" s="3795"/>
    </row>
    <row r="1064" spans="1:25" ht="28.5" hidden="1">
      <c r="A1064" s="3480" t="s">
        <v>25</v>
      </c>
      <c r="B1064" s="3444">
        <v>45838</v>
      </c>
      <c r="C1064" s="3165" t="s">
        <v>2761</v>
      </c>
      <c r="D1064" s="4399" t="s">
        <v>2776</v>
      </c>
      <c r="E1064" s="3614" t="s">
        <v>1838</v>
      </c>
      <c r="F1064" s="3614" t="s">
        <v>80</v>
      </c>
      <c r="I1064" s="3443">
        <v>705</v>
      </c>
      <c r="J1064" s="3516" t="s">
        <v>2777</v>
      </c>
      <c r="K1064" s="3511" t="s">
        <v>174</v>
      </c>
      <c r="L1064" s="3462"/>
      <c r="M1064" s="3462" t="s">
        <v>30</v>
      </c>
      <c r="N1064" s="3462"/>
      <c r="P1064" s="21" t="s">
        <v>109</v>
      </c>
      <c r="Q1064" s="21" t="s">
        <v>213</v>
      </c>
      <c r="R1064" s="21" t="s">
        <v>160</v>
      </c>
      <c r="U1064" s="3462"/>
      <c r="W1064" s="3507" t="s">
        <v>2778</v>
      </c>
      <c r="Y1064" s="3283"/>
    </row>
    <row r="1065" spans="1:25" ht="28.5" hidden="1">
      <c r="A1065" s="3480" t="s">
        <v>67</v>
      </c>
      <c r="B1065" s="3444">
        <v>45839</v>
      </c>
      <c r="C1065" s="3165" t="s">
        <v>2761</v>
      </c>
      <c r="D1065" s="4399"/>
      <c r="E1065" s="3614" t="s">
        <v>169</v>
      </c>
      <c r="F1065" s="3614" t="s">
        <v>2779</v>
      </c>
      <c r="I1065" s="3443">
        <v>712</v>
      </c>
      <c r="J1065" s="3516" t="s">
        <v>2780</v>
      </c>
      <c r="K1065" s="2369"/>
      <c r="L1065" s="3462" t="s">
        <v>37</v>
      </c>
      <c r="M1065" s="3462"/>
      <c r="N1065" s="3462"/>
      <c r="U1065" s="3462"/>
      <c r="W1065" s="3507" t="s">
        <v>2781</v>
      </c>
      <c r="Y1065" s="3283"/>
    </row>
    <row r="1066" spans="1:25" ht="28.5" hidden="1">
      <c r="A1066" s="3480" t="s">
        <v>67</v>
      </c>
      <c r="B1066" s="3444">
        <v>45839</v>
      </c>
      <c r="C1066" s="3165" t="s">
        <v>2761</v>
      </c>
      <c r="D1066" s="4399" t="s">
        <v>2782</v>
      </c>
      <c r="E1066" s="3614" t="s">
        <v>2783</v>
      </c>
      <c r="F1066" s="3614" t="s">
        <v>183</v>
      </c>
      <c r="I1066" s="3443">
        <v>712</v>
      </c>
      <c r="J1066" s="3516" t="s">
        <v>2784</v>
      </c>
      <c r="K1066" s="2369"/>
      <c r="L1066" s="3462"/>
      <c r="M1066" s="3462"/>
      <c r="N1066" s="3462"/>
      <c r="O1066" s="3160" t="s">
        <v>37</v>
      </c>
      <c r="P1066" s="21"/>
      <c r="Q1066" s="21"/>
      <c r="R1066" s="21"/>
      <c r="U1066" s="3462"/>
      <c r="W1066" s="3507" t="s">
        <v>2785</v>
      </c>
      <c r="Y1066" s="3283"/>
    </row>
    <row r="1067" spans="1:25" ht="28.5" hidden="1">
      <c r="A1067" s="3480" t="s">
        <v>67</v>
      </c>
      <c r="B1067" s="3444">
        <v>45839</v>
      </c>
      <c r="C1067" s="3165" t="s">
        <v>2761</v>
      </c>
      <c r="D1067" s="4399" t="s">
        <v>2786</v>
      </c>
      <c r="E1067" s="3614" t="s">
        <v>1838</v>
      </c>
      <c r="F1067" s="3614" t="s">
        <v>80</v>
      </c>
      <c r="I1067" s="3443">
        <v>705</v>
      </c>
      <c r="J1067" s="3516" t="s">
        <v>2787</v>
      </c>
      <c r="K1067" s="3511" t="s">
        <v>174</v>
      </c>
      <c r="L1067" s="3462"/>
      <c r="M1067" s="3462" t="s">
        <v>30</v>
      </c>
      <c r="N1067" s="3462"/>
      <c r="P1067" s="21" t="s">
        <v>0</v>
      </c>
      <c r="Q1067" s="21" t="s">
        <v>31</v>
      </c>
      <c r="R1067" s="21" t="s">
        <v>160</v>
      </c>
      <c r="S1067" s="3160">
        <v>1</v>
      </c>
      <c r="U1067" s="3462"/>
      <c r="W1067" s="3507" t="s">
        <v>2788</v>
      </c>
      <c r="Y1067" s="3283"/>
    </row>
    <row r="1068" spans="1:25" ht="28.5" hidden="1">
      <c r="A1068" s="3480" t="s">
        <v>67</v>
      </c>
      <c r="B1068" s="3444">
        <v>45839</v>
      </c>
      <c r="C1068" s="3165" t="s">
        <v>2761</v>
      </c>
      <c r="D1068" s="4399" t="s">
        <v>2789</v>
      </c>
      <c r="E1068" s="3614" t="s">
        <v>80</v>
      </c>
      <c r="F1068" s="3614" t="s">
        <v>2790</v>
      </c>
      <c r="I1068" s="3600">
        <v>705</v>
      </c>
      <c r="J1068" s="3516" t="s">
        <v>2791</v>
      </c>
      <c r="K1068" s="3511" t="s">
        <v>174</v>
      </c>
      <c r="L1068" s="3462" t="s">
        <v>37</v>
      </c>
      <c r="M1068" s="3462"/>
      <c r="N1068" s="3462"/>
      <c r="U1068" s="3462"/>
      <c r="W1068" s="3507"/>
      <c r="Y1068" s="3283"/>
    </row>
    <row r="1069" spans="1:25" ht="28.5" hidden="1">
      <c r="A1069" s="3480" t="s">
        <v>67</v>
      </c>
      <c r="B1069" s="3444">
        <v>45839</v>
      </c>
      <c r="C1069" s="3165" t="s">
        <v>2761</v>
      </c>
      <c r="D1069" s="4399" t="s">
        <v>2792</v>
      </c>
      <c r="E1069" s="3614" t="s">
        <v>1486</v>
      </c>
      <c r="F1069" s="3614" t="s">
        <v>1838</v>
      </c>
      <c r="I1069" s="3600">
        <v>705</v>
      </c>
      <c r="J1069" s="3516" t="s">
        <v>2787</v>
      </c>
      <c r="K1069" s="2369"/>
      <c r="L1069" s="3462" t="s">
        <v>30</v>
      </c>
      <c r="M1069" s="3462"/>
      <c r="N1069" s="3462"/>
      <c r="U1069" s="3462"/>
      <c r="W1069" s="3507"/>
      <c r="Y1069" s="3283"/>
    </row>
    <row r="1070" spans="1:25" ht="28.5" hidden="1">
      <c r="A1070" s="3480" t="s">
        <v>67</v>
      </c>
      <c r="B1070" s="3444">
        <v>45839</v>
      </c>
      <c r="C1070" s="3165" t="s">
        <v>2761</v>
      </c>
      <c r="D1070" s="4399"/>
      <c r="E1070" s="3614" t="s">
        <v>169</v>
      </c>
      <c r="F1070" s="3614" t="s">
        <v>2793</v>
      </c>
      <c r="I1070" s="3600">
        <v>707</v>
      </c>
      <c r="J1070" s="3516" t="s">
        <v>2251</v>
      </c>
      <c r="K1070" s="2369"/>
      <c r="L1070" s="3462" t="s">
        <v>30</v>
      </c>
      <c r="M1070" s="3462"/>
      <c r="N1070" s="3462"/>
      <c r="U1070" s="3462"/>
      <c r="W1070" s="3507"/>
      <c r="Y1070" s="3283"/>
    </row>
    <row r="1071" spans="1:25" ht="28.5" hidden="1">
      <c r="A1071" s="3480" t="s">
        <v>67</v>
      </c>
      <c r="B1071" s="3444">
        <v>45839</v>
      </c>
      <c r="C1071" s="3165" t="s">
        <v>2761</v>
      </c>
      <c r="D1071" s="4399" t="s">
        <v>2794</v>
      </c>
      <c r="E1071" s="3614" t="s">
        <v>1464</v>
      </c>
      <c r="F1071" s="3614" t="s">
        <v>1465</v>
      </c>
      <c r="I1071" s="3600">
        <v>701</v>
      </c>
      <c r="J1071" s="3516" t="s">
        <v>2705</v>
      </c>
      <c r="K1071" s="2369"/>
      <c r="L1071" s="3462"/>
      <c r="M1071" s="3462" t="s">
        <v>30</v>
      </c>
      <c r="N1071" s="3462"/>
      <c r="P1071" s="21" t="s">
        <v>109</v>
      </c>
      <c r="Q1071" s="21" t="s">
        <v>110</v>
      </c>
      <c r="R1071" s="21" t="s">
        <v>790</v>
      </c>
      <c r="U1071" s="3462"/>
      <c r="W1071" s="3507" t="s">
        <v>2795</v>
      </c>
      <c r="Y1071" s="3283"/>
    </row>
    <row r="1072" spans="1:25" ht="29.25" hidden="1" thickBot="1">
      <c r="A1072" s="3494" t="s">
        <v>67</v>
      </c>
      <c r="B1072" s="3448">
        <v>45839</v>
      </c>
      <c r="C1072" s="3357" t="s">
        <v>2761</v>
      </c>
      <c r="D1072" s="4404"/>
      <c r="E1072" s="3760" t="s">
        <v>1465</v>
      </c>
      <c r="F1072" s="3760" t="s">
        <v>1464</v>
      </c>
      <c r="G1072" s="3284"/>
      <c r="H1072" s="3284"/>
      <c r="I1072" s="3601">
        <v>701</v>
      </c>
      <c r="J1072" s="3523"/>
      <c r="K1072" s="3875"/>
      <c r="L1072" s="3508"/>
      <c r="M1072" s="3508"/>
      <c r="N1072" s="3508" t="s">
        <v>30</v>
      </c>
      <c r="O1072" s="3284"/>
      <c r="P1072" s="35" t="s">
        <v>109</v>
      </c>
      <c r="Q1072" s="35" t="s">
        <v>110</v>
      </c>
      <c r="R1072" s="35" t="s">
        <v>790</v>
      </c>
      <c r="S1072" s="3284"/>
      <c r="T1072" s="3284"/>
      <c r="U1072" s="3508"/>
      <c r="V1072" s="3284"/>
      <c r="W1072" s="3707"/>
      <c r="X1072" s="3284"/>
      <c r="Y1072" s="3285"/>
    </row>
    <row r="1073" spans="1:25" ht="28.5" hidden="1">
      <c r="A1073" s="3477" t="s">
        <v>67</v>
      </c>
      <c r="B1073" s="3478">
        <v>45839</v>
      </c>
      <c r="C1073" s="3356" t="s">
        <v>2761</v>
      </c>
      <c r="D1073" s="3514"/>
      <c r="E1073" s="3718" t="s">
        <v>68</v>
      </c>
      <c r="F1073" s="3718" t="s">
        <v>518</v>
      </c>
      <c r="G1073" s="3281"/>
      <c r="H1073" s="3281"/>
      <c r="I1073" s="3528">
        <v>705</v>
      </c>
      <c r="J1073" s="3515" t="s">
        <v>2770</v>
      </c>
      <c r="K1073" s="4935" t="s">
        <v>1274</v>
      </c>
      <c r="L1073" s="3503" t="s">
        <v>37</v>
      </c>
      <c r="M1073" s="3503"/>
      <c r="N1073" s="3503"/>
      <c r="O1073" s="3281"/>
      <c r="P1073" s="3281"/>
      <c r="Q1073" s="3281"/>
      <c r="R1073" s="3281"/>
      <c r="S1073" s="3281"/>
      <c r="T1073" s="3281"/>
      <c r="U1073" s="3503"/>
      <c r="V1073" s="3281"/>
      <c r="W1073" s="3874"/>
      <c r="X1073" s="3307"/>
      <c r="Y1073" s="3277"/>
    </row>
    <row r="1074" spans="1:25" ht="57" hidden="1">
      <c r="A1074" s="3480" t="s">
        <v>67</v>
      </c>
      <c r="B1074" s="3444">
        <v>45839</v>
      </c>
      <c r="C1074" s="3165" t="s">
        <v>2761</v>
      </c>
      <c r="D1074" s="4399" t="s">
        <v>2796</v>
      </c>
      <c r="E1074" s="3614" t="s">
        <v>282</v>
      </c>
      <c r="F1074" s="3614" t="s">
        <v>2797</v>
      </c>
      <c r="I1074" s="3443">
        <v>707</v>
      </c>
      <c r="J1074" s="3516" t="s">
        <v>2798</v>
      </c>
      <c r="K1074" s="4751"/>
      <c r="L1074" s="3462" t="s">
        <v>37</v>
      </c>
      <c r="M1074" s="3462"/>
      <c r="N1074" s="3462"/>
      <c r="O1074" s="3160" t="s">
        <v>37</v>
      </c>
      <c r="U1074" s="3462"/>
      <c r="W1074" s="3522" t="s">
        <v>2799</v>
      </c>
      <c r="X1074" s="3254"/>
    </row>
    <row r="1075" spans="1:25" ht="28.5" hidden="1">
      <c r="A1075" s="3480" t="s">
        <v>85</v>
      </c>
      <c r="B1075" s="3444">
        <v>45840</v>
      </c>
      <c r="C1075" s="3165" t="s">
        <v>2761</v>
      </c>
      <c r="D1075" s="4399" t="s">
        <v>2800</v>
      </c>
      <c r="E1075" s="3614" t="s">
        <v>169</v>
      </c>
      <c r="F1075" s="3614" t="s">
        <v>1571</v>
      </c>
      <c r="I1075" s="3600"/>
      <c r="J1075" s="3516" t="s">
        <v>2026</v>
      </c>
      <c r="K1075" s="3511" t="s">
        <v>174</v>
      </c>
      <c r="L1075" s="3462" t="s">
        <v>37</v>
      </c>
      <c r="M1075" s="3462"/>
      <c r="N1075" s="3462"/>
      <c r="U1075" s="3462"/>
      <c r="W1075" s="3522"/>
      <c r="X1075" s="3254"/>
    </row>
    <row r="1076" spans="1:25" ht="28.5" hidden="1">
      <c r="A1076" s="3480" t="s">
        <v>85</v>
      </c>
      <c r="B1076" s="3444">
        <v>45840</v>
      </c>
      <c r="C1076" s="3165" t="s">
        <v>2761</v>
      </c>
      <c r="D1076" s="4399"/>
      <c r="E1076" s="3614" t="s">
        <v>169</v>
      </c>
      <c r="F1076" s="3614" t="s">
        <v>389</v>
      </c>
      <c r="I1076" s="3600">
        <v>712</v>
      </c>
      <c r="J1076" s="3516" t="s">
        <v>65</v>
      </c>
      <c r="K1076" s="3511" t="s">
        <v>84</v>
      </c>
      <c r="L1076" s="3462" t="s">
        <v>37</v>
      </c>
      <c r="M1076" s="3462"/>
      <c r="N1076" s="3462" t="s">
        <v>37</v>
      </c>
      <c r="U1076" s="3462"/>
      <c r="W1076" s="3522" t="s">
        <v>2801</v>
      </c>
      <c r="X1076" s="3254"/>
    </row>
    <row r="1077" spans="1:25" ht="28.5" hidden="1">
      <c r="A1077" s="3480" t="s">
        <v>85</v>
      </c>
      <c r="B1077" s="3444">
        <v>45840</v>
      </c>
      <c r="C1077" s="3165" t="s">
        <v>2761</v>
      </c>
      <c r="D1077" s="4399" t="s">
        <v>2802</v>
      </c>
      <c r="E1077" s="3614" t="s">
        <v>1464</v>
      </c>
      <c r="F1077" s="3614" t="s">
        <v>1465</v>
      </c>
      <c r="I1077" s="3600">
        <v>701</v>
      </c>
      <c r="J1077" s="3516" t="s">
        <v>2705</v>
      </c>
      <c r="K1077" s="2369"/>
      <c r="L1077" s="3462" t="s">
        <v>30</v>
      </c>
      <c r="M1077" s="3462"/>
      <c r="N1077" s="3462"/>
      <c r="U1077" s="3462"/>
      <c r="W1077" s="3522"/>
      <c r="X1077" s="3254"/>
    </row>
    <row r="1078" spans="1:25" ht="28.5" hidden="1">
      <c r="A1078" s="3480" t="s">
        <v>85</v>
      </c>
      <c r="B1078" s="3444">
        <v>45840</v>
      </c>
      <c r="C1078" s="3165" t="s">
        <v>2761</v>
      </c>
      <c r="D1078" s="4399"/>
      <c r="E1078" s="3614" t="s">
        <v>1465</v>
      </c>
      <c r="F1078" s="3678" t="s">
        <v>1464</v>
      </c>
      <c r="I1078" s="3443">
        <v>701</v>
      </c>
      <c r="J1078" s="3516"/>
      <c r="K1078" s="2369"/>
      <c r="L1078" s="3462" t="s">
        <v>30</v>
      </c>
      <c r="M1078" s="3462"/>
      <c r="N1078" s="3462"/>
      <c r="U1078" s="3462"/>
      <c r="W1078" s="3522"/>
      <c r="X1078" s="3254"/>
    </row>
    <row r="1079" spans="1:25" ht="114" hidden="1">
      <c r="A1079" s="3480" t="s">
        <v>85</v>
      </c>
      <c r="B1079" s="3444">
        <v>45840</v>
      </c>
      <c r="C1079" s="3165" t="s">
        <v>2761</v>
      </c>
      <c r="D1079" s="4399" t="s">
        <v>2803</v>
      </c>
      <c r="E1079" s="3614" t="s">
        <v>1740</v>
      </c>
      <c r="F1079" s="3614" t="s">
        <v>80</v>
      </c>
      <c r="I1079" s="3443">
        <v>705</v>
      </c>
      <c r="J1079" s="3516" t="s">
        <v>2804</v>
      </c>
      <c r="K1079" s="2369"/>
      <c r="L1079" s="3462" t="s">
        <v>37</v>
      </c>
      <c r="M1079" s="3462"/>
      <c r="N1079" s="3462"/>
      <c r="U1079" s="3462"/>
      <c r="W1079" s="3522" t="s">
        <v>2805</v>
      </c>
      <c r="X1079" s="3254"/>
    </row>
    <row r="1080" spans="1:25" ht="28.5" hidden="1">
      <c r="A1080" s="3480" t="s">
        <v>85</v>
      </c>
      <c r="B1080" s="3444">
        <v>45840</v>
      </c>
      <c r="C1080" s="3165" t="s">
        <v>2761</v>
      </c>
      <c r="D1080" s="4399" t="s">
        <v>2806</v>
      </c>
      <c r="E1080" s="3614" t="s">
        <v>2709</v>
      </c>
      <c r="F1080" s="3614" t="s">
        <v>1798</v>
      </c>
      <c r="I1080" s="3600">
        <v>705</v>
      </c>
      <c r="J1080" s="3516" t="s">
        <v>2608</v>
      </c>
      <c r="K1080" s="3511" t="s">
        <v>10</v>
      </c>
      <c r="L1080" s="3462" t="s">
        <v>37</v>
      </c>
      <c r="M1080" s="3462"/>
      <c r="N1080" s="3462"/>
      <c r="P1080" s="3161"/>
      <c r="Q1080" s="3161"/>
      <c r="R1080" s="3161"/>
      <c r="U1080" s="3462"/>
      <c r="W1080" s="3522"/>
      <c r="X1080" s="3254"/>
    </row>
    <row r="1081" spans="1:25" ht="28.5" hidden="1">
      <c r="A1081" s="3480" t="s">
        <v>85</v>
      </c>
      <c r="B1081" s="3444">
        <v>45840</v>
      </c>
      <c r="C1081" s="3165" t="s">
        <v>2761</v>
      </c>
      <c r="D1081" s="4399"/>
      <c r="E1081" s="3614" t="s">
        <v>1798</v>
      </c>
      <c r="F1081" s="3614" t="s">
        <v>2807</v>
      </c>
      <c r="I1081" s="3443">
        <v>705</v>
      </c>
      <c r="J1081" s="3516" t="s">
        <v>2608</v>
      </c>
      <c r="K1081" s="3511" t="s">
        <v>10</v>
      </c>
      <c r="L1081" s="3462" t="s">
        <v>37</v>
      </c>
      <c r="M1081" s="3462"/>
      <c r="N1081" s="3462"/>
      <c r="U1081" s="3462"/>
      <c r="W1081" s="3522"/>
      <c r="X1081" s="3254"/>
    </row>
    <row r="1082" spans="1:25" ht="28.5" hidden="1">
      <c r="A1082" s="3480" t="s">
        <v>85</v>
      </c>
      <c r="B1082" s="3444">
        <v>45840</v>
      </c>
      <c r="C1082" s="3165" t="s">
        <v>2761</v>
      </c>
      <c r="D1082" s="4399" t="s">
        <v>2808</v>
      </c>
      <c r="E1082" s="3614" t="s">
        <v>1838</v>
      </c>
      <c r="F1082" s="3614" t="s">
        <v>80</v>
      </c>
      <c r="I1082" s="3600">
        <v>705</v>
      </c>
      <c r="J1082" s="3516" t="s">
        <v>2809</v>
      </c>
      <c r="K1082" s="3511" t="s">
        <v>627</v>
      </c>
      <c r="L1082" s="3462"/>
      <c r="M1082" s="3462" t="s">
        <v>30</v>
      </c>
      <c r="N1082" s="3462"/>
      <c r="P1082" s="21" t="s">
        <v>0</v>
      </c>
      <c r="Q1082" s="21" t="s">
        <v>31</v>
      </c>
      <c r="R1082" s="21" t="s">
        <v>160</v>
      </c>
      <c r="U1082" s="3462" t="s">
        <v>30</v>
      </c>
      <c r="W1082" s="3522" t="s">
        <v>2810</v>
      </c>
      <c r="X1082" s="3254"/>
    </row>
    <row r="1083" spans="1:25" ht="29.25" hidden="1" thickBot="1">
      <c r="A1083" s="3494" t="s">
        <v>85</v>
      </c>
      <c r="B1083" s="3448">
        <v>45840</v>
      </c>
      <c r="C1083" s="3357" t="s">
        <v>2761</v>
      </c>
      <c r="D1083" s="4404"/>
      <c r="E1083" s="3690" t="s">
        <v>80</v>
      </c>
      <c r="F1083" s="3690" t="s">
        <v>1838</v>
      </c>
      <c r="G1083" s="3284"/>
      <c r="H1083" s="3284"/>
      <c r="I1083" s="3601">
        <v>705</v>
      </c>
      <c r="J1083" s="3523" t="s">
        <v>2811</v>
      </c>
      <c r="K1083" s="3608" t="s">
        <v>627</v>
      </c>
      <c r="L1083" s="3447"/>
      <c r="M1083" s="3447"/>
      <c r="N1083" s="3447" t="s">
        <v>37</v>
      </c>
      <c r="O1083" s="3284"/>
      <c r="P1083" s="3284"/>
      <c r="Q1083" s="3284"/>
      <c r="R1083" s="3284"/>
      <c r="S1083" s="3284"/>
      <c r="T1083" s="3284"/>
      <c r="U1083" s="3447" t="s">
        <v>30</v>
      </c>
      <c r="V1083" s="3284"/>
      <c r="W1083" s="3547"/>
      <c r="X1083" s="3254"/>
    </row>
    <row r="1084" spans="1:25" ht="28.5" hidden="1">
      <c r="A1084" s="3477" t="s">
        <v>85</v>
      </c>
      <c r="B1084" s="3478">
        <v>45840</v>
      </c>
      <c r="C1084" s="3356" t="s">
        <v>2761</v>
      </c>
      <c r="D1084" s="3514"/>
      <c r="E1084" s="3708" t="s">
        <v>148</v>
      </c>
      <c r="F1084" s="3708" t="s">
        <v>2807</v>
      </c>
      <c r="G1084" s="3281"/>
      <c r="H1084" s="3281"/>
      <c r="I1084" s="3716">
        <v>705</v>
      </c>
      <c r="J1084" s="3503" t="s">
        <v>2770</v>
      </c>
      <c r="K1084" s="3871"/>
      <c r="L1084" s="3668" t="s">
        <v>30</v>
      </c>
      <c r="M1084" s="3668"/>
      <c r="N1084" s="3668"/>
      <c r="O1084" s="3281"/>
      <c r="P1084" s="3281"/>
      <c r="Q1084" s="3281"/>
      <c r="R1084" s="3281"/>
      <c r="S1084" s="3281"/>
      <c r="T1084" s="3281"/>
      <c r="U1084" s="3668"/>
      <c r="V1084" s="3281"/>
      <c r="W1084" s="3521"/>
      <c r="X1084" s="3254"/>
    </row>
    <row r="1085" spans="1:25" ht="28.5" hidden="1">
      <c r="A1085" s="3480" t="s">
        <v>85</v>
      </c>
      <c r="B1085" s="3444">
        <v>45840</v>
      </c>
      <c r="C1085" s="3165" t="s">
        <v>2761</v>
      </c>
      <c r="D1085" s="4399" t="s">
        <v>2812</v>
      </c>
      <c r="E1085" s="3614" t="s">
        <v>2813</v>
      </c>
      <c r="F1085" s="3614" t="s">
        <v>1145</v>
      </c>
      <c r="I1085" s="3600">
        <v>707</v>
      </c>
      <c r="J1085" s="3443" t="s">
        <v>2814</v>
      </c>
      <c r="K1085" s="2369"/>
      <c r="L1085" s="3462" t="s">
        <v>30</v>
      </c>
      <c r="M1085" s="3462"/>
      <c r="N1085" s="3462"/>
      <c r="U1085" s="3462"/>
      <c r="W1085" s="3522"/>
      <c r="X1085" s="3254"/>
    </row>
    <row r="1086" spans="1:25" ht="28.5" hidden="1">
      <c r="A1086" s="3480" t="s">
        <v>105</v>
      </c>
      <c r="B1086" s="3444">
        <v>45840</v>
      </c>
      <c r="C1086" s="3165" t="s">
        <v>2761</v>
      </c>
      <c r="D1086" s="4399" t="s">
        <v>2815</v>
      </c>
      <c r="E1086" s="3689" t="s">
        <v>1838</v>
      </c>
      <c r="F1086" s="3689" t="s">
        <v>80</v>
      </c>
      <c r="I1086" s="3600">
        <v>705</v>
      </c>
      <c r="J1086" s="3443" t="s">
        <v>2809</v>
      </c>
      <c r="K1086" s="3511" t="s">
        <v>2816</v>
      </c>
      <c r="L1086" s="3462" t="s">
        <v>37</v>
      </c>
      <c r="M1086" s="3462"/>
      <c r="N1086" s="3462"/>
      <c r="U1086" s="3462" t="s">
        <v>30</v>
      </c>
      <c r="W1086" s="3522"/>
      <c r="X1086" s="3254"/>
    </row>
    <row r="1087" spans="1:25" ht="28.5" hidden="1">
      <c r="A1087" s="3480" t="s">
        <v>105</v>
      </c>
      <c r="B1087" s="3444">
        <v>45840</v>
      </c>
      <c r="C1087" s="3165" t="s">
        <v>2761</v>
      </c>
      <c r="D1087" s="4399"/>
      <c r="E1087" s="3614" t="s">
        <v>1838</v>
      </c>
      <c r="F1087" s="3614" t="s">
        <v>80</v>
      </c>
      <c r="I1087" s="3443">
        <v>705</v>
      </c>
      <c r="J1087" s="3443" t="s">
        <v>2809</v>
      </c>
      <c r="K1087" s="3511" t="s">
        <v>627</v>
      </c>
      <c r="L1087" s="3462"/>
      <c r="M1087" s="3462"/>
      <c r="N1087" s="3462" t="s">
        <v>37</v>
      </c>
      <c r="P1087" s="21" t="s">
        <v>0</v>
      </c>
      <c r="Q1087" s="21" t="s">
        <v>31</v>
      </c>
      <c r="R1087" s="21" t="s">
        <v>160</v>
      </c>
      <c r="U1087" s="3462"/>
      <c r="W1087" s="3522"/>
      <c r="X1087" s="3254"/>
    </row>
    <row r="1088" spans="1:25" ht="29.25" hidden="1" thickBot="1">
      <c r="A1088" s="3480" t="s">
        <v>105</v>
      </c>
      <c r="B1088" s="3444">
        <v>45840</v>
      </c>
      <c r="C1088" s="3165" t="s">
        <v>2761</v>
      </c>
      <c r="D1088" s="4399"/>
      <c r="E1088" s="3614" t="s">
        <v>80</v>
      </c>
      <c r="F1088" s="3614" t="s">
        <v>1838</v>
      </c>
      <c r="I1088" s="3600">
        <v>705</v>
      </c>
      <c r="J1088" s="3443" t="s">
        <v>2811</v>
      </c>
      <c r="K1088" s="3608" t="s">
        <v>627</v>
      </c>
      <c r="L1088" s="3462"/>
      <c r="M1088" s="3462"/>
      <c r="N1088" s="3462" t="s">
        <v>37</v>
      </c>
      <c r="P1088" s="21" t="s">
        <v>0</v>
      </c>
      <c r="Q1088" s="21" t="s">
        <v>31</v>
      </c>
      <c r="R1088" s="21" t="s">
        <v>160</v>
      </c>
      <c r="U1088" s="3462"/>
      <c r="W1088" s="3522"/>
      <c r="X1088" s="3254"/>
    </row>
    <row r="1089" spans="1:24" ht="28.5" hidden="1">
      <c r="A1089" s="3480" t="s">
        <v>105</v>
      </c>
      <c r="B1089" s="3444">
        <v>45841</v>
      </c>
      <c r="C1089" s="3165" t="s">
        <v>2761</v>
      </c>
      <c r="D1089" s="4399" t="s">
        <v>2817</v>
      </c>
      <c r="E1089" s="3614" t="s">
        <v>1464</v>
      </c>
      <c r="F1089" s="3614" t="s">
        <v>1465</v>
      </c>
      <c r="I1089" s="3443">
        <v>701</v>
      </c>
      <c r="J1089" s="3516" t="s">
        <v>2705</v>
      </c>
      <c r="K1089" s="2369"/>
      <c r="L1089" s="3462"/>
      <c r="M1089" s="3462"/>
      <c r="N1089" s="3462"/>
      <c r="O1089" s="3160" t="s">
        <v>37</v>
      </c>
      <c r="U1089" s="3462"/>
      <c r="W1089" s="3522" t="s">
        <v>2818</v>
      </c>
      <c r="X1089" s="3254"/>
    </row>
    <row r="1090" spans="1:24" ht="28.5" hidden="1">
      <c r="A1090" s="3480" t="s">
        <v>105</v>
      </c>
      <c r="B1090" s="3444">
        <v>45841</v>
      </c>
      <c r="C1090" s="3165" t="s">
        <v>2761</v>
      </c>
      <c r="D1090" s="4399"/>
      <c r="E1090" s="3614" t="s">
        <v>1465</v>
      </c>
      <c r="F1090" s="3614" t="s">
        <v>1464</v>
      </c>
      <c r="I1090" s="3443">
        <v>701</v>
      </c>
      <c r="J1090" s="3516"/>
      <c r="K1090" s="2369"/>
      <c r="L1090" s="3462" t="s">
        <v>37</v>
      </c>
      <c r="M1090" s="3462"/>
      <c r="N1090" s="3462"/>
      <c r="P1090" s="3161"/>
      <c r="Q1090" s="3161"/>
      <c r="R1090" s="3161"/>
      <c r="U1090" s="3462"/>
      <c r="W1090" s="3522"/>
      <c r="X1090" s="3254"/>
    </row>
    <row r="1091" spans="1:24" ht="28.5" hidden="1">
      <c r="A1091" s="3480" t="s">
        <v>105</v>
      </c>
      <c r="B1091" s="3444">
        <v>45841</v>
      </c>
      <c r="C1091" s="3165" t="s">
        <v>2761</v>
      </c>
      <c r="D1091" s="4399" t="s">
        <v>2819</v>
      </c>
      <c r="E1091" s="3614" t="s">
        <v>169</v>
      </c>
      <c r="F1091" s="3614" t="s">
        <v>1598</v>
      </c>
      <c r="I1091" s="3443">
        <v>707</v>
      </c>
      <c r="J1091" s="3516" t="s">
        <v>2798</v>
      </c>
      <c r="K1091" s="2369"/>
      <c r="L1091" s="3462" t="s">
        <v>37</v>
      </c>
      <c r="M1091" s="3462"/>
      <c r="N1091" s="3462"/>
      <c r="P1091" s="3161"/>
      <c r="Q1091" s="3161"/>
      <c r="R1091" s="3161"/>
      <c r="U1091" s="3462"/>
      <c r="W1091" s="3522"/>
      <c r="X1091" s="3254"/>
    </row>
    <row r="1092" spans="1:24" ht="28.5" hidden="1">
      <c r="A1092" s="3480" t="s">
        <v>105</v>
      </c>
      <c r="B1092" s="3444">
        <v>45841</v>
      </c>
      <c r="C1092" s="3165" t="s">
        <v>2761</v>
      </c>
      <c r="D1092" s="4399" t="s">
        <v>2820</v>
      </c>
      <c r="E1092" s="3614" t="s">
        <v>2483</v>
      </c>
      <c r="F1092" s="3614" t="s">
        <v>2821</v>
      </c>
      <c r="I1092" s="3600">
        <v>712</v>
      </c>
      <c r="J1092" s="3443" t="s">
        <v>377</v>
      </c>
      <c r="K1092" s="2369"/>
      <c r="L1092" s="3462" t="s">
        <v>37</v>
      </c>
      <c r="M1092" s="3462"/>
      <c r="N1092" s="3462"/>
      <c r="U1092" s="3462"/>
      <c r="W1092" s="3522"/>
      <c r="X1092" s="3254"/>
    </row>
    <row r="1093" spans="1:24" ht="28.5" hidden="1">
      <c r="A1093" s="3480" t="s">
        <v>105</v>
      </c>
      <c r="B1093" s="3444">
        <v>45841</v>
      </c>
      <c r="C1093" s="3165" t="s">
        <v>2761</v>
      </c>
      <c r="D1093" s="4399" t="s">
        <v>2822</v>
      </c>
      <c r="E1093" s="3614" t="s">
        <v>2521</v>
      </c>
      <c r="F1093" s="3614" t="s">
        <v>2823</v>
      </c>
      <c r="I1093" s="3600">
        <v>707</v>
      </c>
      <c r="J1093" s="3443" t="s">
        <v>2824</v>
      </c>
      <c r="K1093" s="2369"/>
      <c r="L1093" s="3462" t="s">
        <v>37</v>
      </c>
      <c r="M1093" s="3462"/>
      <c r="N1093" s="3462"/>
      <c r="O1093" s="3160" t="s">
        <v>37</v>
      </c>
      <c r="U1093" s="3462"/>
      <c r="W1093" s="3522" t="s">
        <v>2825</v>
      </c>
      <c r="X1093" s="3254"/>
    </row>
    <row r="1094" spans="1:24" ht="28.5" hidden="1">
      <c r="A1094" s="3480" t="s">
        <v>105</v>
      </c>
      <c r="B1094" s="3444">
        <v>45841</v>
      </c>
      <c r="C1094" s="3165" t="s">
        <v>2761</v>
      </c>
      <c r="D1094" s="4399" t="s">
        <v>2826</v>
      </c>
      <c r="E1094" s="3614" t="s">
        <v>643</v>
      </c>
      <c r="F1094" s="3614" t="s">
        <v>89</v>
      </c>
      <c r="I1094" s="3443">
        <v>702</v>
      </c>
      <c r="J1094" s="3443" t="s">
        <v>2827</v>
      </c>
      <c r="K1094" s="2369"/>
      <c r="L1094" s="3462" t="s">
        <v>37</v>
      </c>
      <c r="M1094" s="3462"/>
      <c r="N1094" s="3462"/>
      <c r="U1094" s="3462"/>
      <c r="W1094" s="3522"/>
      <c r="X1094" s="3254"/>
    </row>
    <row r="1095" spans="1:24" ht="29.25" hidden="1" thickBot="1">
      <c r="A1095" s="3494" t="s">
        <v>105</v>
      </c>
      <c r="B1095" s="3448">
        <v>45841</v>
      </c>
      <c r="C1095" s="3357" t="s">
        <v>2761</v>
      </c>
      <c r="D1095" s="4404"/>
      <c r="E1095" s="3690" t="s">
        <v>89</v>
      </c>
      <c r="F1095" s="3690" t="s">
        <v>450</v>
      </c>
      <c r="G1095" s="3284"/>
      <c r="H1095" s="3284"/>
      <c r="I1095" s="3586">
        <v>702</v>
      </c>
      <c r="J1095" s="3447" t="s">
        <v>2828</v>
      </c>
      <c r="K1095" s="3875"/>
      <c r="L1095" s="3447" t="s">
        <v>37</v>
      </c>
      <c r="M1095" s="3447"/>
      <c r="N1095" s="3447"/>
      <c r="O1095" s="3284"/>
      <c r="P1095" s="3284"/>
      <c r="Q1095" s="3284"/>
      <c r="R1095" s="3284"/>
      <c r="S1095" s="3284"/>
      <c r="T1095" s="3284"/>
      <c r="U1095" s="3447" t="s">
        <v>30</v>
      </c>
      <c r="V1095" s="3284"/>
      <c r="W1095" s="3547"/>
      <c r="X1095" s="3254"/>
    </row>
    <row r="1096" spans="1:24" ht="28.5" hidden="1">
      <c r="A1096" s="3477" t="s">
        <v>105</v>
      </c>
      <c r="B1096" s="3478">
        <v>45841</v>
      </c>
      <c r="C1096" s="3356" t="s">
        <v>2761</v>
      </c>
      <c r="D1096" s="3514" t="s">
        <v>2829</v>
      </c>
      <c r="E1096" s="3708" t="s">
        <v>2483</v>
      </c>
      <c r="F1096" s="3708" t="s">
        <v>204</v>
      </c>
      <c r="G1096" s="3281"/>
      <c r="H1096" s="3281"/>
      <c r="I1096" s="3443">
        <v>712</v>
      </c>
      <c r="J1096" s="3515" t="s">
        <v>274</v>
      </c>
      <c r="K1096" s="3694" t="s">
        <v>627</v>
      </c>
      <c r="L1096" s="3668" t="s">
        <v>37</v>
      </c>
      <c r="M1096" s="3668"/>
      <c r="N1096" s="3668"/>
      <c r="O1096" s="3281"/>
      <c r="P1096" s="3281"/>
      <c r="Q1096" s="3281"/>
      <c r="R1096" s="3281"/>
      <c r="S1096" s="3281"/>
      <c r="T1096" s="3281"/>
      <c r="U1096" s="3668"/>
      <c r="V1096" s="3281"/>
      <c r="W1096" s="3521"/>
      <c r="X1096" s="3254"/>
    </row>
    <row r="1097" spans="1:24" ht="28.5" hidden="1">
      <c r="A1097" s="3480" t="s">
        <v>105</v>
      </c>
      <c r="B1097" s="3444">
        <v>45841</v>
      </c>
      <c r="C1097" s="3165" t="s">
        <v>2761</v>
      </c>
      <c r="D1097" s="4399" t="s">
        <v>2830</v>
      </c>
      <c r="E1097" s="3614" t="s">
        <v>80</v>
      </c>
      <c r="F1097" s="3614" t="s">
        <v>1598</v>
      </c>
      <c r="I1097" s="3443">
        <v>707</v>
      </c>
      <c r="J1097" s="3516">
        <v>60093</v>
      </c>
      <c r="K1097" s="2369"/>
      <c r="L1097" s="3462" t="s">
        <v>37</v>
      </c>
      <c r="M1097" s="3462"/>
      <c r="N1097" s="3462"/>
      <c r="U1097" s="3462"/>
      <c r="W1097" s="3522"/>
      <c r="X1097" s="3254"/>
    </row>
    <row r="1098" spans="1:24" ht="28.5" hidden="1">
      <c r="A1098" s="3480" t="s">
        <v>132</v>
      </c>
      <c r="B1098" s="3444">
        <v>45842</v>
      </c>
      <c r="C1098" s="3165" t="s">
        <v>2761</v>
      </c>
      <c r="D1098" s="4399"/>
      <c r="E1098" s="3614" t="s">
        <v>204</v>
      </c>
      <c r="F1098" s="3614" t="s">
        <v>389</v>
      </c>
      <c r="I1098" s="3600">
        <v>712</v>
      </c>
      <c r="J1098" s="3516" t="s">
        <v>274</v>
      </c>
      <c r="K1098" s="3511" t="s">
        <v>627</v>
      </c>
      <c r="L1098" s="3462" t="s">
        <v>37</v>
      </c>
      <c r="M1098" s="3462"/>
      <c r="N1098" s="3462"/>
      <c r="U1098" s="3462"/>
      <c r="W1098" s="3522"/>
      <c r="X1098" s="3254"/>
    </row>
    <row r="1099" spans="1:24" ht="28.5" hidden="1">
      <c r="A1099" s="3480" t="s">
        <v>132</v>
      </c>
      <c r="B1099" s="3444">
        <v>45842</v>
      </c>
      <c r="C1099" s="3165" t="s">
        <v>2761</v>
      </c>
      <c r="D1099" s="4399"/>
      <c r="E1099" s="3614" t="s">
        <v>2831</v>
      </c>
      <c r="F1099" s="3614" t="s">
        <v>2832</v>
      </c>
      <c r="I1099" s="3600">
        <v>712</v>
      </c>
      <c r="J1099" s="3516" t="s">
        <v>377</v>
      </c>
      <c r="K1099" s="2369"/>
      <c r="L1099" s="3462" t="s">
        <v>37</v>
      </c>
      <c r="M1099" s="3462"/>
      <c r="N1099" s="3462"/>
      <c r="U1099" s="3462"/>
      <c r="W1099" s="3522"/>
      <c r="X1099" s="3254"/>
    </row>
    <row r="1100" spans="1:24" ht="28.5" hidden="1">
      <c r="A1100" s="3480" t="s">
        <v>132</v>
      </c>
      <c r="B1100" s="3444">
        <v>45842</v>
      </c>
      <c r="C1100" s="3165" t="s">
        <v>2761</v>
      </c>
      <c r="D1100" s="4399" t="s">
        <v>2833</v>
      </c>
      <c r="E1100" s="3614" t="s">
        <v>450</v>
      </c>
      <c r="F1100" s="3614" t="s">
        <v>1091</v>
      </c>
      <c r="I1100" s="3600">
        <v>702</v>
      </c>
      <c r="J1100" s="3516" t="s">
        <v>2834</v>
      </c>
      <c r="K1100" s="2369"/>
      <c r="L1100" s="3462" t="s">
        <v>37</v>
      </c>
      <c r="M1100" s="3462"/>
      <c r="N1100" s="3462"/>
      <c r="U1100" s="3462"/>
      <c r="W1100" s="3522"/>
      <c r="X1100" s="3254"/>
    </row>
    <row r="1101" spans="1:24" ht="28.5" hidden="1">
      <c r="A1101" s="3480" t="s">
        <v>132</v>
      </c>
      <c r="B1101" s="3444">
        <v>45842</v>
      </c>
      <c r="C1101" s="3165" t="s">
        <v>2761</v>
      </c>
      <c r="D1101" s="4399" t="s">
        <v>2835</v>
      </c>
      <c r="E1101" s="3614" t="s">
        <v>1527</v>
      </c>
      <c r="F1101" s="3614" t="s">
        <v>80</v>
      </c>
      <c r="I1101" s="3600">
        <v>705</v>
      </c>
      <c r="J1101" s="3516" t="s">
        <v>2836</v>
      </c>
      <c r="K1101" s="3511" t="s">
        <v>174</v>
      </c>
      <c r="L1101" s="3462" t="s">
        <v>37</v>
      </c>
      <c r="M1101" s="3462"/>
      <c r="N1101" s="3462"/>
      <c r="U1101" s="3462"/>
      <c r="W1101" s="3522"/>
      <c r="X1101" s="3254"/>
    </row>
    <row r="1102" spans="1:24" ht="28.5" hidden="1">
      <c r="A1102" s="3480" t="s">
        <v>132</v>
      </c>
      <c r="B1102" s="3444">
        <v>45842</v>
      </c>
      <c r="C1102" s="3165" t="s">
        <v>2761</v>
      </c>
      <c r="D1102" s="4399"/>
      <c r="E1102" s="3614" t="s">
        <v>2501</v>
      </c>
      <c r="F1102" s="3614" t="s">
        <v>80</v>
      </c>
      <c r="I1102" s="3600">
        <v>705</v>
      </c>
      <c r="J1102" s="3516" t="s">
        <v>2836</v>
      </c>
      <c r="K1102" s="3511" t="s">
        <v>174</v>
      </c>
      <c r="L1102" s="3462" t="s">
        <v>37</v>
      </c>
      <c r="M1102" s="3462"/>
      <c r="N1102" s="3462"/>
      <c r="U1102" s="3462"/>
      <c r="W1102" s="3522"/>
      <c r="X1102" s="3254"/>
    </row>
    <row r="1103" spans="1:24" ht="29.25" hidden="1" thickBot="1">
      <c r="A1103" s="3494" t="s">
        <v>132</v>
      </c>
      <c r="B1103" s="3448">
        <v>45842</v>
      </c>
      <c r="C1103" s="3357" t="s">
        <v>2761</v>
      </c>
      <c r="D1103" s="4404"/>
      <c r="E1103" s="3690" t="s">
        <v>2837</v>
      </c>
      <c r="F1103" s="3690" t="s">
        <v>1838</v>
      </c>
      <c r="G1103" s="3284"/>
      <c r="H1103" s="3284"/>
      <c r="I1103" s="3586">
        <v>705</v>
      </c>
      <c r="J1103" s="3523" t="s">
        <v>2836</v>
      </c>
      <c r="K1103" s="3608" t="s">
        <v>174</v>
      </c>
      <c r="L1103" s="3447" t="s">
        <v>37</v>
      </c>
      <c r="M1103" s="3447"/>
      <c r="N1103" s="3447"/>
      <c r="O1103" s="3284"/>
      <c r="P1103" s="3284"/>
      <c r="Q1103" s="3284"/>
      <c r="R1103" s="3284"/>
      <c r="S1103" s="3284"/>
      <c r="T1103" s="3284"/>
      <c r="U1103" s="3447"/>
      <c r="V1103" s="3284"/>
      <c r="W1103" s="3547"/>
      <c r="X1103" s="3254"/>
    </row>
    <row r="1104" spans="1:24" ht="28.5" hidden="1">
      <c r="A1104" s="3477" t="s">
        <v>132</v>
      </c>
      <c r="B1104" s="3478">
        <v>45842</v>
      </c>
      <c r="C1104" s="3356" t="s">
        <v>2761</v>
      </c>
      <c r="D1104" s="3514" t="s">
        <v>2838</v>
      </c>
      <c r="E1104" s="3708" t="s">
        <v>1464</v>
      </c>
      <c r="F1104" s="3708" t="s">
        <v>1465</v>
      </c>
      <c r="G1104" s="3281"/>
      <c r="H1104" s="3281"/>
      <c r="I1104" s="3503">
        <v>701</v>
      </c>
      <c r="J1104" s="3503" t="s">
        <v>2705</v>
      </c>
      <c r="K1104" s="3871"/>
      <c r="L1104" s="3503" t="s">
        <v>37</v>
      </c>
      <c r="M1104" s="3503"/>
      <c r="N1104" s="3503"/>
      <c r="O1104" s="3281"/>
      <c r="P1104" s="3281"/>
      <c r="Q1104" s="3281"/>
      <c r="R1104" s="3281"/>
      <c r="S1104" s="3281"/>
      <c r="T1104" s="3281"/>
      <c r="U1104" s="3503"/>
      <c r="V1104" s="3281"/>
      <c r="W1104" s="3519"/>
      <c r="X1104" s="3792"/>
    </row>
    <row r="1105" spans="1:24" ht="28.5" hidden="1">
      <c r="A1105" s="3480" t="s">
        <v>132</v>
      </c>
      <c r="B1105" s="3444">
        <v>45842</v>
      </c>
      <c r="C1105" s="3356" t="s">
        <v>2761</v>
      </c>
      <c r="D1105" s="4399"/>
      <c r="E1105" s="3614" t="s">
        <v>1465</v>
      </c>
      <c r="F1105" s="3614" t="s">
        <v>1464</v>
      </c>
      <c r="I1105" s="3443">
        <v>701</v>
      </c>
      <c r="J1105" s="3443"/>
      <c r="K1105" s="2369"/>
      <c r="L1105" s="3443" t="s">
        <v>37</v>
      </c>
      <c r="M1105" s="3443"/>
      <c r="N1105" s="3443"/>
      <c r="U1105" s="3443"/>
      <c r="W1105" s="3507"/>
      <c r="X1105" s="3793"/>
    </row>
    <row r="1106" spans="1:24" ht="28.5" hidden="1">
      <c r="A1106" s="3480" t="s">
        <v>25</v>
      </c>
      <c r="B1106" s="3444">
        <v>45845</v>
      </c>
      <c r="C1106" s="3503">
        <v>28</v>
      </c>
      <c r="D1106" s="3614">
        <v>717</v>
      </c>
      <c r="E1106" s="3614" t="s">
        <v>2303</v>
      </c>
      <c r="F1106" s="3614" t="s">
        <v>1145</v>
      </c>
      <c r="G1106" s="3812" t="s">
        <v>1206</v>
      </c>
      <c r="H1106" s="3812" t="s">
        <v>1206</v>
      </c>
      <c r="I1106" s="3443"/>
      <c r="J1106" s="3443" t="s">
        <v>2154</v>
      </c>
      <c r="K1106" s="3511" t="s">
        <v>174</v>
      </c>
      <c r="L1106" s="3443" t="s">
        <v>37</v>
      </c>
      <c r="M1106" s="3443"/>
      <c r="N1106" s="3443"/>
      <c r="O1106" s="3443"/>
      <c r="P1106" s="3443"/>
      <c r="Q1106" s="3443"/>
      <c r="R1106" s="3443"/>
      <c r="S1106" s="3443"/>
      <c r="T1106" s="3443"/>
      <c r="U1106" s="3443"/>
      <c r="V1106" s="3443"/>
      <c r="W1106" s="3443"/>
      <c r="X1106" s="3522"/>
    </row>
    <row r="1107" spans="1:24" ht="28.5" hidden="1">
      <c r="A1107" s="3480" t="s">
        <v>25</v>
      </c>
      <c r="B1107" s="3444">
        <v>45845</v>
      </c>
      <c r="C1107" s="3503">
        <v>28</v>
      </c>
      <c r="D1107" s="3878">
        <v>718</v>
      </c>
      <c r="E1107" s="3878" t="s">
        <v>1464</v>
      </c>
      <c r="F1107" s="3878" t="s">
        <v>1465</v>
      </c>
      <c r="G1107" s="3812" t="s">
        <v>1206</v>
      </c>
      <c r="H1107" s="3811" t="s">
        <v>1199</v>
      </c>
      <c r="I1107" s="3443">
        <v>701</v>
      </c>
      <c r="J1107" s="3443" t="s">
        <v>2705</v>
      </c>
      <c r="K1107" s="2369"/>
      <c r="L1107" s="3443" t="s">
        <v>37</v>
      </c>
      <c r="M1107" s="3443"/>
      <c r="N1107" s="3443"/>
      <c r="O1107" s="3443"/>
      <c r="P1107" s="3443"/>
      <c r="Q1107" s="3443"/>
      <c r="R1107" s="3443"/>
      <c r="S1107" s="3443"/>
      <c r="T1107" s="3443"/>
      <c r="U1107" s="3443"/>
      <c r="V1107" s="3443"/>
      <c r="W1107" s="3443"/>
      <c r="X1107" s="3522"/>
    </row>
    <row r="1108" spans="1:24" ht="28.5" hidden="1">
      <c r="A1108" s="3480" t="s">
        <v>25</v>
      </c>
      <c r="B1108" s="3444">
        <v>45845</v>
      </c>
      <c r="C1108" s="3503">
        <v>28</v>
      </c>
      <c r="D1108" s="3878"/>
      <c r="E1108" s="3878" t="s">
        <v>1465</v>
      </c>
      <c r="F1108" s="3878" t="s">
        <v>1464</v>
      </c>
      <c r="G1108" s="3812" t="s">
        <v>1206</v>
      </c>
      <c r="H1108" s="3811" t="s">
        <v>1199</v>
      </c>
      <c r="I1108" s="3443">
        <v>701</v>
      </c>
      <c r="J1108" s="3443" t="s">
        <v>2839</v>
      </c>
      <c r="K1108" s="2369"/>
      <c r="L1108" s="3443" t="s">
        <v>37</v>
      </c>
      <c r="M1108" s="3443"/>
      <c r="N1108" s="3443"/>
      <c r="O1108" s="3443"/>
      <c r="P1108" s="4722"/>
      <c r="Q1108" s="4722"/>
      <c r="R1108" s="4722"/>
      <c r="S1108" s="3443"/>
      <c r="T1108" s="3443"/>
      <c r="U1108" s="3443"/>
      <c r="V1108" s="3443"/>
      <c r="W1108" s="3443"/>
      <c r="X1108" s="3522"/>
    </row>
    <row r="1109" spans="1:24" ht="28.5" hidden="1">
      <c r="A1109" s="3480" t="s">
        <v>25</v>
      </c>
      <c r="B1109" s="3444">
        <v>45845</v>
      </c>
      <c r="C1109" s="3503">
        <v>28</v>
      </c>
      <c r="D1109" s="3541">
        <v>719</v>
      </c>
      <c r="E1109" s="3541" t="s">
        <v>1293</v>
      </c>
      <c r="F1109" s="3541" t="s">
        <v>2840</v>
      </c>
      <c r="G1109" s="3812" t="s">
        <v>1206</v>
      </c>
      <c r="H1109" s="3811" t="s">
        <v>1199</v>
      </c>
      <c r="I1109" s="3443">
        <v>707</v>
      </c>
      <c r="J1109" s="3443" t="s">
        <v>318</v>
      </c>
      <c r="K1109" s="2369"/>
      <c r="L1109" s="3443" t="s">
        <v>37</v>
      </c>
      <c r="M1109" s="3443"/>
      <c r="N1109" s="3443"/>
      <c r="O1109" s="3443"/>
      <c r="P1109" s="3443"/>
      <c r="Q1109" s="3443"/>
      <c r="R1109" s="3443"/>
      <c r="S1109" s="3443"/>
      <c r="T1109" s="3443"/>
      <c r="U1109" s="3443"/>
      <c r="V1109" s="3443"/>
      <c r="W1109" s="3443"/>
      <c r="X1109" s="3522"/>
    </row>
    <row r="1110" spans="1:24" ht="85.5" hidden="1">
      <c r="A1110" s="3480" t="s">
        <v>25</v>
      </c>
      <c r="B1110" s="3444">
        <v>45845</v>
      </c>
      <c r="C1110" s="3503">
        <v>28</v>
      </c>
      <c r="D1110" s="3541"/>
      <c r="E1110" s="3541" t="s">
        <v>1225</v>
      </c>
      <c r="F1110" s="3541" t="s">
        <v>426</v>
      </c>
      <c r="G1110" s="3772" t="s">
        <v>1206</v>
      </c>
      <c r="H1110" s="3811" t="s">
        <v>1199</v>
      </c>
      <c r="I1110" s="3443">
        <v>707</v>
      </c>
      <c r="J1110" s="3443" t="s">
        <v>2841</v>
      </c>
      <c r="K1110" s="2369"/>
      <c r="L1110" s="3443"/>
      <c r="M1110" s="3443" t="s">
        <v>30</v>
      </c>
      <c r="N1110" s="3443"/>
      <c r="O1110" s="3443"/>
      <c r="P1110" s="21" t="s">
        <v>231</v>
      </c>
      <c r="Q1110" s="21" t="s">
        <v>1048</v>
      </c>
      <c r="R1110" s="21" t="s">
        <v>38</v>
      </c>
      <c r="S1110" s="3443"/>
      <c r="T1110" s="3443"/>
      <c r="U1110" s="3443"/>
      <c r="V1110" s="3443"/>
      <c r="W1110" s="3507" t="s">
        <v>2842</v>
      </c>
      <c r="X1110" s="3522" t="s">
        <v>2843</v>
      </c>
    </row>
    <row r="1111" spans="1:24" ht="28.5" hidden="1">
      <c r="A1111" s="3480" t="s">
        <v>25</v>
      </c>
      <c r="B1111" s="3444">
        <v>45845</v>
      </c>
      <c r="C1111" s="3503">
        <v>28</v>
      </c>
      <c r="D1111" s="3620">
        <v>720</v>
      </c>
      <c r="E1111" s="3620" t="s">
        <v>1838</v>
      </c>
      <c r="F1111" s="3620" t="s">
        <v>2844</v>
      </c>
      <c r="G1111" s="3772" t="s">
        <v>1206</v>
      </c>
      <c r="H1111" s="3772" t="s">
        <v>1206</v>
      </c>
      <c r="I1111" s="3443">
        <v>707</v>
      </c>
      <c r="J1111" s="3443" t="s">
        <v>2845</v>
      </c>
      <c r="K1111" s="2369"/>
      <c r="L1111" s="3443" t="s">
        <v>37</v>
      </c>
      <c r="M1111" s="3443"/>
      <c r="N1111" s="3443"/>
      <c r="O1111" s="3443"/>
      <c r="P1111" s="3443"/>
      <c r="Q1111" s="3443"/>
      <c r="R1111" s="3443"/>
      <c r="S1111" s="3443"/>
      <c r="T1111" s="3443"/>
      <c r="U1111" s="3443"/>
      <c r="V1111" s="3443"/>
      <c r="W1111" s="3443"/>
      <c r="X1111" s="3522"/>
    </row>
    <row r="1112" spans="1:24" ht="28.5" hidden="1">
      <c r="A1112" s="3480" t="s">
        <v>25</v>
      </c>
      <c r="B1112" s="3444">
        <v>45845</v>
      </c>
      <c r="C1112" s="3503">
        <v>28</v>
      </c>
      <c r="D1112" s="3620"/>
      <c r="E1112" s="3620" t="s">
        <v>1293</v>
      </c>
      <c r="F1112" s="3620" t="s">
        <v>426</v>
      </c>
      <c r="G1112" s="3772" t="s">
        <v>1199</v>
      </c>
      <c r="H1112" s="3811" t="s">
        <v>1199</v>
      </c>
      <c r="I1112" s="3443">
        <v>707</v>
      </c>
      <c r="J1112" s="3443" t="s">
        <v>864</v>
      </c>
      <c r="K1112" s="2369"/>
      <c r="L1112" s="3443" t="s">
        <v>37</v>
      </c>
      <c r="M1112" s="3443"/>
      <c r="N1112" s="3443"/>
      <c r="O1112" s="3443"/>
      <c r="P1112" s="3443"/>
      <c r="Q1112" s="3443"/>
      <c r="R1112" s="3443"/>
      <c r="S1112" s="3443"/>
      <c r="T1112" s="3443"/>
      <c r="U1112" s="3443"/>
      <c r="V1112" s="3443"/>
      <c r="W1112" s="3443"/>
      <c r="X1112" s="3522"/>
    </row>
    <row r="1113" spans="1:24" ht="28.5" hidden="1">
      <c r="A1113" s="3480" t="s">
        <v>25</v>
      </c>
      <c r="B1113" s="3444">
        <v>45845</v>
      </c>
      <c r="C1113" s="3503">
        <v>28</v>
      </c>
      <c r="D1113" s="3614">
        <v>721</v>
      </c>
      <c r="E1113" s="3614" t="s">
        <v>169</v>
      </c>
      <c r="F1113" s="3614" t="s">
        <v>857</v>
      </c>
      <c r="G1113" s="3766" t="s">
        <v>1199</v>
      </c>
      <c r="H1113" s="3766" t="s">
        <v>1199</v>
      </c>
      <c r="I1113" s="3443">
        <v>705</v>
      </c>
      <c r="J1113" s="3443" t="s">
        <v>2846</v>
      </c>
      <c r="K1113" s="2369"/>
      <c r="L1113" s="3443" t="s">
        <v>37</v>
      </c>
      <c r="M1113" s="3443"/>
      <c r="N1113" s="3443"/>
      <c r="O1113" s="3443"/>
      <c r="P1113" s="4722"/>
      <c r="Q1113" s="4722"/>
      <c r="R1113" s="4722"/>
      <c r="S1113" s="3443"/>
      <c r="T1113" s="3443"/>
      <c r="U1113" s="3443"/>
      <c r="V1113" s="3443"/>
      <c r="W1113" s="3443"/>
      <c r="X1113" s="3522"/>
    </row>
    <row r="1114" spans="1:24" ht="28.5" hidden="1">
      <c r="A1114" s="3480" t="s">
        <v>25</v>
      </c>
      <c r="B1114" s="3444">
        <v>45845</v>
      </c>
      <c r="C1114" s="3503">
        <v>28</v>
      </c>
      <c r="D1114" s="3614">
        <v>722</v>
      </c>
      <c r="E1114" s="3614" t="s">
        <v>1311</v>
      </c>
      <c r="F1114" s="3614" t="s">
        <v>731</v>
      </c>
      <c r="G1114" s="3772" t="s">
        <v>1206</v>
      </c>
      <c r="H1114" s="3772" t="s">
        <v>1206</v>
      </c>
      <c r="I1114" s="3443">
        <v>705</v>
      </c>
      <c r="J1114" s="3443" t="s">
        <v>1683</v>
      </c>
      <c r="K1114" s="3511" t="s">
        <v>84</v>
      </c>
      <c r="L1114" s="3443" t="s">
        <v>37</v>
      </c>
      <c r="M1114" s="3443"/>
      <c r="N1114" s="3443"/>
      <c r="O1114" s="3443"/>
      <c r="P1114" s="4722"/>
      <c r="Q1114" s="4722"/>
      <c r="R1114" s="4722"/>
      <c r="S1114" s="3443"/>
      <c r="T1114" s="3443"/>
      <c r="U1114" s="3443"/>
      <c r="V1114" s="3443"/>
      <c r="W1114" s="3443"/>
      <c r="X1114" s="3522"/>
    </row>
    <row r="1115" spans="1:24" ht="29.25" hidden="1" thickBot="1">
      <c r="A1115" s="3494" t="s">
        <v>25</v>
      </c>
      <c r="B1115" s="3448">
        <v>45845</v>
      </c>
      <c r="C1115" s="3503">
        <v>28</v>
      </c>
      <c r="D1115" s="3690"/>
      <c r="E1115" s="3690" t="s">
        <v>273</v>
      </c>
      <c r="F1115" s="3690" t="s">
        <v>2346</v>
      </c>
      <c r="G1115" s="3771" t="s">
        <v>1206</v>
      </c>
      <c r="H1115" s="3771" t="s">
        <v>1206</v>
      </c>
      <c r="I1115" s="3447">
        <v>705</v>
      </c>
      <c r="J1115" s="3447" t="s">
        <v>2847</v>
      </c>
      <c r="K1115" s="3608" t="s">
        <v>84</v>
      </c>
      <c r="L1115" s="3447"/>
      <c r="M1115" s="3447" t="s">
        <v>30</v>
      </c>
      <c r="N1115" s="3447"/>
      <c r="O1115" s="3447"/>
      <c r="P1115" s="35" t="s">
        <v>71</v>
      </c>
      <c r="Q1115" s="35" t="s">
        <v>138</v>
      </c>
      <c r="R1115" s="35" t="s">
        <v>160</v>
      </c>
      <c r="S1115" s="3447" t="s">
        <v>30</v>
      </c>
      <c r="T1115" s="3447"/>
      <c r="U1115" s="3447"/>
      <c r="V1115" s="3447"/>
      <c r="W1115" s="3447"/>
      <c r="X1115" s="3547" t="s">
        <v>2848</v>
      </c>
    </row>
    <row r="1116" spans="1:24" ht="28.5" hidden="1">
      <c r="A1116" s="3443" t="s">
        <v>25</v>
      </c>
      <c r="B1116" s="3444">
        <v>45845</v>
      </c>
      <c r="C1116" s="3503">
        <v>28</v>
      </c>
      <c r="D1116" s="3614">
        <v>723</v>
      </c>
      <c r="E1116" s="3614" t="s">
        <v>2849</v>
      </c>
      <c r="F1116" s="3614" t="s">
        <v>2850</v>
      </c>
      <c r="G1116" s="3806" t="s">
        <v>1199</v>
      </c>
      <c r="H1116" s="3806" t="s">
        <v>1199</v>
      </c>
      <c r="I1116" s="3505">
        <v>705</v>
      </c>
      <c r="J1116" s="3443" t="s">
        <v>2851</v>
      </c>
      <c r="K1116" s="3693" t="s">
        <v>174</v>
      </c>
      <c r="L1116" s="3505"/>
      <c r="M1116" s="3505" t="s">
        <v>37</v>
      </c>
      <c r="N1116" s="3505"/>
      <c r="O1116" s="3505"/>
      <c r="P1116" s="4767" t="s">
        <v>231</v>
      </c>
      <c r="Q1116" s="4767" t="s">
        <v>232</v>
      </c>
      <c r="R1116" s="4767" t="s">
        <v>38</v>
      </c>
      <c r="S1116" s="3505"/>
      <c r="T1116" s="3505"/>
      <c r="U1116" s="3505"/>
      <c r="V1116" s="3505"/>
      <c r="W1116" s="3505" t="s">
        <v>2852</v>
      </c>
      <c r="X1116" s="3637"/>
    </row>
    <row r="1117" spans="1:24" ht="28.5" hidden="1">
      <c r="A1117" s="3443" t="s">
        <v>25</v>
      </c>
      <c r="B1117" s="3444">
        <v>45845</v>
      </c>
      <c r="C1117" s="3503">
        <v>28</v>
      </c>
      <c r="D1117" s="3614"/>
      <c r="E1117" s="3614" t="s">
        <v>1293</v>
      </c>
      <c r="F1117" s="3614" t="s">
        <v>2853</v>
      </c>
      <c r="G1117" s="3766" t="s">
        <v>1199</v>
      </c>
      <c r="H1117" s="3766" t="s">
        <v>1199</v>
      </c>
      <c r="I1117" s="3443">
        <v>705</v>
      </c>
      <c r="J1117" s="4722" t="s">
        <v>2854</v>
      </c>
      <c r="K1117" s="3511" t="s">
        <v>174</v>
      </c>
      <c r="L1117" s="3443" t="s">
        <v>37</v>
      </c>
      <c r="M1117" s="3443"/>
      <c r="N1117" s="3443"/>
      <c r="O1117" s="3443"/>
      <c r="P1117" s="3443"/>
      <c r="Q1117" s="3443"/>
      <c r="R1117" s="3443"/>
      <c r="S1117" s="3443"/>
      <c r="T1117" s="3443"/>
      <c r="U1117" s="3443"/>
      <c r="V1117" s="3443"/>
      <c r="W1117" s="3443"/>
      <c r="X1117" s="3507"/>
    </row>
    <row r="1118" spans="1:24" ht="28.5" hidden="1">
      <c r="A1118" s="3443" t="s">
        <v>67</v>
      </c>
      <c r="B1118" s="3444">
        <v>45846</v>
      </c>
      <c r="C1118" s="3503">
        <v>28</v>
      </c>
      <c r="D1118" s="3541"/>
      <c r="E1118" s="3541" t="s">
        <v>2430</v>
      </c>
      <c r="F1118" s="3541" t="s">
        <v>426</v>
      </c>
      <c r="G1118" s="3772" t="s">
        <v>1206</v>
      </c>
      <c r="H1118" s="3811" t="s">
        <v>1199</v>
      </c>
      <c r="I1118" s="3443"/>
      <c r="J1118" s="3443" t="s">
        <v>2841</v>
      </c>
      <c r="K1118" s="3635"/>
      <c r="L1118" s="3443" t="s">
        <v>37</v>
      </c>
      <c r="M1118" s="3443"/>
      <c r="N1118" s="3443"/>
      <c r="O1118" s="3443"/>
      <c r="P1118" s="3443"/>
      <c r="Q1118" s="3443"/>
      <c r="R1118" s="3443"/>
      <c r="S1118" s="3443"/>
      <c r="T1118" s="3443"/>
      <c r="U1118" s="3443"/>
      <c r="V1118" s="3443"/>
      <c r="W1118" s="3443"/>
      <c r="X1118" s="3507"/>
    </row>
    <row r="1119" spans="1:24" ht="28.5" hidden="1">
      <c r="A1119" s="3493" t="s">
        <v>67</v>
      </c>
      <c r="B1119" s="3457">
        <v>45846</v>
      </c>
      <c r="C1119" s="3503">
        <v>28</v>
      </c>
      <c r="D1119" s="3823"/>
      <c r="E1119" s="3823" t="s">
        <v>258</v>
      </c>
      <c r="F1119" s="3823" t="s">
        <v>2855</v>
      </c>
      <c r="G1119" s="3826" t="s">
        <v>1199</v>
      </c>
      <c r="H1119" s="3826" t="s">
        <v>1199</v>
      </c>
      <c r="I1119" s="3456">
        <v>707</v>
      </c>
      <c r="J1119" s="111"/>
      <c r="K1119" s="3873"/>
      <c r="L1119" s="3456" t="s">
        <v>37</v>
      </c>
      <c r="M1119" s="3456"/>
      <c r="N1119" s="3456"/>
      <c r="O1119" s="3456"/>
      <c r="P1119" s="3456"/>
      <c r="Q1119" s="3456"/>
      <c r="R1119" s="3456"/>
      <c r="S1119" s="3456"/>
      <c r="T1119" s="3456"/>
      <c r="U1119" s="3456"/>
      <c r="V1119" s="3456"/>
      <c r="W1119" s="3456"/>
      <c r="X1119" s="3609"/>
    </row>
    <row r="1120" spans="1:24" ht="28.5" hidden="1">
      <c r="A1120" s="3480" t="s">
        <v>67</v>
      </c>
      <c r="B1120" s="3444">
        <v>45846</v>
      </c>
      <c r="C1120" s="3503">
        <v>28</v>
      </c>
      <c r="D1120" s="3881"/>
      <c r="E1120" s="3881" t="s">
        <v>2856</v>
      </c>
      <c r="F1120" s="3881" t="s">
        <v>2857</v>
      </c>
      <c r="G1120" s="3772" t="s">
        <v>2858</v>
      </c>
      <c r="H1120" s="3811"/>
      <c r="I1120" s="3443">
        <v>707</v>
      </c>
      <c r="J1120" s="3443" t="s">
        <v>2859</v>
      </c>
      <c r="K1120" s="2369"/>
      <c r="L1120" s="3443" t="s">
        <v>37</v>
      </c>
      <c r="M1120" s="3443"/>
      <c r="N1120" s="3443"/>
      <c r="O1120" s="3443"/>
      <c r="P1120" s="3443"/>
      <c r="Q1120" s="3443"/>
      <c r="R1120" s="3443"/>
      <c r="S1120" s="3443"/>
      <c r="T1120" s="3443"/>
      <c r="U1120" s="3443"/>
      <c r="V1120" s="3443"/>
      <c r="W1120" s="3443"/>
      <c r="X1120" s="3522"/>
    </row>
    <row r="1121" spans="1:25" ht="28.5" hidden="1">
      <c r="A1121" s="3480" t="s">
        <v>67</v>
      </c>
      <c r="B1121" s="3444">
        <v>45846</v>
      </c>
      <c r="C1121" s="3503">
        <v>28</v>
      </c>
      <c r="D1121" s="3878">
        <v>724</v>
      </c>
      <c r="E1121" s="3878" t="s">
        <v>1464</v>
      </c>
      <c r="F1121" s="3878" t="s">
        <v>1465</v>
      </c>
      <c r="G1121" s="3812" t="s">
        <v>1206</v>
      </c>
      <c r="H1121" s="3811" t="s">
        <v>1199</v>
      </c>
      <c r="I1121" s="3443">
        <v>701</v>
      </c>
      <c r="J1121" s="3443" t="s">
        <v>2705</v>
      </c>
      <c r="K1121" s="2369"/>
      <c r="L1121" s="3443" t="s">
        <v>37</v>
      </c>
      <c r="M1121" s="3443"/>
      <c r="N1121" s="3443"/>
      <c r="O1121" s="3443"/>
      <c r="P1121" s="3443"/>
      <c r="Q1121" s="3443"/>
      <c r="R1121" s="3443"/>
      <c r="S1121" s="3443"/>
      <c r="T1121" s="3443"/>
      <c r="U1121" s="3443"/>
      <c r="V1121" s="3443"/>
      <c r="W1121" s="3443"/>
      <c r="X1121" s="3522"/>
    </row>
    <row r="1122" spans="1:25" ht="28.5" hidden="1">
      <c r="A1122" s="3480" t="s">
        <v>67</v>
      </c>
      <c r="B1122" s="3444">
        <v>45846</v>
      </c>
      <c r="C1122" s="3503">
        <v>28</v>
      </c>
      <c r="D1122" s="3878"/>
      <c r="E1122" s="3878" t="s">
        <v>1465</v>
      </c>
      <c r="F1122" s="3878" t="s">
        <v>1464</v>
      </c>
      <c r="G1122" s="3812" t="s">
        <v>1206</v>
      </c>
      <c r="H1122" s="3811" t="s">
        <v>1199</v>
      </c>
      <c r="I1122" s="3443">
        <v>701</v>
      </c>
      <c r="J1122" s="3443" t="s">
        <v>2839</v>
      </c>
      <c r="K1122" s="2369"/>
      <c r="L1122" s="3443" t="s">
        <v>37</v>
      </c>
      <c r="M1122" s="3443"/>
      <c r="N1122" s="3443"/>
      <c r="O1122" s="3443"/>
      <c r="P1122" s="3443"/>
      <c r="Q1122" s="3443"/>
      <c r="R1122" s="3443"/>
      <c r="S1122" s="3443"/>
      <c r="T1122" s="3443"/>
      <c r="U1122" s="3443"/>
      <c r="V1122" s="3443"/>
      <c r="W1122" s="3443"/>
      <c r="X1122" s="3522"/>
    </row>
    <row r="1123" spans="1:25" ht="28.5" hidden="1">
      <c r="A1123" s="3480" t="s">
        <v>67</v>
      </c>
      <c r="B1123" s="3444">
        <v>45846</v>
      </c>
      <c r="C1123" s="3503">
        <v>28</v>
      </c>
      <c r="D1123" s="3679">
        <v>725</v>
      </c>
      <c r="E1123" s="3679" t="s">
        <v>1293</v>
      </c>
      <c r="F1123" s="3679" t="s">
        <v>196</v>
      </c>
      <c r="G1123" s="3812" t="s">
        <v>1206</v>
      </c>
      <c r="H1123" s="3811" t="s">
        <v>1199</v>
      </c>
      <c r="I1123" s="3443">
        <v>705</v>
      </c>
      <c r="J1123" s="3443" t="s">
        <v>2860</v>
      </c>
      <c r="K1123" s="2369"/>
      <c r="L1123" s="3443" t="s">
        <v>37</v>
      </c>
      <c r="M1123" s="3443"/>
      <c r="N1123" s="3443"/>
      <c r="O1123" s="3443"/>
      <c r="P1123" s="3443"/>
      <c r="Q1123" s="3443"/>
      <c r="R1123" s="3443"/>
      <c r="S1123" s="3443"/>
      <c r="T1123" s="3443"/>
      <c r="U1123" s="3443"/>
      <c r="V1123" s="3443"/>
      <c r="W1123" s="3443"/>
      <c r="X1123" s="3522"/>
    </row>
    <row r="1124" spans="1:25" ht="28.5" hidden="1">
      <c r="A1124" s="3480" t="s">
        <v>67</v>
      </c>
      <c r="B1124" s="3444">
        <v>45846</v>
      </c>
      <c r="C1124" s="3503">
        <v>28</v>
      </c>
      <c r="D1124" s="3679"/>
      <c r="E1124" s="3679" t="s">
        <v>2861</v>
      </c>
      <c r="F1124" s="3679" t="s">
        <v>2346</v>
      </c>
      <c r="G1124" s="3772" t="s">
        <v>1206</v>
      </c>
      <c r="H1124" s="3811" t="s">
        <v>1199</v>
      </c>
      <c r="I1124" s="3443">
        <v>705</v>
      </c>
      <c r="J1124" s="3443" t="s">
        <v>2862</v>
      </c>
      <c r="K1124" s="2369"/>
      <c r="L1124" s="3443" t="s">
        <v>37</v>
      </c>
      <c r="M1124" s="3443"/>
      <c r="N1124" s="3443"/>
      <c r="O1124" s="3443"/>
      <c r="P1124" s="3443"/>
      <c r="Q1124" s="3443"/>
      <c r="R1124" s="3443"/>
      <c r="S1124" s="3443"/>
      <c r="T1124" s="3443"/>
      <c r="U1124" s="3443"/>
      <c r="V1124" s="3443"/>
      <c r="W1124" s="3443"/>
      <c r="X1124" s="3522"/>
    </row>
    <row r="1125" spans="1:25" ht="28.5" hidden="1">
      <c r="A1125" s="3480" t="s">
        <v>67</v>
      </c>
      <c r="B1125" s="3444">
        <v>45846</v>
      </c>
      <c r="C1125" s="3503">
        <v>28</v>
      </c>
      <c r="D1125" s="3614">
        <v>726</v>
      </c>
      <c r="E1125" s="3614" t="s">
        <v>2352</v>
      </c>
      <c r="F1125" s="3614" t="s">
        <v>1293</v>
      </c>
      <c r="G1125" s="3811"/>
      <c r="H1125" s="3811"/>
      <c r="I1125" s="3443">
        <v>705</v>
      </c>
      <c r="J1125" s="3443" t="s">
        <v>2863</v>
      </c>
      <c r="K1125" s="3511" t="s">
        <v>174</v>
      </c>
      <c r="L1125" s="3443" t="s">
        <v>37</v>
      </c>
      <c r="M1125" s="3443"/>
      <c r="N1125" s="3443"/>
      <c r="O1125" s="3443"/>
      <c r="P1125" s="3443"/>
      <c r="Q1125" s="3462"/>
      <c r="R1125" s="3443"/>
      <c r="S1125" s="3443"/>
      <c r="T1125" s="3443"/>
      <c r="U1125" s="3443"/>
      <c r="V1125" s="3443"/>
      <c r="W1125" s="3443"/>
      <c r="X1125" s="3522"/>
    </row>
    <row r="1126" spans="1:25" ht="28.5" hidden="1">
      <c r="A1126" s="3480" t="s">
        <v>67</v>
      </c>
      <c r="B1126" s="3444">
        <v>45846</v>
      </c>
      <c r="C1126" s="3503">
        <v>28</v>
      </c>
      <c r="D1126" s="3851">
        <v>727</v>
      </c>
      <c r="E1126" s="3851" t="s">
        <v>2352</v>
      </c>
      <c r="F1126" s="3851" t="s">
        <v>2864</v>
      </c>
      <c r="G1126" s="3766" t="s">
        <v>2865</v>
      </c>
      <c r="H1126" s="3811"/>
      <c r="I1126" s="3443">
        <v>705</v>
      </c>
      <c r="J1126" s="3443" t="s">
        <v>2866</v>
      </c>
      <c r="K1126" s="3883"/>
      <c r="L1126" s="3443" t="s">
        <v>37</v>
      </c>
      <c r="M1126" s="3443"/>
      <c r="N1126" s="3443"/>
      <c r="O1126" s="3443"/>
      <c r="P1126" s="3531"/>
      <c r="Q1126" s="3443"/>
      <c r="R1126" s="4722"/>
      <c r="S1126" s="3443"/>
      <c r="T1126" s="3443"/>
      <c r="U1126" s="3443"/>
      <c r="V1126" s="3443"/>
      <c r="W1126" s="3443"/>
      <c r="X1126" s="3522"/>
    </row>
    <row r="1127" spans="1:25" ht="28.5" hidden="1">
      <c r="A1127" s="3500" t="s">
        <v>67</v>
      </c>
      <c r="B1127" s="3463">
        <v>45846</v>
      </c>
      <c r="C1127" s="3668">
        <v>28</v>
      </c>
      <c r="D1127" s="4517"/>
      <c r="E1127" s="4517" t="s">
        <v>1293</v>
      </c>
      <c r="F1127" s="4517" t="s">
        <v>2867</v>
      </c>
      <c r="G1127" s="3770" t="s">
        <v>2868</v>
      </c>
      <c r="H1127" s="3770" t="s">
        <v>1199</v>
      </c>
      <c r="I1127" s="3462">
        <v>705</v>
      </c>
      <c r="J1127" s="3462" t="s">
        <v>2869</v>
      </c>
      <c r="K1127" s="3696"/>
      <c r="L1127" s="3462" t="s">
        <v>37</v>
      </c>
      <c r="M1127" s="3462"/>
      <c r="N1127" s="3462"/>
      <c r="O1127" s="3462"/>
      <c r="P1127" s="3462"/>
      <c r="Q1127" s="3505"/>
      <c r="R1127" s="3462"/>
      <c r="S1127" s="3462"/>
      <c r="T1127" s="3462"/>
      <c r="U1127" s="3462"/>
      <c r="V1127" s="3462"/>
      <c r="W1127" s="3462"/>
      <c r="X1127" s="3544"/>
      <c r="Y1127" s="3274"/>
    </row>
    <row r="1128" spans="1:25" ht="57" hidden="1">
      <c r="A1128" s="3477" t="s">
        <v>67</v>
      </c>
      <c r="B1128" s="3478">
        <v>45846</v>
      </c>
      <c r="C1128" s="3503">
        <v>28</v>
      </c>
      <c r="D1128" s="3708">
        <v>728</v>
      </c>
      <c r="E1128" s="3708" t="s">
        <v>2757</v>
      </c>
      <c r="F1128" s="3708" t="s">
        <v>2870</v>
      </c>
      <c r="G1128" s="4889" t="s">
        <v>1206</v>
      </c>
      <c r="H1128" s="4889" t="s">
        <v>1199</v>
      </c>
      <c r="I1128" s="3503">
        <v>707</v>
      </c>
      <c r="J1128" s="3503" t="s">
        <v>2871</v>
      </c>
      <c r="K1128" s="3871"/>
      <c r="L1128" s="3503"/>
      <c r="M1128" s="3503" t="s">
        <v>37</v>
      </c>
      <c r="N1128" s="3503"/>
      <c r="O1128" s="3503"/>
      <c r="P1128" s="34" t="s">
        <v>231</v>
      </c>
      <c r="Q1128" s="34" t="s">
        <v>1048</v>
      </c>
      <c r="R1128" s="34" t="s">
        <v>38</v>
      </c>
      <c r="S1128" s="3503" t="s">
        <v>37</v>
      </c>
      <c r="T1128" s="3503"/>
      <c r="U1128" s="3503"/>
      <c r="V1128" s="3503"/>
      <c r="W1128" s="3503" t="s">
        <v>2872</v>
      </c>
      <c r="X1128" s="3519" t="s">
        <v>2873</v>
      </c>
      <c r="Y1128" s="3282"/>
    </row>
    <row r="1129" spans="1:25" ht="28.5" hidden="1">
      <c r="A1129" s="3480" t="s">
        <v>67</v>
      </c>
      <c r="B1129" s="3444">
        <v>45846</v>
      </c>
      <c r="C1129" s="3443">
        <v>28</v>
      </c>
      <c r="D1129" s="3614"/>
      <c r="E1129" s="3614" t="s">
        <v>169</v>
      </c>
      <c r="F1129" s="3614" t="s">
        <v>2874</v>
      </c>
      <c r="G1129" s="4097"/>
      <c r="H1129" s="4097"/>
      <c r="I1129" s="3443">
        <v>707</v>
      </c>
      <c r="J1129" s="3443" t="s">
        <v>2875</v>
      </c>
      <c r="K1129" s="2369"/>
      <c r="L1129" s="3443" t="s">
        <v>37</v>
      </c>
      <c r="M1129" s="3443"/>
      <c r="N1129" s="3443"/>
      <c r="O1129" s="3443"/>
      <c r="P1129" s="3443"/>
      <c r="Q1129" s="3443" t="s">
        <v>37</v>
      </c>
      <c r="R1129" s="3443"/>
      <c r="S1129" s="3443" t="s">
        <v>37</v>
      </c>
      <c r="T1129" s="3443"/>
      <c r="U1129" s="3443"/>
      <c r="V1129" s="3443"/>
      <c r="W1129" s="3443"/>
      <c r="X1129" s="3507"/>
      <c r="Y1129" s="3283"/>
    </row>
    <row r="1130" spans="1:25" ht="28.5" hidden="1">
      <c r="A1130" s="3480" t="s">
        <v>85</v>
      </c>
      <c r="B1130" s="3444">
        <v>45847</v>
      </c>
      <c r="C1130" s="3443">
        <v>28</v>
      </c>
      <c r="D1130" s="3614"/>
      <c r="E1130" s="3614" t="s">
        <v>2876</v>
      </c>
      <c r="F1130" s="3614" t="s">
        <v>2877</v>
      </c>
      <c r="G1130" s="4097"/>
      <c r="H1130" s="4097"/>
      <c r="I1130" s="3443">
        <v>707</v>
      </c>
      <c r="J1130" s="3443">
        <v>60072</v>
      </c>
      <c r="K1130" s="2369"/>
      <c r="L1130" s="3443" t="s">
        <v>37</v>
      </c>
      <c r="M1130" s="3443"/>
      <c r="N1130" s="3443"/>
      <c r="O1130" s="3443"/>
      <c r="P1130" s="3443"/>
      <c r="Q1130" s="3443" t="s">
        <v>37</v>
      </c>
      <c r="R1130" s="3443"/>
      <c r="S1130" s="3443" t="s">
        <v>37</v>
      </c>
      <c r="T1130" s="3443"/>
      <c r="U1130" s="3443"/>
      <c r="V1130" s="3443"/>
      <c r="W1130" s="3443"/>
      <c r="X1130" s="3507"/>
      <c r="Y1130" s="3283"/>
    </row>
    <row r="1131" spans="1:25" ht="28.5" hidden="1">
      <c r="A1131" s="3480" t="s">
        <v>85</v>
      </c>
      <c r="B1131" s="3444">
        <v>45847</v>
      </c>
      <c r="C1131" s="3443">
        <v>28</v>
      </c>
      <c r="D1131" s="3614">
        <v>729</v>
      </c>
      <c r="E1131" s="3614" t="s">
        <v>1145</v>
      </c>
      <c r="F1131" s="3614" t="s">
        <v>2303</v>
      </c>
      <c r="G1131" s="3812" t="s">
        <v>1206</v>
      </c>
      <c r="H1131" s="3812" t="s">
        <v>1206</v>
      </c>
      <c r="I1131" s="3443"/>
      <c r="J1131" s="3443" t="s">
        <v>2026</v>
      </c>
      <c r="K1131" s="3511" t="s">
        <v>174</v>
      </c>
      <c r="L1131" s="3443" t="s">
        <v>37</v>
      </c>
      <c r="M1131" s="3443"/>
      <c r="N1131" s="3443"/>
      <c r="O1131" s="3443"/>
      <c r="P1131" s="3443"/>
      <c r="Q1131" s="3443"/>
      <c r="R1131" s="3443"/>
      <c r="S1131" s="3443"/>
      <c r="T1131" s="3443"/>
      <c r="U1131" s="3443"/>
      <c r="V1131" s="3443"/>
      <c r="W1131" s="3443"/>
      <c r="X1131" s="3507"/>
      <c r="Y1131" s="3283"/>
    </row>
    <row r="1132" spans="1:25" ht="28.5" hidden="1">
      <c r="A1132" s="3480" t="s">
        <v>85</v>
      </c>
      <c r="B1132" s="3444">
        <v>45847</v>
      </c>
      <c r="C1132" s="3443">
        <v>28</v>
      </c>
      <c r="D1132" s="3878">
        <v>730</v>
      </c>
      <c r="E1132" s="3878" t="s">
        <v>1464</v>
      </c>
      <c r="F1132" s="3878" t="s">
        <v>1465</v>
      </c>
      <c r="G1132" s="3812" t="s">
        <v>1206</v>
      </c>
      <c r="H1132" s="3811" t="s">
        <v>1199</v>
      </c>
      <c r="I1132" s="3443">
        <v>701</v>
      </c>
      <c r="J1132" s="3443" t="s">
        <v>2705</v>
      </c>
      <c r="K1132" s="2369"/>
      <c r="L1132" s="3443" t="s">
        <v>37</v>
      </c>
      <c r="M1132" s="3443"/>
      <c r="N1132" s="3443"/>
      <c r="O1132" s="3443"/>
      <c r="P1132" s="3443"/>
      <c r="Q1132" s="3443"/>
      <c r="R1132" s="3443"/>
      <c r="S1132" s="3443"/>
      <c r="T1132" s="3443"/>
      <c r="U1132" s="3443"/>
      <c r="V1132" s="3443"/>
      <c r="W1132" s="3443"/>
      <c r="X1132" s="3507"/>
      <c r="Y1132" s="3283"/>
    </row>
    <row r="1133" spans="1:25" ht="28.5" hidden="1">
      <c r="A1133" s="3480" t="s">
        <v>85</v>
      </c>
      <c r="B1133" s="3444">
        <v>45847</v>
      </c>
      <c r="C1133" s="3443">
        <v>28</v>
      </c>
      <c r="D1133" s="3878"/>
      <c r="E1133" s="3878" t="s">
        <v>1465</v>
      </c>
      <c r="F1133" s="3878" t="s">
        <v>1464</v>
      </c>
      <c r="G1133" s="3812" t="s">
        <v>1206</v>
      </c>
      <c r="H1133" s="3811" t="s">
        <v>1199</v>
      </c>
      <c r="I1133" s="3443">
        <v>701</v>
      </c>
      <c r="J1133" s="3443" t="s">
        <v>2839</v>
      </c>
      <c r="K1133" s="2369"/>
      <c r="L1133" s="3443" t="s">
        <v>37</v>
      </c>
      <c r="M1133" s="3443"/>
      <c r="N1133" s="3443"/>
      <c r="O1133" s="3443"/>
      <c r="P1133" s="3443"/>
      <c r="Q1133" s="3443"/>
      <c r="R1133" s="3443"/>
      <c r="S1133" s="3443"/>
      <c r="T1133" s="3443"/>
      <c r="U1133" s="3443"/>
      <c r="V1133" s="3443"/>
      <c r="W1133" s="3443"/>
      <c r="X1133" s="3507"/>
      <c r="Y1133" s="3283"/>
    </row>
    <row r="1134" spans="1:25" ht="57" hidden="1">
      <c r="A1134" s="3480" t="s">
        <v>85</v>
      </c>
      <c r="B1134" s="3444">
        <v>45847</v>
      </c>
      <c r="C1134" s="3443">
        <v>28</v>
      </c>
      <c r="D1134" s="3614">
        <v>731</v>
      </c>
      <c r="E1134" s="3614" t="s">
        <v>1293</v>
      </c>
      <c r="F1134" s="3614" t="s">
        <v>2584</v>
      </c>
      <c r="G1134" s="3884"/>
      <c r="H1134" s="3884"/>
      <c r="I1134" s="3443">
        <v>705</v>
      </c>
      <c r="J1134" s="3443" t="s">
        <v>2878</v>
      </c>
      <c r="K1134" s="2369"/>
      <c r="L1134" s="3443"/>
      <c r="M1134" s="3443" t="s">
        <v>37</v>
      </c>
      <c r="N1134" s="3443"/>
      <c r="O1134" s="3443"/>
      <c r="P1134" s="21" t="s">
        <v>231</v>
      </c>
      <c r="Q1134" s="21" t="s">
        <v>232</v>
      </c>
      <c r="R1134" s="21" t="s">
        <v>160</v>
      </c>
      <c r="S1134" s="3443" t="s">
        <v>37</v>
      </c>
      <c r="T1134" s="3443"/>
      <c r="U1134" s="3443"/>
      <c r="V1134" s="3443"/>
      <c r="W1134" s="3443"/>
      <c r="X1134" s="3507" t="s">
        <v>2879</v>
      </c>
      <c r="Y1134" s="3283"/>
    </row>
    <row r="1135" spans="1:25" ht="28.5" hidden="1">
      <c r="A1135" s="3480" t="s">
        <v>85</v>
      </c>
      <c r="B1135" s="3444">
        <v>45847</v>
      </c>
      <c r="C1135" s="3443">
        <v>28</v>
      </c>
      <c r="D1135" s="3614">
        <v>732</v>
      </c>
      <c r="E1135" s="3614" t="s">
        <v>1293</v>
      </c>
      <c r="F1135" s="3614" t="s">
        <v>1056</v>
      </c>
      <c r="G1135" s="3812" t="s">
        <v>1206</v>
      </c>
      <c r="H1135" s="3812" t="s">
        <v>1206</v>
      </c>
      <c r="I1135" s="3443">
        <v>705</v>
      </c>
      <c r="J1135" s="3443" t="s">
        <v>2880</v>
      </c>
      <c r="K1135" s="2369"/>
      <c r="L1135" s="3443" t="s">
        <v>37</v>
      </c>
      <c r="M1135" s="3443"/>
      <c r="N1135" s="3443"/>
      <c r="O1135" s="3443"/>
      <c r="P1135" s="3443"/>
      <c r="Q1135" s="3443"/>
      <c r="R1135" s="3443"/>
      <c r="S1135" s="3443"/>
      <c r="T1135" s="3443"/>
      <c r="U1135" s="3443"/>
      <c r="V1135" s="3443"/>
      <c r="W1135" s="3443"/>
      <c r="X1135" s="3507"/>
      <c r="Y1135" s="3283"/>
    </row>
    <row r="1136" spans="1:25" ht="29.25" hidden="1" thickBot="1">
      <c r="A1136" s="3494" t="s">
        <v>85</v>
      </c>
      <c r="B1136" s="3448">
        <v>45847</v>
      </c>
      <c r="C1136" s="3447">
        <v>28</v>
      </c>
      <c r="D1136" s="3690"/>
      <c r="E1136" s="3690" t="s">
        <v>1171</v>
      </c>
      <c r="F1136" s="3690" t="s">
        <v>2346</v>
      </c>
      <c r="G1136" s="3887" t="s">
        <v>1206</v>
      </c>
      <c r="H1136" s="3887" t="s">
        <v>1206</v>
      </c>
      <c r="I1136" s="3447">
        <v>705</v>
      </c>
      <c r="J1136" s="3447" t="s">
        <v>2881</v>
      </c>
      <c r="K1136" s="3875"/>
      <c r="L1136" s="3447" t="s">
        <v>37</v>
      </c>
      <c r="M1136" s="3447"/>
      <c r="N1136" s="3447"/>
      <c r="O1136" s="3447"/>
      <c r="P1136" s="3447"/>
      <c r="Q1136" s="3447"/>
      <c r="R1136" s="3447"/>
      <c r="S1136" s="3447"/>
      <c r="T1136" s="3447"/>
      <c r="U1136" s="3447"/>
      <c r="V1136" s="3447"/>
      <c r="W1136" s="3447"/>
      <c r="X1136" s="3707"/>
      <c r="Y1136" s="3285"/>
    </row>
    <row r="1137" spans="1:25" ht="29.25" hidden="1" thickBot="1">
      <c r="A1137" s="3493" t="s">
        <v>85</v>
      </c>
      <c r="B1137" s="3457">
        <v>45847</v>
      </c>
      <c r="C1137" s="3456">
        <v>28</v>
      </c>
      <c r="D1137" s="3685">
        <v>733</v>
      </c>
      <c r="E1137" s="3685" t="s">
        <v>2352</v>
      </c>
      <c r="F1137" s="3685" t="s">
        <v>1293</v>
      </c>
      <c r="G1137" s="3826" t="s">
        <v>1768</v>
      </c>
      <c r="H1137" s="3826" t="s">
        <v>1768</v>
      </c>
      <c r="I1137" s="3456">
        <v>705</v>
      </c>
      <c r="J1137" s="3456" t="s">
        <v>2863</v>
      </c>
      <c r="K1137" s="3673" t="s">
        <v>174</v>
      </c>
      <c r="L1137" s="3456"/>
      <c r="M1137" s="3456" t="s">
        <v>37</v>
      </c>
      <c r="N1137" s="3456"/>
      <c r="O1137" s="3456"/>
      <c r="P1137" s="35" t="s">
        <v>0</v>
      </c>
      <c r="Q1137" s="35" t="s">
        <v>187</v>
      </c>
      <c r="R1137" s="35" t="s">
        <v>160</v>
      </c>
      <c r="S1137" s="3456"/>
      <c r="T1137" s="3456"/>
      <c r="U1137" s="3456"/>
      <c r="V1137" s="3456"/>
      <c r="W1137" s="3456"/>
      <c r="X1137" s="3512"/>
      <c r="Y1137" s="3795"/>
    </row>
    <row r="1138" spans="1:25" ht="29.25" hidden="1" thickBot="1">
      <c r="A1138" s="3480" t="s">
        <v>85</v>
      </c>
      <c r="B1138" s="3444">
        <v>45847</v>
      </c>
      <c r="C1138" s="3443">
        <v>28</v>
      </c>
      <c r="D1138" s="3614">
        <v>734</v>
      </c>
      <c r="E1138" s="3614" t="s">
        <v>2757</v>
      </c>
      <c r="F1138" s="3614" t="s">
        <v>2870</v>
      </c>
      <c r="G1138" s="3884"/>
      <c r="H1138" s="4097"/>
      <c r="I1138" s="3443">
        <v>707</v>
      </c>
      <c r="J1138" s="3443" t="s">
        <v>2871</v>
      </c>
      <c r="K1138" s="3511" t="s">
        <v>627</v>
      </c>
      <c r="L1138" s="3443"/>
      <c r="M1138" s="3443" t="s">
        <v>37</v>
      </c>
      <c r="N1138" s="3443" t="s">
        <v>37</v>
      </c>
      <c r="O1138" s="3443"/>
      <c r="P1138" s="35" t="s">
        <v>0</v>
      </c>
      <c r="Q1138" s="35" t="s">
        <v>782</v>
      </c>
      <c r="R1138" s="35" t="s">
        <v>38</v>
      </c>
      <c r="S1138" s="3443" t="s">
        <v>37</v>
      </c>
      <c r="T1138" s="3443" t="s">
        <v>37</v>
      </c>
      <c r="U1138" s="3443"/>
      <c r="V1138" s="3443"/>
      <c r="W1138" s="3443"/>
      <c r="X1138" s="3507" t="s">
        <v>2882</v>
      </c>
      <c r="Y1138" s="3283"/>
    </row>
    <row r="1139" spans="1:25" ht="28.5" hidden="1">
      <c r="A1139" s="3480" t="s">
        <v>105</v>
      </c>
      <c r="B1139" s="3444">
        <v>45848</v>
      </c>
      <c r="C1139" s="3443">
        <v>28</v>
      </c>
      <c r="D1139" s="3614"/>
      <c r="E1139" s="3614" t="s">
        <v>169</v>
      </c>
      <c r="F1139" s="3614" t="s">
        <v>2874</v>
      </c>
      <c r="G1139" s="4663" t="s">
        <v>2883</v>
      </c>
      <c r="H1139" s="4097"/>
      <c r="I1139" s="3443">
        <v>707</v>
      </c>
      <c r="J1139" s="3443" t="s">
        <v>2875</v>
      </c>
      <c r="K1139" s="3511" t="s">
        <v>627</v>
      </c>
      <c r="L1139" s="3443"/>
      <c r="M1139" s="3443"/>
      <c r="N1139" s="3443" t="s">
        <v>37</v>
      </c>
      <c r="O1139" s="3443"/>
      <c r="P1139" s="21" t="s">
        <v>0</v>
      </c>
      <c r="Q1139" s="21" t="s">
        <v>782</v>
      </c>
      <c r="R1139" s="21" t="s">
        <v>38</v>
      </c>
      <c r="S1139" s="3443" t="s">
        <v>37</v>
      </c>
      <c r="T1139" s="3443" t="s">
        <v>37</v>
      </c>
      <c r="U1139" s="3443"/>
      <c r="V1139" s="3443"/>
      <c r="W1139" s="3443"/>
      <c r="X1139" s="3507"/>
      <c r="Y1139" s="3283"/>
    </row>
    <row r="1140" spans="1:25" ht="28.5" hidden="1">
      <c r="A1140" s="3480" t="s">
        <v>105</v>
      </c>
      <c r="B1140" s="3444">
        <v>45848</v>
      </c>
      <c r="C1140" s="3443">
        <v>28</v>
      </c>
      <c r="D1140" s="3614"/>
      <c r="E1140" s="3614" t="s">
        <v>2876</v>
      </c>
      <c r="F1140" s="3614" t="s">
        <v>2877</v>
      </c>
      <c r="G1140" s="3884"/>
      <c r="H1140" s="3884"/>
      <c r="I1140" s="3443">
        <v>707</v>
      </c>
      <c r="J1140" s="3443">
        <v>60072</v>
      </c>
      <c r="K1140" s="3511" t="s">
        <v>84</v>
      </c>
      <c r="L1140" s="3443"/>
      <c r="M1140" s="3443"/>
      <c r="N1140" s="3443" t="s">
        <v>37</v>
      </c>
      <c r="O1140" s="3443"/>
      <c r="P1140" s="21" t="s">
        <v>0</v>
      </c>
      <c r="Q1140" s="21" t="s">
        <v>782</v>
      </c>
      <c r="R1140" s="21" t="s">
        <v>38</v>
      </c>
      <c r="S1140" s="3443" t="s">
        <v>37</v>
      </c>
      <c r="T1140" s="3443" t="s">
        <v>37</v>
      </c>
      <c r="U1140" s="3443"/>
      <c r="V1140" s="3443"/>
      <c r="W1140" s="3443"/>
      <c r="X1140" s="3507"/>
      <c r="Y1140" s="3283"/>
    </row>
    <row r="1141" spans="1:25" ht="28.5" hidden="1">
      <c r="A1141" s="3480" t="s">
        <v>105</v>
      </c>
      <c r="B1141" s="3444">
        <v>45848</v>
      </c>
      <c r="C1141" s="3443">
        <v>28</v>
      </c>
      <c r="D1141" s="3878">
        <v>735</v>
      </c>
      <c r="E1141" s="3878" t="s">
        <v>1464</v>
      </c>
      <c r="F1141" s="3878" t="s">
        <v>1465</v>
      </c>
      <c r="G1141" s="3812" t="s">
        <v>1206</v>
      </c>
      <c r="H1141" s="3811" t="s">
        <v>1199</v>
      </c>
      <c r="I1141" s="3443">
        <v>701</v>
      </c>
      <c r="J1141" s="3443" t="s">
        <v>2705</v>
      </c>
      <c r="K1141" s="2369"/>
      <c r="L1141" s="3443" t="s">
        <v>37</v>
      </c>
      <c r="M1141" s="3443"/>
      <c r="N1141" s="3443"/>
      <c r="O1141" s="3443"/>
      <c r="P1141" s="3443"/>
      <c r="Q1141" s="3443"/>
      <c r="R1141" s="3443"/>
      <c r="S1141" s="3443"/>
      <c r="T1141" s="3443"/>
      <c r="U1141" s="3443"/>
      <c r="V1141" s="3443"/>
      <c r="W1141" s="3443"/>
      <c r="X1141" s="3507"/>
      <c r="Y1141" s="3283"/>
    </row>
    <row r="1142" spans="1:25" ht="28.5" hidden="1">
      <c r="A1142" s="3480" t="s">
        <v>105</v>
      </c>
      <c r="B1142" s="3444">
        <v>45848</v>
      </c>
      <c r="C1142" s="3443">
        <v>28</v>
      </c>
      <c r="D1142" s="3878"/>
      <c r="E1142" s="3878" t="s">
        <v>1465</v>
      </c>
      <c r="F1142" s="3878" t="s">
        <v>1464</v>
      </c>
      <c r="G1142" s="3812" t="s">
        <v>1206</v>
      </c>
      <c r="H1142" s="3811" t="s">
        <v>1199</v>
      </c>
      <c r="I1142" s="3443">
        <v>701</v>
      </c>
      <c r="J1142" s="3443" t="s">
        <v>2839</v>
      </c>
      <c r="K1142" s="2369"/>
      <c r="L1142" s="3443" t="s">
        <v>37</v>
      </c>
      <c r="M1142" s="3443"/>
      <c r="N1142" s="3443"/>
      <c r="O1142" s="3443"/>
      <c r="P1142" s="3443"/>
      <c r="Q1142" s="3443"/>
      <c r="R1142" s="3443"/>
      <c r="S1142" s="3443"/>
      <c r="T1142" s="3443"/>
      <c r="U1142" s="3443"/>
      <c r="V1142" s="3443"/>
      <c r="W1142" s="3443"/>
      <c r="X1142" s="3507"/>
      <c r="Y1142" s="3283"/>
    </row>
    <row r="1143" spans="1:25" ht="28.5" hidden="1">
      <c r="A1143" s="3480" t="s">
        <v>105</v>
      </c>
      <c r="B1143" s="3444">
        <v>45848</v>
      </c>
      <c r="C1143" s="3443">
        <v>28</v>
      </c>
      <c r="D1143" s="3618">
        <v>736</v>
      </c>
      <c r="E1143" s="3618" t="s">
        <v>2006</v>
      </c>
      <c r="F1143" s="3618" t="s">
        <v>183</v>
      </c>
      <c r="G1143" s="3772" t="s">
        <v>1199</v>
      </c>
      <c r="H1143" s="3772" t="s">
        <v>1206</v>
      </c>
      <c r="I1143" s="3443">
        <v>707</v>
      </c>
      <c r="J1143" s="3443">
        <v>60093</v>
      </c>
      <c r="K1143" s="2369"/>
      <c r="L1143" s="3443" t="s">
        <v>37</v>
      </c>
      <c r="M1143" s="3443"/>
      <c r="N1143" s="3443"/>
      <c r="O1143" s="3443"/>
      <c r="P1143" s="3443"/>
      <c r="Q1143" s="3443"/>
      <c r="R1143" s="3443"/>
      <c r="S1143" s="3443"/>
      <c r="T1143" s="3443"/>
      <c r="U1143" s="3443"/>
      <c r="V1143" s="3443"/>
      <c r="W1143" s="3443"/>
      <c r="X1143" s="3507"/>
      <c r="Y1143" s="3283"/>
    </row>
    <row r="1144" spans="1:25" ht="29.25" hidden="1" thickBot="1">
      <c r="A1144" s="3480" t="s">
        <v>105</v>
      </c>
      <c r="B1144" s="3444">
        <v>45848</v>
      </c>
      <c r="C1144" s="3443">
        <v>28</v>
      </c>
      <c r="D1144" s="3536">
        <v>737</v>
      </c>
      <c r="E1144" s="3536" t="s">
        <v>2695</v>
      </c>
      <c r="F1144" s="3536" t="s">
        <v>2557</v>
      </c>
      <c r="G1144" s="3812" t="s">
        <v>1206</v>
      </c>
      <c r="H1144" s="3772" t="s">
        <v>1206</v>
      </c>
      <c r="I1144" s="3443">
        <v>707</v>
      </c>
      <c r="J1144" s="3443">
        <v>60020</v>
      </c>
      <c r="K1144" s="2369"/>
      <c r="L1144" s="3443" t="s">
        <v>37</v>
      </c>
      <c r="M1144" s="3443"/>
      <c r="N1144" s="3443"/>
      <c r="O1144" s="3443"/>
      <c r="P1144" s="3447"/>
      <c r="Q1144" s="3447"/>
      <c r="R1144" s="3447"/>
      <c r="S1144" s="3443"/>
      <c r="T1144" s="3443"/>
      <c r="U1144" s="3443"/>
      <c r="V1144" s="3443"/>
      <c r="W1144" s="3443"/>
      <c r="X1144" s="3507"/>
      <c r="Y1144" s="3283"/>
    </row>
    <row r="1145" spans="1:25" ht="28.5" hidden="1">
      <c r="A1145" s="3480" t="s">
        <v>105</v>
      </c>
      <c r="B1145" s="3444">
        <v>45848</v>
      </c>
      <c r="C1145" s="3443">
        <v>28</v>
      </c>
      <c r="D1145" s="3614">
        <v>738</v>
      </c>
      <c r="E1145" s="3614" t="s">
        <v>2884</v>
      </c>
      <c r="F1145" s="3614" t="s">
        <v>2367</v>
      </c>
      <c r="G1145" s="3766" t="s">
        <v>1199</v>
      </c>
      <c r="H1145" s="3766" t="s">
        <v>1199</v>
      </c>
      <c r="I1145" s="3443">
        <v>707</v>
      </c>
      <c r="J1145" s="3443">
        <v>60105</v>
      </c>
      <c r="K1145" s="3511" t="s">
        <v>133</v>
      </c>
      <c r="L1145" s="3443" t="s">
        <v>37</v>
      </c>
      <c r="M1145" s="3443"/>
      <c r="N1145" s="3443"/>
      <c r="O1145" s="3443"/>
      <c r="P1145" s="3443"/>
      <c r="Q1145" s="3443"/>
      <c r="R1145" s="3443"/>
      <c r="S1145" s="3443"/>
      <c r="T1145" s="3443"/>
      <c r="U1145" s="3443"/>
      <c r="V1145" s="3443"/>
      <c r="W1145" s="3443"/>
      <c r="X1145" s="3507"/>
      <c r="Y1145" s="3283"/>
    </row>
    <row r="1146" spans="1:25" ht="28.5" hidden="1">
      <c r="A1146" s="3480" t="s">
        <v>105</v>
      </c>
      <c r="B1146" s="3444">
        <v>45848</v>
      </c>
      <c r="C1146" s="3443">
        <v>28</v>
      </c>
      <c r="D1146" s="3614">
        <v>739</v>
      </c>
      <c r="E1146" s="3614" t="s">
        <v>175</v>
      </c>
      <c r="F1146" s="3614" t="s">
        <v>2885</v>
      </c>
      <c r="G1146" s="3767"/>
      <c r="H1146" s="3767"/>
      <c r="I1146" s="3443">
        <v>705</v>
      </c>
      <c r="J1146" s="3443" t="s">
        <v>2878</v>
      </c>
      <c r="K1146" s="3511" t="s">
        <v>84</v>
      </c>
      <c r="L1146" s="3443"/>
      <c r="M1146" s="3443"/>
      <c r="N1146" s="3443" t="s">
        <v>37</v>
      </c>
      <c r="O1146" s="3443"/>
      <c r="P1146" s="21" t="s">
        <v>0</v>
      </c>
      <c r="Q1146" s="21" t="s">
        <v>782</v>
      </c>
      <c r="R1146" s="21" t="s">
        <v>38</v>
      </c>
      <c r="S1146" s="3443"/>
      <c r="T1146" s="3443"/>
      <c r="U1146" s="3443"/>
      <c r="V1146" s="3443"/>
      <c r="W1146" s="3443"/>
      <c r="X1146" s="3507" t="s">
        <v>2886</v>
      </c>
      <c r="Y1146" s="3283"/>
    </row>
    <row r="1147" spans="1:25" ht="28.5" hidden="1">
      <c r="A1147" s="3480" t="s">
        <v>105</v>
      </c>
      <c r="B1147" s="3444">
        <v>45848</v>
      </c>
      <c r="C1147" s="3443">
        <v>28</v>
      </c>
      <c r="D1147" s="3614">
        <v>740</v>
      </c>
      <c r="E1147" s="3614" t="s">
        <v>2006</v>
      </c>
      <c r="F1147" s="3614" t="s">
        <v>52</v>
      </c>
      <c r="G1147" s="3884" t="s">
        <v>1206</v>
      </c>
      <c r="H1147" s="3767" t="s">
        <v>1206</v>
      </c>
      <c r="I1147" s="3443">
        <v>705</v>
      </c>
      <c r="J1147" s="3443">
        <v>1124</v>
      </c>
      <c r="K1147" s="2369"/>
      <c r="L1147" s="3443"/>
      <c r="M1147" s="3443" t="s">
        <v>37</v>
      </c>
      <c r="N1147" s="3443"/>
      <c r="O1147" s="3443"/>
      <c r="P1147" s="21" t="s">
        <v>0</v>
      </c>
      <c r="Q1147" s="21" t="s">
        <v>187</v>
      </c>
      <c r="R1147" s="21" t="s">
        <v>38</v>
      </c>
      <c r="S1147" s="3443" t="s">
        <v>37</v>
      </c>
      <c r="T1147" s="3443"/>
      <c r="U1147" s="3443"/>
      <c r="V1147" s="3443"/>
      <c r="W1147" s="3443"/>
      <c r="X1147" s="3507" t="s">
        <v>2887</v>
      </c>
      <c r="Y1147" s="3283"/>
    </row>
    <row r="1148" spans="1:25" ht="28.5" hidden="1">
      <c r="A1148" s="3480" t="s">
        <v>105</v>
      </c>
      <c r="B1148" s="3444">
        <v>45848</v>
      </c>
      <c r="C1148" s="3443">
        <v>28</v>
      </c>
      <c r="D1148" s="3614">
        <v>741</v>
      </c>
      <c r="E1148" s="3614" t="s">
        <v>273</v>
      </c>
      <c r="F1148" s="3614" t="s">
        <v>2888</v>
      </c>
      <c r="G1148" s="3772" t="s">
        <v>1206</v>
      </c>
      <c r="H1148" s="3772" t="s">
        <v>1206</v>
      </c>
      <c r="I1148" s="3443">
        <v>705</v>
      </c>
      <c r="J1148" s="3443" t="s">
        <v>489</v>
      </c>
      <c r="K1148" s="3511" t="s">
        <v>84</v>
      </c>
      <c r="L1148" s="3443" t="s">
        <v>37</v>
      </c>
      <c r="M1148" s="3443"/>
      <c r="N1148" s="3443"/>
      <c r="O1148" s="3443"/>
      <c r="P1148" s="3443"/>
      <c r="Q1148" s="3443"/>
      <c r="R1148" s="3443"/>
      <c r="S1148" s="3443"/>
      <c r="T1148" s="3443"/>
      <c r="U1148" s="3443"/>
      <c r="V1148" s="3443"/>
      <c r="W1148" s="3443"/>
      <c r="X1148" s="3507" t="s">
        <v>2889</v>
      </c>
      <c r="Y1148" s="3283"/>
    </row>
    <row r="1149" spans="1:25" ht="28.5" hidden="1">
      <c r="A1149" s="3480" t="s">
        <v>105</v>
      </c>
      <c r="B1149" s="3444">
        <v>45848</v>
      </c>
      <c r="C1149" s="3443">
        <v>28</v>
      </c>
      <c r="D1149" s="3614">
        <v>742</v>
      </c>
      <c r="E1149" s="3614" t="s">
        <v>2757</v>
      </c>
      <c r="F1149" s="3614" t="s">
        <v>2870</v>
      </c>
      <c r="G1149" s="3766" t="s">
        <v>1199</v>
      </c>
      <c r="H1149" s="3766" t="s">
        <v>1199</v>
      </c>
      <c r="I1149" s="3443">
        <v>707</v>
      </c>
      <c r="J1149" s="3443" t="s">
        <v>2871</v>
      </c>
      <c r="K1149" s="3883"/>
      <c r="L1149" s="3443"/>
      <c r="M1149" s="3443" t="s">
        <v>37</v>
      </c>
      <c r="N1149" s="3443"/>
      <c r="O1149" s="3443"/>
      <c r="P1149" s="21" t="s">
        <v>231</v>
      </c>
      <c r="Q1149" s="21" t="s">
        <v>232</v>
      </c>
      <c r="R1149" s="21" t="s">
        <v>160</v>
      </c>
      <c r="S1149" s="3443"/>
      <c r="T1149" s="3443" t="s">
        <v>37</v>
      </c>
      <c r="U1149" s="3443"/>
      <c r="V1149" s="3443"/>
      <c r="W1149" s="3443"/>
      <c r="X1149" s="3507" t="s">
        <v>2882</v>
      </c>
      <c r="Y1149" s="3283"/>
    </row>
    <row r="1150" spans="1:25" ht="29.25" hidden="1" thickBot="1">
      <c r="A1150" s="3494" t="s">
        <v>105</v>
      </c>
      <c r="B1150" s="3448">
        <v>45848</v>
      </c>
      <c r="C1150" s="3447">
        <v>28</v>
      </c>
      <c r="D1150" s="3690"/>
      <c r="E1150" s="3690" t="s">
        <v>2757</v>
      </c>
      <c r="F1150" s="3690" t="s">
        <v>2870</v>
      </c>
      <c r="G1150" s="3803" t="s">
        <v>1199</v>
      </c>
      <c r="H1150" s="3803" t="s">
        <v>1199</v>
      </c>
      <c r="I1150" s="3447"/>
      <c r="J1150" s="3447"/>
      <c r="K1150" s="4743"/>
      <c r="L1150" s="3447" t="s">
        <v>37</v>
      </c>
      <c r="M1150" s="3447"/>
      <c r="N1150" s="3447"/>
      <c r="O1150" s="3447"/>
      <c r="P1150" s="3443"/>
      <c r="Q1150" s="3443"/>
      <c r="R1150" s="3443"/>
      <c r="S1150" s="3447"/>
      <c r="T1150" s="3447"/>
      <c r="U1150" s="3447"/>
      <c r="V1150" s="3447"/>
      <c r="W1150" s="3447"/>
      <c r="X1150" s="3707"/>
      <c r="Y1150" s="3285"/>
    </row>
    <row r="1151" spans="1:25" ht="28.5" hidden="1">
      <c r="A1151" s="3493" t="s">
        <v>105</v>
      </c>
      <c r="B1151" s="3457">
        <v>45848</v>
      </c>
      <c r="C1151" s="3456">
        <v>28</v>
      </c>
      <c r="D1151" s="3685"/>
      <c r="E1151" s="3685" t="s">
        <v>169</v>
      </c>
      <c r="F1151" s="3685" t="s">
        <v>2874</v>
      </c>
      <c r="G1151" s="4890"/>
      <c r="H1151" s="4890"/>
      <c r="I1151" s="3456">
        <v>707</v>
      </c>
      <c r="J1151" s="3456" t="s">
        <v>2875</v>
      </c>
      <c r="K1151" s="3673" t="s">
        <v>84</v>
      </c>
      <c r="L1151" s="3456"/>
      <c r="M1151" s="3456" t="s">
        <v>37</v>
      </c>
      <c r="N1151" s="3456"/>
      <c r="O1151" s="3456"/>
      <c r="P1151" s="119" t="s">
        <v>231</v>
      </c>
      <c r="Q1151" s="119" t="s">
        <v>232</v>
      </c>
      <c r="R1151" s="119" t="s">
        <v>38</v>
      </c>
      <c r="S1151" s="3456" t="s">
        <v>37</v>
      </c>
      <c r="T1151" s="3456"/>
      <c r="U1151" s="3456"/>
      <c r="V1151" s="3456"/>
      <c r="W1151" s="3456" t="s">
        <v>2890</v>
      </c>
      <c r="X1151" s="3609"/>
      <c r="Y1151" s="3888"/>
    </row>
    <row r="1152" spans="1:25" ht="28.5" hidden="1">
      <c r="A1152" s="3480" t="s">
        <v>105</v>
      </c>
      <c r="B1152" s="3444">
        <v>45848</v>
      </c>
      <c r="C1152" s="3443">
        <v>28</v>
      </c>
      <c r="D1152" s="3614"/>
      <c r="E1152" s="3614" t="s">
        <v>2876</v>
      </c>
      <c r="F1152" s="3614" t="s">
        <v>2877</v>
      </c>
      <c r="G1152" s="3766" t="s">
        <v>2891</v>
      </c>
      <c r="H1152" s="3811" t="s">
        <v>1768</v>
      </c>
      <c r="I1152" s="3443">
        <v>707</v>
      </c>
      <c r="J1152" s="3443">
        <v>60072</v>
      </c>
      <c r="K1152" s="3443"/>
      <c r="L1152" s="3443"/>
      <c r="M1152" s="3443"/>
      <c r="N1152" s="3443" t="s">
        <v>37</v>
      </c>
      <c r="O1152" s="3443"/>
      <c r="P1152" s="21" t="s">
        <v>231</v>
      </c>
      <c r="Q1152" s="21" t="s">
        <v>232</v>
      </c>
      <c r="R1152" s="21" t="s">
        <v>38</v>
      </c>
      <c r="S1152" s="3443"/>
      <c r="T1152" s="3443" t="s">
        <v>37</v>
      </c>
      <c r="U1152" s="3443"/>
      <c r="V1152" s="3443"/>
      <c r="W1152" s="3443"/>
      <c r="X1152" s="3522"/>
      <c r="Y1152" s="1457"/>
    </row>
    <row r="1153" spans="1:25" ht="28.5" hidden="1">
      <c r="A1153" s="3480" t="s">
        <v>132</v>
      </c>
      <c r="B1153" s="3444">
        <v>45849</v>
      </c>
      <c r="C1153" s="3443">
        <v>28</v>
      </c>
      <c r="D1153" s="3618"/>
      <c r="E1153" s="3618" t="s">
        <v>169</v>
      </c>
      <c r="F1153" s="3618" t="s">
        <v>173</v>
      </c>
      <c r="G1153" s="3772" t="s">
        <v>1199</v>
      </c>
      <c r="H1153" s="3811" t="s">
        <v>1199</v>
      </c>
      <c r="I1153" s="3443">
        <v>707</v>
      </c>
      <c r="J1153" s="3443" t="s">
        <v>2892</v>
      </c>
      <c r="K1153" s="3511" t="s">
        <v>174</v>
      </c>
      <c r="L1153" s="3443" t="s">
        <v>37</v>
      </c>
      <c r="M1153" s="3443"/>
      <c r="N1153" s="3443"/>
      <c r="O1153" s="3443" t="s">
        <v>37</v>
      </c>
      <c r="P1153" s="3443"/>
      <c r="Q1153" s="3443"/>
      <c r="R1153" s="3443"/>
      <c r="S1153" s="3443"/>
      <c r="T1153" s="3443"/>
      <c r="U1153" s="3443"/>
      <c r="V1153" s="3443"/>
      <c r="W1153" s="3443" t="s">
        <v>2893</v>
      </c>
      <c r="X1153" s="3522" t="s">
        <v>2894</v>
      </c>
      <c r="Y1153" s="1457"/>
    </row>
    <row r="1154" spans="1:25" ht="28.5" hidden="1">
      <c r="A1154" s="3480" t="s">
        <v>132</v>
      </c>
      <c r="B1154" s="3444">
        <v>45849</v>
      </c>
      <c r="C1154" s="3443">
        <v>28</v>
      </c>
      <c r="D1154" s="3536"/>
      <c r="E1154" s="3536" t="s">
        <v>2584</v>
      </c>
      <c r="F1154" s="3536" t="s">
        <v>2895</v>
      </c>
      <c r="G1154" s="3772" t="s">
        <v>1206</v>
      </c>
      <c r="H1154" s="3811" t="s">
        <v>1199</v>
      </c>
      <c r="I1154" s="3443">
        <v>707</v>
      </c>
      <c r="J1154" s="3443">
        <v>60020</v>
      </c>
      <c r="K1154" s="2369"/>
      <c r="L1154" s="3443" t="s">
        <v>37</v>
      </c>
      <c r="M1154" s="3443"/>
      <c r="N1154" s="3443"/>
      <c r="O1154" s="3443"/>
      <c r="P1154" s="3443"/>
      <c r="Q1154" s="3443"/>
      <c r="R1154" s="3443"/>
      <c r="S1154" s="3443"/>
      <c r="T1154" s="3443"/>
      <c r="U1154" s="3443"/>
      <c r="V1154" s="3443"/>
      <c r="W1154" s="3443"/>
      <c r="X1154" s="3522"/>
      <c r="Y1154" s="1457"/>
    </row>
    <row r="1155" spans="1:25" ht="28.5" hidden="1">
      <c r="A1155" s="3480" t="s">
        <v>132</v>
      </c>
      <c r="B1155" s="3444">
        <v>45849</v>
      </c>
      <c r="C1155" s="3443">
        <v>28</v>
      </c>
      <c r="D1155" s="3878">
        <v>743</v>
      </c>
      <c r="E1155" s="3878" t="s">
        <v>1464</v>
      </c>
      <c r="F1155" s="3878" t="s">
        <v>1465</v>
      </c>
      <c r="G1155" s="3772" t="s">
        <v>1206</v>
      </c>
      <c r="H1155" s="3811" t="s">
        <v>1199</v>
      </c>
      <c r="I1155" s="3443">
        <v>701</v>
      </c>
      <c r="J1155" s="3443" t="s">
        <v>2705</v>
      </c>
      <c r="K1155" s="2369"/>
      <c r="L1155" s="3443" t="s">
        <v>37</v>
      </c>
      <c r="M1155" s="3443"/>
      <c r="N1155" s="3443"/>
      <c r="O1155" s="3443"/>
      <c r="P1155" s="3443"/>
      <c r="Q1155" s="3443"/>
      <c r="R1155" s="3443"/>
      <c r="S1155" s="3443"/>
      <c r="T1155" s="3443"/>
      <c r="U1155" s="3443"/>
      <c r="V1155" s="3443"/>
      <c r="W1155" s="3443"/>
      <c r="X1155" s="3522"/>
      <c r="Y1155" s="1457"/>
    </row>
    <row r="1156" spans="1:25" ht="28.5" hidden="1">
      <c r="A1156" s="3480" t="s">
        <v>132</v>
      </c>
      <c r="B1156" s="3444">
        <v>45849</v>
      </c>
      <c r="C1156" s="3443">
        <v>28</v>
      </c>
      <c r="D1156" s="3878"/>
      <c r="E1156" s="3878" t="s">
        <v>1465</v>
      </c>
      <c r="F1156" s="3878" t="s">
        <v>1464</v>
      </c>
      <c r="G1156" s="3772" t="s">
        <v>1206</v>
      </c>
      <c r="H1156" s="3772" t="s">
        <v>1206</v>
      </c>
      <c r="I1156" s="3443">
        <v>701</v>
      </c>
      <c r="J1156" s="3443" t="s">
        <v>2839</v>
      </c>
      <c r="K1156" s="2369"/>
      <c r="L1156" s="3443" t="s">
        <v>37</v>
      </c>
      <c r="M1156" s="3443"/>
      <c r="N1156" s="3443"/>
      <c r="O1156" s="3443"/>
      <c r="P1156" s="3443"/>
      <c r="Q1156" s="3443"/>
      <c r="R1156" s="3443"/>
      <c r="S1156" s="3443"/>
      <c r="T1156" s="3443"/>
      <c r="U1156" s="3443"/>
      <c r="V1156" s="3443"/>
      <c r="W1156" s="3443"/>
      <c r="X1156" s="3522"/>
      <c r="Y1156" s="1457"/>
    </row>
    <row r="1157" spans="1:25" ht="28.5" hidden="1">
      <c r="A1157" s="3480" t="s">
        <v>132</v>
      </c>
      <c r="B1157" s="3444">
        <v>45849</v>
      </c>
      <c r="C1157" s="3443">
        <v>28</v>
      </c>
      <c r="D1157" s="3614">
        <v>744</v>
      </c>
      <c r="E1157" s="3614" t="s">
        <v>2885</v>
      </c>
      <c r="F1157" s="3614" t="s">
        <v>1293</v>
      </c>
      <c r="G1157" s="3767"/>
      <c r="H1157" s="3884"/>
      <c r="I1157" s="3443">
        <v>705</v>
      </c>
      <c r="J1157" s="3443" t="s">
        <v>2896</v>
      </c>
      <c r="K1157" s="3511" t="s">
        <v>10</v>
      </c>
      <c r="L1157" s="3443"/>
      <c r="M1157" s="3443"/>
      <c r="N1157" s="3443" t="s">
        <v>37</v>
      </c>
      <c r="O1157" s="3443"/>
      <c r="P1157" s="21" t="s">
        <v>231</v>
      </c>
      <c r="Q1157" s="21" t="s">
        <v>232</v>
      </c>
      <c r="R1157" s="21" t="s">
        <v>38</v>
      </c>
      <c r="S1157" s="3443"/>
      <c r="T1157" s="3443"/>
      <c r="U1157" s="3443"/>
      <c r="V1157" s="3443"/>
      <c r="W1157" s="3443"/>
      <c r="X1157" s="3522" t="s">
        <v>2897</v>
      </c>
      <c r="Y1157" s="1457"/>
    </row>
    <row r="1158" spans="1:25" ht="28.5" hidden="1">
      <c r="A1158" s="3480" t="s">
        <v>132</v>
      </c>
      <c r="B1158" s="3444">
        <v>45849</v>
      </c>
      <c r="C1158" s="3443">
        <v>28</v>
      </c>
      <c r="D1158" s="3688">
        <v>745</v>
      </c>
      <c r="E1158" s="3688" t="s">
        <v>2582</v>
      </c>
      <c r="F1158" s="3688" t="s">
        <v>1074</v>
      </c>
      <c r="G1158" s="3772" t="s">
        <v>1206</v>
      </c>
      <c r="H1158" s="3772" t="s">
        <v>1206</v>
      </c>
      <c r="I1158" s="3443">
        <v>712</v>
      </c>
      <c r="J1158" s="3443" t="s">
        <v>589</v>
      </c>
      <c r="K1158" s="2369"/>
      <c r="L1158" s="3443" t="s">
        <v>37</v>
      </c>
      <c r="M1158" s="3443"/>
      <c r="N1158" s="3443"/>
      <c r="O1158" s="3443"/>
      <c r="P1158" s="3443"/>
      <c r="Q1158" s="3443"/>
      <c r="R1158" s="3443"/>
      <c r="S1158" s="3443"/>
      <c r="T1158" s="3443"/>
      <c r="U1158" s="3443"/>
      <c r="V1158" s="3443"/>
      <c r="W1158" s="3443"/>
      <c r="X1158" s="3522"/>
      <c r="Y1158" s="1457"/>
    </row>
    <row r="1159" spans="1:25" ht="57.75" hidden="1" thickBot="1">
      <c r="A1159" s="3494" t="s">
        <v>132</v>
      </c>
      <c r="B1159" s="3448">
        <v>45849</v>
      </c>
      <c r="C1159" s="3447">
        <v>28</v>
      </c>
      <c r="D1159" s="3690">
        <v>746</v>
      </c>
      <c r="E1159" s="3690" t="s">
        <v>2750</v>
      </c>
      <c r="F1159" s="3690" t="s">
        <v>2582</v>
      </c>
      <c r="G1159" s="4888"/>
      <c r="H1159" s="4888"/>
      <c r="I1159" s="3443">
        <v>712</v>
      </c>
      <c r="J1159" s="3447" t="s">
        <v>451</v>
      </c>
      <c r="K1159" s="3875"/>
      <c r="L1159" s="3447"/>
      <c r="M1159" s="3447" t="s">
        <v>37</v>
      </c>
      <c r="N1159" s="3447"/>
      <c r="O1159" s="3447"/>
      <c r="P1159" s="35" t="s">
        <v>122</v>
      </c>
      <c r="Q1159" s="35" t="s">
        <v>123</v>
      </c>
      <c r="R1159" s="35" t="s">
        <v>32</v>
      </c>
      <c r="S1159" s="3447" t="s">
        <v>37</v>
      </c>
      <c r="T1159" s="3447"/>
      <c r="U1159" s="3447"/>
      <c r="V1159" s="3447"/>
      <c r="W1159" s="3447" t="s">
        <v>2898</v>
      </c>
      <c r="X1159" s="3547" t="s">
        <v>2899</v>
      </c>
      <c r="Y1159" s="1457"/>
    </row>
    <row r="1160" spans="1:25" ht="28.5" hidden="1">
      <c r="A1160" s="3493" t="s">
        <v>132</v>
      </c>
      <c r="B1160" s="3506">
        <v>45849</v>
      </c>
      <c r="C1160" s="3456">
        <v>28</v>
      </c>
      <c r="D1160" s="3722"/>
      <c r="E1160" s="3722" t="s">
        <v>2750</v>
      </c>
      <c r="F1160" s="3722" t="s">
        <v>2900</v>
      </c>
      <c r="G1160" s="3886" t="s">
        <v>1206</v>
      </c>
      <c r="H1160" s="3886" t="s">
        <v>1206</v>
      </c>
      <c r="I1160" s="3443">
        <v>712</v>
      </c>
      <c r="J1160" s="3603" t="s">
        <v>589</v>
      </c>
      <c r="K1160" s="3873"/>
      <c r="L1160" s="3505" t="s">
        <v>37</v>
      </c>
      <c r="M1160" s="3456"/>
      <c r="N1160" s="3505"/>
      <c r="O1160" s="3505"/>
      <c r="P1160" s="3505"/>
      <c r="Q1160" s="3505"/>
      <c r="R1160" s="3505"/>
      <c r="S1160" s="3456"/>
      <c r="T1160" s="3505"/>
      <c r="U1160" s="3505"/>
      <c r="V1160" s="3505"/>
      <c r="W1160" s="3505"/>
      <c r="X1160" s="3609"/>
    </row>
    <row r="1161" spans="1:25" ht="29.25" hidden="1" thickBot="1">
      <c r="A1161" s="3477" t="s">
        <v>132</v>
      </c>
      <c r="B1161" s="3478">
        <v>45849</v>
      </c>
      <c r="C1161" s="3456">
        <v>28</v>
      </c>
      <c r="D1161" s="3614">
        <v>747</v>
      </c>
      <c r="E1161" s="3708" t="s">
        <v>169</v>
      </c>
      <c r="F1161" s="3709" t="s">
        <v>2876</v>
      </c>
      <c r="G1161" s="3812" t="s">
        <v>1206</v>
      </c>
      <c r="H1161" s="3812" t="s">
        <v>1206</v>
      </c>
      <c r="I1161" s="3477">
        <v>707</v>
      </c>
      <c r="J1161" s="3515" t="s">
        <v>2875</v>
      </c>
      <c r="K1161" s="3889" t="s">
        <v>627</v>
      </c>
      <c r="L1161" s="3447"/>
      <c r="M1161" s="3443" t="s">
        <v>37</v>
      </c>
      <c r="N1161" s="3443"/>
      <c r="O1161" s="3443"/>
      <c r="P1161" s="3443"/>
      <c r="Q1161" s="3443"/>
      <c r="R1161" s="3443"/>
      <c r="S1161" s="3443" t="s">
        <v>37</v>
      </c>
      <c r="T1161" s="3443" t="s">
        <v>37</v>
      </c>
      <c r="U1161" s="3443"/>
      <c r="V1161" s="3443"/>
      <c r="W1161" s="3516" t="s">
        <v>2901</v>
      </c>
      <c r="X1161" s="3507"/>
    </row>
    <row r="1162" spans="1:25" ht="28.5" hidden="1">
      <c r="A1162" s="3500" t="s">
        <v>143</v>
      </c>
      <c r="B1162" s="3463">
        <v>45850</v>
      </c>
      <c r="C1162" s="3505">
        <v>28</v>
      </c>
      <c r="D1162" s="3689">
        <v>748</v>
      </c>
      <c r="E1162" s="3689" t="s">
        <v>2750</v>
      </c>
      <c r="F1162" s="3714" t="s">
        <v>2582</v>
      </c>
      <c r="G1162" s="3772" t="s">
        <v>1206</v>
      </c>
      <c r="H1162" s="3772" t="s">
        <v>1206</v>
      </c>
      <c r="I1162" s="3500">
        <v>712</v>
      </c>
      <c r="J1162" s="3524" t="s">
        <v>451</v>
      </c>
      <c r="K1162" s="3903"/>
      <c r="L1162" s="3462" t="s">
        <v>37</v>
      </c>
      <c r="M1162" s="3462"/>
      <c r="N1162" s="3462"/>
      <c r="O1162" s="3462"/>
      <c r="P1162" s="3462"/>
      <c r="Q1162" s="3462"/>
      <c r="R1162" s="3462"/>
      <c r="S1162" s="3462"/>
      <c r="T1162" s="3462" t="s">
        <v>37</v>
      </c>
      <c r="U1162" s="3462"/>
      <c r="V1162" s="3462"/>
      <c r="W1162" s="3524"/>
      <c r="X1162" s="3507"/>
    </row>
    <row r="1163" spans="1:25" ht="28.5" hidden="1">
      <c r="A1163" s="3477" t="s">
        <v>25</v>
      </c>
      <c r="B1163" s="3478">
        <v>45852</v>
      </c>
      <c r="C1163" s="3503" t="s">
        <v>2902</v>
      </c>
      <c r="D1163" s="3514" t="s">
        <v>2903</v>
      </c>
      <c r="E1163" s="3708" t="s">
        <v>148</v>
      </c>
      <c r="F1163" s="3709" t="s">
        <v>2904</v>
      </c>
      <c r="G1163" s="3254"/>
      <c r="I1163" s="3477">
        <v>707</v>
      </c>
      <c r="J1163" s="3515" t="s">
        <v>2905</v>
      </c>
      <c r="K1163" s="3889" t="s">
        <v>627</v>
      </c>
      <c r="L1163" s="3503" t="s">
        <v>37</v>
      </c>
      <c r="M1163" s="3503"/>
      <c r="N1163" s="3281"/>
      <c r="O1163" s="3281"/>
      <c r="P1163" s="3281"/>
      <c r="Q1163" s="3281"/>
      <c r="R1163" s="3281"/>
      <c r="S1163" s="3503"/>
      <c r="T1163" s="3503"/>
      <c r="U1163" s="3503"/>
      <c r="V1163" s="3281"/>
      <c r="W1163" s="3891"/>
      <c r="X1163" s="3254"/>
    </row>
    <row r="1164" spans="1:25" ht="28.5" hidden="1">
      <c r="A1164" s="3480" t="s">
        <v>25</v>
      </c>
      <c r="B1164" s="3444">
        <v>45852</v>
      </c>
      <c r="C1164" s="3456" t="s">
        <v>2902</v>
      </c>
      <c r="D1164" s="4399"/>
      <c r="E1164" s="3614" t="s">
        <v>857</v>
      </c>
      <c r="F1164" s="3643" t="s">
        <v>80</v>
      </c>
      <c r="G1164" s="3254"/>
      <c r="I1164" s="3480">
        <v>707</v>
      </c>
      <c r="J1164" s="3516">
        <v>60072</v>
      </c>
      <c r="K1164" s="3890"/>
      <c r="L1164" s="3443" t="s">
        <v>37</v>
      </c>
      <c r="M1164" s="3443"/>
      <c r="S1164" s="3443"/>
      <c r="T1164" s="3443"/>
      <c r="U1164" s="3443"/>
      <c r="W1164" s="3892"/>
      <c r="X1164" s="3254"/>
    </row>
    <row r="1165" spans="1:25" ht="28.5" hidden="1">
      <c r="A1165" s="3480" t="s">
        <v>67</v>
      </c>
      <c r="B1165" s="3444">
        <v>45853</v>
      </c>
      <c r="C1165" s="3456" t="s">
        <v>2902</v>
      </c>
      <c r="D1165" s="4399" t="s">
        <v>2906</v>
      </c>
      <c r="E1165" s="3614" t="s">
        <v>1065</v>
      </c>
      <c r="F1165" s="3643" t="s">
        <v>1145</v>
      </c>
      <c r="G1165" s="3254"/>
      <c r="I1165" s="3480"/>
      <c r="J1165" s="3516" t="s">
        <v>2154</v>
      </c>
      <c r="K1165" s="4153" t="s">
        <v>174</v>
      </c>
      <c r="L1165" s="3443" t="s">
        <v>37</v>
      </c>
      <c r="M1165" s="3443"/>
      <c r="S1165" s="3443"/>
      <c r="T1165" s="3443"/>
      <c r="U1165" s="3443"/>
      <c r="W1165" s="3892"/>
      <c r="X1165" s="3254"/>
    </row>
    <row r="1166" spans="1:25" ht="28.5" hidden="1">
      <c r="A1166" s="3480" t="s">
        <v>67</v>
      </c>
      <c r="B1166" s="3444">
        <v>45853</v>
      </c>
      <c r="C1166" s="3456" t="s">
        <v>2902</v>
      </c>
      <c r="D1166" s="4399" t="s">
        <v>2907</v>
      </c>
      <c r="E1166" s="3878" t="s">
        <v>1464</v>
      </c>
      <c r="F1166" s="3896" t="s">
        <v>1465</v>
      </c>
      <c r="G1166" s="3254"/>
      <c r="I1166" s="3480">
        <v>701</v>
      </c>
      <c r="J1166" s="3516" t="s">
        <v>2705</v>
      </c>
      <c r="K1166" s="3919"/>
      <c r="L1166" s="3443" t="s">
        <v>37</v>
      </c>
      <c r="M1166" s="3443"/>
      <c r="S1166" s="3443"/>
      <c r="T1166" s="3443"/>
      <c r="U1166" s="3443"/>
      <c r="W1166" s="3892"/>
      <c r="X1166" s="3254"/>
    </row>
    <row r="1167" spans="1:25" ht="28.5" hidden="1">
      <c r="A1167" s="3480" t="s">
        <v>67</v>
      </c>
      <c r="B1167" s="3444">
        <v>45853</v>
      </c>
      <c r="C1167" s="3456" t="s">
        <v>2902</v>
      </c>
      <c r="D1167" s="4399"/>
      <c r="E1167" s="3878" t="s">
        <v>1465</v>
      </c>
      <c r="F1167" s="3896" t="s">
        <v>1464</v>
      </c>
      <c r="G1167" s="3254"/>
      <c r="I1167" s="3480">
        <v>701</v>
      </c>
      <c r="J1167" s="3516" t="s">
        <v>2839</v>
      </c>
      <c r="K1167" s="3919"/>
      <c r="L1167" s="3443" t="s">
        <v>37</v>
      </c>
      <c r="M1167" s="3443"/>
      <c r="S1167" s="3443"/>
      <c r="T1167" s="3443"/>
      <c r="U1167" s="3443"/>
      <c r="W1167" s="3892"/>
      <c r="X1167" s="3254"/>
    </row>
    <row r="1168" spans="1:25" ht="28.5" hidden="1">
      <c r="A1168" s="3480" t="s">
        <v>67</v>
      </c>
      <c r="B1168" s="3444">
        <v>45853</v>
      </c>
      <c r="C1168" s="3456" t="s">
        <v>2902</v>
      </c>
      <c r="D1168" s="4399" t="s">
        <v>2908</v>
      </c>
      <c r="E1168" s="3614" t="s">
        <v>1598</v>
      </c>
      <c r="F1168" s="3643" t="s">
        <v>80</v>
      </c>
      <c r="G1168" s="3254"/>
      <c r="I1168" s="3480">
        <v>705</v>
      </c>
      <c r="J1168" s="3516" t="s">
        <v>489</v>
      </c>
      <c r="K1168" s="3889" t="s">
        <v>627</v>
      </c>
      <c r="L1168" s="3443" t="s">
        <v>37</v>
      </c>
      <c r="M1168" s="3443"/>
      <c r="S1168" s="3443"/>
      <c r="T1168" s="3443"/>
      <c r="U1168" s="3443"/>
      <c r="W1168" s="3892"/>
      <c r="X1168" s="3254"/>
    </row>
    <row r="1169" spans="1:24" ht="28.5" hidden="1">
      <c r="A1169" s="3480" t="s">
        <v>67</v>
      </c>
      <c r="B1169" s="3444">
        <v>45853</v>
      </c>
      <c r="C1169" s="3456" t="s">
        <v>2902</v>
      </c>
      <c r="D1169" s="4399" t="s">
        <v>2908</v>
      </c>
      <c r="E1169" s="3614" t="s">
        <v>80</v>
      </c>
      <c r="F1169" s="3643" t="s">
        <v>1838</v>
      </c>
      <c r="G1169" s="3254"/>
      <c r="I1169" s="3480">
        <v>705</v>
      </c>
      <c r="J1169" s="3516" t="s">
        <v>2909</v>
      </c>
      <c r="K1169" s="4153" t="s">
        <v>174</v>
      </c>
      <c r="L1169" s="3443" t="s">
        <v>37</v>
      </c>
      <c r="M1169" s="3443"/>
      <c r="S1169" s="3443"/>
      <c r="T1169" s="3443"/>
      <c r="U1169" s="3443"/>
      <c r="W1169" s="3892"/>
      <c r="X1169" s="3254"/>
    </row>
    <row r="1170" spans="1:24" ht="28.5" hidden="1">
      <c r="A1170" s="3480" t="s">
        <v>67</v>
      </c>
      <c r="B1170" s="3444">
        <v>45853</v>
      </c>
      <c r="C1170" s="3456" t="s">
        <v>2902</v>
      </c>
      <c r="D1170" s="4399" t="s">
        <v>2910</v>
      </c>
      <c r="E1170" s="3614" t="s">
        <v>1838</v>
      </c>
      <c r="F1170" s="3643" t="s">
        <v>80</v>
      </c>
      <c r="G1170" s="3254"/>
      <c r="I1170" s="3480">
        <v>705</v>
      </c>
      <c r="J1170" s="3516" t="s">
        <v>2911</v>
      </c>
      <c r="K1170" s="4153" t="s">
        <v>174</v>
      </c>
      <c r="L1170" s="3443" t="s">
        <v>37</v>
      </c>
      <c r="M1170" s="3443"/>
      <c r="S1170" s="3443"/>
      <c r="T1170" s="3443"/>
      <c r="U1170" s="3443"/>
      <c r="W1170" s="3892"/>
      <c r="X1170" s="3254"/>
    </row>
    <row r="1171" spans="1:24" ht="28.5" hidden="1">
      <c r="A1171" s="3480" t="s">
        <v>67</v>
      </c>
      <c r="B1171" s="3444">
        <v>45853</v>
      </c>
      <c r="C1171" s="3456" t="s">
        <v>2902</v>
      </c>
      <c r="D1171" s="4399"/>
      <c r="E1171" s="3621" t="s">
        <v>80</v>
      </c>
      <c r="F1171" s="3649" t="s">
        <v>684</v>
      </c>
      <c r="G1171" s="3254"/>
      <c r="I1171" s="3480">
        <v>705</v>
      </c>
      <c r="J1171" s="3516" t="s">
        <v>2912</v>
      </c>
      <c r="K1171" s="3890"/>
      <c r="L1171" s="3443" t="s">
        <v>37</v>
      </c>
      <c r="M1171" s="3443"/>
      <c r="S1171" s="3443"/>
      <c r="T1171" s="3443"/>
      <c r="U1171" s="3443"/>
      <c r="W1171" s="3892"/>
      <c r="X1171" s="3254"/>
    </row>
    <row r="1172" spans="1:24" ht="28.5" hidden="1">
      <c r="A1172" s="3480" t="s">
        <v>67</v>
      </c>
      <c r="B1172" s="3444">
        <v>45853</v>
      </c>
      <c r="C1172" s="3456" t="s">
        <v>2902</v>
      </c>
      <c r="D1172" s="4399"/>
      <c r="E1172" s="3621" t="s">
        <v>392</v>
      </c>
      <c r="F1172" s="3649" t="s">
        <v>488</v>
      </c>
      <c r="G1172" s="3254"/>
      <c r="I1172" s="3480">
        <v>705</v>
      </c>
      <c r="J1172" s="3516" t="s">
        <v>2913</v>
      </c>
      <c r="K1172" s="3890"/>
      <c r="L1172" s="3443" t="s">
        <v>37</v>
      </c>
      <c r="M1172" s="3443"/>
      <c r="S1172" s="3443"/>
      <c r="T1172" s="3443"/>
      <c r="U1172" s="3443"/>
      <c r="W1172" s="3892"/>
      <c r="X1172" s="3254"/>
    </row>
    <row r="1173" spans="1:24" ht="29.25" hidden="1" thickBot="1">
      <c r="A1173" s="3480" t="s">
        <v>67</v>
      </c>
      <c r="B1173" s="3444">
        <v>45853</v>
      </c>
      <c r="C1173" s="3456" t="s">
        <v>2902</v>
      </c>
      <c r="D1173" s="4399" t="s">
        <v>2914</v>
      </c>
      <c r="E1173" s="3614" t="s">
        <v>1598</v>
      </c>
      <c r="F1173" s="3643" t="s">
        <v>48</v>
      </c>
      <c r="G1173" s="3254"/>
      <c r="I1173" s="3480">
        <v>705</v>
      </c>
      <c r="J1173" s="3516" t="s">
        <v>226</v>
      </c>
      <c r="K1173" s="3890"/>
      <c r="L1173" s="3443" t="s">
        <v>37</v>
      </c>
      <c r="M1173" s="3443"/>
      <c r="P1173" s="3161"/>
      <c r="Q1173" s="3161"/>
      <c r="R1173" s="3161"/>
      <c r="S1173" s="3443"/>
      <c r="T1173" s="3443"/>
      <c r="U1173" s="3443"/>
      <c r="W1173" s="3893"/>
      <c r="X1173" s="3254"/>
    </row>
    <row r="1174" spans="1:24" ht="29.25" hidden="1" thickBot="1">
      <c r="A1174" s="3481" t="s">
        <v>67</v>
      </c>
      <c r="B1174" s="3451">
        <v>45853</v>
      </c>
      <c r="C1174" s="3508" t="s">
        <v>2902</v>
      </c>
      <c r="D1174" s="4404" t="s">
        <v>2915</v>
      </c>
      <c r="E1174" s="3760" t="s">
        <v>1740</v>
      </c>
      <c r="F1174" s="3898" t="s">
        <v>80</v>
      </c>
      <c r="G1174" s="3254"/>
      <c r="I1174" s="3481">
        <v>705</v>
      </c>
      <c r="J1174" s="3604">
        <v>60105</v>
      </c>
      <c r="K1174" s="4279"/>
      <c r="L1174" s="3508" t="s">
        <v>37</v>
      </c>
      <c r="M1174" s="3508"/>
      <c r="N1174" s="3284"/>
      <c r="O1174" s="3284"/>
      <c r="P1174" s="3284"/>
      <c r="Q1174" s="3284"/>
      <c r="R1174" s="3284"/>
      <c r="S1174" s="3508"/>
      <c r="T1174" s="3508"/>
      <c r="U1174" s="3508"/>
      <c r="V1174" s="3284"/>
      <c r="W1174" s="3893"/>
      <c r="X1174" s="3254"/>
    </row>
    <row r="1175" spans="1:24" ht="85.5" hidden="1">
      <c r="A1175" s="3493" t="s">
        <v>67</v>
      </c>
      <c r="B1175" s="3457">
        <v>45853</v>
      </c>
      <c r="C1175" s="3456" t="s">
        <v>2902</v>
      </c>
      <c r="D1175" s="3513" t="s">
        <v>2916</v>
      </c>
      <c r="E1175" s="4830" t="s">
        <v>296</v>
      </c>
      <c r="F1175" s="4871" t="s">
        <v>80</v>
      </c>
      <c r="I1175" s="3493">
        <v>705</v>
      </c>
      <c r="J1175" s="3603">
        <v>60086</v>
      </c>
      <c r="K1175" s="3894"/>
      <c r="L1175" s="3456"/>
      <c r="M1175" s="3456" t="s">
        <v>37</v>
      </c>
      <c r="N1175" s="3276"/>
      <c r="O1175" s="3276"/>
      <c r="P1175" s="119" t="s">
        <v>0</v>
      </c>
      <c r="Q1175" s="119" t="s">
        <v>31</v>
      </c>
      <c r="R1175" s="20" t="s">
        <v>38</v>
      </c>
      <c r="S1175" s="3456"/>
      <c r="T1175" s="3456"/>
      <c r="U1175" s="3456"/>
      <c r="V1175" s="3276"/>
      <c r="W1175" s="3895" t="s">
        <v>2917</v>
      </c>
    </row>
    <row r="1176" spans="1:24" ht="28.5" hidden="1">
      <c r="A1176" s="3480" t="s">
        <v>67</v>
      </c>
      <c r="B1176" s="3444">
        <v>45853</v>
      </c>
      <c r="C1176" s="3456" t="s">
        <v>2902</v>
      </c>
      <c r="D1176" s="4399"/>
      <c r="E1176" s="3621" t="s">
        <v>296</v>
      </c>
      <c r="F1176" s="3649" t="s">
        <v>80</v>
      </c>
      <c r="I1176" s="3480">
        <v>705</v>
      </c>
      <c r="J1176" s="3516">
        <v>60086</v>
      </c>
      <c r="K1176" s="4734" t="s">
        <v>627</v>
      </c>
      <c r="L1176" s="3443" t="s">
        <v>37</v>
      </c>
      <c r="M1176" s="3443"/>
      <c r="N1176" s="3443" t="s">
        <v>37</v>
      </c>
      <c r="S1176" s="3443"/>
      <c r="T1176" s="3443" t="s">
        <v>37</v>
      </c>
      <c r="U1176" s="3443"/>
      <c r="W1176" s="3892" t="s">
        <v>2918</v>
      </c>
    </row>
    <row r="1177" spans="1:24" ht="57" hidden="1">
      <c r="A1177" s="3480" t="s">
        <v>85</v>
      </c>
      <c r="B1177" s="3444">
        <v>45854</v>
      </c>
      <c r="C1177" s="3456" t="s">
        <v>2902</v>
      </c>
      <c r="D1177" s="4399" t="s">
        <v>2919</v>
      </c>
      <c r="E1177" s="3614" t="s">
        <v>1091</v>
      </c>
      <c r="F1177" s="3643" t="s">
        <v>1145</v>
      </c>
      <c r="I1177" s="3480">
        <v>707</v>
      </c>
      <c r="J1177" s="3516" t="s">
        <v>2920</v>
      </c>
      <c r="K1177" s="3897"/>
      <c r="L1177" s="3443" t="s">
        <v>37</v>
      </c>
      <c r="M1177" s="3443"/>
      <c r="O1177" s="3160" t="s">
        <v>37</v>
      </c>
      <c r="P1177" s="21"/>
      <c r="Q1177" s="21"/>
      <c r="R1177" s="21"/>
      <c r="S1177" s="3443"/>
      <c r="T1177" s="3443"/>
      <c r="U1177" s="3443"/>
      <c r="W1177" s="3892" t="s">
        <v>2921</v>
      </c>
    </row>
    <row r="1178" spans="1:24" ht="28.5" hidden="1">
      <c r="A1178" s="3480" t="s">
        <v>85</v>
      </c>
      <c r="B1178" s="3444">
        <v>45854</v>
      </c>
      <c r="C1178" s="3456" t="s">
        <v>2902</v>
      </c>
      <c r="D1178" s="4399" t="s">
        <v>2922</v>
      </c>
      <c r="E1178" s="3878" t="s">
        <v>1464</v>
      </c>
      <c r="F1178" s="3896" t="s">
        <v>1465</v>
      </c>
      <c r="I1178" s="3480">
        <v>701</v>
      </c>
      <c r="J1178" s="3516" t="s">
        <v>2705</v>
      </c>
      <c r="K1178" s="3897"/>
      <c r="L1178" s="3443" t="s">
        <v>37</v>
      </c>
      <c r="M1178" s="3443"/>
      <c r="S1178" s="3443"/>
      <c r="T1178" s="3443"/>
      <c r="U1178" s="3443"/>
      <c r="W1178" s="3892"/>
    </row>
    <row r="1179" spans="1:24" ht="28.5" hidden="1">
      <c r="A1179" s="3480" t="s">
        <v>85</v>
      </c>
      <c r="B1179" s="3444">
        <v>45854</v>
      </c>
      <c r="C1179" s="3456" t="s">
        <v>2902</v>
      </c>
      <c r="D1179" s="4399"/>
      <c r="E1179" s="3878" t="s">
        <v>1465</v>
      </c>
      <c r="F1179" s="3896" t="s">
        <v>1464</v>
      </c>
      <c r="I1179" s="3480">
        <v>701</v>
      </c>
      <c r="J1179" s="3516" t="s">
        <v>2839</v>
      </c>
      <c r="K1179" s="3897"/>
      <c r="L1179" s="3443" t="s">
        <v>37</v>
      </c>
      <c r="M1179" s="3443"/>
      <c r="S1179" s="3443"/>
      <c r="T1179" s="3443"/>
      <c r="U1179" s="3443"/>
      <c r="W1179" s="3892"/>
    </row>
    <row r="1180" spans="1:24" ht="57" hidden="1">
      <c r="A1180" s="3480" t="s">
        <v>85</v>
      </c>
      <c r="B1180" s="3444">
        <v>45854</v>
      </c>
      <c r="C1180" s="3456" t="s">
        <v>2902</v>
      </c>
      <c r="D1180" s="4399" t="s">
        <v>2923</v>
      </c>
      <c r="E1180" s="3614" t="s">
        <v>169</v>
      </c>
      <c r="F1180" s="3643" t="s">
        <v>148</v>
      </c>
      <c r="I1180" s="3480">
        <v>707</v>
      </c>
      <c r="J1180" s="3516" t="s">
        <v>2924</v>
      </c>
      <c r="K1180" s="3897"/>
      <c r="L1180" s="3443"/>
      <c r="M1180" s="3443" t="s">
        <v>37</v>
      </c>
      <c r="O1180" s="3443" t="s">
        <v>37</v>
      </c>
      <c r="P1180" s="21" t="s">
        <v>0</v>
      </c>
      <c r="Q1180" s="21" t="s">
        <v>31</v>
      </c>
      <c r="R1180" s="21" t="s">
        <v>38</v>
      </c>
      <c r="S1180" s="3443"/>
      <c r="T1180" s="3443"/>
      <c r="U1180" s="3443"/>
      <c r="W1180" s="3892" t="s">
        <v>2925</v>
      </c>
    </row>
    <row r="1181" spans="1:24" ht="28.5" hidden="1">
      <c r="A1181" s="3480" t="s">
        <v>85</v>
      </c>
      <c r="B1181" s="3444">
        <v>45854</v>
      </c>
      <c r="C1181" s="3456" t="s">
        <v>2902</v>
      </c>
      <c r="D1181" s="4399" t="s">
        <v>2926</v>
      </c>
      <c r="E1181" s="3614" t="s">
        <v>169</v>
      </c>
      <c r="F1181" s="3643" t="s">
        <v>2927</v>
      </c>
      <c r="I1181" s="3480">
        <v>707</v>
      </c>
      <c r="J1181" s="3516" t="s">
        <v>2928</v>
      </c>
      <c r="K1181" s="3897"/>
      <c r="L1181" s="3443" t="s">
        <v>37</v>
      </c>
      <c r="M1181" s="3443"/>
      <c r="P1181" s="3161"/>
      <c r="Q1181" s="3161"/>
      <c r="R1181" s="3161"/>
      <c r="S1181" s="3443"/>
      <c r="T1181" s="3443"/>
      <c r="U1181" s="3443"/>
      <c r="W1181" s="3892"/>
    </row>
    <row r="1182" spans="1:24" ht="28.5" hidden="1">
      <c r="A1182" s="3500" t="s">
        <v>85</v>
      </c>
      <c r="B1182" s="3463">
        <v>45854</v>
      </c>
      <c r="C1182" s="3505" t="s">
        <v>2902</v>
      </c>
      <c r="D1182" s="4400" t="s">
        <v>2929</v>
      </c>
      <c r="E1182" s="3689" t="s">
        <v>2927</v>
      </c>
      <c r="F1182" s="3714" t="s">
        <v>2930</v>
      </c>
      <c r="I1182" s="3500">
        <v>707</v>
      </c>
      <c r="J1182" s="3524" t="s">
        <v>2931</v>
      </c>
      <c r="K1182" s="3901"/>
      <c r="L1182" s="3462" t="s">
        <v>37</v>
      </c>
      <c r="M1182" s="3462"/>
      <c r="N1182" s="3273"/>
      <c r="O1182" s="3273"/>
      <c r="P1182" s="3273"/>
      <c r="Q1182" s="3273"/>
      <c r="R1182" s="3273"/>
      <c r="S1182" s="3462"/>
      <c r="T1182" s="3462"/>
      <c r="U1182" s="3462"/>
      <c r="V1182" s="3273"/>
      <c r="W1182" s="3902"/>
    </row>
    <row r="1183" spans="1:24" ht="28.5" hidden="1">
      <c r="A1183" s="3477" t="s">
        <v>85</v>
      </c>
      <c r="B1183" s="3478">
        <v>45854</v>
      </c>
      <c r="C1183" s="3503" t="s">
        <v>2902</v>
      </c>
      <c r="D1183" s="3514"/>
      <c r="E1183" s="3708" t="s">
        <v>392</v>
      </c>
      <c r="F1183" s="3709" t="s">
        <v>258</v>
      </c>
      <c r="G1183" s="3254"/>
      <c r="H1183" s="3253"/>
      <c r="I1183" s="3477">
        <v>707</v>
      </c>
      <c r="J1183" s="3503" t="s">
        <v>2928</v>
      </c>
      <c r="K1183" s="3871"/>
      <c r="L1183" s="3503"/>
      <c r="M1183" s="3503" t="s">
        <v>37</v>
      </c>
      <c r="N1183" s="3281"/>
      <c r="O1183" s="3281"/>
      <c r="P1183" s="34" t="s">
        <v>71</v>
      </c>
      <c r="Q1183" s="34" t="s">
        <v>2932</v>
      </c>
      <c r="R1183" s="34" t="s">
        <v>160</v>
      </c>
      <c r="S1183" s="3503" t="s">
        <v>37</v>
      </c>
      <c r="T1183" s="3503"/>
      <c r="U1183" s="3503"/>
      <c r="V1183" s="3281"/>
      <c r="W1183" s="3521" t="s">
        <v>2933</v>
      </c>
      <c r="X1183" s="3254"/>
    </row>
    <row r="1184" spans="1:24" ht="28.5" hidden="1">
      <c r="A1184" s="3480" t="s">
        <v>85</v>
      </c>
      <c r="B1184" s="3444">
        <v>45854</v>
      </c>
      <c r="C1184" s="3443" t="s">
        <v>2902</v>
      </c>
      <c r="D1184" s="4399" t="s">
        <v>2934</v>
      </c>
      <c r="E1184" s="3614" t="s">
        <v>2521</v>
      </c>
      <c r="F1184" s="3643" t="s">
        <v>2935</v>
      </c>
      <c r="G1184" s="3254"/>
      <c r="H1184" s="3253"/>
      <c r="I1184" s="3480">
        <v>702</v>
      </c>
      <c r="J1184" s="3443">
        <v>60020</v>
      </c>
      <c r="K1184" s="2369"/>
      <c r="L1184" s="3443" t="s">
        <v>37</v>
      </c>
      <c r="M1184" s="3443"/>
      <c r="S1184" s="3443"/>
      <c r="T1184" s="3443"/>
      <c r="U1184" s="3443"/>
      <c r="W1184" s="3522"/>
      <c r="X1184" s="3254"/>
    </row>
    <row r="1185" spans="1:25" ht="28.5" hidden="1">
      <c r="A1185" s="3480" t="s">
        <v>105</v>
      </c>
      <c r="B1185" s="3444">
        <v>45855</v>
      </c>
      <c r="C1185" s="3443" t="s">
        <v>2902</v>
      </c>
      <c r="D1185" s="4399" t="s">
        <v>2936</v>
      </c>
      <c r="E1185" s="3614" t="s">
        <v>169</v>
      </c>
      <c r="F1185" s="3643" t="s">
        <v>2937</v>
      </c>
      <c r="G1185" s="3254"/>
      <c r="H1185" s="3253"/>
      <c r="I1185" s="3480">
        <v>707</v>
      </c>
      <c r="J1185" s="3443" t="s">
        <v>2920</v>
      </c>
      <c r="K1185" s="2369"/>
      <c r="L1185" s="3443"/>
      <c r="M1185" s="3443" t="s">
        <v>30</v>
      </c>
      <c r="P1185" s="21" t="s">
        <v>0</v>
      </c>
      <c r="Q1185" s="21" t="s">
        <v>31</v>
      </c>
      <c r="R1185" s="21" t="s">
        <v>38</v>
      </c>
      <c r="S1185" s="3443" t="s">
        <v>30</v>
      </c>
      <c r="T1185" s="3443"/>
      <c r="U1185" s="3443"/>
      <c r="W1185" s="3522" t="s">
        <v>2938</v>
      </c>
      <c r="X1185" s="3254"/>
    </row>
    <row r="1186" spans="1:25" ht="28.5" hidden="1">
      <c r="A1186" s="3480" t="s">
        <v>105</v>
      </c>
      <c r="B1186" s="3444">
        <v>45855</v>
      </c>
      <c r="C1186" s="3443" t="s">
        <v>2902</v>
      </c>
      <c r="D1186" s="4399" t="s">
        <v>2939</v>
      </c>
      <c r="E1186" s="3621" t="s">
        <v>2935</v>
      </c>
      <c r="F1186" s="3649" t="s">
        <v>2904</v>
      </c>
      <c r="G1186" s="3254"/>
      <c r="H1186" s="3253"/>
      <c r="I1186" s="3480">
        <v>707</v>
      </c>
      <c r="J1186" s="3443" t="s">
        <v>2940</v>
      </c>
      <c r="K1186" s="2369"/>
      <c r="L1186" s="3443" t="s">
        <v>30</v>
      </c>
      <c r="M1186" s="3443"/>
      <c r="S1186" s="3443"/>
      <c r="T1186" s="3443"/>
      <c r="U1186" s="3443"/>
      <c r="W1186" s="3522"/>
      <c r="X1186" s="3254"/>
    </row>
    <row r="1187" spans="1:25" ht="28.5" hidden="1">
      <c r="A1187" s="3480" t="s">
        <v>105</v>
      </c>
      <c r="B1187" s="3444">
        <v>45855</v>
      </c>
      <c r="C1187" s="3443" t="s">
        <v>2902</v>
      </c>
      <c r="D1187" s="4399"/>
      <c r="E1187" s="3621" t="s">
        <v>857</v>
      </c>
      <c r="F1187" s="3649" t="s">
        <v>2941</v>
      </c>
      <c r="G1187" s="3254"/>
      <c r="H1187" s="3253"/>
      <c r="I1187" s="3480">
        <v>707</v>
      </c>
      <c r="J1187" s="3443">
        <v>60020</v>
      </c>
      <c r="K1187" s="2369"/>
      <c r="L1187" s="3443" t="s">
        <v>30</v>
      </c>
      <c r="M1187" s="3443"/>
      <c r="S1187" s="3443"/>
      <c r="T1187" s="3443"/>
      <c r="U1187" s="3443" t="s">
        <v>37</v>
      </c>
      <c r="W1187" s="3522"/>
      <c r="X1187" s="3254"/>
    </row>
    <row r="1188" spans="1:25" ht="57" hidden="1">
      <c r="A1188" s="3480" t="s">
        <v>105</v>
      </c>
      <c r="B1188" s="3444">
        <v>45855</v>
      </c>
      <c r="C1188" s="3443" t="s">
        <v>2902</v>
      </c>
      <c r="D1188" s="4399"/>
      <c r="E1188" s="3621" t="s">
        <v>857</v>
      </c>
      <c r="F1188" s="3649" t="s">
        <v>2942</v>
      </c>
      <c r="G1188" s="3254"/>
      <c r="H1188" s="3253"/>
      <c r="I1188" s="3480">
        <v>707</v>
      </c>
      <c r="J1188" s="3443">
        <v>60020</v>
      </c>
      <c r="K1188" s="2369"/>
      <c r="L1188" s="3443" t="s">
        <v>37</v>
      </c>
      <c r="M1188" s="3443"/>
      <c r="S1188" s="3443"/>
      <c r="T1188" s="3443"/>
      <c r="U1188" s="3443"/>
      <c r="W1188" s="3522" t="s">
        <v>2943</v>
      </c>
      <c r="X1188" s="3254"/>
    </row>
    <row r="1189" spans="1:25" ht="28.5" hidden="1">
      <c r="A1189" s="3480" t="s">
        <v>105</v>
      </c>
      <c r="B1189" s="3444">
        <v>45855</v>
      </c>
      <c r="C1189" s="3443" t="s">
        <v>2902</v>
      </c>
      <c r="D1189" s="4399" t="s">
        <v>2944</v>
      </c>
      <c r="E1189" s="3614" t="s">
        <v>2729</v>
      </c>
      <c r="F1189" s="3643" t="s">
        <v>1598</v>
      </c>
      <c r="G1189" s="3254"/>
      <c r="H1189" s="3253"/>
      <c r="I1189" s="3480">
        <v>707</v>
      </c>
      <c r="J1189" s="3443" t="s">
        <v>2945</v>
      </c>
      <c r="K1189" s="2369"/>
      <c r="L1189" s="3443" t="s">
        <v>37</v>
      </c>
      <c r="M1189" s="3443"/>
      <c r="S1189" s="3443"/>
      <c r="T1189" s="3443"/>
      <c r="U1189" s="3443"/>
      <c r="W1189" s="3522"/>
      <c r="X1189" s="3254"/>
    </row>
    <row r="1190" spans="1:25" ht="28.5" hidden="1">
      <c r="A1190" s="3480" t="s">
        <v>105</v>
      </c>
      <c r="B1190" s="3444">
        <v>45855</v>
      </c>
      <c r="C1190" s="3443" t="s">
        <v>2902</v>
      </c>
      <c r="D1190" s="4399" t="s">
        <v>2946</v>
      </c>
      <c r="E1190" s="3878" t="s">
        <v>1464</v>
      </c>
      <c r="F1190" s="3896" t="s">
        <v>1465</v>
      </c>
      <c r="G1190" s="3254"/>
      <c r="H1190" s="3253"/>
      <c r="I1190" s="3480">
        <v>701</v>
      </c>
      <c r="J1190" s="3443" t="s">
        <v>2705</v>
      </c>
      <c r="K1190" s="2369"/>
      <c r="L1190" s="3443" t="s">
        <v>30</v>
      </c>
      <c r="M1190" s="3443"/>
      <c r="S1190" s="3443"/>
      <c r="T1190" s="3443"/>
      <c r="U1190" s="3443"/>
      <c r="W1190" s="3522"/>
      <c r="X1190" s="3254"/>
    </row>
    <row r="1191" spans="1:25" ht="28.5" hidden="1">
      <c r="A1191" s="3480" t="s">
        <v>105</v>
      </c>
      <c r="B1191" s="3444">
        <v>45855</v>
      </c>
      <c r="C1191" s="3443" t="s">
        <v>2902</v>
      </c>
      <c r="D1191" s="4399"/>
      <c r="E1191" s="3878" t="s">
        <v>1465</v>
      </c>
      <c r="F1191" s="3896" t="s">
        <v>1464</v>
      </c>
      <c r="G1191" s="3254"/>
      <c r="H1191" s="3253"/>
      <c r="I1191" s="3480">
        <v>701</v>
      </c>
      <c r="J1191" s="3443" t="s">
        <v>2839</v>
      </c>
      <c r="K1191" s="2369"/>
      <c r="L1191" s="3443" t="s">
        <v>30</v>
      </c>
      <c r="M1191" s="3443"/>
      <c r="S1191" s="3443"/>
      <c r="T1191" s="3443"/>
      <c r="U1191" s="3443"/>
      <c r="W1191" s="3522"/>
      <c r="X1191" s="3254"/>
    </row>
    <row r="1192" spans="1:25" ht="29.25" hidden="1" thickBot="1">
      <c r="A1192" s="3494" t="s">
        <v>105</v>
      </c>
      <c r="B1192" s="3448">
        <v>45855</v>
      </c>
      <c r="C1192" s="3447" t="s">
        <v>2902</v>
      </c>
      <c r="D1192" s="4404" t="s">
        <v>2947</v>
      </c>
      <c r="E1192" s="3690" t="s">
        <v>80</v>
      </c>
      <c r="F1192" s="3715" t="s">
        <v>1838</v>
      </c>
      <c r="G1192" s="3254"/>
      <c r="H1192" s="3253"/>
      <c r="I1192" s="3494">
        <v>705</v>
      </c>
      <c r="J1192" s="3447" t="s">
        <v>2948</v>
      </c>
      <c r="K1192" s="3608" t="s">
        <v>174</v>
      </c>
      <c r="L1192" s="3447" t="s">
        <v>37</v>
      </c>
      <c r="M1192" s="3447"/>
      <c r="N1192" s="3284"/>
      <c r="O1192" s="3284"/>
      <c r="P1192" s="3284"/>
      <c r="Q1192" s="3284"/>
      <c r="R1192" s="3284"/>
      <c r="S1192" s="3447"/>
      <c r="T1192" s="3447"/>
      <c r="U1192" s="3447" t="s">
        <v>30</v>
      </c>
      <c r="V1192" s="3284"/>
      <c r="W1192" s="3547"/>
      <c r="X1192" s="3364"/>
      <c r="Y1192" s="3274"/>
    </row>
    <row r="1193" spans="1:25" ht="28.5" hidden="1">
      <c r="A1193" s="3493" t="s">
        <v>105</v>
      </c>
      <c r="B1193" s="3457">
        <v>45855</v>
      </c>
      <c r="C1193" s="3456" t="s">
        <v>2902</v>
      </c>
      <c r="D1193" s="3513" t="s">
        <v>2949</v>
      </c>
      <c r="E1193" s="3685" t="s">
        <v>80</v>
      </c>
      <c r="F1193" s="3869" t="s">
        <v>491</v>
      </c>
      <c r="G1193" s="3254"/>
      <c r="I1193" s="3493">
        <v>705</v>
      </c>
      <c r="J1193" s="3603" t="s">
        <v>2950</v>
      </c>
      <c r="K1193" s="4750" t="s">
        <v>627</v>
      </c>
      <c r="L1193" s="3456" t="s">
        <v>37</v>
      </c>
      <c r="M1193" s="3456"/>
      <c r="N1193" s="3276"/>
      <c r="O1193" s="3276"/>
      <c r="P1193" s="3276"/>
      <c r="Q1193" s="3276"/>
      <c r="R1193" s="3276"/>
      <c r="S1193" s="3456"/>
      <c r="T1193" s="3456"/>
      <c r="U1193" s="3456"/>
      <c r="V1193" s="3276"/>
      <c r="W1193" s="3895"/>
      <c r="X1193" s="3281"/>
      <c r="Y1193" s="3282"/>
    </row>
    <row r="1194" spans="1:25" ht="28.5" hidden="1">
      <c r="A1194" s="3480" t="s">
        <v>105</v>
      </c>
      <c r="B1194" s="3444">
        <v>45855</v>
      </c>
      <c r="C1194" s="3456" t="s">
        <v>2902</v>
      </c>
      <c r="D1194" s="4399" t="s">
        <v>2951</v>
      </c>
      <c r="E1194" s="3614" t="s">
        <v>169</v>
      </c>
      <c r="F1194" s="3643" t="s">
        <v>1065</v>
      </c>
      <c r="G1194" s="3254"/>
      <c r="I1194" s="3480"/>
      <c r="J1194" s="3516" t="s">
        <v>2154</v>
      </c>
      <c r="K1194" s="4734" t="s">
        <v>174</v>
      </c>
      <c r="L1194" s="3503" t="s">
        <v>37</v>
      </c>
      <c r="M1194" s="3443"/>
      <c r="S1194" s="3443"/>
      <c r="T1194" s="3443"/>
      <c r="U1194" s="3443"/>
      <c r="W1194" s="3892"/>
      <c r="Y1194" s="3283"/>
    </row>
    <row r="1195" spans="1:25" ht="28.5" hidden="1">
      <c r="A1195" s="3480" t="s">
        <v>132</v>
      </c>
      <c r="B1195" s="3444">
        <v>45856</v>
      </c>
      <c r="C1195" s="3456" t="s">
        <v>2902</v>
      </c>
      <c r="D1195" s="4399" t="s">
        <v>2952</v>
      </c>
      <c r="E1195" s="3878" t="s">
        <v>1464</v>
      </c>
      <c r="F1195" s="3896" t="s">
        <v>1465</v>
      </c>
      <c r="G1195" s="3254"/>
      <c r="I1195" s="3480">
        <v>701</v>
      </c>
      <c r="J1195" s="3516" t="s">
        <v>2705</v>
      </c>
      <c r="K1195" s="3897"/>
      <c r="L1195" s="3443" t="s">
        <v>37</v>
      </c>
      <c r="M1195" s="3443"/>
      <c r="S1195" s="3443"/>
      <c r="T1195" s="3443"/>
      <c r="U1195" s="3443"/>
      <c r="W1195" s="3892"/>
      <c r="Y1195" s="3283"/>
    </row>
    <row r="1196" spans="1:25" ht="28.5" hidden="1">
      <c r="A1196" s="3480" t="s">
        <v>132</v>
      </c>
      <c r="B1196" s="3444">
        <v>45856</v>
      </c>
      <c r="C1196" s="3456" t="s">
        <v>2902</v>
      </c>
      <c r="D1196" s="4399"/>
      <c r="E1196" s="3878" t="s">
        <v>1465</v>
      </c>
      <c r="F1196" s="3896" t="s">
        <v>1464</v>
      </c>
      <c r="G1196" s="3254"/>
      <c r="I1196" s="3480">
        <v>701</v>
      </c>
      <c r="J1196" s="3516" t="s">
        <v>2839</v>
      </c>
      <c r="K1196" s="3897"/>
      <c r="L1196" s="3443" t="s">
        <v>37</v>
      </c>
      <c r="M1196" s="3443"/>
      <c r="S1196" s="3443"/>
      <c r="T1196" s="3443"/>
      <c r="U1196" s="3443"/>
      <c r="W1196" s="3892"/>
      <c r="Y1196" s="3283"/>
    </row>
    <row r="1197" spans="1:25" ht="28.5" hidden="1">
      <c r="A1197" s="3480" t="s">
        <v>132</v>
      </c>
      <c r="B1197" s="3444">
        <v>45856</v>
      </c>
      <c r="C1197" s="3456" t="s">
        <v>2902</v>
      </c>
      <c r="D1197" s="4399" t="s">
        <v>2953</v>
      </c>
      <c r="E1197" s="3614" t="s">
        <v>282</v>
      </c>
      <c r="F1197" s="3643" t="s">
        <v>1598</v>
      </c>
      <c r="G1197" s="3254"/>
      <c r="I1197" s="3480">
        <v>707</v>
      </c>
      <c r="J1197" s="3516">
        <v>60020</v>
      </c>
      <c r="K1197" s="3897"/>
      <c r="L1197" s="3443" t="s">
        <v>37</v>
      </c>
      <c r="M1197" s="3443"/>
      <c r="S1197" s="3443"/>
      <c r="T1197" s="3443"/>
      <c r="U1197" s="3443"/>
      <c r="W1197" s="3892"/>
      <c r="Y1197" s="3283"/>
    </row>
    <row r="1198" spans="1:25" ht="28.5" hidden="1">
      <c r="A1198" s="3480" t="s">
        <v>132</v>
      </c>
      <c r="B1198" s="3444">
        <v>45856</v>
      </c>
      <c r="C1198" s="3456" t="s">
        <v>2902</v>
      </c>
      <c r="D1198" s="4399" t="s">
        <v>2954</v>
      </c>
      <c r="E1198" s="3683" t="s">
        <v>491</v>
      </c>
      <c r="F1198" s="3701" t="s">
        <v>2955</v>
      </c>
      <c r="G1198" s="3254"/>
      <c r="I1198" s="3443">
        <v>705</v>
      </c>
      <c r="J1198" s="3516" t="s">
        <v>2950</v>
      </c>
      <c r="K1198" s="3897"/>
      <c r="L1198" s="3443" t="s">
        <v>37</v>
      </c>
      <c r="M1198" s="3443"/>
      <c r="S1198" s="3443"/>
      <c r="T1198" s="3443"/>
      <c r="U1198" s="3443"/>
      <c r="W1198" s="3892"/>
      <c r="Y1198" s="3283"/>
    </row>
    <row r="1199" spans="1:25" ht="28.5" hidden="1">
      <c r="A1199" s="3480" t="s">
        <v>132</v>
      </c>
      <c r="B1199" s="3444">
        <v>45856</v>
      </c>
      <c r="C1199" s="3456" t="s">
        <v>2902</v>
      </c>
      <c r="D1199" s="4399"/>
      <c r="E1199" s="3683" t="s">
        <v>2651</v>
      </c>
      <c r="F1199" s="3701" t="s">
        <v>2956</v>
      </c>
      <c r="G1199" s="3254"/>
      <c r="I1199" s="3480">
        <v>705</v>
      </c>
      <c r="J1199" s="3516" t="s">
        <v>2950</v>
      </c>
      <c r="K1199" s="3897"/>
      <c r="L1199" s="3443" t="s">
        <v>37</v>
      </c>
      <c r="M1199" s="3443"/>
      <c r="S1199" s="3443"/>
      <c r="T1199" s="3443"/>
      <c r="U1199" s="3443" t="s">
        <v>30</v>
      </c>
      <c r="W1199" s="3892"/>
      <c r="Y1199" s="3283"/>
    </row>
    <row r="1200" spans="1:25" ht="28.5" hidden="1">
      <c r="A1200" s="3480" t="s">
        <v>132</v>
      </c>
      <c r="B1200" s="3444">
        <v>45856</v>
      </c>
      <c r="C1200" s="3456" t="s">
        <v>2902</v>
      </c>
      <c r="D1200" s="4399" t="s">
        <v>2957</v>
      </c>
      <c r="E1200" s="3614" t="s">
        <v>2958</v>
      </c>
      <c r="F1200" s="3643" t="s">
        <v>517</v>
      </c>
      <c r="G1200" s="3254"/>
      <c r="I1200" s="3480">
        <v>712</v>
      </c>
      <c r="J1200" s="3516" t="s">
        <v>2959</v>
      </c>
      <c r="K1200" s="3897"/>
      <c r="L1200" s="3443" t="s">
        <v>37</v>
      </c>
      <c r="M1200" s="3443"/>
      <c r="S1200" s="3443"/>
      <c r="T1200" s="3443"/>
      <c r="U1200" s="3443"/>
      <c r="W1200" s="3892"/>
      <c r="Y1200" s="3283"/>
    </row>
    <row r="1201" spans="1:25" ht="28.5" hidden="1">
      <c r="A1201" s="3480" t="s">
        <v>132</v>
      </c>
      <c r="B1201" s="3444">
        <v>45856</v>
      </c>
      <c r="C1201" s="3456" t="s">
        <v>2902</v>
      </c>
      <c r="D1201" s="4399" t="s">
        <v>2960</v>
      </c>
      <c r="E1201" s="3614" t="s">
        <v>2961</v>
      </c>
      <c r="F1201" s="3643" t="s">
        <v>1598</v>
      </c>
      <c r="G1201" s="3254"/>
      <c r="I1201" s="3480">
        <v>707</v>
      </c>
      <c r="J1201" s="3516" t="s">
        <v>2962</v>
      </c>
      <c r="K1201" s="3897"/>
      <c r="L1201" s="3443" t="s">
        <v>37</v>
      </c>
      <c r="M1201" s="3443"/>
      <c r="S1201" s="3443"/>
      <c r="T1201" s="3443"/>
      <c r="U1201" s="3443"/>
      <c r="W1201" s="3892"/>
      <c r="Y1201" s="3283"/>
    </row>
    <row r="1202" spans="1:25" ht="28.5" hidden="1">
      <c r="A1202" s="3480" t="s">
        <v>132</v>
      </c>
      <c r="B1202" s="3444">
        <v>45856</v>
      </c>
      <c r="C1202" s="3456" t="s">
        <v>2902</v>
      </c>
      <c r="D1202" s="4399" t="s">
        <v>2963</v>
      </c>
      <c r="E1202" s="3563" t="s">
        <v>2964</v>
      </c>
      <c r="F1202" s="3899" t="s">
        <v>1052</v>
      </c>
      <c r="G1202" s="3254"/>
      <c r="I1202" s="3480">
        <v>705</v>
      </c>
      <c r="J1202" s="3516" t="s">
        <v>2913</v>
      </c>
      <c r="K1202" s="4749"/>
      <c r="L1202" s="3443" t="s">
        <v>37</v>
      </c>
      <c r="M1202" s="3443"/>
      <c r="S1202" s="3443"/>
      <c r="T1202" s="3443" t="s">
        <v>30</v>
      </c>
      <c r="U1202" s="3443"/>
      <c r="W1202" s="3892"/>
      <c r="Y1202" s="3283"/>
    </row>
    <row r="1203" spans="1:25" ht="29.25" hidden="1" thickBot="1">
      <c r="A1203" s="3494" t="s">
        <v>132</v>
      </c>
      <c r="B1203" s="3448">
        <v>45856</v>
      </c>
      <c r="C1203" s="3508" t="s">
        <v>2902</v>
      </c>
      <c r="D1203" s="4404"/>
      <c r="E1203" s="4536" t="s">
        <v>258</v>
      </c>
      <c r="F1203" s="4612" t="s">
        <v>61</v>
      </c>
      <c r="G1203" s="3254"/>
      <c r="I1203" s="3494">
        <v>705</v>
      </c>
      <c r="J1203" s="3523" t="s">
        <v>2913</v>
      </c>
      <c r="K1203" s="4733"/>
      <c r="L1203" s="3447" t="s">
        <v>37</v>
      </c>
      <c r="M1203" s="3447"/>
      <c r="N1203" s="3284"/>
      <c r="O1203" s="3284"/>
      <c r="P1203" s="3284"/>
      <c r="Q1203" s="3284"/>
      <c r="R1203" s="3284"/>
      <c r="S1203" s="3447"/>
      <c r="T1203" s="3447"/>
      <c r="U1203" s="3447"/>
      <c r="V1203" s="3284"/>
      <c r="W1203" s="3893"/>
      <c r="X1203" s="3284"/>
      <c r="Y1203" s="3285"/>
    </row>
    <row r="1204" spans="1:25" ht="29.25" hidden="1" thickBot="1">
      <c r="A1204" s="3481" t="s">
        <v>2965</v>
      </c>
      <c r="B1204" s="3451">
        <v>45856</v>
      </c>
      <c r="C1204" s="3456" t="s">
        <v>2902</v>
      </c>
      <c r="D1204" s="3513" t="s">
        <v>2966</v>
      </c>
      <c r="E1204" s="3760" t="s">
        <v>2967</v>
      </c>
      <c r="F1204" s="3898" t="s">
        <v>48</v>
      </c>
      <c r="I1204" s="3481">
        <v>705</v>
      </c>
      <c r="J1204" s="3604" t="s">
        <v>2968</v>
      </c>
      <c r="K1204" s="3900" t="s">
        <v>84</v>
      </c>
      <c r="L1204" s="3443" t="s">
        <v>37</v>
      </c>
      <c r="M1204" s="3534"/>
      <c r="N1204" s="3276"/>
      <c r="O1204" s="3276"/>
      <c r="P1204" s="3161"/>
      <c r="Q1204" s="3161"/>
      <c r="R1204" s="3161"/>
      <c r="S1204" s="3456"/>
      <c r="T1204" s="3456"/>
      <c r="U1204" s="3456"/>
      <c r="V1204" s="3276"/>
      <c r="W1204" s="3609"/>
      <c r="X1204" s="3276"/>
      <c r="Y1204" s="3277"/>
    </row>
    <row r="1205" spans="1:25" ht="28.5" hidden="1">
      <c r="A1205" s="3477" t="s">
        <v>2965</v>
      </c>
      <c r="B1205" s="3657">
        <v>45856</v>
      </c>
      <c r="C1205" s="3443" t="s">
        <v>2902</v>
      </c>
      <c r="D1205" s="4399" t="s">
        <v>2969</v>
      </c>
      <c r="E1205" s="3708" t="s">
        <v>80</v>
      </c>
      <c r="F1205" s="3709" t="s">
        <v>1838</v>
      </c>
      <c r="I1205" s="3477">
        <v>705</v>
      </c>
      <c r="J1205" s="3515" t="s">
        <v>2970</v>
      </c>
      <c r="K1205" s="3911" t="s">
        <v>174</v>
      </c>
      <c r="L1205" s="3443"/>
      <c r="M1205" s="3534"/>
      <c r="S1205" s="3443"/>
      <c r="T1205" s="3443"/>
      <c r="U1205" s="3443"/>
      <c r="W1205" s="3522" t="s">
        <v>2971</v>
      </c>
    </row>
    <row r="1206" spans="1:25" ht="28.5" hidden="1">
      <c r="A1206" s="3590" t="s">
        <v>143</v>
      </c>
      <c r="B1206" s="3444">
        <v>45856</v>
      </c>
      <c r="C1206" s="3443" t="s">
        <v>2902</v>
      </c>
      <c r="D1206" s="4399"/>
      <c r="E1206" s="3614" t="s">
        <v>80</v>
      </c>
      <c r="F1206" s="3678" t="s">
        <v>1838</v>
      </c>
      <c r="I1206" s="3480">
        <v>705</v>
      </c>
      <c r="J1206" s="3516" t="s">
        <v>2970</v>
      </c>
      <c r="K1206" s="4153" t="s">
        <v>174</v>
      </c>
      <c r="L1206" s="3456" t="s">
        <v>37</v>
      </c>
      <c r="M1206" s="3443"/>
      <c r="P1206" s="21" t="s">
        <v>0</v>
      </c>
      <c r="Q1206" s="21" t="s">
        <v>187</v>
      </c>
      <c r="R1206" s="21" t="s">
        <v>160</v>
      </c>
      <c r="S1206" s="3443"/>
      <c r="T1206" s="3443"/>
      <c r="U1206" s="3443"/>
      <c r="W1206" s="3507"/>
    </row>
    <row r="1207" spans="1:25" ht="28.5" hidden="1">
      <c r="A1207" s="3590" t="s">
        <v>25</v>
      </c>
      <c r="B1207" s="3444">
        <v>45859</v>
      </c>
      <c r="C1207" s="3165" t="s">
        <v>2972</v>
      </c>
      <c r="D1207" s="4399" t="s">
        <v>2973</v>
      </c>
      <c r="E1207" s="3614" t="s">
        <v>1571</v>
      </c>
      <c r="F1207" s="3678" t="s">
        <v>169</v>
      </c>
      <c r="I1207" s="3480"/>
      <c r="J1207" s="3516" t="s">
        <v>2974</v>
      </c>
      <c r="K1207" s="4153" t="s">
        <v>174</v>
      </c>
      <c r="L1207" s="3456" t="s">
        <v>37</v>
      </c>
      <c r="M1207" s="3443"/>
      <c r="O1207" s="3443"/>
      <c r="S1207" s="3443"/>
      <c r="T1207" s="3443"/>
      <c r="U1207" s="3443"/>
      <c r="W1207" s="3507"/>
    </row>
    <row r="1208" spans="1:25" ht="28.5" hidden="1">
      <c r="A1208" s="3480" t="s">
        <v>25</v>
      </c>
      <c r="B1208" s="3444">
        <v>45859</v>
      </c>
      <c r="C1208" s="3165" t="s">
        <v>2972</v>
      </c>
      <c r="D1208" s="4399" t="s">
        <v>2975</v>
      </c>
      <c r="E1208" s="3878" t="s">
        <v>1464</v>
      </c>
      <c r="F1208" s="3896" t="s">
        <v>1465</v>
      </c>
      <c r="I1208" s="3480">
        <v>701</v>
      </c>
      <c r="J1208" s="3516" t="s">
        <v>2705</v>
      </c>
      <c r="K1208" s="3912"/>
      <c r="L1208" s="3443" t="s">
        <v>37</v>
      </c>
      <c r="M1208" s="3443"/>
      <c r="O1208" s="3443"/>
      <c r="S1208" s="3443"/>
      <c r="T1208" s="3443"/>
      <c r="U1208" s="3443"/>
      <c r="W1208" s="3609"/>
    </row>
    <row r="1209" spans="1:25" ht="28.5" hidden="1">
      <c r="A1209" s="3480" t="s">
        <v>25</v>
      </c>
      <c r="B1209" s="3444">
        <v>45859</v>
      </c>
      <c r="C1209" s="3165" t="s">
        <v>2972</v>
      </c>
      <c r="D1209" s="4399"/>
      <c r="E1209" s="3878" t="s">
        <v>1465</v>
      </c>
      <c r="F1209" s="3896" t="s">
        <v>1464</v>
      </c>
      <c r="I1209" s="3480">
        <v>701</v>
      </c>
      <c r="J1209" s="3516" t="s">
        <v>2839</v>
      </c>
      <c r="K1209" s="3912"/>
      <c r="L1209" s="3443" t="s">
        <v>37</v>
      </c>
      <c r="M1209" s="3443"/>
      <c r="O1209" s="3443"/>
      <c r="S1209" s="3443"/>
      <c r="T1209" s="3443"/>
      <c r="U1209" s="3443"/>
      <c r="W1209" s="3522"/>
    </row>
    <row r="1210" spans="1:25" ht="28.5" hidden="1">
      <c r="A1210" s="3480" t="s">
        <v>25</v>
      </c>
      <c r="B1210" s="3444">
        <v>45859</v>
      </c>
      <c r="C1210" s="3165" t="s">
        <v>2972</v>
      </c>
      <c r="D1210" s="4399" t="s">
        <v>2976</v>
      </c>
      <c r="E1210" s="3614" t="s">
        <v>2977</v>
      </c>
      <c r="F1210" s="3643" t="s">
        <v>1598</v>
      </c>
      <c r="I1210" s="3480">
        <v>707</v>
      </c>
      <c r="J1210" s="3516" t="s">
        <v>2105</v>
      </c>
      <c r="K1210" s="3912"/>
      <c r="L1210" s="3443" t="s">
        <v>37</v>
      </c>
      <c r="M1210" s="3443"/>
      <c r="O1210" s="3443"/>
      <c r="S1210" s="3443"/>
      <c r="T1210" s="3443"/>
      <c r="U1210" s="3443"/>
      <c r="W1210" s="3522"/>
    </row>
    <row r="1211" spans="1:25" ht="28.5" hidden="1">
      <c r="A1211" s="3480" t="s">
        <v>25</v>
      </c>
      <c r="B1211" s="3444">
        <v>45859</v>
      </c>
      <c r="C1211" s="3165" t="s">
        <v>2972</v>
      </c>
      <c r="D1211" s="4399" t="s">
        <v>2978</v>
      </c>
      <c r="E1211" s="3614" t="s">
        <v>80</v>
      </c>
      <c r="F1211" s="3643" t="s">
        <v>48</v>
      </c>
      <c r="I1211" s="3480">
        <v>705</v>
      </c>
      <c r="J1211" s="3516" t="s">
        <v>2979</v>
      </c>
      <c r="K1211" s="3912"/>
      <c r="L1211" s="3456" t="s">
        <v>37</v>
      </c>
      <c r="M1211" s="3443"/>
      <c r="O1211" s="3443"/>
      <c r="S1211" s="3443"/>
      <c r="T1211" s="3443"/>
      <c r="U1211" s="3443"/>
      <c r="W1211" s="3522"/>
    </row>
    <row r="1212" spans="1:25" ht="28.5" hidden="1">
      <c r="A1212" s="3480" t="s">
        <v>25</v>
      </c>
      <c r="B1212" s="3444">
        <v>45859</v>
      </c>
      <c r="C1212" s="3165" t="s">
        <v>2972</v>
      </c>
      <c r="D1212" s="4399" t="s">
        <v>2980</v>
      </c>
      <c r="E1212" s="3618" t="s">
        <v>258</v>
      </c>
      <c r="F1212" s="3646" t="s">
        <v>330</v>
      </c>
      <c r="I1212" s="3480">
        <v>705</v>
      </c>
      <c r="J1212" s="3516" t="s">
        <v>2981</v>
      </c>
      <c r="K1212" s="3916"/>
      <c r="L1212" s="3443" t="s">
        <v>37</v>
      </c>
      <c r="M1212" s="3443"/>
      <c r="O1212" s="3443"/>
      <c r="S1212" s="3443"/>
      <c r="T1212" s="3443"/>
      <c r="U1212" s="3443"/>
      <c r="W1212" s="3522"/>
    </row>
    <row r="1213" spans="1:25" ht="28.5" hidden="1">
      <c r="A1213" s="3500" t="s">
        <v>25</v>
      </c>
      <c r="B1213" s="3463">
        <v>45859</v>
      </c>
      <c r="C1213" s="3354" t="s">
        <v>2972</v>
      </c>
      <c r="D1213" s="4400"/>
      <c r="E1213" s="3699" t="s">
        <v>296</v>
      </c>
      <c r="F1213" s="3858" t="s">
        <v>142</v>
      </c>
      <c r="I1213" s="3500">
        <v>705</v>
      </c>
      <c r="J1213" s="3524" t="s">
        <v>2982</v>
      </c>
      <c r="K1213" s="4742"/>
      <c r="L1213" s="3462" t="s">
        <v>37</v>
      </c>
      <c r="M1213" s="3462"/>
      <c r="N1213" s="3273"/>
      <c r="O1213" s="3462" t="s">
        <v>37</v>
      </c>
      <c r="P1213" s="3273"/>
      <c r="Q1213" s="3273"/>
      <c r="R1213" s="3273"/>
      <c r="S1213" s="3462"/>
      <c r="T1213" s="3462"/>
      <c r="U1213" s="3462"/>
      <c r="V1213" s="3273"/>
      <c r="W1213" s="3544" t="s">
        <v>2983</v>
      </c>
      <c r="X1213" s="3273"/>
      <c r="Y1213" s="3274"/>
    </row>
    <row r="1214" spans="1:25" ht="28.5" hidden="1">
      <c r="A1214" s="3477" t="s">
        <v>25</v>
      </c>
      <c r="B1214" s="3478">
        <v>45859</v>
      </c>
      <c r="C1214" s="3356" t="s">
        <v>2972</v>
      </c>
      <c r="D1214" s="3514" t="s">
        <v>2984</v>
      </c>
      <c r="E1214" s="3708" t="s">
        <v>171</v>
      </c>
      <c r="F1214" s="3709" t="s">
        <v>169</v>
      </c>
      <c r="G1214" s="3254"/>
      <c r="H1214" s="3253"/>
      <c r="I1214" s="3477">
        <v>705</v>
      </c>
      <c r="J1214" s="3515" t="s">
        <v>2985</v>
      </c>
      <c r="K1214" s="3889" t="s">
        <v>84</v>
      </c>
      <c r="L1214" s="3503" t="s">
        <v>37</v>
      </c>
      <c r="M1214" s="3503"/>
      <c r="N1214" s="3281"/>
      <c r="O1214" s="3503"/>
      <c r="P1214" s="3281"/>
      <c r="Q1214" s="3281"/>
      <c r="R1214" s="3281"/>
      <c r="S1214" s="3503"/>
      <c r="T1214" s="3503"/>
      <c r="U1214" s="3503"/>
      <c r="V1214" s="3281"/>
      <c r="W1214" s="3519"/>
      <c r="X1214" s="3281"/>
      <c r="Y1214" s="3282"/>
    </row>
    <row r="1215" spans="1:25" ht="29.25" hidden="1" thickBot="1">
      <c r="A1215" s="3480" t="s">
        <v>25</v>
      </c>
      <c r="B1215" s="3444">
        <v>45859</v>
      </c>
      <c r="C1215" s="3165" t="s">
        <v>2972</v>
      </c>
      <c r="D1215" s="4399"/>
      <c r="E1215" s="3614" t="s">
        <v>1145</v>
      </c>
      <c r="F1215" s="3643" t="s">
        <v>48</v>
      </c>
      <c r="G1215" s="3254"/>
      <c r="H1215" s="3253"/>
      <c r="I1215" s="3480">
        <v>705</v>
      </c>
      <c r="J1215" s="3516" t="s">
        <v>2985</v>
      </c>
      <c r="K1215" s="4153" t="s">
        <v>84</v>
      </c>
      <c r="L1215" s="3447" t="s">
        <v>37</v>
      </c>
      <c r="M1215" s="3443"/>
      <c r="O1215" s="3443"/>
      <c r="S1215" s="3443"/>
      <c r="T1215" s="3443"/>
      <c r="U1215" s="3443"/>
      <c r="W1215" s="3507"/>
      <c r="Y1215" s="3283"/>
    </row>
    <row r="1216" spans="1:25" ht="28.5" hidden="1">
      <c r="A1216" s="3480" t="s">
        <v>67</v>
      </c>
      <c r="B1216" s="3444">
        <v>45860</v>
      </c>
      <c r="C1216" s="3165" t="s">
        <v>2972</v>
      </c>
      <c r="D1216" s="4399" t="s">
        <v>2986</v>
      </c>
      <c r="E1216" s="3878" t="s">
        <v>1464</v>
      </c>
      <c r="F1216" s="3896" t="s">
        <v>1465</v>
      </c>
      <c r="G1216" s="3254"/>
      <c r="H1216" s="3253"/>
      <c r="I1216" s="3480">
        <v>701</v>
      </c>
      <c r="J1216" s="3516" t="s">
        <v>2705</v>
      </c>
      <c r="K1216" s="3912"/>
      <c r="L1216" s="3443" t="s">
        <v>37</v>
      </c>
      <c r="M1216" s="3443"/>
      <c r="O1216" s="3443"/>
      <c r="S1216" s="3443"/>
      <c r="T1216" s="3443"/>
      <c r="U1216" s="3443"/>
      <c r="W1216" s="3522"/>
      <c r="Y1216" s="3283"/>
    </row>
    <row r="1217" spans="1:25" ht="28.5" hidden="1">
      <c r="A1217" s="3480" t="s">
        <v>67</v>
      </c>
      <c r="B1217" s="3444">
        <v>45860</v>
      </c>
      <c r="C1217" s="3165" t="s">
        <v>2972</v>
      </c>
      <c r="D1217" s="4399"/>
      <c r="E1217" s="3878" t="s">
        <v>1465</v>
      </c>
      <c r="F1217" s="3896" t="s">
        <v>1464</v>
      </c>
      <c r="G1217" s="3254"/>
      <c r="H1217" s="3253"/>
      <c r="I1217" s="3480">
        <v>701</v>
      </c>
      <c r="J1217" s="3516" t="s">
        <v>2839</v>
      </c>
      <c r="K1217" s="3912"/>
      <c r="L1217" s="3443" t="s">
        <v>37</v>
      </c>
      <c r="M1217" s="3443"/>
      <c r="O1217" s="3443"/>
      <c r="S1217" s="3443"/>
      <c r="T1217" s="3443"/>
      <c r="U1217" s="3443"/>
      <c r="W1217" s="3522"/>
      <c r="Y1217" s="3283"/>
    </row>
    <row r="1218" spans="1:25" ht="28.5" hidden="1">
      <c r="A1218" s="3480" t="s">
        <v>67</v>
      </c>
      <c r="B1218" s="3444">
        <v>45860</v>
      </c>
      <c r="C1218" s="3165" t="s">
        <v>2972</v>
      </c>
      <c r="D1218" s="4399" t="s">
        <v>2987</v>
      </c>
      <c r="E1218" s="3679" t="s">
        <v>1598</v>
      </c>
      <c r="F1218" s="3702" t="s">
        <v>229</v>
      </c>
      <c r="G1218" s="3254"/>
      <c r="H1218" s="3253"/>
      <c r="I1218" s="3480">
        <v>705</v>
      </c>
      <c r="J1218" s="3516" t="s">
        <v>994</v>
      </c>
      <c r="K1218" s="3912"/>
      <c r="L1218" s="3443" t="s">
        <v>37</v>
      </c>
      <c r="M1218" s="3443"/>
      <c r="O1218" s="3443"/>
      <c r="S1218" s="3443"/>
      <c r="T1218" s="3443"/>
      <c r="U1218" s="3443"/>
      <c r="W1218" s="3522"/>
      <c r="Y1218" s="3283"/>
    </row>
    <row r="1219" spans="1:25" ht="28.5" hidden="1">
      <c r="A1219" s="3480" t="s">
        <v>67</v>
      </c>
      <c r="B1219" s="3444">
        <v>45860</v>
      </c>
      <c r="C1219" s="3165" t="s">
        <v>2972</v>
      </c>
      <c r="D1219" s="4399" t="s">
        <v>2988</v>
      </c>
      <c r="E1219" s="3614" t="s">
        <v>148</v>
      </c>
      <c r="F1219" s="3643" t="s">
        <v>1598</v>
      </c>
      <c r="G1219" s="3254"/>
      <c r="H1219" s="3253"/>
      <c r="I1219" s="3480">
        <v>707</v>
      </c>
      <c r="J1219" s="3516" t="s">
        <v>1808</v>
      </c>
      <c r="K1219" s="3912"/>
      <c r="L1219" s="3443"/>
      <c r="M1219" s="3443" t="s">
        <v>37</v>
      </c>
      <c r="O1219" s="3443"/>
      <c r="P1219" s="21" t="s">
        <v>71</v>
      </c>
      <c r="Q1219" s="21" t="s">
        <v>2989</v>
      </c>
      <c r="R1219" s="21" t="s">
        <v>38</v>
      </c>
      <c r="S1219" s="3443" t="s">
        <v>37</v>
      </c>
      <c r="T1219" s="3443"/>
      <c r="U1219" s="3443"/>
      <c r="W1219" s="3522" t="s">
        <v>2990</v>
      </c>
      <c r="Y1219" s="3283"/>
    </row>
    <row r="1220" spans="1:25" ht="28.5" hidden="1">
      <c r="A1220" s="3480" t="s">
        <v>67</v>
      </c>
      <c r="B1220" s="3444">
        <v>45860</v>
      </c>
      <c r="C1220" s="3165" t="s">
        <v>2972</v>
      </c>
      <c r="D1220" s="4399" t="s">
        <v>2991</v>
      </c>
      <c r="E1220" s="3557" t="s">
        <v>80</v>
      </c>
      <c r="F1220" s="3910" t="s">
        <v>2992</v>
      </c>
      <c r="G1220" s="3254"/>
      <c r="H1220" s="3253"/>
      <c r="I1220" s="3480">
        <v>705</v>
      </c>
      <c r="J1220" s="3516" t="s">
        <v>2993</v>
      </c>
      <c r="K1220" s="3916"/>
      <c r="L1220" s="3456"/>
      <c r="M1220" s="3443" t="s">
        <v>37</v>
      </c>
      <c r="O1220" s="3443"/>
      <c r="P1220" s="21" t="s">
        <v>0</v>
      </c>
      <c r="Q1220" s="21" t="s">
        <v>187</v>
      </c>
      <c r="R1220" s="21" t="s">
        <v>160</v>
      </c>
      <c r="S1220" s="3443" t="s">
        <v>37</v>
      </c>
      <c r="T1220" s="3443"/>
      <c r="U1220" s="3443"/>
      <c r="W1220" s="3913" t="s">
        <v>2994</v>
      </c>
      <c r="Y1220" s="3283"/>
    </row>
    <row r="1221" spans="1:25" ht="28.5" hidden="1">
      <c r="A1221" s="3480" t="s">
        <v>67</v>
      </c>
      <c r="B1221" s="3444">
        <v>45860</v>
      </c>
      <c r="C1221" s="3165" t="s">
        <v>2972</v>
      </c>
      <c r="D1221" s="4399"/>
      <c r="E1221" s="3557" t="s">
        <v>2995</v>
      </c>
      <c r="F1221" s="3910" t="s">
        <v>61</v>
      </c>
      <c r="G1221" s="3254"/>
      <c r="H1221" s="3253"/>
      <c r="I1221" s="3480">
        <v>705</v>
      </c>
      <c r="J1221" s="3516" t="s">
        <v>2993</v>
      </c>
      <c r="K1221" s="3912"/>
      <c r="L1221" s="3456"/>
      <c r="M1221" s="3443"/>
      <c r="N1221" s="3160" t="s">
        <v>30</v>
      </c>
      <c r="O1221" s="3443"/>
      <c r="P1221" s="21" t="s">
        <v>0</v>
      </c>
      <c r="Q1221" s="21" t="s">
        <v>187</v>
      </c>
      <c r="R1221" s="21" t="s">
        <v>160</v>
      </c>
      <c r="S1221" s="3443" t="s">
        <v>37</v>
      </c>
      <c r="T1221" s="3443"/>
      <c r="U1221" s="3443"/>
      <c r="W1221" s="3913" t="s">
        <v>2994</v>
      </c>
      <c r="Y1221" s="3283"/>
    </row>
    <row r="1222" spans="1:25" ht="28.5" hidden="1">
      <c r="A1222" s="3480" t="s">
        <v>67</v>
      </c>
      <c r="B1222" s="3444">
        <v>45860</v>
      </c>
      <c r="C1222" s="3165" t="s">
        <v>2972</v>
      </c>
      <c r="D1222" s="4399" t="s">
        <v>2996</v>
      </c>
      <c r="E1222" s="3614" t="s">
        <v>1071</v>
      </c>
      <c r="F1222" s="3643" t="s">
        <v>243</v>
      </c>
      <c r="G1222" s="3254"/>
      <c r="H1222" s="3253"/>
      <c r="I1222" s="3480">
        <v>707</v>
      </c>
      <c r="J1222" s="3516" t="s">
        <v>406</v>
      </c>
      <c r="K1222" s="4741" t="s">
        <v>84</v>
      </c>
      <c r="L1222" s="3456" t="s">
        <v>37</v>
      </c>
      <c r="M1222" s="3443"/>
      <c r="O1222" s="3443"/>
      <c r="S1222" s="3443"/>
      <c r="T1222" s="3443"/>
      <c r="U1222" s="3443"/>
      <c r="W1222" s="3913"/>
      <c r="Y1222" s="3283"/>
    </row>
    <row r="1223" spans="1:25" ht="28.5" hidden="1">
      <c r="A1223" s="3480" t="s">
        <v>67</v>
      </c>
      <c r="B1223" s="3444">
        <v>45860</v>
      </c>
      <c r="C1223" s="3165" t="s">
        <v>2972</v>
      </c>
      <c r="D1223" s="4399" t="s">
        <v>2997</v>
      </c>
      <c r="E1223" s="3541" t="s">
        <v>1838</v>
      </c>
      <c r="F1223" s="3659" t="s">
        <v>2998</v>
      </c>
      <c r="G1223" s="3254"/>
      <c r="H1223" s="3253"/>
      <c r="I1223" s="3480">
        <v>705</v>
      </c>
      <c r="J1223" s="3516" t="s">
        <v>2999</v>
      </c>
      <c r="K1223" s="3916"/>
      <c r="L1223" s="3443" t="s">
        <v>37</v>
      </c>
      <c r="M1223" s="3443"/>
      <c r="O1223" s="3443"/>
      <c r="S1223" s="3443"/>
      <c r="T1223" s="3443"/>
      <c r="U1223" s="3443"/>
      <c r="W1223" s="3522"/>
      <c r="Y1223" s="3283"/>
    </row>
    <row r="1224" spans="1:25" ht="28.5" hidden="1">
      <c r="A1224" s="3480" t="s">
        <v>67</v>
      </c>
      <c r="B1224" s="3444">
        <v>45860</v>
      </c>
      <c r="C1224" s="3165" t="s">
        <v>2972</v>
      </c>
      <c r="D1224" s="4399"/>
      <c r="E1224" s="3541" t="s">
        <v>169</v>
      </c>
      <c r="F1224" s="3659" t="s">
        <v>3000</v>
      </c>
      <c r="G1224" s="3254"/>
      <c r="H1224" s="3253"/>
      <c r="I1224" s="3480">
        <v>705</v>
      </c>
      <c r="J1224" s="3516" t="s">
        <v>2999</v>
      </c>
      <c r="K1224" s="3890"/>
      <c r="L1224" s="3456" t="s">
        <v>37</v>
      </c>
      <c r="M1224" s="3443"/>
      <c r="O1224" s="3443"/>
      <c r="S1224" s="3443"/>
      <c r="T1224" s="3443"/>
      <c r="U1224" s="3443"/>
      <c r="W1224" s="3913"/>
      <c r="Y1224" s="3283"/>
    </row>
    <row r="1225" spans="1:25" ht="28.5" hidden="1">
      <c r="A1225" s="3480" t="s">
        <v>67</v>
      </c>
      <c r="B1225" s="3444">
        <v>45860</v>
      </c>
      <c r="C1225" s="3165" t="s">
        <v>2972</v>
      </c>
      <c r="D1225" s="4399" t="s">
        <v>3001</v>
      </c>
      <c r="E1225" s="3614" t="s">
        <v>1838</v>
      </c>
      <c r="F1225" s="3643" t="s">
        <v>80</v>
      </c>
      <c r="G1225" s="3254"/>
      <c r="H1225" s="3253"/>
      <c r="I1225" s="3480">
        <v>705</v>
      </c>
      <c r="J1225" s="3516" t="s">
        <v>3002</v>
      </c>
      <c r="K1225" s="4153" t="s">
        <v>174</v>
      </c>
      <c r="L1225" s="3456"/>
      <c r="M1225" s="3443"/>
      <c r="O1225" s="3443" t="s">
        <v>37</v>
      </c>
      <c r="S1225" s="3443"/>
      <c r="T1225" s="3443"/>
      <c r="U1225" s="3443"/>
      <c r="W1225" s="3913"/>
      <c r="Y1225" s="3283"/>
    </row>
    <row r="1226" spans="1:25" ht="29.25" hidden="1" thickBot="1">
      <c r="A1226" s="3494" t="s">
        <v>67</v>
      </c>
      <c r="B1226" s="3448">
        <v>45860</v>
      </c>
      <c r="C1226" s="3357" t="s">
        <v>2972</v>
      </c>
      <c r="D1226" s="4404" t="s">
        <v>3003</v>
      </c>
      <c r="E1226" s="3690" t="s">
        <v>171</v>
      </c>
      <c r="F1226" s="3715" t="s">
        <v>412</v>
      </c>
      <c r="G1226" s="3254"/>
      <c r="H1226" s="3253"/>
      <c r="I1226" s="3494">
        <v>707</v>
      </c>
      <c r="J1226" s="3523" t="s">
        <v>3004</v>
      </c>
      <c r="K1226" s="3920"/>
      <c r="L1226" s="3508"/>
      <c r="M1226" s="3447" t="s">
        <v>30</v>
      </c>
      <c r="N1226" s="3284"/>
      <c r="O1226" s="3447"/>
      <c r="P1226" s="35" t="s">
        <v>0</v>
      </c>
      <c r="Q1226" s="35" t="s">
        <v>187</v>
      </c>
      <c r="R1226" s="35" t="s">
        <v>160</v>
      </c>
      <c r="S1226" s="3447"/>
      <c r="T1226" s="3447"/>
      <c r="U1226" s="3447"/>
      <c r="V1226" s="3284"/>
      <c r="W1226" s="3921" t="s">
        <v>3005</v>
      </c>
      <c r="X1226" s="3284"/>
      <c r="Y1226" s="3285"/>
    </row>
    <row r="1227" spans="1:25" ht="28.5" hidden="1">
      <c r="A1227" s="3477" t="s">
        <v>67</v>
      </c>
      <c r="B1227" s="3478">
        <v>45860</v>
      </c>
      <c r="C1227" s="3356" t="s">
        <v>2972</v>
      </c>
      <c r="D1227" s="3514"/>
      <c r="E1227" s="3708" t="s">
        <v>412</v>
      </c>
      <c r="F1227" s="3709" t="s">
        <v>3006</v>
      </c>
      <c r="G1227" s="3254"/>
      <c r="H1227" s="3253"/>
      <c r="I1227" s="3477">
        <v>705</v>
      </c>
      <c r="J1227" s="3515" t="s">
        <v>3004</v>
      </c>
      <c r="K1227" s="3916"/>
      <c r="L1227" s="3503"/>
      <c r="M1227" s="3503"/>
      <c r="N1227" s="3281" t="s">
        <v>30</v>
      </c>
      <c r="O1227" s="3503"/>
      <c r="P1227" s="34" t="s">
        <v>0</v>
      </c>
      <c r="Q1227" s="34" t="s">
        <v>187</v>
      </c>
      <c r="R1227" s="34" t="s">
        <v>160</v>
      </c>
      <c r="S1227" s="3503"/>
      <c r="T1227" s="3503"/>
      <c r="U1227" s="3503"/>
      <c r="V1227" s="3281"/>
      <c r="W1227" s="3521" t="s">
        <v>3005</v>
      </c>
      <c r="X1227" s="3281"/>
      <c r="Y1227" s="3282"/>
    </row>
    <row r="1228" spans="1:25" ht="28.5" hidden="1">
      <c r="A1228" s="3480" t="s">
        <v>67</v>
      </c>
      <c r="B1228" s="3444">
        <v>45860</v>
      </c>
      <c r="C1228" s="3165" t="s">
        <v>2972</v>
      </c>
      <c r="D1228" s="4399"/>
      <c r="E1228" s="3614" t="s">
        <v>3006</v>
      </c>
      <c r="F1228" s="3643" t="s">
        <v>171</v>
      </c>
      <c r="G1228" s="3254"/>
      <c r="H1228" s="3253"/>
      <c r="I1228" s="3480">
        <v>705</v>
      </c>
      <c r="J1228" s="3516" t="s">
        <v>3004</v>
      </c>
      <c r="K1228" s="3890"/>
      <c r="L1228" s="3456" t="s">
        <v>37</v>
      </c>
      <c r="M1228" s="3443"/>
      <c r="N1228" s="3160" t="s">
        <v>30</v>
      </c>
      <c r="O1228" s="3443"/>
      <c r="R1228" s="21"/>
      <c r="S1228" s="3443"/>
      <c r="T1228" s="3443"/>
      <c r="U1228" s="3443"/>
      <c r="W1228" s="3507" t="s">
        <v>3005</v>
      </c>
      <c r="Y1228" s="3283"/>
    </row>
    <row r="1229" spans="1:25" ht="28.5" hidden="1">
      <c r="A1229" s="3480" t="s">
        <v>85</v>
      </c>
      <c r="B1229" s="3444">
        <v>45861</v>
      </c>
      <c r="C1229" s="3165" t="s">
        <v>2972</v>
      </c>
      <c r="D1229" s="4399" t="s">
        <v>3007</v>
      </c>
      <c r="E1229" s="3614" t="s">
        <v>148</v>
      </c>
      <c r="F1229" s="3643" t="s">
        <v>1598</v>
      </c>
      <c r="G1229" s="3254"/>
      <c r="H1229" s="3253"/>
      <c r="I1229" s="3480">
        <v>707</v>
      </c>
      <c r="J1229" s="3516" t="s">
        <v>1808</v>
      </c>
      <c r="K1229" s="3890"/>
      <c r="L1229" s="3456" t="s">
        <v>37</v>
      </c>
      <c r="M1229" s="3443"/>
      <c r="O1229" s="3443"/>
      <c r="S1229" s="3443"/>
      <c r="T1229" s="3443" t="s">
        <v>37</v>
      </c>
      <c r="U1229" s="3443"/>
      <c r="W1229" s="3507"/>
      <c r="Y1229" s="3283"/>
    </row>
    <row r="1230" spans="1:25" ht="28.5" hidden="1">
      <c r="A1230" s="3480" t="s">
        <v>85</v>
      </c>
      <c r="B1230" s="3444">
        <v>45861</v>
      </c>
      <c r="C1230" s="3165" t="s">
        <v>2972</v>
      </c>
      <c r="D1230" s="4399" t="s">
        <v>3008</v>
      </c>
      <c r="E1230" s="3878" t="s">
        <v>1464</v>
      </c>
      <c r="F1230" s="3896" t="s">
        <v>1465</v>
      </c>
      <c r="G1230" s="3254"/>
      <c r="H1230" s="3253"/>
      <c r="I1230" s="3480">
        <v>701</v>
      </c>
      <c r="J1230" s="3516" t="s">
        <v>2705</v>
      </c>
      <c r="K1230" s="3912"/>
      <c r="L1230" s="3456" t="s">
        <v>37</v>
      </c>
      <c r="M1230" s="3443"/>
      <c r="O1230" s="3443"/>
      <c r="S1230" s="3443"/>
      <c r="T1230" s="3443"/>
      <c r="U1230" s="3443"/>
      <c r="W1230" s="3522"/>
      <c r="Y1230" s="3283"/>
    </row>
    <row r="1231" spans="1:25" ht="28.5" hidden="1">
      <c r="A1231" s="3480" t="s">
        <v>85</v>
      </c>
      <c r="B1231" s="3444">
        <v>45861</v>
      </c>
      <c r="C1231" s="3165" t="s">
        <v>2972</v>
      </c>
      <c r="D1231" s="4399"/>
      <c r="E1231" s="3878" t="s">
        <v>1465</v>
      </c>
      <c r="F1231" s="3896" t="s">
        <v>1464</v>
      </c>
      <c r="G1231" s="3254"/>
      <c r="H1231" s="3253"/>
      <c r="I1231" s="3480">
        <v>701</v>
      </c>
      <c r="J1231" s="3516" t="s">
        <v>2839</v>
      </c>
      <c r="K1231" s="3890"/>
      <c r="L1231" s="3456" t="s">
        <v>37</v>
      </c>
      <c r="M1231" s="3443"/>
      <c r="O1231" s="3443"/>
      <c r="S1231" s="3443"/>
      <c r="T1231" s="3443"/>
      <c r="U1231" s="3443"/>
      <c r="W1231" s="3913"/>
      <c r="Y1231" s="3283"/>
    </row>
    <row r="1232" spans="1:25" ht="28.5" hidden="1">
      <c r="A1232" s="3480" t="s">
        <v>85</v>
      </c>
      <c r="B1232" s="3444">
        <v>45861</v>
      </c>
      <c r="C1232" s="3165" t="s">
        <v>2972</v>
      </c>
      <c r="D1232" s="4399"/>
      <c r="E1232" s="3679" t="s">
        <v>80</v>
      </c>
      <c r="F1232" s="3702" t="s">
        <v>3009</v>
      </c>
      <c r="G1232" s="3254"/>
      <c r="H1232" s="3253"/>
      <c r="I1232" s="3480">
        <v>705</v>
      </c>
      <c r="J1232" s="3516" t="s">
        <v>3010</v>
      </c>
      <c r="K1232" s="3916"/>
      <c r="L1232" s="3456" t="s">
        <v>37</v>
      </c>
      <c r="M1232" s="3443"/>
      <c r="O1232" s="3443"/>
      <c r="S1232" s="3443"/>
      <c r="T1232" s="3443"/>
      <c r="U1232" s="3443"/>
      <c r="W1232" s="3913"/>
      <c r="Y1232" s="3283"/>
    </row>
    <row r="1233" spans="1:25" ht="28.5" hidden="1">
      <c r="A1233" s="3480" t="s">
        <v>85</v>
      </c>
      <c r="B1233" s="3444">
        <v>45861</v>
      </c>
      <c r="C1233" s="3165" t="s">
        <v>2972</v>
      </c>
      <c r="D1233" s="4399"/>
      <c r="E1233" s="3541" t="s">
        <v>3011</v>
      </c>
      <c r="F1233" s="3659" t="s">
        <v>3012</v>
      </c>
      <c r="G1233" s="3254"/>
      <c r="H1233" s="3253"/>
      <c r="I1233" s="3480">
        <v>705</v>
      </c>
      <c r="J1233" s="3516" t="s">
        <v>2999</v>
      </c>
      <c r="K1233" s="3916"/>
      <c r="L1233" s="3456" t="s">
        <v>37</v>
      </c>
      <c r="M1233" s="3443"/>
      <c r="O1233" s="3443"/>
      <c r="S1233" s="3443"/>
      <c r="T1233" s="3443"/>
      <c r="U1233" s="3443" t="s">
        <v>37</v>
      </c>
      <c r="W1233" s="3913"/>
      <c r="Y1233" s="3283"/>
    </row>
    <row r="1234" spans="1:25" ht="28.5" hidden="1">
      <c r="A1234" s="3480" t="s">
        <v>85</v>
      </c>
      <c r="B1234" s="3444">
        <v>45861</v>
      </c>
      <c r="C1234" s="3165" t="s">
        <v>2972</v>
      </c>
      <c r="D1234" s="4399" t="s">
        <v>3013</v>
      </c>
      <c r="E1234" s="3614" t="s">
        <v>169</v>
      </c>
      <c r="F1234" s="3643" t="s">
        <v>1571</v>
      </c>
      <c r="G1234" s="3254"/>
      <c r="H1234" s="3253"/>
      <c r="I1234" s="3480">
        <v>712</v>
      </c>
      <c r="J1234" s="3516" t="s">
        <v>3014</v>
      </c>
      <c r="K1234" s="4741" t="s">
        <v>174</v>
      </c>
      <c r="L1234" s="3456" t="s">
        <v>37</v>
      </c>
      <c r="M1234" s="3443"/>
      <c r="O1234" s="3443"/>
      <c r="S1234" s="3443"/>
      <c r="T1234" s="3443"/>
      <c r="U1234" s="3443"/>
      <c r="W1234" s="3913"/>
      <c r="Y1234" s="3283"/>
    </row>
    <row r="1235" spans="1:25" ht="29.25" hidden="1" thickBot="1">
      <c r="A1235" s="3494" t="s">
        <v>85</v>
      </c>
      <c r="B1235" s="3448">
        <v>45861</v>
      </c>
      <c r="C1235" s="3357" t="s">
        <v>2972</v>
      </c>
      <c r="D1235" s="4404" t="s">
        <v>3015</v>
      </c>
      <c r="E1235" s="3690" t="s">
        <v>2521</v>
      </c>
      <c r="F1235" s="3715" t="s">
        <v>267</v>
      </c>
      <c r="G1235" s="3254"/>
      <c r="H1235" s="3253"/>
      <c r="I1235" s="3494">
        <v>707</v>
      </c>
      <c r="J1235" s="3523" t="s">
        <v>1176</v>
      </c>
      <c r="K1235" s="4732" t="s">
        <v>174</v>
      </c>
      <c r="L1235" s="3508" t="s">
        <v>37</v>
      </c>
      <c r="M1235" s="3447"/>
      <c r="N1235" s="3284"/>
      <c r="O1235" s="3447"/>
      <c r="P1235" s="3284"/>
      <c r="Q1235" s="3284"/>
      <c r="R1235" s="3284"/>
      <c r="S1235" s="3447"/>
      <c r="T1235" s="3447"/>
      <c r="U1235" s="3447"/>
      <c r="V1235" s="3284"/>
      <c r="W1235" s="3547"/>
      <c r="X1235" s="3284"/>
      <c r="Y1235" s="3285"/>
    </row>
    <row r="1236" spans="1:25" ht="28.5" hidden="1">
      <c r="A1236" s="3477" t="s">
        <v>85</v>
      </c>
      <c r="B1236" s="3478">
        <v>45861</v>
      </c>
      <c r="C1236" s="3356" t="s">
        <v>2972</v>
      </c>
      <c r="D1236" s="3514" t="s">
        <v>3016</v>
      </c>
      <c r="E1236" s="4584" t="s">
        <v>43</v>
      </c>
      <c r="F1236" s="4872" t="s">
        <v>584</v>
      </c>
      <c r="G1236" s="3254"/>
      <c r="H1236" s="3253"/>
      <c r="I1236" s="3477">
        <v>703</v>
      </c>
      <c r="J1236" s="3515" t="s">
        <v>3017</v>
      </c>
      <c r="K1236" s="3916"/>
      <c r="L1236" s="3503" t="s">
        <v>37</v>
      </c>
      <c r="M1236" s="3503"/>
      <c r="N1236" s="3281"/>
      <c r="O1236" s="3503"/>
      <c r="P1236" s="3281"/>
      <c r="Q1236" s="3281"/>
      <c r="R1236" s="3281"/>
      <c r="S1236" s="3503"/>
      <c r="T1236" s="3503"/>
      <c r="U1236" s="3503"/>
      <c r="V1236" s="3281"/>
      <c r="W1236" s="3915"/>
      <c r="X1236" s="3281"/>
      <c r="Y1236" s="3282"/>
    </row>
    <row r="1237" spans="1:25" ht="28.5" hidden="1">
      <c r="A1237" s="3480" t="s">
        <v>85</v>
      </c>
      <c r="B1237" s="3444">
        <v>45861</v>
      </c>
      <c r="C1237" s="3165" t="s">
        <v>2972</v>
      </c>
      <c r="D1237" s="4399"/>
      <c r="E1237" s="3623" t="s">
        <v>586</v>
      </c>
      <c r="F1237" s="3652" t="s">
        <v>830</v>
      </c>
      <c r="G1237" s="3254"/>
      <c r="H1237" s="3253"/>
      <c r="I1237" s="3480">
        <v>703</v>
      </c>
      <c r="J1237" s="3516" t="s">
        <v>3018</v>
      </c>
      <c r="K1237" s="3916"/>
      <c r="L1237" s="3456" t="s">
        <v>37</v>
      </c>
      <c r="M1237" s="3443"/>
      <c r="O1237" s="3443"/>
      <c r="S1237" s="3443"/>
      <c r="T1237" s="3443"/>
      <c r="U1237" s="3443"/>
      <c r="W1237" s="3913"/>
      <c r="Y1237" s="3283"/>
    </row>
    <row r="1238" spans="1:25" ht="28.5" hidden="1">
      <c r="A1238" s="3480" t="s">
        <v>105</v>
      </c>
      <c r="B1238" s="3444">
        <v>45862</v>
      </c>
      <c r="C1238" s="3165" t="s">
        <v>2972</v>
      </c>
      <c r="D1238" s="4399" t="s">
        <v>3019</v>
      </c>
      <c r="E1238" s="3614" t="s">
        <v>1838</v>
      </c>
      <c r="F1238" s="3643" t="s">
        <v>80</v>
      </c>
      <c r="G1238" s="3254"/>
      <c r="H1238" s="3253"/>
      <c r="I1238" s="3480">
        <v>705</v>
      </c>
      <c r="J1238" s="3516" t="s">
        <v>3020</v>
      </c>
      <c r="K1238" s="4752" t="s">
        <v>174</v>
      </c>
      <c r="L1238" s="3456" t="s">
        <v>37</v>
      </c>
      <c r="M1238" s="3443"/>
      <c r="O1238" s="3443"/>
      <c r="S1238" s="3443"/>
      <c r="T1238" s="3443"/>
      <c r="U1238" s="3443"/>
      <c r="W1238" s="3507"/>
      <c r="Y1238" s="3283"/>
    </row>
    <row r="1239" spans="1:25" ht="28.5" hidden="1">
      <c r="A1239" s="3480" t="s">
        <v>105</v>
      </c>
      <c r="B1239" s="3444">
        <v>45862</v>
      </c>
      <c r="C1239" s="3165" t="s">
        <v>2972</v>
      </c>
      <c r="D1239" s="4399"/>
      <c r="E1239" s="3614" t="s">
        <v>80</v>
      </c>
      <c r="F1239" s="3643" t="s">
        <v>1838</v>
      </c>
      <c r="G1239" s="3254"/>
      <c r="H1239" s="3253"/>
      <c r="I1239" s="3480">
        <v>705</v>
      </c>
      <c r="J1239" s="3516" t="s">
        <v>3021</v>
      </c>
      <c r="K1239" s="4153" t="s">
        <v>174</v>
      </c>
      <c r="L1239" s="3456" t="s">
        <v>37</v>
      </c>
      <c r="M1239" s="3443"/>
      <c r="O1239" s="3443"/>
      <c r="S1239" s="3443"/>
      <c r="T1239" s="3443"/>
      <c r="U1239" s="3443"/>
      <c r="W1239" s="3507"/>
      <c r="Y1239" s="3283"/>
    </row>
    <row r="1240" spans="1:25" ht="28.5" hidden="1">
      <c r="A1240" s="3480" t="s">
        <v>105</v>
      </c>
      <c r="B1240" s="3444">
        <v>45862</v>
      </c>
      <c r="C1240" s="3165" t="s">
        <v>2972</v>
      </c>
      <c r="D1240" s="4399" t="s">
        <v>3022</v>
      </c>
      <c r="E1240" s="3878" t="s">
        <v>1464</v>
      </c>
      <c r="F1240" s="3896" t="s">
        <v>1465</v>
      </c>
      <c r="G1240" s="3254"/>
      <c r="H1240" s="3253"/>
      <c r="I1240" s="3480">
        <v>701</v>
      </c>
      <c r="J1240" s="3516" t="s">
        <v>2705</v>
      </c>
      <c r="K1240" s="353"/>
      <c r="L1240" s="3443" t="s">
        <v>37</v>
      </c>
      <c r="M1240" s="3443"/>
      <c r="O1240" s="3443"/>
      <c r="S1240" s="3443"/>
      <c r="T1240" s="3443"/>
      <c r="U1240" s="3443"/>
      <c r="W1240" s="3522"/>
      <c r="Y1240" s="3283"/>
    </row>
    <row r="1241" spans="1:25" ht="28.5" hidden="1">
      <c r="A1241" s="3480" t="s">
        <v>105</v>
      </c>
      <c r="B1241" s="3444">
        <v>45862</v>
      </c>
      <c r="C1241" s="3165" t="s">
        <v>2972</v>
      </c>
      <c r="D1241" s="4399"/>
      <c r="E1241" s="3878" t="s">
        <v>1465</v>
      </c>
      <c r="F1241" s="3896" t="s">
        <v>1464</v>
      </c>
      <c r="G1241" s="3254"/>
      <c r="H1241" s="3253"/>
      <c r="I1241" s="3480">
        <v>701</v>
      </c>
      <c r="J1241" s="3516" t="s">
        <v>2839</v>
      </c>
      <c r="K1241" s="3916"/>
      <c r="L1241" s="3456" t="s">
        <v>37</v>
      </c>
      <c r="M1241" s="3443"/>
      <c r="O1241" s="3443"/>
      <c r="S1241" s="3443"/>
      <c r="T1241" s="3443"/>
      <c r="U1241" s="3443"/>
      <c r="W1241" s="3913"/>
      <c r="Y1241" s="3283"/>
    </row>
    <row r="1242" spans="1:25" ht="28.5" hidden="1">
      <c r="A1242" s="3480" t="s">
        <v>105</v>
      </c>
      <c r="B1242" s="3444">
        <v>45862</v>
      </c>
      <c r="C1242" s="3165" t="s">
        <v>2972</v>
      </c>
      <c r="D1242" s="4399"/>
      <c r="E1242" s="3679" t="s">
        <v>2136</v>
      </c>
      <c r="F1242" s="3702" t="s">
        <v>3023</v>
      </c>
      <c r="G1242" s="3254"/>
      <c r="H1242" s="3253"/>
      <c r="I1242" s="3480">
        <v>705</v>
      </c>
      <c r="J1242" s="3516" t="s">
        <v>3010</v>
      </c>
      <c r="K1242" s="3916"/>
      <c r="L1242" s="3456"/>
      <c r="M1242" s="3443" t="s">
        <v>37</v>
      </c>
      <c r="O1242" s="3443"/>
      <c r="P1242" s="21" t="s">
        <v>71</v>
      </c>
      <c r="Q1242" s="21" t="s">
        <v>2989</v>
      </c>
      <c r="R1242" s="21" t="s">
        <v>160</v>
      </c>
      <c r="S1242" s="3443"/>
      <c r="T1242" s="3443"/>
      <c r="U1242" s="3443"/>
      <c r="W1242" s="3913" t="s">
        <v>3024</v>
      </c>
      <c r="Y1242" s="3283"/>
    </row>
    <row r="1243" spans="1:25" ht="28.5" hidden="1">
      <c r="A1243" s="3480" t="s">
        <v>105</v>
      </c>
      <c r="B1243" s="3444">
        <v>45862</v>
      </c>
      <c r="C1243" s="3165" t="s">
        <v>2972</v>
      </c>
      <c r="D1243" s="4399"/>
      <c r="E1243" s="3679" t="s">
        <v>3025</v>
      </c>
      <c r="F1243" s="3702" t="s">
        <v>491</v>
      </c>
      <c r="G1243" s="3254"/>
      <c r="H1243" s="3253"/>
      <c r="I1243" s="3480"/>
      <c r="J1243" s="3516" t="s">
        <v>3010</v>
      </c>
      <c r="K1243" s="4741" t="s">
        <v>84</v>
      </c>
      <c r="L1243" s="3456" t="s">
        <v>37</v>
      </c>
      <c r="M1243" s="3443"/>
      <c r="O1243" s="3443"/>
      <c r="S1243" s="3443"/>
      <c r="T1243" s="3443" t="s">
        <v>37</v>
      </c>
      <c r="U1243" s="3443" t="s">
        <v>37</v>
      </c>
      <c r="W1243" s="3522"/>
      <c r="Y1243" s="3283"/>
    </row>
    <row r="1244" spans="1:25" ht="29.25" hidden="1" thickBot="1">
      <c r="A1244" s="3494" t="s">
        <v>105</v>
      </c>
      <c r="B1244" s="3448">
        <v>45862</v>
      </c>
      <c r="C1244" s="3357" t="s">
        <v>2972</v>
      </c>
      <c r="D1244" s="4404"/>
      <c r="E1244" s="3631" t="s">
        <v>68</v>
      </c>
      <c r="F1244" s="3665" t="s">
        <v>3026</v>
      </c>
      <c r="G1244" s="3254"/>
      <c r="H1244" s="3253"/>
      <c r="I1244" s="3494">
        <v>705</v>
      </c>
      <c r="J1244" s="3523" t="s">
        <v>2999</v>
      </c>
      <c r="K1244" s="4732" t="s">
        <v>29</v>
      </c>
      <c r="L1244" s="3508" t="s">
        <v>37</v>
      </c>
      <c r="M1244" s="3447"/>
      <c r="N1244" s="3284"/>
      <c r="O1244" s="3447"/>
      <c r="P1244" s="3284"/>
      <c r="Q1244" s="3284"/>
      <c r="R1244" s="3284"/>
      <c r="S1244" s="3447"/>
      <c r="T1244" s="3447"/>
      <c r="U1244" s="3447"/>
      <c r="V1244" s="3284"/>
      <c r="W1244" s="3547"/>
      <c r="X1244" s="3284"/>
      <c r="Y1244" s="3285"/>
    </row>
    <row r="1245" spans="1:25" ht="28.5" hidden="1">
      <c r="A1245" s="3477" t="s">
        <v>105</v>
      </c>
      <c r="B1245" s="3478">
        <v>45862</v>
      </c>
      <c r="C1245" s="3356" t="s">
        <v>2972</v>
      </c>
      <c r="D1245" s="3514" t="s">
        <v>3027</v>
      </c>
      <c r="E1245" s="3708" t="s">
        <v>3028</v>
      </c>
      <c r="F1245" s="3709" t="s">
        <v>491</v>
      </c>
      <c r="G1245" s="3254"/>
      <c r="H1245" s="3253"/>
      <c r="I1245" s="3477">
        <v>707</v>
      </c>
      <c r="J1245" s="3515" t="s">
        <v>3029</v>
      </c>
      <c r="K1245" s="3916"/>
      <c r="L1245" s="3503" t="s">
        <v>37</v>
      </c>
      <c r="M1245" s="3503"/>
      <c r="N1245" s="3281"/>
      <c r="O1245" s="3503"/>
      <c r="P1245" s="3281"/>
      <c r="Q1245" s="3281"/>
      <c r="R1245" s="3281"/>
      <c r="S1245" s="3503"/>
      <c r="T1245" s="3503"/>
      <c r="U1245" s="3503"/>
      <c r="V1245" s="3281"/>
      <c r="W1245" s="3521"/>
      <c r="X1245" s="3281"/>
      <c r="Y1245" s="3282"/>
    </row>
    <row r="1246" spans="1:25" ht="28.5" hidden="1">
      <c r="A1246" s="3480" t="s">
        <v>105</v>
      </c>
      <c r="B1246" s="3444">
        <v>45862</v>
      </c>
      <c r="C1246" s="3165" t="s">
        <v>2972</v>
      </c>
      <c r="D1246" s="4399" t="s">
        <v>3030</v>
      </c>
      <c r="E1246" s="3614" t="s">
        <v>3031</v>
      </c>
      <c r="F1246" s="3643" t="s">
        <v>48</v>
      </c>
      <c r="G1246" s="3254"/>
      <c r="H1246" s="3253"/>
      <c r="I1246" s="3480"/>
      <c r="J1246" s="3516" t="s">
        <v>3032</v>
      </c>
      <c r="K1246" s="3890"/>
      <c r="L1246" s="3456" t="s">
        <v>37</v>
      </c>
      <c r="M1246" s="3443"/>
      <c r="O1246" s="3443"/>
      <c r="S1246" s="3443"/>
      <c r="T1246" s="3443"/>
      <c r="U1246" s="3443"/>
      <c r="W1246" s="3507"/>
      <c r="Y1246" s="3283"/>
    </row>
    <row r="1247" spans="1:25" ht="28.5" hidden="1">
      <c r="A1247" s="3480" t="s">
        <v>132</v>
      </c>
      <c r="B1247" s="3444">
        <v>45863</v>
      </c>
      <c r="C1247" s="3165" t="s">
        <v>2972</v>
      </c>
      <c r="D1247" s="4399" t="s">
        <v>3033</v>
      </c>
      <c r="E1247" s="3614" t="s">
        <v>491</v>
      </c>
      <c r="F1247" s="3643" t="s">
        <v>3034</v>
      </c>
      <c r="G1247" s="3254"/>
      <c r="H1247" s="3253"/>
      <c r="I1247" s="3480">
        <v>707</v>
      </c>
      <c r="J1247" s="3516" t="s">
        <v>3029</v>
      </c>
      <c r="K1247" s="4153" t="s">
        <v>84</v>
      </c>
      <c r="L1247" s="3456" t="s">
        <v>37</v>
      </c>
      <c r="M1247" s="3443"/>
      <c r="O1247" s="3443"/>
      <c r="S1247" s="3443"/>
      <c r="T1247" s="3443"/>
      <c r="U1247" s="3443"/>
      <c r="W1247" s="3507"/>
      <c r="Y1247" s="3283"/>
    </row>
    <row r="1248" spans="1:25" ht="29.25" hidden="1" thickBot="1">
      <c r="A1248" s="3494" t="s">
        <v>132</v>
      </c>
      <c r="B1248" s="3448">
        <v>45863</v>
      </c>
      <c r="C1248" s="3357" t="s">
        <v>2972</v>
      </c>
      <c r="D1248" s="4404" t="s">
        <v>3035</v>
      </c>
      <c r="E1248" s="3958" t="s">
        <v>1464</v>
      </c>
      <c r="F1248" s="4607" t="s">
        <v>1465</v>
      </c>
      <c r="G1248" s="3254"/>
      <c r="H1248" s="3253"/>
      <c r="I1248" s="3494">
        <v>701</v>
      </c>
      <c r="J1248" s="3523" t="s">
        <v>2705</v>
      </c>
      <c r="K1248" s="3914"/>
      <c r="L1248" s="3508" t="s">
        <v>37</v>
      </c>
      <c r="M1248" s="3447"/>
      <c r="N1248" s="3284"/>
      <c r="O1248" s="3447"/>
      <c r="P1248" s="3284"/>
      <c r="Q1248" s="3284"/>
      <c r="R1248" s="3284"/>
      <c r="S1248" s="3447"/>
      <c r="T1248" s="3447"/>
      <c r="U1248" s="3447"/>
      <c r="V1248" s="3284"/>
      <c r="W1248" s="3547"/>
      <c r="X1248" s="3284"/>
      <c r="Y1248" s="3285"/>
    </row>
    <row r="1249" spans="1:25" ht="29.25" hidden="1" thickBot="1">
      <c r="A1249" s="3477" t="s">
        <v>132</v>
      </c>
      <c r="B1249" s="3657">
        <v>45863</v>
      </c>
      <c r="C1249" s="3355" t="s">
        <v>2972</v>
      </c>
      <c r="D1249" s="3513"/>
      <c r="E1249" s="3917" t="s">
        <v>1465</v>
      </c>
      <c r="F1249" s="3943" t="s">
        <v>1464</v>
      </c>
      <c r="G1249" s="3990"/>
      <c r="H1249" s="3792"/>
      <c r="I1249" s="3477">
        <v>701</v>
      </c>
      <c r="J1249" s="3528" t="s">
        <v>2839</v>
      </c>
      <c r="K1249" s="3916"/>
      <c r="L1249" s="3508" t="s">
        <v>37</v>
      </c>
      <c r="M1249" s="3443"/>
      <c r="N1249" s="3254"/>
      <c r="O1249" s="3443"/>
      <c r="S1249" s="3443"/>
      <c r="T1249" s="3443"/>
      <c r="U1249" s="3443"/>
      <c r="W1249" s="3507"/>
      <c r="Y1249" s="3283"/>
    </row>
    <row r="1250" spans="1:25" ht="29.25" hidden="1" thickBot="1">
      <c r="A1250" s="3590" t="s">
        <v>132</v>
      </c>
      <c r="B1250" s="3444">
        <v>45863</v>
      </c>
      <c r="C1250" s="3165" t="s">
        <v>2972</v>
      </c>
      <c r="D1250" s="4399" t="s">
        <v>3036</v>
      </c>
      <c r="E1250" s="3614" t="s">
        <v>2651</v>
      </c>
      <c r="F1250" s="3678" t="s">
        <v>3037</v>
      </c>
      <c r="G1250" s="3308"/>
      <c r="H1250" s="3793"/>
      <c r="I1250" s="3480">
        <v>705</v>
      </c>
      <c r="J1250" s="3531" t="s">
        <v>3038</v>
      </c>
      <c r="K1250" s="3916"/>
      <c r="L1250" s="3508" t="s">
        <v>37</v>
      </c>
      <c r="M1250" s="3456"/>
      <c r="O1250" s="3443"/>
      <c r="S1250" s="3443"/>
      <c r="T1250" s="3443"/>
      <c r="U1250" s="3443"/>
      <c r="W1250" s="3913"/>
    </row>
    <row r="1251" spans="1:25" ht="28.5" hidden="1">
      <c r="A1251" s="3590" t="s">
        <v>25</v>
      </c>
      <c r="B1251" s="3444">
        <v>45866</v>
      </c>
      <c r="C1251" s="3165" t="s">
        <v>3039</v>
      </c>
      <c r="D1251" s="4399" t="s">
        <v>3040</v>
      </c>
      <c r="E1251" s="3614" t="s">
        <v>1571</v>
      </c>
      <c r="F1251" s="3678" t="s">
        <v>169</v>
      </c>
      <c r="G1251" s="3926" t="s">
        <v>1206</v>
      </c>
      <c r="H1251" s="3927" t="s">
        <v>1199</v>
      </c>
      <c r="I1251" s="3480"/>
      <c r="J1251" s="3531" t="s">
        <v>2974</v>
      </c>
      <c r="K1251" s="4056" t="s">
        <v>174</v>
      </c>
      <c r="L1251" s="3534" t="s">
        <v>37</v>
      </c>
      <c r="M1251" s="3456"/>
      <c r="N1251" s="3443"/>
      <c r="O1251" s="3443"/>
      <c r="P1251" s="3443"/>
      <c r="Q1251" s="3443"/>
      <c r="R1251" s="3443"/>
      <c r="S1251" s="3443"/>
      <c r="T1251" s="3443"/>
      <c r="U1251" s="3443"/>
      <c r="V1251" s="3443"/>
      <c r="W1251" s="3531"/>
      <c r="X1251" s="3443"/>
      <c r="Y1251" s="3507"/>
    </row>
    <row r="1252" spans="1:25" ht="28.5" hidden="1">
      <c r="A1252" s="3590" t="s">
        <v>25</v>
      </c>
      <c r="B1252" s="3444">
        <v>45866</v>
      </c>
      <c r="C1252" s="3165" t="s">
        <v>3039</v>
      </c>
      <c r="D1252" s="4399" t="s">
        <v>3041</v>
      </c>
      <c r="E1252" s="3878" t="s">
        <v>3042</v>
      </c>
      <c r="F1252" s="3909" t="s">
        <v>80</v>
      </c>
      <c r="G1252" s="3926"/>
      <c r="H1252" s="3927"/>
      <c r="I1252" s="3480">
        <v>701</v>
      </c>
      <c r="J1252" s="3531" t="s">
        <v>3043</v>
      </c>
      <c r="K1252" s="4056" t="s">
        <v>174</v>
      </c>
      <c r="L1252" s="3534" t="s">
        <v>37</v>
      </c>
      <c r="M1252" s="3456"/>
      <c r="N1252" s="3443"/>
      <c r="O1252" s="3443"/>
      <c r="P1252" s="3443"/>
      <c r="Q1252" s="3443"/>
      <c r="R1252" s="3443"/>
      <c r="S1252" s="3443"/>
      <c r="T1252" s="3443"/>
      <c r="U1252" s="3443"/>
      <c r="V1252" s="3443"/>
      <c r="W1252" s="3531"/>
      <c r="X1252" s="3443"/>
      <c r="Y1252" s="3507"/>
    </row>
    <row r="1253" spans="1:25" ht="29.25" hidden="1" thickBot="1">
      <c r="A1253" s="3593" t="s">
        <v>25</v>
      </c>
      <c r="B1253" s="3448">
        <v>45866</v>
      </c>
      <c r="C1253" s="3165" t="s">
        <v>3039</v>
      </c>
      <c r="D1253" s="4399" t="s">
        <v>3044</v>
      </c>
      <c r="E1253" s="3958" t="s">
        <v>1464</v>
      </c>
      <c r="F1253" s="4633" t="s">
        <v>1465</v>
      </c>
      <c r="G1253" s="3929" t="s">
        <v>1206</v>
      </c>
      <c r="H1253" s="3930" t="s">
        <v>1199</v>
      </c>
      <c r="I1253" s="3494">
        <v>701</v>
      </c>
      <c r="J1253" s="3586" t="s">
        <v>2705</v>
      </c>
      <c r="K1253" s="3928"/>
      <c r="L1253" s="3890" t="s">
        <v>30</v>
      </c>
      <c r="M1253" s="3456"/>
      <c r="N1253" s="3443"/>
      <c r="O1253" s="3443"/>
      <c r="P1253" s="3443"/>
      <c r="Q1253" s="3443"/>
      <c r="R1253" s="3443"/>
      <c r="S1253" s="3443"/>
      <c r="T1253" s="3443"/>
      <c r="U1253" s="3443"/>
      <c r="V1253" s="3443"/>
      <c r="W1253" s="3531"/>
      <c r="X1253" s="3443"/>
      <c r="Y1253" s="3507"/>
    </row>
    <row r="1254" spans="1:25" ht="28.5" hidden="1">
      <c r="A1254" s="3480" t="s">
        <v>25</v>
      </c>
      <c r="B1254" s="3444">
        <v>45866</v>
      </c>
      <c r="C1254" s="3165" t="s">
        <v>3039</v>
      </c>
      <c r="D1254" s="4399"/>
      <c r="E1254" s="3878" t="s">
        <v>1465</v>
      </c>
      <c r="F1254" s="3909" t="s">
        <v>1464</v>
      </c>
      <c r="G1254" s="3926" t="s">
        <v>1206</v>
      </c>
      <c r="H1254" s="3927" t="s">
        <v>1199</v>
      </c>
      <c r="I1254" s="3534">
        <v>701</v>
      </c>
      <c r="J1254" s="3531" t="s">
        <v>2839</v>
      </c>
      <c r="K1254" s="3928"/>
      <c r="L1254" s="3890" t="s">
        <v>30</v>
      </c>
      <c r="M1254" s="3456"/>
      <c r="N1254" s="3443"/>
      <c r="O1254" s="3443"/>
      <c r="P1254" s="3443"/>
      <c r="Q1254" s="3443"/>
      <c r="R1254" s="3443"/>
      <c r="S1254" s="3443"/>
      <c r="T1254" s="3443"/>
      <c r="U1254" s="3443"/>
      <c r="V1254" s="3443"/>
      <c r="W1254" s="3531"/>
      <c r="X1254" s="3443"/>
      <c r="Y1254" s="3507"/>
    </row>
    <row r="1255" spans="1:25" ht="28.5" hidden="1">
      <c r="A1255" s="3480" t="s">
        <v>25</v>
      </c>
      <c r="B1255" s="3444">
        <v>45866</v>
      </c>
      <c r="C1255" s="3355" t="s">
        <v>3039</v>
      </c>
      <c r="D1255" s="4399" t="s">
        <v>3045</v>
      </c>
      <c r="E1255" s="3614" t="s">
        <v>68</v>
      </c>
      <c r="F1255" s="3678" t="s">
        <v>3046</v>
      </c>
      <c r="G1255" s="3926" t="s">
        <v>1206</v>
      </c>
      <c r="H1255" s="3927" t="s">
        <v>1199</v>
      </c>
      <c r="I1255" s="3534">
        <v>705</v>
      </c>
      <c r="J1255" s="3531" t="s">
        <v>3047</v>
      </c>
      <c r="K1255" s="3928"/>
      <c r="L1255" s="3890" t="s">
        <v>30</v>
      </c>
      <c r="M1255" s="3456"/>
      <c r="N1255" s="3443"/>
      <c r="O1255" s="3443"/>
      <c r="P1255" s="3443"/>
      <c r="Q1255" s="3443"/>
      <c r="R1255" s="3443"/>
      <c r="S1255" s="3443"/>
      <c r="T1255" s="3443"/>
      <c r="U1255" s="3443"/>
      <c r="V1255" s="3443"/>
      <c r="W1255" s="3531"/>
      <c r="X1255" s="3443"/>
      <c r="Y1255" s="3507"/>
    </row>
    <row r="1256" spans="1:25" ht="28.5" hidden="1">
      <c r="A1256" s="3857" t="s">
        <v>67</v>
      </c>
      <c r="B1256" s="3463">
        <v>45867</v>
      </c>
      <c r="C1256" s="3165" t="s">
        <v>3039</v>
      </c>
      <c r="D1256" s="4399" t="s">
        <v>3048</v>
      </c>
      <c r="E1256" s="3937" t="s">
        <v>80</v>
      </c>
      <c r="F1256" s="3938" t="s">
        <v>80</v>
      </c>
      <c r="G1256" s="4042" t="s">
        <v>1202</v>
      </c>
      <c r="H1256" s="4913" t="s">
        <v>1202</v>
      </c>
      <c r="I1256" s="3545">
        <v>701</v>
      </c>
      <c r="J1256" s="3600" t="s">
        <v>3049</v>
      </c>
      <c r="K1256" s="3933"/>
      <c r="L1256" s="3934" t="s">
        <v>30</v>
      </c>
      <c r="M1256" s="3456"/>
      <c r="N1256" s="3443"/>
      <c r="O1256" s="3443"/>
      <c r="P1256" s="3443"/>
      <c r="Q1256" s="3443"/>
      <c r="R1256" s="3443"/>
      <c r="S1256" s="3443"/>
      <c r="T1256" s="3443"/>
      <c r="U1256" s="3443"/>
      <c r="V1256" s="3443" t="s">
        <v>30</v>
      </c>
      <c r="W1256" s="3531"/>
      <c r="X1256" s="3443"/>
      <c r="Y1256" s="3507"/>
    </row>
    <row r="1257" spans="1:25" ht="28.5" hidden="1">
      <c r="A1257" s="3480" t="s">
        <v>67</v>
      </c>
      <c r="B1257" s="3444">
        <v>45867</v>
      </c>
      <c r="C1257" s="3165" t="s">
        <v>3039</v>
      </c>
      <c r="D1257" s="4399" t="s">
        <v>3050</v>
      </c>
      <c r="E1257" s="3878" t="s">
        <v>1464</v>
      </c>
      <c r="F1257" s="3909" t="s">
        <v>1465</v>
      </c>
      <c r="G1257" s="3926" t="s">
        <v>1206</v>
      </c>
      <c r="H1257" s="3935" t="s">
        <v>1199</v>
      </c>
      <c r="I1257" s="3534">
        <v>701</v>
      </c>
      <c r="J1257" s="3531" t="s">
        <v>2705</v>
      </c>
      <c r="K1257" s="3936"/>
      <c r="L1257" s="3890" t="s">
        <v>30</v>
      </c>
      <c r="M1257" s="3456"/>
      <c r="N1257" s="3443"/>
      <c r="O1257" s="3443"/>
      <c r="P1257" s="3443"/>
      <c r="Q1257" s="3443"/>
      <c r="R1257" s="3443"/>
      <c r="S1257" s="3443"/>
      <c r="T1257" s="3443"/>
      <c r="U1257" s="3443"/>
      <c r="V1257" s="3443"/>
      <c r="W1257" s="3531"/>
      <c r="X1257" s="3443"/>
      <c r="Y1257" s="3507"/>
    </row>
    <row r="1258" spans="1:25" ht="28.5" hidden="1">
      <c r="A1258" s="3480" t="s">
        <v>67</v>
      </c>
      <c r="B1258" s="3444">
        <v>45867</v>
      </c>
      <c r="C1258" s="3165" t="s">
        <v>3039</v>
      </c>
      <c r="D1258" s="4399"/>
      <c r="E1258" s="3878" t="s">
        <v>1465</v>
      </c>
      <c r="F1258" s="3909" t="s">
        <v>1464</v>
      </c>
      <c r="G1258" s="3926" t="s">
        <v>1206</v>
      </c>
      <c r="H1258" s="3935" t="s">
        <v>1199</v>
      </c>
      <c r="I1258" s="3534">
        <v>701</v>
      </c>
      <c r="J1258" s="3531" t="s">
        <v>2839</v>
      </c>
      <c r="K1258" s="3936"/>
      <c r="L1258" s="3890" t="s">
        <v>30</v>
      </c>
      <c r="M1258" s="3456"/>
      <c r="N1258" s="3443"/>
      <c r="O1258" s="3443"/>
      <c r="P1258" s="3443"/>
      <c r="Q1258" s="3443"/>
      <c r="R1258" s="3443"/>
      <c r="S1258" s="3443"/>
      <c r="T1258" s="3443"/>
      <c r="U1258" s="3443"/>
      <c r="V1258" s="3443" t="s">
        <v>30</v>
      </c>
      <c r="W1258" s="3531"/>
      <c r="X1258" s="3443"/>
      <c r="Y1258" s="3507"/>
    </row>
    <row r="1259" spans="1:25" ht="28.5" hidden="1">
      <c r="A1259" s="3870" t="s">
        <v>67</v>
      </c>
      <c r="B1259" s="3506">
        <v>45867</v>
      </c>
      <c r="C1259" s="3165" t="s">
        <v>3039</v>
      </c>
      <c r="D1259" s="4399" t="s">
        <v>3051</v>
      </c>
      <c r="E1259" s="3758" t="s">
        <v>48</v>
      </c>
      <c r="F1259" s="3781" t="s">
        <v>168</v>
      </c>
      <c r="G1259" s="4891" t="s">
        <v>1206</v>
      </c>
      <c r="H1259" s="4914" t="s">
        <v>1206</v>
      </c>
      <c r="I1259" s="3607">
        <v>705</v>
      </c>
      <c r="J1259" s="3602" t="s">
        <v>3052</v>
      </c>
      <c r="K1259" s="3942"/>
      <c r="L1259" s="3903" t="s">
        <v>30</v>
      </c>
      <c r="M1259" s="3505"/>
      <c r="N1259" s="3462"/>
      <c r="O1259" s="3462"/>
      <c r="P1259" s="3462"/>
      <c r="Q1259" s="3462"/>
      <c r="R1259" s="3462"/>
      <c r="S1259" s="3462"/>
      <c r="T1259" s="3462"/>
      <c r="U1259" s="3462" t="s">
        <v>30</v>
      </c>
      <c r="V1259" s="3462"/>
      <c r="W1259" s="3600"/>
      <c r="X1259" s="3462"/>
      <c r="Y1259" s="3636"/>
    </row>
    <row r="1260" spans="1:25" ht="28.5" hidden="1">
      <c r="A1260" s="3477" t="s">
        <v>67</v>
      </c>
      <c r="B1260" s="3478">
        <v>45867</v>
      </c>
      <c r="C1260" s="3165" t="s">
        <v>3039</v>
      </c>
      <c r="D1260" s="4399" t="s">
        <v>3053</v>
      </c>
      <c r="E1260" s="3708" t="s">
        <v>3054</v>
      </c>
      <c r="F1260" s="3922" t="s">
        <v>80</v>
      </c>
      <c r="G1260" s="3960" t="s">
        <v>1206</v>
      </c>
      <c r="H1260" s="3961" t="s">
        <v>1206</v>
      </c>
      <c r="I1260" s="3530">
        <v>705</v>
      </c>
      <c r="J1260" s="3528" t="s">
        <v>3055</v>
      </c>
      <c r="K1260" s="4731"/>
      <c r="L1260" s="3919" t="s">
        <v>30</v>
      </c>
      <c r="M1260" s="3503"/>
      <c r="N1260" s="3503"/>
      <c r="O1260" s="3503"/>
      <c r="P1260" s="3503"/>
      <c r="Q1260" s="3503"/>
      <c r="R1260" s="3503"/>
      <c r="S1260" s="3503"/>
      <c r="T1260" s="3503"/>
      <c r="U1260" s="3503"/>
      <c r="V1260" s="3503"/>
      <c r="W1260" s="3528"/>
      <c r="X1260" s="3503"/>
      <c r="Y1260" s="3521"/>
    </row>
    <row r="1261" spans="1:25" ht="28.5" hidden="1">
      <c r="A1261" s="3480" t="s">
        <v>67</v>
      </c>
      <c r="B1261" s="3444">
        <v>45867</v>
      </c>
      <c r="C1261" s="3355" t="s">
        <v>3039</v>
      </c>
      <c r="D1261" s="4399" t="s">
        <v>3056</v>
      </c>
      <c r="E1261" s="3614" t="s">
        <v>48</v>
      </c>
      <c r="F1261" s="3678" t="s">
        <v>1598</v>
      </c>
      <c r="G1261" s="3926" t="s">
        <v>1206</v>
      </c>
      <c r="H1261" s="3935" t="s">
        <v>1199</v>
      </c>
      <c r="I1261" s="3534">
        <v>707</v>
      </c>
      <c r="J1261" s="3531">
        <v>60105</v>
      </c>
      <c r="K1261" s="3936"/>
      <c r="L1261" s="3890" t="s">
        <v>30</v>
      </c>
      <c r="M1261" s="3456"/>
      <c r="N1261" s="3443"/>
      <c r="O1261" s="3443"/>
      <c r="P1261" s="3443"/>
      <c r="Q1261" s="3443"/>
      <c r="R1261" s="3443"/>
      <c r="S1261" s="3443"/>
      <c r="T1261" s="3443"/>
      <c r="U1261" s="3443"/>
      <c r="V1261" s="3443"/>
      <c r="W1261" s="3531"/>
      <c r="X1261" s="3443"/>
      <c r="Y1261" s="3522"/>
    </row>
    <row r="1262" spans="1:25" ht="28.5" hidden="1">
      <c r="A1262" s="3493" t="s">
        <v>85</v>
      </c>
      <c r="B1262" s="3457">
        <v>45868</v>
      </c>
      <c r="C1262" s="3165" t="s">
        <v>3039</v>
      </c>
      <c r="D1262" s="4399" t="s">
        <v>3057</v>
      </c>
      <c r="E1262" s="3882" t="s">
        <v>1464</v>
      </c>
      <c r="F1262" s="4004" t="s">
        <v>1465</v>
      </c>
      <c r="G1262" s="4689" t="s">
        <v>1206</v>
      </c>
      <c r="H1262" s="4711" t="s">
        <v>1199</v>
      </c>
      <c r="I1262" s="3605">
        <v>701</v>
      </c>
      <c r="J1262" s="3599" t="s">
        <v>2705</v>
      </c>
      <c r="K1262" s="3916"/>
      <c r="L1262" s="3916" t="s">
        <v>30</v>
      </c>
      <c r="M1262" s="3456"/>
      <c r="N1262" s="3443"/>
      <c r="O1262" s="3443"/>
      <c r="P1262" s="3443"/>
      <c r="Q1262" s="3443"/>
      <c r="R1262" s="3443"/>
      <c r="S1262" s="3443"/>
      <c r="T1262" s="3443"/>
      <c r="U1262" s="3443"/>
      <c r="V1262" s="3443"/>
      <c r="W1262" s="3516"/>
      <c r="X1262" s="3443"/>
      <c r="Y1262" s="3522"/>
    </row>
    <row r="1263" spans="1:25" ht="28.5" hidden="1">
      <c r="A1263" s="3480" t="s">
        <v>85</v>
      </c>
      <c r="B1263" s="3840">
        <v>45868</v>
      </c>
      <c r="C1263" s="3165" t="s">
        <v>3039</v>
      </c>
      <c r="D1263" s="4399"/>
      <c r="E1263" s="4535" t="s">
        <v>1465</v>
      </c>
      <c r="F1263" s="3909" t="s">
        <v>1464</v>
      </c>
      <c r="G1263" s="3926" t="s">
        <v>1206</v>
      </c>
      <c r="H1263" s="3935" t="s">
        <v>1199</v>
      </c>
      <c r="I1263" s="3534">
        <v>701</v>
      </c>
      <c r="J1263" s="3531" t="s">
        <v>2839</v>
      </c>
      <c r="K1263" s="3916"/>
      <c r="L1263" s="3916" t="s">
        <v>30</v>
      </c>
      <c r="M1263" s="3456"/>
      <c r="N1263" s="3443"/>
      <c r="O1263" s="3443"/>
      <c r="P1263" s="3443"/>
      <c r="Q1263" s="3443"/>
      <c r="R1263" s="3443"/>
      <c r="S1263" s="3443"/>
      <c r="T1263" s="3443"/>
      <c r="U1263" s="3443"/>
      <c r="V1263" s="3443"/>
      <c r="W1263" s="3443"/>
      <c r="X1263" s="3443"/>
      <c r="Y1263" s="3522"/>
    </row>
    <row r="1264" spans="1:25" ht="57" hidden="1">
      <c r="A1264" s="3480" t="s">
        <v>85</v>
      </c>
      <c r="B1264" s="3840">
        <v>45868</v>
      </c>
      <c r="C1264" s="3165" t="s">
        <v>3039</v>
      </c>
      <c r="D1264" s="4399" t="s">
        <v>3058</v>
      </c>
      <c r="E1264" s="4831" t="s">
        <v>2977</v>
      </c>
      <c r="F1264" s="3678" t="s">
        <v>264</v>
      </c>
      <c r="G1264" s="4892" t="s">
        <v>1199</v>
      </c>
      <c r="H1264" s="4915" t="s">
        <v>1199</v>
      </c>
      <c r="I1264" s="3534">
        <v>705</v>
      </c>
      <c r="J1264" s="3531" t="s">
        <v>3059</v>
      </c>
      <c r="K1264" s="3911" t="s">
        <v>84</v>
      </c>
      <c r="L1264" s="3963"/>
      <c r="M1264" s="3456" t="s">
        <v>30</v>
      </c>
      <c r="N1264" s="3443"/>
      <c r="O1264" s="3443"/>
      <c r="P1264" s="21" t="s">
        <v>71</v>
      </c>
      <c r="Q1264" s="21" t="s">
        <v>138</v>
      </c>
      <c r="R1264" s="21" t="s">
        <v>160</v>
      </c>
      <c r="S1264" s="3443"/>
      <c r="T1264" s="3443"/>
      <c r="U1264" s="3443"/>
      <c r="V1264" s="3443"/>
      <c r="W1264" s="3507" t="s">
        <v>3060</v>
      </c>
      <c r="X1264" s="3443"/>
      <c r="Y1264" s="3522"/>
    </row>
    <row r="1265" spans="1:25" ht="28.5" hidden="1">
      <c r="A1265" s="3480" t="s">
        <v>85</v>
      </c>
      <c r="B1265" s="3444">
        <v>45868</v>
      </c>
      <c r="C1265" s="3165" t="s">
        <v>3039</v>
      </c>
      <c r="D1265" s="4399" t="s">
        <v>3061</v>
      </c>
      <c r="E1265" s="3614" t="s">
        <v>169</v>
      </c>
      <c r="F1265" s="3678" t="s">
        <v>1571</v>
      </c>
      <c r="G1265" s="3931" t="s">
        <v>1206</v>
      </c>
      <c r="H1265" s="3932" t="s">
        <v>1206</v>
      </c>
      <c r="I1265" s="3534">
        <v>712</v>
      </c>
      <c r="J1265" s="3531" t="s">
        <v>3014</v>
      </c>
      <c r="K1265" s="3911" t="s">
        <v>174</v>
      </c>
      <c r="L1265" s="3964" t="s">
        <v>30</v>
      </c>
      <c r="M1265" s="3456"/>
      <c r="N1265" s="3443"/>
      <c r="O1265" s="3443"/>
      <c r="P1265" s="3443"/>
      <c r="Q1265" s="3443"/>
      <c r="R1265" s="3443"/>
      <c r="S1265" s="3443"/>
      <c r="T1265" s="3443"/>
      <c r="U1265" s="3443"/>
      <c r="V1265" s="3443"/>
      <c r="W1265" s="3443"/>
      <c r="X1265" s="3443"/>
      <c r="Y1265" s="3522"/>
    </row>
    <row r="1266" spans="1:25" ht="28.5" hidden="1">
      <c r="A1266" s="3590" t="s">
        <v>85</v>
      </c>
      <c r="B1266" s="3444">
        <v>45868</v>
      </c>
      <c r="C1266" s="3165" t="s">
        <v>3039</v>
      </c>
      <c r="D1266" s="4399" t="s">
        <v>3062</v>
      </c>
      <c r="E1266" s="3614" t="s">
        <v>2729</v>
      </c>
      <c r="F1266" s="3678" t="s">
        <v>106</v>
      </c>
      <c r="G1266" s="3939" t="s">
        <v>1206</v>
      </c>
      <c r="H1266" s="3939" t="s">
        <v>1206</v>
      </c>
      <c r="I1266" s="3534">
        <v>712</v>
      </c>
      <c r="J1266" s="3531" t="s">
        <v>3063</v>
      </c>
      <c r="K1266" s="3911" t="s">
        <v>84</v>
      </c>
      <c r="L1266" s="3964" t="s">
        <v>30</v>
      </c>
      <c r="M1266" s="3456"/>
      <c r="N1266" s="3443"/>
      <c r="O1266" s="3443"/>
      <c r="P1266" s="3443"/>
      <c r="Q1266" s="3443"/>
      <c r="R1266" s="3443"/>
      <c r="S1266" s="3443"/>
      <c r="T1266" s="3443"/>
      <c r="U1266" s="3443"/>
      <c r="V1266" s="3443"/>
      <c r="W1266" s="3516"/>
      <c r="X1266" s="3443"/>
      <c r="Y1266" s="3522"/>
    </row>
    <row r="1267" spans="1:25" ht="28.5" hidden="1">
      <c r="A1267" s="3590" t="s">
        <v>85</v>
      </c>
      <c r="B1267" s="3444">
        <v>45868</v>
      </c>
      <c r="C1267" s="3355" t="s">
        <v>3039</v>
      </c>
      <c r="D1267" s="4399" t="s">
        <v>3064</v>
      </c>
      <c r="E1267" s="3614" t="s">
        <v>3034</v>
      </c>
      <c r="F1267" s="3678" t="s">
        <v>267</v>
      </c>
      <c r="G1267" s="4192" t="s">
        <v>1206</v>
      </c>
      <c r="H1267" s="4192" t="s">
        <v>1206</v>
      </c>
      <c r="I1267" s="3534">
        <v>707</v>
      </c>
      <c r="J1267" s="3531">
        <v>6072</v>
      </c>
      <c r="K1267" s="3911" t="s">
        <v>627</v>
      </c>
      <c r="L1267" s="3964" t="s">
        <v>30</v>
      </c>
      <c r="M1267" s="3456"/>
      <c r="N1267" s="3443"/>
      <c r="O1267" s="3443"/>
      <c r="P1267" s="3443"/>
      <c r="Q1267" s="3443"/>
      <c r="R1267" s="3443"/>
      <c r="S1267" s="3443"/>
      <c r="T1267" s="3443"/>
      <c r="U1267" s="3443"/>
      <c r="V1267" s="3443"/>
      <c r="W1267" s="3516"/>
      <c r="X1267" s="3443"/>
      <c r="Y1267" s="3522"/>
    </row>
    <row r="1268" spans="1:25" ht="57" hidden="1">
      <c r="A1268" s="3590" t="s">
        <v>85</v>
      </c>
      <c r="B1268" s="3444">
        <v>45868</v>
      </c>
      <c r="C1268" s="3165" t="s">
        <v>3039</v>
      </c>
      <c r="D1268" s="4399" t="s">
        <v>3065</v>
      </c>
      <c r="E1268" s="3615" t="s">
        <v>80</v>
      </c>
      <c r="F1268" s="3946" t="s">
        <v>2660</v>
      </c>
      <c r="G1268" s="3939" t="s">
        <v>1206</v>
      </c>
      <c r="H1268" s="4699" t="s">
        <v>1206</v>
      </c>
      <c r="I1268" s="3534">
        <v>705</v>
      </c>
      <c r="J1268" s="3531" t="s">
        <v>3066</v>
      </c>
      <c r="K1268" s="4056" t="s">
        <v>320</v>
      </c>
      <c r="L1268" s="4169"/>
      <c r="M1268" s="3456" t="s">
        <v>30</v>
      </c>
      <c r="N1268" s="3443"/>
      <c r="O1268" s="3443"/>
      <c r="P1268" s="21" t="s">
        <v>71</v>
      </c>
      <c r="Q1268" s="21" t="s">
        <v>138</v>
      </c>
      <c r="R1268" s="21" t="s">
        <v>160</v>
      </c>
      <c r="S1268" s="3443"/>
      <c r="T1268" s="3443"/>
      <c r="U1268" s="3443"/>
      <c r="V1268" s="3443"/>
      <c r="W1268" s="3522" t="s">
        <v>3060</v>
      </c>
      <c r="X1268" s="3443"/>
      <c r="Y1268" s="3522"/>
    </row>
    <row r="1269" spans="1:25" ht="28.5" hidden="1">
      <c r="A1269" s="3590" t="s">
        <v>85</v>
      </c>
      <c r="B1269" s="3444">
        <v>45868</v>
      </c>
      <c r="C1269" s="3165" t="s">
        <v>3039</v>
      </c>
      <c r="D1269" s="4399"/>
      <c r="E1269" s="3947" t="s">
        <v>2662</v>
      </c>
      <c r="F1269" s="3946" t="s">
        <v>61</v>
      </c>
      <c r="G1269" s="3939" t="s">
        <v>1206</v>
      </c>
      <c r="H1269" s="4699" t="s">
        <v>1206</v>
      </c>
      <c r="I1269" s="3534">
        <v>705</v>
      </c>
      <c r="J1269" s="3531" t="s">
        <v>580</v>
      </c>
      <c r="K1269" s="4056" t="s">
        <v>320</v>
      </c>
      <c r="L1269" s="4169"/>
      <c r="M1269" s="3456"/>
      <c r="N1269" s="3443" t="s">
        <v>30</v>
      </c>
      <c r="O1269" s="3443"/>
      <c r="P1269" s="21" t="s">
        <v>71</v>
      </c>
      <c r="Q1269" s="21" t="s">
        <v>138</v>
      </c>
      <c r="R1269" s="21" t="s">
        <v>160</v>
      </c>
      <c r="S1269" s="3443"/>
      <c r="T1269" s="3443"/>
      <c r="U1269" s="3443"/>
      <c r="V1269" s="3443"/>
      <c r="W1269" s="3522"/>
      <c r="X1269" s="3443"/>
      <c r="Y1269" s="3522"/>
    </row>
    <row r="1270" spans="1:25" ht="28.5" hidden="1">
      <c r="A1270" s="3590" t="s">
        <v>85</v>
      </c>
      <c r="B1270" s="3444">
        <v>45868</v>
      </c>
      <c r="C1270" s="3165" t="s">
        <v>3039</v>
      </c>
      <c r="D1270" s="4399" t="s">
        <v>3067</v>
      </c>
      <c r="E1270" s="3618" t="s">
        <v>79</v>
      </c>
      <c r="F1270" s="3948" t="s">
        <v>1838</v>
      </c>
      <c r="G1270" s="4161" t="s">
        <v>1199</v>
      </c>
      <c r="H1270" s="3927" t="s">
        <v>1199</v>
      </c>
      <c r="I1270" s="3534">
        <v>705</v>
      </c>
      <c r="J1270" s="3531" t="s">
        <v>3068</v>
      </c>
      <c r="K1270" s="3928"/>
      <c r="L1270" s="3966" t="s">
        <v>30</v>
      </c>
      <c r="M1270" s="3456"/>
      <c r="N1270" s="3443"/>
      <c r="O1270" s="3443"/>
      <c r="P1270" s="3443"/>
      <c r="Q1270" s="3443"/>
      <c r="R1270" s="3443"/>
      <c r="S1270" s="3443"/>
      <c r="T1270" s="3443"/>
      <c r="U1270" s="3443" t="s">
        <v>30</v>
      </c>
      <c r="V1270" s="3443"/>
      <c r="W1270" s="3522"/>
      <c r="X1270" s="3443"/>
      <c r="Y1270" s="3522"/>
    </row>
    <row r="1271" spans="1:25" ht="28.5" hidden="1">
      <c r="A1271" s="3590" t="s">
        <v>85</v>
      </c>
      <c r="B1271" s="3444">
        <v>45868</v>
      </c>
      <c r="C1271" s="3165" t="s">
        <v>3039</v>
      </c>
      <c r="D1271" s="4399" t="s">
        <v>3069</v>
      </c>
      <c r="E1271" s="3618" t="s">
        <v>48</v>
      </c>
      <c r="F1271" s="3948" t="s">
        <v>3070</v>
      </c>
      <c r="G1271" s="3950"/>
      <c r="H1271" s="3951"/>
      <c r="I1271" s="3534">
        <v>705</v>
      </c>
      <c r="J1271" s="3531" t="s">
        <v>3071</v>
      </c>
      <c r="K1271" s="3928"/>
      <c r="L1271" s="3890"/>
      <c r="M1271" s="3456" t="s">
        <v>30</v>
      </c>
      <c r="N1271" s="3443"/>
      <c r="O1271" s="3443"/>
      <c r="P1271" s="21" t="s">
        <v>0</v>
      </c>
      <c r="Q1271" s="21" t="s">
        <v>187</v>
      </c>
      <c r="R1271" s="21" t="s">
        <v>160</v>
      </c>
      <c r="S1271" s="3443"/>
      <c r="T1271" s="3443"/>
      <c r="U1271" s="3443"/>
      <c r="V1271" s="3443"/>
      <c r="W1271" s="3522" t="s">
        <v>3072</v>
      </c>
      <c r="X1271" s="3443"/>
      <c r="Y1271" s="3522"/>
    </row>
    <row r="1272" spans="1:25" ht="28.5" hidden="1">
      <c r="A1272" s="3590" t="s">
        <v>85</v>
      </c>
      <c r="B1272" s="3444">
        <v>45868</v>
      </c>
      <c r="C1272" s="3165" t="s">
        <v>3039</v>
      </c>
      <c r="D1272" s="4399"/>
      <c r="E1272" s="3618" t="s">
        <v>3073</v>
      </c>
      <c r="F1272" s="3948" t="s">
        <v>142</v>
      </c>
      <c r="G1272" s="3585"/>
      <c r="H1272" s="3951"/>
      <c r="I1272" s="3534">
        <v>705</v>
      </c>
      <c r="J1272" s="3531">
        <v>60086</v>
      </c>
      <c r="K1272" s="3928"/>
      <c r="L1272" s="3890"/>
      <c r="M1272" s="3456"/>
      <c r="N1272" s="3443" t="s">
        <v>30</v>
      </c>
      <c r="O1272" s="3443"/>
      <c r="P1272" s="21" t="s">
        <v>71</v>
      </c>
      <c r="Q1272" s="21" t="s">
        <v>138</v>
      </c>
      <c r="R1272" s="21" t="s">
        <v>160</v>
      </c>
      <c r="S1272" s="3443"/>
      <c r="T1272" s="3443"/>
      <c r="U1272" s="3443"/>
      <c r="V1272" s="3443"/>
      <c r="W1272" s="3522" t="s">
        <v>3072</v>
      </c>
      <c r="X1272" s="3443"/>
      <c r="Y1272" s="3522"/>
    </row>
    <row r="1273" spans="1:25" ht="28.5" hidden="1">
      <c r="A1273" s="3590" t="s">
        <v>85</v>
      </c>
      <c r="B1273" s="3444">
        <v>45868</v>
      </c>
      <c r="C1273" s="3355" t="s">
        <v>3039</v>
      </c>
      <c r="D1273" s="4399" t="s">
        <v>3074</v>
      </c>
      <c r="E1273" s="3679" t="s">
        <v>273</v>
      </c>
      <c r="F1273" s="3680" t="s">
        <v>584</v>
      </c>
      <c r="G1273" s="3939" t="s">
        <v>1206</v>
      </c>
      <c r="H1273" s="3935" t="s">
        <v>1199</v>
      </c>
      <c r="I1273" s="3534">
        <v>705</v>
      </c>
      <c r="J1273" s="3531" t="s">
        <v>3071</v>
      </c>
      <c r="K1273" s="3928"/>
      <c r="L1273" s="3890" t="s">
        <v>30</v>
      </c>
      <c r="M1273" s="3456"/>
      <c r="N1273" s="3443"/>
      <c r="O1273" s="3443"/>
      <c r="P1273" s="3443"/>
      <c r="Q1273" s="3443"/>
      <c r="R1273" s="3443"/>
      <c r="S1273" s="3443"/>
      <c r="T1273" s="3443"/>
      <c r="U1273" s="3443"/>
      <c r="V1273" s="3443"/>
      <c r="W1273" s="3522"/>
      <c r="X1273" s="3443"/>
      <c r="Y1273" s="3522"/>
    </row>
    <row r="1274" spans="1:25" ht="29.25" hidden="1" thickBot="1">
      <c r="A1274" s="3593" t="s">
        <v>85</v>
      </c>
      <c r="B1274" s="3448">
        <v>45868</v>
      </c>
      <c r="C1274" s="3165" t="s">
        <v>3039</v>
      </c>
      <c r="D1274" s="4399"/>
      <c r="E1274" s="4586" t="s">
        <v>586</v>
      </c>
      <c r="F1274" s="4649" t="s">
        <v>389</v>
      </c>
      <c r="G1274" s="4893" t="s">
        <v>1206</v>
      </c>
      <c r="H1274" s="4705" t="s">
        <v>1206</v>
      </c>
      <c r="I1274" s="3546">
        <v>705</v>
      </c>
      <c r="J1274" s="3586">
        <v>60086</v>
      </c>
      <c r="K1274" s="3953"/>
      <c r="L1274" s="3920" t="s">
        <v>30</v>
      </c>
      <c r="M1274" s="3508"/>
      <c r="N1274" s="3447"/>
      <c r="O1274" s="3447"/>
      <c r="P1274" s="3447"/>
      <c r="Q1274" s="3447"/>
      <c r="R1274" s="3447"/>
      <c r="S1274" s="3447"/>
      <c r="T1274" s="3447"/>
      <c r="U1274" s="3447"/>
      <c r="V1274" s="3447"/>
      <c r="W1274" s="3547"/>
      <c r="X1274" s="3447"/>
      <c r="Y1274" s="3547"/>
    </row>
    <row r="1275" spans="1:25" ht="28.5" hidden="1">
      <c r="A1275" s="3477" t="s">
        <v>85</v>
      </c>
      <c r="B1275" s="3478">
        <v>45868</v>
      </c>
      <c r="C1275" s="3165" t="s">
        <v>3039</v>
      </c>
      <c r="D1275" s="4399" t="s">
        <v>3075</v>
      </c>
      <c r="E1275" s="3708" t="s">
        <v>80</v>
      </c>
      <c r="F1275" s="3708" t="s">
        <v>1598</v>
      </c>
      <c r="G1275" s="4894" t="s">
        <v>1206</v>
      </c>
      <c r="H1275" s="4690" t="s">
        <v>1199</v>
      </c>
      <c r="I1275" s="3503">
        <v>707</v>
      </c>
      <c r="J1275" s="3503" t="s">
        <v>3076</v>
      </c>
      <c r="K1275" s="3871"/>
      <c r="L1275" s="3871"/>
      <c r="M1275" s="3503" t="s">
        <v>30</v>
      </c>
      <c r="N1275" s="3503"/>
      <c r="O1275" s="3503"/>
      <c r="P1275" s="21" t="s">
        <v>71</v>
      </c>
      <c r="Q1275" s="21" t="s">
        <v>138</v>
      </c>
      <c r="R1275" s="21" t="s">
        <v>160</v>
      </c>
      <c r="S1275" s="3503"/>
      <c r="T1275" s="3503" t="s">
        <v>37</v>
      </c>
      <c r="U1275" s="3503"/>
      <c r="V1275" s="3503"/>
      <c r="W1275" s="3521" t="s">
        <v>3077</v>
      </c>
      <c r="X1275" s="3503"/>
      <c r="Y1275" s="3521"/>
    </row>
    <row r="1276" spans="1:25" ht="28.5" hidden="1">
      <c r="A1276" s="3443" t="s">
        <v>85</v>
      </c>
      <c r="B1276" s="3444">
        <v>45868</v>
      </c>
      <c r="C1276" s="3165" t="s">
        <v>3039</v>
      </c>
      <c r="D1276" s="4399" t="s">
        <v>3078</v>
      </c>
      <c r="E1276" s="3614" t="s">
        <v>3034</v>
      </c>
      <c r="F1276" s="3614" t="s">
        <v>169</v>
      </c>
      <c r="G1276" s="3772" t="s">
        <v>1206</v>
      </c>
      <c r="H1276" s="3766" t="s">
        <v>1199</v>
      </c>
      <c r="I1276" s="3443">
        <v>707</v>
      </c>
      <c r="J1276" s="3443" t="s">
        <v>994</v>
      </c>
      <c r="K1276" s="2369"/>
      <c r="L1276" s="2369" t="s">
        <v>30</v>
      </c>
      <c r="M1276" s="3443"/>
      <c r="N1276" s="3443"/>
      <c r="O1276" s="3443"/>
      <c r="P1276" s="3443"/>
      <c r="Q1276" s="3443"/>
      <c r="R1276" s="3443"/>
      <c r="S1276" s="3443"/>
      <c r="T1276" s="3443"/>
      <c r="U1276" s="3443"/>
      <c r="V1276" s="3443"/>
      <c r="W1276" s="3522"/>
      <c r="X1276" s="3443"/>
      <c r="Y1276" s="3522"/>
    </row>
    <row r="1277" spans="1:25" ht="28.5" hidden="1">
      <c r="A1277" s="3443" t="s">
        <v>105</v>
      </c>
      <c r="B1277" s="3444">
        <v>45869</v>
      </c>
      <c r="C1277" s="3165" t="s">
        <v>3039</v>
      </c>
      <c r="D1277" s="4399" t="s">
        <v>3079</v>
      </c>
      <c r="E1277" s="3614" t="s">
        <v>48</v>
      </c>
      <c r="F1277" s="3614" t="s">
        <v>857</v>
      </c>
      <c r="G1277" s="3772" t="s">
        <v>1206</v>
      </c>
      <c r="H1277" s="3811" t="s">
        <v>1199</v>
      </c>
      <c r="I1277" s="3443">
        <v>707</v>
      </c>
      <c r="J1277" s="3443" t="s">
        <v>3080</v>
      </c>
      <c r="K1277" s="3955"/>
      <c r="L1277" s="2369" t="s">
        <v>30</v>
      </c>
      <c r="M1277" s="3443"/>
      <c r="N1277" s="3443"/>
      <c r="O1277" s="3443"/>
      <c r="P1277" s="21"/>
      <c r="Q1277" s="21"/>
      <c r="R1277" s="21"/>
      <c r="S1277" s="3443"/>
      <c r="T1277" s="3443"/>
      <c r="U1277" s="3443"/>
      <c r="V1277" s="3443"/>
      <c r="W1277" s="3522"/>
      <c r="X1277" s="3443"/>
      <c r="Y1277" s="3522"/>
    </row>
    <row r="1278" spans="1:25" ht="28.5" hidden="1">
      <c r="A1278" s="3443" t="s">
        <v>105</v>
      </c>
      <c r="B1278" s="3444">
        <v>45869</v>
      </c>
      <c r="C1278" s="3165" t="s">
        <v>3039</v>
      </c>
      <c r="D1278" s="4399" t="s">
        <v>3081</v>
      </c>
      <c r="E1278" s="3614" t="s">
        <v>169</v>
      </c>
      <c r="F1278" s="3614" t="s">
        <v>1598</v>
      </c>
      <c r="G1278" s="3811" t="s">
        <v>1199</v>
      </c>
      <c r="H1278" s="3766" t="s">
        <v>1199</v>
      </c>
      <c r="I1278" s="3443">
        <v>705</v>
      </c>
      <c r="J1278" s="3443">
        <v>1372</v>
      </c>
      <c r="K1278" s="3955"/>
      <c r="L1278" s="2369" t="s">
        <v>30</v>
      </c>
      <c r="M1278" s="3443"/>
      <c r="N1278" s="3443"/>
      <c r="O1278" s="3443"/>
      <c r="P1278" s="3443"/>
      <c r="Q1278" s="3443"/>
      <c r="R1278" s="3443"/>
      <c r="S1278" s="3443"/>
      <c r="T1278" s="3443"/>
      <c r="U1278" s="3443"/>
      <c r="V1278" s="3443"/>
      <c r="W1278" s="3522"/>
      <c r="X1278" s="3443"/>
      <c r="Y1278" s="3522"/>
    </row>
    <row r="1279" spans="1:25" ht="28.5" hidden="1">
      <c r="A1279" s="3443" t="s">
        <v>105</v>
      </c>
      <c r="B1279" s="3444">
        <v>45869</v>
      </c>
      <c r="C1279" s="3355" t="s">
        <v>3039</v>
      </c>
      <c r="D1279" s="4399" t="s">
        <v>3082</v>
      </c>
      <c r="E1279" s="3616" t="s">
        <v>2977</v>
      </c>
      <c r="F1279" s="3616" t="s">
        <v>264</v>
      </c>
      <c r="G1279" s="3956"/>
      <c r="H1279" s="3957"/>
      <c r="I1279" s="3443">
        <v>705</v>
      </c>
      <c r="J1279" s="3443" t="s">
        <v>3059</v>
      </c>
      <c r="K1279" s="3511" t="s">
        <v>84</v>
      </c>
      <c r="L1279" s="3883"/>
      <c r="M1279" s="3443" t="s">
        <v>30</v>
      </c>
      <c r="N1279" s="3443"/>
      <c r="O1279" s="3443"/>
      <c r="P1279" s="21" t="s">
        <v>122</v>
      </c>
      <c r="Q1279" s="21" t="s">
        <v>123</v>
      </c>
      <c r="R1279" s="21" t="s">
        <v>160</v>
      </c>
      <c r="S1279" s="3443"/>
      <c r="T1279" s="3443"/>
      <c r="U1279" s="3443" t="s">
        <v>30</v>
      </c>
      <c r="V1279" s="3443"/>
      <c r="W1279" s="3522" t="s">
        <v>3083</v>
      </c>
      <c r="X1279" s="3443"/>
      <c r="Y1279" s="3522"/>
    </row>
    <row r="1280" spans="1:25" ht="28.5" hidden="1">
      <c r="A1280" s="3443" t="s">
        <v>105</v>
      </c>
      <c r="B1280" s="3444">
        <v>45869</v>
      </c>
      <c r="C1280" s="3165" t="s">
        <v>3039</v>
      </c>
      <c r="D1280" s="4399"/>
      <c r="E1280" s="3616" t="s">
        <v>264</v>
      </c>
      <c r="F1280" s="3616" t="s">
        <v>1145</v>
      </c>
      <c r="G1280" s="3957" t="s">
        <v>1206</v>
      </c>
      <c r="H1280" s="3821" t="s">
        <v>1206</v>
      </c>
      <c r="I1280" s="3443">
        <v>705</v>
      </c>
      <c r="J1280" s="3443" t="s">
        <v>3084</v>
      </c>
      <c r="K1280" s="3955"/>
      <c r="L1280" s="3965"/>
      <c r="M1280" s="3443"/>
      <c r="N1280" s="3443" t="s">
        <v>30</v>
      </c>
      <c r="O1280" s="3443"/>
      <c r="P1280" s="3443"/>
      <c r="Q1280" s="3443"/>
      <c r="R1280" s="3443"/>
      <c r="S1280" s="3443"/>
      <c r="T1280" s="3443"/>
      <c r="U1280" s="3443"/>
      <c r="V1280" s="3443"/>
      <c r="W1280" s="3522" t="s">
        <v>3085</v>
      </c>
      <c r="X1280" s="3443"/>
      <c r="Y1280" s="3522"/>
    </row>
    <row r="1281" spans="1:25" ht="28.5" hidden="1">
      <c r="A1281" s="3443" t="s">
        <v>105</v>
      </c>
      <c r="B1281" s="3444">
        <v>45869</v>
      </c>
      <c r="C1281" s="3165" t="s">
        <v>3039</v>
      </c>
      <c r="D1281" s="4399" t="s">
        <v>3086</v>
      </c>
      <c r="E1281" s="3614" t="s">
        <v>106</v>
      </c>
      <c r="F1281" s="3614" t="s">
        <v>267</v>
      </c>
      <c r="G1281" s="3772" t="s">
        <v>1206</v>
      </c>
      <c r="H1281" s="3772" t="s">
        <v>1206</v>
      </c>
      <c r="I1281" s="3443">
        <v>712</v>
      </c>
      <c r="J1281" s="3443" t="s">
        <v>3063</v>
      </c>
      <c r="K1281" s="3511" t="s">
        <v>84</v>
      </c>
      <c r="L1281" s="3811" t="s">
        <v>30</v>
      </c>
      <c r="M1281" s="3443"/>
      <c r="N1281" s="3443"/>
      <c r="O1281" s="3443"/>
      <c r="P1281" s="3443"/>
      <c r="Q1281" s="3443"/>
      <c r="R1281" s="3443"/>
      <c r="S1281" s="3443"/>
      <c r="T1281" s="3443"/>
      <c r="U1281" s="3443"/>
      <c r="V1281" s="3443"/>
      <c r="W1281" s="3522"/>
      <c r="X1281" s="3443"/>
      <c r="Y1281" s="3522"/>
    </row>
    <row r="1282" spans="1:25" ht="28.5" hidden="1">
      <c r="A1282" s="3443" t="s">
        <v>105</v>
      </c>
      <c r="B1282" s="3444">
        <v>45869</v>
      </c>
      <c r="C1282" s="3165" t="s">
        <v>3039</v>
      </c>
      <c r="D1282" s="4399" t="s">
        <v>3087</v>
      </c>
      <c r="E1282" s="3614" t="s">
        <v>80</v>
      </c>
      <c r="F1282" s="3614" t="s">
        <v>48</v>
      </c>
      <c r="G1282" s="3766" t="s">
        <v>1199</v>
      </c>
      <c r="H1282" s="3766" t="s">
        <v>1199</v>
      </c>
      <c r="I1282" s="3443">
        <v>705</v>
      </c>
      <c r="J1282" s="3443" t="s">
        <v>3088</v>
      </c>
      <c r="K1282" s="3511" t="s">
        <v>320</v>
      </c>
      <c r="L1282" s="3811" t="s">
        <v>30</v>
      </c>
      <c r="M1282" s="3443"/>
      <c r="N1282" s="3443"/>
      <c r="O1282" s="3443"/>
      <c r="P1282" s="3443"/>
      <c r="Q1282" s="3443"/>
      <c r="R1282" s="3443"/>
      <c r="S1282" s="3443"/>
      <c r="T1282" s="3443"/>
      <c r="U1282" s="3443"/>
      <c r="V1282" s="3443"/>
      <c r="W1282" s="3522"/>
      <c r="X1282" s="3443"/>
      <c r="Y1282" s="3522"/>
    </row>
    <row r="1283" spans="1:25" ht="28.5" hidden="1">
      <c r="A1283" s="3443" t="s">
        <v>105</v>
      </c>
      <c r="B1283" s="3444">
        <v>45869</v>
      </c>
      <c r="C1283" s="3165" t="s">
        <v>3039</v>
      </c>
      <c r="D1283" s="4399"/>
      <c r="E1283" s="3614" t="s">
        <v>48</v>
      </c>
      <c r="F1283" s="3614" t="s">
        <v>80</v>
      </c>
      <c r="G1283" s="3766" t="s">
        <v>1199</v>
      </c>
      <c r="H1283" s="3766" t="s">
        <v>1199</v>
      </c>
      <c r="I1283" s="3443">
        <v>705</v>
      </c>
      <c r="J1283" s="3443" t="s">
        <v>489</v>
      </c>
      <c r="K1283" s="3511" t="s">
        <v>320</v>
      </c>
      <c r="L1283" s="3811" t="s">
        <v>30</v>
      </c>
      <c r="M1283" s="3443"/>
      <c r="N1283" s="3443"/>
      <c r="O1283" s="3443"/>
      <c r="P1283" s="3443"/>
      <c r="Q1283" s="3443"/>
      <c r="R1283" s="3443"/>
      <c r="S1283" s="3443"/>
      <c r="T1283" s="3443"/>
      <c r="U1283" s="3443"/>
      <c r="V1283" s="3443"/>
      <c r="W1283" s="3507"/>
      <c r="X1283" s="3443"/>
      <c r="Y1283" s="3522"/>
    </row>
    <row r="1284" spans="1:25" ht="57" hidden="1">
      <c r="A1284" s="3443" t="s">
        <v>105</v>
      </c>
      <c r="B1284" s="3444">
        <v>45869</v>
      </c>
      <c r="C1284" s="3165" t="s">
        <v>3039</v>
      </c>
      <c r="D1284" s="4399" t="s">
        <v>3089</v>
      </c>
      <c r="E1284" s="3695" t="s">
        <v>80</v>
      </c>
      <c r="F1284" s="3695" t="s">
        <v>2660</v>
      </c>
      <c r="G1284" s="3772" t="s">
        <v>1199</v>
      </c>
      <c r="H1284" s="3772" t="s">
        <v>1199</v>
      </c>
      <c r="I1284" s="3443">
        <v>705</v>
      </c>
      <c r="J1284" s="3507" t="s">
        <v>3066</v>
      </c>
      <c r="K1284" s="3955"/>
      <c r="L1284" s="3533" t="s">
        <v>30</v>
      </c>
      <c r="M1284" s="3443"/>
      <c r="N1284" s="3443"/>
      <c r="O1284" s="3443"/>
      <c r="P1284" s="3443"/>
      <c r="Q1284" s="3443"/>
      <c r="R1284" s="3443"/>
      <c r="S1284" s="3443" t="s">
        <v>30</v>
      </c>
      <c r="T1284" s="3443"/>
      <c r="U1284" s="3443"/>
      <c r="V1284" s="3443"/>
      <c r="W1284" s="3507" t="s">
        <v>3090</v>
      </c>
      <c r="X1284" s="3443"/>
      <c r="Y1284" s="3522"/>
    </row>
    <row r="1285" spans="1:25" ht="29.25" hidden="1" thickBot="1">
      <c r="A1285" s="3494" t="s">
        <v>105</v>
      </c>
      <c r="B1285" s="3448">
        <v>45869</v>
      </c>
      <c r="C1285" s="3355" t="s">
        <v>3039</v>
      </c>
      <c r="D1285" s="4399"/>
      <c r="E1285" s="4563" t="s">
        <v>2662</v>
      </c>
      <c r="F1285" s="4563" t="s">
        <v>61</v>
      </c>
      <c r="G1285" s="3771" t="s">
        <v>1199</v>
      </c>
      <c r="H1285" s="3771" t="s">
        <v>1199</v>
      </c>
      <c r="I1285" s="3447">
        <v>705</v>
      </c>
      <c r="J1285" s="3447" t="s">
        <v>580</v>
      </c>
      <c r="K1285" s="3959"/>
      <c r="L1285" s="4761" t="s">
        <v>30</v>
      </c>
      <c r="M1285" s="3447"/>
      <c r="N1285" s="3447"/>
      <c r="O1285" s="3447"/>
      <c r="P1285" s="3447"/>
      <c r="Q1285" s="3447"/>
      <c r="R1285" s="3447"/>
      <c r="S1285" s="3447" t="s">
        <v>30</v>
      </c>
      <c r="T1285" s="3447"/>
      <c r="U1285" s="3447"/>
      <c r="V1285" s="3447"/>
      <c r="W1285" s="3447"/>
      <c r="X1285" s="3447"/>
      <c r="Y1285" s="3547"/>
    </row>
    <row r="1286" spans="1:25" ht="28.5" hidden="1">
      <c r="A1286" s="3868" t="s">
        <v>105</v>
      </c>
      <c r="B1286" s="3478">
        <v>45869</v>
      </c>
      <c r="C1286" s="3165" t="s">
        <v>3039</v>
      </c>
      <c r="D1286" s="4399" t="s">
        <v>3091</v>
      </c>
      <c r="E1286" s="3917" t="s">
        <v>1464</v>
      </c>
      <c r="F1286" s="3943" t="s">
        <v>1465</v>
      </c>
      <c r="G1286" s="3923" t="s">
        <v>1206</v>
      </c>
      <c r="H1286" s="3961" t="s">
        <v>1199</v>
      </c>
      <c r="I1286" s="3477">
        <v>701</v>
      </c>
      <c r="J1286" s="3528" t="s">
        <v>2705</v>
      </c>
      <c r="K1286" s="4748"/>
      <c r="L1286" s="3919" t="s">
        <v>30</v>
      </c>
      <c r="M1286" s="3503"/>
      <c r="N1286" s="3503"/>
      <c r="O1286" s="3503"/>
      <c r="P1286" s="3503"/>
      <c r="Q1286" s="3503"/>
      <c r="R1286" s="3503"/>
      <c r="S1286" s="3503"/>
      <c r="T1286" s="3503"/>
      <c r="U1286" s="3503"/>
      <c r="V1286" s="3503"/>
      <c r="W1286" s="3528"/>
      <c r="X1286" s="3503"/>
      <c r="Y1286" s="3521"/>
    </row>
    <row r="1287" spans="1:25" ht="28.5" hidden="1">
      <c r="A1287" s="3590" t="s">
        <v>105</v>
      </c>
      <c r="B1287" s="3444">
        <v>45869</v>
      </c>
      <c r="C1287" s="3165" t="s">
        <v>3039</v>
      </c>
      <c r="D1287" s="4399"/>
      <c r="E1287" s="3878" t="s">
        <v>1465</v>
      </c>
      <c r="F1287" s="3909" t="s">
        <v>1464</v>
      </c>
      <c r="G1287" s="3931" t="s">
        <v>1199</v>
      </c>
      <c r="H1287" s="3941" t="s">
        <v>1199</v>
      </c>
      <c r="I1287" s="3480">
        <v>701</v>
      </c>
      <c r="J1287" s="3531" t="s">
        <v>2839</v>
      </c>
      <c r="K1287" s="4730"/>
      <c r="L1287" s="3890" t="s">
        <v>30</v>
      </c>
      <c r="M1287" s="3456"/>
      <c r="N1287" s="3443"/>
      <c r="O1287" s="3443"/>
      <c r="P1287" s="3443"/>
      <c r="Q1287" s="3443"/>
      <c r="R1287" s="3443"/>
      <c r="S1287" s="3443"/>
      <c r="T1287" s="3443"/>
      <c r="U1287" s="3443"/>
      <c r="V1287" s="3443"/>
      <c r="W1287" s="3531"/>
      <c r="X1287" s="3443"/>
      <c r="Y1287" s="3522"/>
    </row>
    <row r="1288" spans="1:25" ht="28.5" hidden="1">
      <c r="A1288" s="3590" t="s">
        <v>132</v>
      </c>
      <c r="B1288" s="3444">
        <v>45870</v>
      </c>
      <c r="C1288" s="3165" t="s">
        <v>3039</v>
      </c>
      <c r="D1288" s="4399" t="s">
        <v>3092</v>
      </c>
      <c r="E1288" s="3878" t="s">
        <v>1464</v>
      </c>
      <c r="F1288" s="3878" t="s">
        <v>1465</v>
      </c>
      <c r="G1288" s="3808" t="s">
        <v>1199</v>
      </c>
      <c r="H1288" s="3808" t="s">
        <v>1199</v>
      </c>
      <c r="I1288" s="3443">
        <v>701</v>
      </c>
      <c r="J1288" s="3443" t="s">
        <v>2705</v>
      </c>
      <c r="K1288" s="2369"/>
      <c r="L1288" s="3969" t="s">
        <v>30</v>
      </c>
      <c r="M1288" s="3443"/>
      <c r="N1288" s="3443"/>
      <c r="O1288" s="3443"/>
      <c r="P1288" s="3443"/>
      <c r="Q1288" s="3443"/>
      <c r="R1288" s="3443"/>
      <c r="S1288" s="3443"/>
      <c r="T1288" s="3443"/>
      <c r="U1288" s="3443"/>
      <c r="V1288" s="3443"/>
      <c r="W1288" s="3443"/>
      <c r="X1288" s="3443"/>
      <c r="Y1288" s="3522"/>
    </row>
    <row r="1289" spans="1:25" ht="28.5" hidden="1">
      <c r="A1289" s="3590" t="s">
        <v>132</v>
      </c>
      <c r="B1289" s="3444">
        <v>45870</v>
      </c>
      <c r="C1289" s="3165" t="s">
        <v>3039</v>
      </c>
      <c r="D1289" s="4399"/>
      <c r="E1289" s="3878" t="s">
        <v>1465</v>
      </c>
      <c r="F1289" s="3909" t="s">
        <v>1464</v>
      </c>
      <c r="G1289" s="3811" t="s">
        <v>1199</v>
      </c>
      <c r="H1289" s="3811" t="s">
        <v>1199</v>
      </c>
      <c r="I1289" s="3534">
        <v>701</v>
      </c>
      <c r="J1289" s="3531" t="s">
        <v>2839</v>
      </c>
      <c r="K1289" s="3912"/>
      <c r="L1289" s="3968" t="s">
        <v>30</v>
      </c>
      <c r="M1289" s="3456"/>
      <c r="N1289" s="3443"/>
      <c r="O1289" s="3443"/>
      <c r="P1289" s="3443"/>
      <c r="Q1289" s="3443"/>
      <c r="R1289" s="3443"/>
      <c r="S1289" s="3443"/>
      <c r="T1289" s="3443"/>
      <c r="U1289" s="3443"/>
      <c r="V1289" s="3443"/>
      <c r="W1289" s="3531"/>
      <c r="X1289" s="3443"/>
      <c r="Y1289" s="3522"/>
    </row>
    <row r="1290" spans="1:25" ht="28.5" hidden="1">
      <c r="A1290" s="3590" t="s">
        <v>132</v>
      </c>
      <c r="B1290" s="3444">
        <v>45870</v>
      </c>
      <c r="C1290" s="3165" t="s">
        <v>3039</v>
      </c>
      <c r="D1290" s="4399" t="s">
        <v>3093</v>
      </c>
      <c r="E1290" s="3616" t="s">
        <v>1145</v>
      </c>
      <c r="F1290" s="4008" t="s">
        <v>3094</v>
      </c>
      <c r="G1290" s="4714"/>
      <c r="H1290" s="3579"/>
      <c r="I1290" s="3534"/>
      <c r="J1290" s="3531"/>
      <c r="K1290" s="3912"/>
      <c r="L1290" s="3968" t="s">
        <v>30</v>
      </c>
      <c r="M1290" s="3456"/>
      <c r="N1290" s="3443"/>
      <c r="O1290" s="3443"/>
      <c r="P1290" s="3443"/>
      <c r="Q1290" s="3443"/>
      <c r="R1290" s="3443"/>
      <c r="S1290" s="3443"/>
      <c r="T1290" s="3443"/>
      <c r="U1290" s="3443"/>
      <c r="V1290" s="3443"/>
      <c r="W1290" s="3531"/>
      <c r="X1290" s="3443"/>
      <c r="Y1290" s="3522"/>
    </row>
    <row r="1291" spans="1:25" ht="28.5" hidden="1">
      <c r="A1291" s="3590" t="s">
        <v>132</v>
      </c>
      <c r="B1291" s="3444">
        <v>45870</v>
      </c>
      <c r="C1291" s="3355" t="s">
        <v>3039</v>
      </c>
      <c r="D1291" s="4399" t="s">
        <v>3095</v>
      </c>
      <c r="E1291" s="3787" t="s">
        <v>80</v>
      </c>
      <c r="F1291" s="3807" t="s">
        <v>273</v>
      </c>
      <c r="G1291" s="3533" t="s">
        <v>1206</v>
      </c>
      <c r="H1291" s="3533" t="s">
        <v>1206</v>
      </c>
      <c r="I1291" s="3534">
        <v>705</v>
      </c>
      <c r="J1291" s="3531" t="s">
        <v>3096</v>
      </c>
      <c r="K1291" s="3928"/>
      <c r="L1291" s="3968" t="s">
        <v>30</v>
      </c>
      <c r="M1291" s="3456"/>
      <c r="N1291" s="3443"/>
      <c r="O1291" s="3443"/>
      <c r="P1291" s="3443"/>
      <c r="Q1291" s="3443"/>
      <c r="R1291" s="3443"/>
      <c r="S1291" s="3443"/>
      <c r="T1291" s="3443"/>
      <c r="U1291" s="3443"/>
      <c r="V1291" s="3443"/>
      <c r="W1291" s="3531"/>
      <c r="X1291" s="3443"/>
      <c r="Y1291" s="3522"/>
    </row>
    <row r="1292" spans="1:25" ht="28.5" hidden="1">
      <c r="A1292" s="3590" t="s">
        <v>132</v>
      </c>
      <c r="B1292" s="3444">
        <v>45870</v>
      </c>
      <c r="C1292" s="3165" t="s">
        <v>3039</v>
      </c>
      <c r="D1292" s="4399"/>
      <c r="E1292" s="3787" t="s">
        <v>273</v>
      </c>
      <c r="F1292" s="3807" t="s">
        <v>80</v>
      </c>
      <c r="G1292" s="4895" t="s">
        <v>1206</v>
      </c>
      <c r="H1292" s="4710" t="s">
        <v>1206</v>
      </c>
      <c r="I1292" s="3480">
        <v>705</v>
      </c>
      <c r="J1292" s="3531" t="s">
        <v>2866</v>
      </c>
      <c r="K1292" s="3928"/>
      <c r="L1292" s="3968" t="s">
        <v>30</v>
      </c>
      <c r="M1292" s="3456"/>
      <c r="N1292" s="3443"/>
      <c r="O1292" s="3443"/>
      <c r="P1292" s="3443"/>
      <c r="Q1292" s="3443"/>
      <c r="R1292" s="3443"/>
      <c r="S1292" s="3443"/>
      <c r="T1292" s="3443"/>
      <c r="U1292" s="3443"/>
      <c r="V1292" s="3443"/>
      <c r="W1292" s="3531"/>
      <c r="X1292" s="3443"/>
      <c r="Y1292" s="3522"/>
    </row>
    <row r="1293" spans="1:25" ht="29.25" hidden="1" thickBot="1">
      <c r="A1293" s="3593" t="s">
        <v>132</v>
      </c>
      <c r="B1293" s="3448">
        <v>45870</v>
      </c>
      <c r="C1293" s="3165" t="s">
        <v>3039</v>
      </c>
      <c r="D1293" s="4399" t="s">
        <v>3097</v>
      </c>
      <c r="E1293" s="4025" t="s">
        <v>80</v>
      </c>
      <c r="F1293" s="4873" t="s">
        <v>1598</v>
      </c>
      <c r="G1293" s="3929" t="s">
        <v>2272</v>
      </c>
      <c r="H1293" s="4916" t="s">
        <v>2272</v>
      </c>
      <c r="I1293" s="3494">
        <v>707</v>
      </c>
      <c r="J1293" s="3586" t="s">
        <v>3076</v>
      </c>
      <c r="K1293" s="3953"/>
      <c r="L1293" s="3970" t="s">
        <v>30</v>
      </c>
      <c r="M1293" s="3508"/>
      <c r="N1293" s="3447"/>
      <c r="O1293" s="3447"/>
      <c r="P1293" s="3447"/>
      <c r="Q1293" s="3447"/>
      <c r="R1293" s="3447"/>
      <c r="S1293" s="3447"/>
      <c r="T1293" s="3447"/>
      <c r="U1293" s="3447" t="s">
        <v>30</v>
      </c>
      <c r="V1293" s="3447"/>
      <c r="W1293" s="3586"/>
      <c r="X1293" s="3447"/>
      <c r="Y1293" s="3547"/>
    </row>
    <row r="1294" spans="1:25" ht="28.5" hidden="1">
      <c r="A1294" s="3868" t="s">
        <v>132</v>
      </c>
      <c r="B1294" s="3478">
        <v>45870</v>
      </c>
      <c r="C1294" s="3165" t="s">
        <v>3039</v>
      </c>
      <c r="D1294" s="4399"/>
      <c r="E1294" s="4562" t="s">
        <v>80</v>
      </c>
      <c r="F1294" s="4635" t="s">
        <v>3098</v>
      </c>
      <c r="G1294" s="3960" t="s">
        <v>1206</v>
      </c>
      <c r="H1294" s="3960" t="s">
        <v>1206</v>
      </c>
      <c r="I1294" s="3477">
        <v>705</v>
      </c>
      <c r="J1294" s="3528" t="s">
        <v>3099</v>
      </c>
      <c r="K1294" s="3925"/>
      <c r="L1294" s="3967" t="s">
        <v>30</v>
      </c>
      <c r="M1294" s="3503"/>
      <c r="N1294" s="3443"/>
      <c r="O1294" s="3503"/>
      <c r="P1294" s="3503"/>
      <c r="Q1294" s="3503"/>
      <c r="R1294" s="3503"/>
      <c r="S1294" s="3503"/>
      <c r="T1294" s="3503"/>
      <c r="U1294" s="3503"/>
      <c r="V1294" s="3503"/>
      <c r="W1294" s="3515"/>
      <c r="X1294" s="3503"/>
      <c r="Y1294" s="3521"/>
    </row>
    <row r="1295" spans="1:25" ht="29.25" hidden="1" thickBot="1">
      <c r="A1295" s="3857" t="s">
        <v>132</v>
      </c>
      <c r="B1295" s="3463">
        <v>45870</v>
      </c>
      <c r="C1295" s="3354" t="s">
        <v>3039</v>
      </c>
      <c r="D1295" s="4400" t="s">
        <v>3100</v>
      </c>
      <c r="E1295" s="3689" t="s">
        <v>517</v>
      </c>
      <c r="F1295" s="3761" t="s">
        <v>97</v>
      </c>
      <c r="G1295" s="3952" t="s">
        <v>1206</v>
      </c>
      <c r="H1295" s="3962" t="s">
        <v>1199</v>
      </c>
      <c r="I1295" s="3500">
        <v>712</v>
      </c>
      <c r="J1295" s="3600" t="s">
        <v>3101</v>
      </c>
      <c r="K1295" s="3986"/>
      <c r="L1295" s="3987" t="s">
        <v>30</v>
      </c>
      <c r="M1295" s="3462"/>
      <c r="N1295" s="3462"/>
      <c r="O1295" s="3462" t="s">
        <v>30</v>
      </c>
      <c r="P1295" s="3462"/>
      <c r="Q1295" s="3462"/>
      <c r="R1295" s="3462"/>
      <c r="S1295" s="3462"/>
      <c r="T1295" s="3462"/>
      <c r="U1295" s="3462"/>
      <c r="V1295" s="3462"/>
      <c r="W1295" s="3600" t="s">
        <v>3102</v>
      </c>
      <c r="X1295" s="3447"/>
      <c r="Y1295" s="3547"/>
    </row>
    <row r="1296" spans="1:25" ht="28.5" hidden="1">
      <c r="A1296" s="3477" t="s">
        <v>3103</v>
      </c>
      <c r="B1296" s="3657">
        <v>45871</v>
      </c>
      <c r="C1296" s="3356" t="s">
        <v>3039</v>
      </c>
      <c r="D1296" s="3514" t="s">
        <v>3104</v>
      </c>
      <c r="E1296" s="3917" t="s">
        <v>80</v>
      </c>
      <c r="F1296" s="3918" t="s">
        <v>48</v>
      </c>
      <c r="G1296" s="3776" t="s">
        <v>1199</v>
      </c>
      <c r="H1296" s="3772" t="s">
        <v>1199</v>
      </c>
      <c r="I1296" s="3977">
        <v>707</v>
      </c>
      <c r="J1296" s="3977" t="s">
        <v>489</v>
      </c>
      <c r="K1296" s="3871"/>
      <c r="L1296" s="4757" t="s">
        <v>30</v>
      </c>
      <c r="M1296" s="3503"/>
      <c r="N1296" s="3503"/>
      <c r="O1296" s="3503"/>
      <c r="P1296" s="4722"/>
      <c r="Q1296" s="4722"/>
      <c r="R1296" s="4722"/>
      <c r="S1296" s="3503"/>
      <c r="T1296" s="3503"/>
      <c r="U1296" s="3503"/>
      <c r="V1296" s="3503"/>
      <c r="W1296" s="3521" t="s">
        <v>3105</v>
      </c>
      <c r="X1296" s="3534"/>
      <c r="Y1296" s="3507"/>
    </row>
    <row r="1297" spans="1:25" ht="28.5" hidden="1">
      <c r="A1297" s="3590" t="s">
        <v>3103</v>
      </c>
      <c r="B1297" s="3444">
        <v>45871</v>
      </c>
      <c r="C1297" s="3165" t="s">
        <v>3039</v>
      </c>
      <c r="D1297" s="4399"/>
      <c r="E1297" s="3878" t="s">
        <v>48</v>
      </c>
      <c r="F1297" s="3896" t="s">
        <v>1598</v>
      </c>
      <c r="G1297" s="3776" t="s">
        <v>1206</v>
      </c>
      <c r="H1297" s="3772" t="s">
        <v>1206</v>
      </c>
      <c r="I1297" s="3670">
        <v>707</v>
      </c>
      <c r="J1297" s="3670" t="s">
        <v>3106</v>
      </c>
      <c r="K1297" s="2369"/>
      <c r="L1297" s="3969" t="s">
        <v>30</v>
      </c>
      <c r="M1297" s="3443"/>
      <c r="N1297" s="3443"/>
      <c r="O1297" s="3534"/>
      <c r="P1297" s="3443"/>
      <c r="Q1297" s="3443"/>
      <c r="R1297" s="3443"/>
      <c r="S1297" s="3443"/>
      <c r="T1297" s="3443"/>
      <c r="U1297" s="3443"/>
      <c r="V1297" s="3443"/>
      <c r="W1297" s="3516"/>
      <c r="X1297" s="3534"/>
      <c r="Y1297" s="3507"/>
    </row>
    <row r="1298" spans="1:25" ht="28.5" hidden="1">
      <c r="A1298" s="3480" t="s">
        <v>25</v>
      </c>
      <c r="B1298" s="3444">
        <v>45873</v>
      </c>
      <c r="C1298" s="3165" t="s">
        <v>3107</v>
      </c>
      <c r="D1298" s="4399" t="s">
        <v>3108</v>
      </c>
      <c r="E1298" s="3614" t="s">
        <v>1571</v>
      </c>
      <c r="F1298" s="3643" t="s">
        <v>169</v>
      </c>
      <c r="G1298" s="3254"/>
      <c r="I1298" s="3670">
        <v>712</v>
      </c>
      <c r="J1298" s="3670" t="s">
        <v>2974</v>
      </c>
      <c r="K1298" s="3511" t="s">
        <v>174</v>
      </c>
      <c r="L1298" s="3443"/>
      <c r="M1298" s="3443" t="s">
        <v>37</v>
      </c>
      <c r="N1298" s="3443"/>
      <c r="O1298" s="3534" t="s">
        <v>37</v>
      </c>
      <c r="P1298" s="21" t="s">
        <v>71</v>
      </c>
      <c r="Q1298" s="21" t="s">
        <v>3109</v>
      </c>
      <c r="R1298" s="21" t="s">
        <v>32</v>
      </c>
      <c r="S1298" s="3443"/>
      <c r="T1298" s="3443"/>
      <c r="U1298" s="3443"/>
      <c r="W1298" s="3522" t="s">
        <v>3110</v>
      </c>
      <c r="X1298" s="3254"/>
    </row>
    <row r="1299" spans="1:25" ht="28.5" hidden="1">
      <c r="A1299" s="3480" t="s">
        <v>25</v>
      </c>
      <c r="B1299" s="3444">
        <v>45873</v>
      </c>
      <c r="C1299" s="3165" t="s">
        <v>3107</v>
      </c>
      <c r="D1299" s="4399" t="s">
        <v>3111</v>
      </c>
      <c r="E1299" s="3614" t="s">
        <v>1464</v>
      </c>
      <c r="F1299" s="3643" t="s">
        <v>1465</v>
      </c>
      <c r="G1299" s="3254"/>
      <c r="I1299" s="3670">
        <v>701</v>
      </c>
      <c r="J1299" s="3670" t="s">
        <v>2705</v>
      </c>
      <c r="K1299" s="2369"/>
      <c r="L1299" s="3443" t="s">
        <v>37</v>
      </c>
      <c r="M1299" s="3443"/>
      <c r="N1299" s="3443"/>
      <c r="O1299" s="3534"/>
      <c r="S1299" s="3443"/>
      <c r="T1299" s="3443"/>
      <c r="U1299" s="3443"/>
      <c r="W1299" s="3522"/>
      <c r="X1299" s="3254"/>
    </row>
    <row r="1300" spans="1:25" ht="28.5" hidden="1">
      <c r="A1300" s="3590" t="s">
        <v>25</v>
      </c>
      <c r="B1300" s="3444">
        <v>45873</v>
      </c>
      <c r="C1300" s="3165" t="s">
        <v>3107</v>
      </c>
      <c r="D1300" s="4399"/>
      <c r="E1300" s="3614" t="s">
        <v>1465</v>
      </c>
      <c r="F1300" s="3643" t="s">
        <v>1464</v>
      </c>
      <c r="G1300" s="3254"/>
      <c r="I1300" s="3670">
        <v>701</v>
      </c>
      <c r="J1300" s="3670" t="s">
        <v>2839</v>
      </c>
      <c r="K1300" s="2369"/>
      <c r="L1300" s="3443" t="s">
        <v>37</v>
      </c>
      <c r="M1300" s="3443"/>
      <c r="N1300" s="3443"/>
      <c r="O1300" s="3534"/>
      <c r="S1300" s="3443"/>
      <c r="T1300" s="3443"/>
      <c r="U1300" s="3443"/>
      <c r="W1300" s="3522"/>
      <c r="X1300" s="3254"/>
    </row>
    <row r="1301" spans="1:25" ht="28.5" hidden="1">
      <c r="A1301" s="3590" t="s">
        <v>25</v>
      </c>
      <c r="B1301" s="3444">
        <v>45873</v>
      </c>
      <c r="C1301" s="3165" t="s">
        <v>3107</v>
      </c>
      <c r="D1301" s="4399" t="s">
        <v>3112</v>
      </c>
      <c r="E1301" s="3614" t="s">
        <v>80</v>
      </c>
      <c r="F1301" s="3643" t="s">
        <v>1052</v>
      </c>
      <c r="G1301" s="3254"/>
      <c r="I1301" s="3670">
        <v>705</v>
      </c>
      <c r="J1301" s="3670" t="s">
        <v>580</v>
      </c>
      <c r="K1301" s="2369"/>
      <c r="L1301" s="3443" t="s">
        <v>37</v>
      </c>
      <c r="M1301" s="3443"/>
      <c r="N1301" s="3443"/>
      <c r="O1301" s="3534"/>
      <c r="S1301" s="3443"/>
      <c r="T1301" s="3443"/>
      <c r="U1301" s="3443"/>
      <c r="W1301" s="3522"/>
      <c r="X1301" s="3254"/>
    </row>
    <row r="1302" spans="1:25" ht="28.5" hidden="1">
      <c r="A1302" s="3857" t="s">
        <v>25</v>
      </c>
      <c r="B1302" s="3444">
        <v>45873</v>
      </c>
      <c r="C1302" s="3165" t="s">
        <v>3107</v>
      </c>
      <c r="D1302" s="4399"/>
      <c r="E1302" s="3614" t="s">
        <v>258</v>
      </c>
      <c r="F1302" s="3643" t="s">
        <v>61</v>
      </c>
      <c r="G1302" s="3254"/>
      <c r="I1302" s="3670">
        <v>705</v>
      </c>
      <c r="J1302" s="3670" t="s">
        <v>3113</v>
      </c>
      <c r="K1302" s="2369"/>
      <c r="L1302" s="3443" t="s">
        <v>37</v>
      </c>
      <c r="M1302" s="3443"/>
      <c r="N1302" s="3443"/>
      <c r="O1302" s="3534"/>
      <c r="S1302" s="3443"/>
      <c r="T1302" s="3443"/>
      <c r="U1302" s="3443"/>
      <c r="W1302" s="3522"/>
      <c r="X1302" s="3254"/>
    </row>
    <row r="1303" spans="1:25" ht="28.5" hidden="1">
      <c r="A1303" s="3480" t="s">
        <v>25</v>
      </c>
      <c r="B1303" s="3444">
        <v>45873</v>
      </c>
      <c r="C1303" s="3165" t="s">
        <v>3107</v>
      </c>
      <c r="D1303" s="4399" t="s">
        <v>3114</v>
      </c>
      <c r="E1303" s="3614" t="s">
        <v>3115</v>
      </c>
      <c r="F1303" s="3643" t="s">
        <v>3116</v>
      </c>
      <c r="G1303" s="3254"/>
      <c r="I1303" s="3670">
        <v>705</v>
      </c>
      <c r="J1303" s="3670" t="s">
        <v>3117</v>
      </c>
      <c r="K1303" s="3511" t="s">
        <v>84</v>
      </c>
      <c r="L1303" s="3443" t="s">
        <v>37</v>
      </c>
      <c r="M1303" s="3443"/>
      <c r="N1303" s="3443"/>
      <c r="O1303" s="3534"/>
      <c r="S1303" s="3443"/>
      <c r="T1303" s="3443"/>
      <c r="U1303" s="3443"/>
      <c r="W1303" s="3522"/>
      <c r="X1303" s="3254"/>
    </row>
    <row r="1304" spans="1:25" ht="28.5" hidden="1">
      <c r="A1304" s="3480" t="s">
        <v>25</v>
      </c>
      <c r="B1304" s="3444">
        <v>45873</v>
      </c>
      <c r="C1304" s="3165" t="s">
        <v>3107</v>
      </c>
      <c r="D1304" s="4399" t="s">
        <v>3118</v>
      </c>
      <c r="E1304" s="3614" t="s">
        <v>48</v>
      </c>
      <c r="F1304" s="3643" t="s">
        <v>3070</v>
      </c>
      <c r="G1304" s="3254"/>
      <c r="I1304" s="3670">
        <v>705</v>
      </c>
      <c r="J1304" s="3670" t="s">
        <v>3071</v>
      </c>
      <c r="K1304" s="2369"/>
      <c r="L1304" s="3443" t="s">
        <v>37</v>
      </c>
      <c r="M1304" s="3443"/>
      <c r="N1304" s="3443"/>
      <c r="O1304" s="3534"/>
      <c r="S1304" s="3443"/>
      <c r="T1304" s="3443"/>
      <c r="U1304" s="3443"/>
      <c r="W1304" s="3522"/>
      <c r="X1304" s="3254"/>
    </row>
    <row r="1305" spans="1:25" ht="28.5" hidden="1">
      <c r="A1305" s="3500" t="s">
        <v>25</v>
      </c>
      <c r="B1305" s="3971">
        <v>45873</v>
      </c>
      <c r="C1305" s="3165" t="s">
        <v>3107</v>
      </c>
      <c r="D1305" s="4399"/>
      <c r="E1305" s="3689" t="s">
        <v>3073</v>
      </c>
      <c r="F1305" s="3714" t="s">
        <v>142</v>
      </c>
      <c r="G1305" s="3254"/>
      <c r="I1305" s="3978">
        <v>705</v>
      </c>
      <c r="J1305" s="3670">
        <v>60086</v>
      </c>
      <c r="K1305" s="2369"/>
      <c r="L1305" s="3443" t="s">
        <v>37</v>
      </c>
      <c r="M1305" s="3443"/>
      <c r="N1305" s="3443"/>
      <c r="O1305" s="3534"/>
      <c r="S1305" s="3443"/>
      <c r="T1305" s="3443"/>
      <c r="U1305" s="3443"/>
      <c r="W1305" s="3522"/>
      <c r="X1305" s="3254"/>
    </row>
    <row r="1306" spans="1:25" ht="28.5" hidden="1">
      <c r="A1306" s="3857" t="s">
        <v>25</v>
      </c>
      <c r="B1306" s="3463">
        <v>45873</v>
      </c>
      <c r="C1306" s="3165" t="s">
        <v>3107</v>
      </c>
      <c r="D1306" s="4399" t="s">
        <v>3119</v>
      </c>
      <c r="E1306" s="3689" t="s">
        <v>80</v>
      </c>
      <c r="F1306" s="3714" t="s">
        <v>44</v>
      </c>
      <c r="G1306" s="3254"/>
      <c r="I1306" s="3978">
        <v>705</v>
      </c>
      <c r="J1306" s="3978" t="s">
        <v>3120</v>
      </c>
      <c r="K1306" s="2369"/>
      <c r="L1306" s="3443" t="s">
        <v>37</v>
      </c>
      <c r="M1306" s="3443"/>
      <c r="N1306" s="3443"/>
      <c r="O1306" s="3534"/>
      <c r="S1306" s="3443"/>
      <c r="T1306" s="3443"/>
      <c r="U1306" s="3443"/>
      <c r="W1306" s="3522"/>
      <c r="X1306" s="3254"/>
    </row>
    <row r="1307" spans="1:25" ht="28.5" hidden="1">
      <c r="A1307" s="3857" t="s">
        <v>25</v>
      </c>
      <c r="B1307" s="3463">
        <v>45873</v>
      </c>
      <c r="C1307" s="3354" t="s">
        <v>3107</v>
      </c>
      <c r="D1307" s="4400"/>
      <c r="E1307" s="3689" t="s">
        <v>48</v>
      </c>
      <c r="F1307" s="3714" t="s">
        <v>3098</v>
      </c>
      <c r="G1307" s="3254"/>
      <c r="I1307" s="3857">
        <v>705</v>
      </c>
      <c r="J1307" s="3978" t="s">
        <v>3121</v>
      </c>
      <c r="K1307" s="2371"/>
      <c r="L1307" s="3462" t="s">
        <v>37</v>
      </c>
      <c r="M1307" s="3462"/>
      <c r="N1307" s="3462"/>
      <c r="O1307" s="3545"/>
      <c r="P1307" s="3273"/>
      <c r="Q1307" s="3273"/>
      <c r="R1307" s="3273"/>
      <c r="S1307" s="3462"/>
      <c r="T1307" s="3462"/>
      <c r="U1307" s="3462"/>
      <c r="V1307" s="3273"/>
      <c r="W1307" s="3544"/>
      <c r="X1307" s="3364"/>
      <c r="Y1307" s="3274"/>
    </row>
    <row r="1308" spans="1:25" ht="28.5" hidden="1">
      <c r="A1308" s="3868" t="s">
        <v>25</v>
      </c>
      <c r="B1308" s="3478">
        <v>45873</v>
      </c>
      <c r="C1308" s="3356" t="s">
        <v>3107</v>
      </c>
      <c r="D1308" s="3514" t="s">
        <v>3122</v>
      </c>
      <c r="E1308" s="3708" t="s">
        <v>80</v>
      </c>
      <c r="F1308" s="3709" t="s">
        <v>79</v>
      </c>
      <c r="G1308" s="3254"/>
      <c r="I1308" s="3977">
        <v>705</v>
      </c>
      <c r="J1308" s="3977" t="s">
        <v>3123</v>
      </c>
      <c r="K1308" s="3871"/>
      <c r="L1308" s="3503" t="s">
        <v>37</v>
      </c>
      <c r="M1308" s="3503"/>
      <c r="N1308" s="3503"/>
      <c r="O1308" s="3530"/>
      <c r="P1308" s="3281"/>
      <c r="Q1308" s="3281"/>
      <c r="R1308" s="3281"/>
      <c r="S1308" s="3503"/>
      <c r="T1308" s="3503"/>
      <c r="U1308" s="3503"/>
      <c r="V1308" s="3281"/>
      <c r="W1308" s="3519"/>
      <c r="X1308" s="3281"/>
      <c r="Y1308" s="3282"/>
    </row>
    <row r="1309" spans="1:25" ht="28.5" hidden="1">
      <c r="A1309" s="3588" t="s">
        <v>25</v>
      </c>
      <c r="B1309" s="3457">
        <v>45873</v>
      </c>
      <c r="C1309" s="3165" t="s">
        <v>3107</v>
      </c>
      <c r="D1309" s="4399" t="s">
        <v>3124</v>
      </c>
      <c r="E1309" s="3685" t="s">
        <v>80</v>
      </c>
      <c r="F1309" s="3869" t="s">
        <v>80</v>
      </c>
      <c r="G1309" s="3254"/>
      <c r="I1309" s="3660">
        <v>705</v>
      </c>
      <c r="J1309" s="3670" t="s">
        <v>3125</v>
      </c>
      <c r="K1309" s="3511" t="s">
        <v>174</v>
      </c>
      <c r="L1309" s="3443" t="s">
        <v>37</v>
      </c>
      <c r="M1309" s="3443"/>
      <c r="N1309" s="3443"/>
      <c r="O1309" s="3534"/>
      <c r="S1309" s="3443"/>
      <c r="T1309" s="3443"/>
      <c r="U1309" s="3443"/>
      <c r="W1309" s="3507"/>
      <c r="Y1309" s="3283"/>
    </row>
    <row r="1310" spans="1:25" ht="28.5" hidden="1">
      <c r="A1310" s="3590" t="s">
        <v>67</v>
      </c>
      <c r="B1310" s="3444">
        <v>45873</v>
      </c>
      <c r="C1310" s="3165" t="s">
        <v>3107</v>
      </c>
      <c r="D1310" s="4399" t="s">
        <v>3126</v>
      </c>
      <c r="E1310" s="3614" t="s">
        <v>80</v>
      </c>
      <c r="F1310" s="3643" t="s">
        <v>3127</v>
      </c>
      <c r="G1310" s="3254"/>
      <c r="I1310" s="3670">
        <v>705</v>
      </c>
      <c r="J1310" s="3670" t="s">
        <v>3128</v>
      </c>
      <c r="K1310" s="2369"/>
      <c r="L1310" s="3443"/>
      <c r="M1310" s="3443" t="s">
        <v>30</v>
      </c>
      <c r="N1310" s="3443"/>
      <c r="O1310" s="3534"/>
      <c r="P1310" s="21" t="s">
        <v>0</v>
      </c>
      <c r="Q1310" s="21" t="s">
        <v>782</v>
      </c>
      <c r="R1310" s="21" t="s">
        <v>160</v>
      </c>
      <c r="S1310" s="3443" t="s">
        <v>37</v>
      </c>
      <c r="T1310" s="3443"/>
      <c r="U1310" s="3443" t="s">
        <v>37</v>
      </c>
      <c r="W1310" s="3507" t="s">
        <v>3129</v>
      </c>
      <c r="Y1310" s="3283"/>
    </row>
    <row r="1311" spans="1:25" ht="28.5" hidden="1">
      <c r="A1311" s="3857" t="s">
        <v>67</v>
      </c>
      <c r="B1311" s="3463">
        <v>45873</v>
      </c>
      <c r="C1311" s="3165" t="s">
        <v>3107</v>
      </c>
      <c r="D1311" s="4399"/>
      <c r="E1311" s="3689" t="s">
        <v>3130</v>
      </c>
      <c r="F1311" s="3714" t="s">
        <v>3131</v>
      </c>
      <c r="G1311" s="3254"/>
      <c r="I1311" s="3978">
        <v>705</v>
      </c>
      <c r="J1311" s="3670" t="s">
        <v>692</v>
      </c>
      <c r="K1311" s="2369"/>
      <c r="L1311" s="3443"/>
      <c r="M1311" s="3443"/>
      <c r="N1311" s="3443" t="s">
        <v>37</v>
      </c>
      <c r="O1311" s="3534"/>
      <c r="P1311" s="3161" t="s">
        <v>3132</v>
      </c>
      <c r="R1311" s="3161"/>
      <c r="S1311" s="3443"/>
      <c r="T1311" s="3443"/>
      <c r="U1311" s="3443" t="s">
        <v>37</v>
      </c>
      <c r="W1311" s="3507" t="s">
        <v>3129</v>
      </c>
      <c r="Y1311" s="3283"/>
    </row>
    <row r="1312" spans="1:25" ht="28.5" hidden="1">
      <c r="A1312" s="3857" t="s">
        <v>67</v>
      </c>
      <c r="B1312" s="3463">
        <v>45874</v>
      </c>
      <c r="C1312" s="3165" t="s">
        <v>3107</v>
      </c>
      <c r="D1312" s="4399"/>
      <c r="E1312" s="3714" t="s">
        <v>491</v>
      </c>
      <c r="F1312" s="3714" t="s">
        <v>142</v>
      </c>
      <c r="G1312" s="3254"/>
      <c r="I1312" s="3978">
        <v>705</v>
      </c>
      <c r="J1312" s="3670" t="s">
        <v>3117</v>
      </c>
      <c r="K1312" s="2369"/>
      <c r="L1312" s="3443" t="s">
        <v>37</v>
      </c>
      <c r="M1312" s="3443"/>
      <c r="N1312" s="3443"/>
      <c r="O1312" s="3534"/>
      <c r="S1312" s="3443"/>
      <c r="T1312" s="3443"/>
      <c r="U1312" s="3443"/>
      <c r="W1312" s="3507"/>
      <c r="Y1312" s="3283"/>
    </row>
    <row r="1313" spans="1:25" ht="28.5" hidden="1">
      <c r="A1313" s="3857" t="s">
        <v>67</v>
      </c>
      <c r="B1313" s="3463">
        <v>45874</v>
      </c>
      <c r="C1313" s="3165" t="s">
        <v>3107</v>
      </c>
      <c r="D1313" s="4399" t="s">
        <v>3133</v>
      </c>
      <c r="E1313" s="3689" t="s">
        <v>1464</v>
      </c>
      <c r="F1313" s="3714" t="s">
        <v>1465</v>
      </c>
      <c r="G1313" s="3254"/>
      <c r="I1313" s="3978">
        <v>701</v>
      </c>
      <c r="J1313" s="3670" t="s">
        <v>2705</v>
      </c>
      <c r="K1313" s="2369"/>
      <c r="L1313" s="3443" t="s">
        <v>37</v>
      </c>
      <c r="M1313" s="3443"/>
      <c r="N1313" s="3443"/>
      <c r="O1313" s="3534"/>
      <c r="R1313" s="3161"/>
      <c r="S1313" s="3443"/>
      <c r="T1313" s="3443"/>
      <c r="U1313" s="3443"/>
      <c r="W1313" s="3507"/>
      <c r="Y1313" s="3283"/>
    </row>
    <row r="1314" spans="1:25" ht="28.5" hidden="1">
      <c r="A1314" s="3857" t="s">
        <v>67</v>
      </c>
      <c r="B1314" s="3463">
        <v>45874</v>
      </c>
      <c r="C1314" s="3165" t="s">
        <v>3107</v>
      </c>
      <c r="D1314" s="4399"/>
      <c r="E1314" s="3689" t="s">
        <v>1465</v>
      </c>
      <c r="F1314" s="3714" t="s">
        <v>1464</v>
      </c>
      <c r="G1314" s="3254"/>
      <c r="I1314" s="3978">
        <v>701</v>
      </c>
      <c r="J1314" s="3670" t="s">
        <v>2839</v>
      </c>
      <c r="K1314" s="2369"/>
      <c r="L1314" s="3443" t="s">
        <v>37</v>
      </c>
      <c r="M1314" s="3443"/>
      <c r="N1314" s="3443"/>
      <c r="O1314" s="3534"/>
      <c r="S1314" s="3443"/>
      <c r="T1314" s="3443"/>
      <c r="U1314" s="3443"/>
      <c r="W1314" s="3507"/>
      <c r="Y1314" s="3283"/>
    </row>
    <row r="1315" spans="1:25" ht="85.5" hidden="1">
      <c r="A1315" s="3480" t="s">
        <v>67</v>
      </c>
      <c r="B1315" s="3840">
        <v>45874</v>
      </c>
      <c r="C1315" s="3165" t="s">
        <v>3107</v>
      </c>
      <c r="D1315" s="4399" t="s">
        <v>3134</v>
      </c>
      <c r="E1315" s="3828" t="s">
        <v>273</v>
      </c>
      <c r="F1315" s="3643" t="s">
        <v>3135</v>
      </c>
      <c r="G1315" s="3254"/>
      <c r="I1315" s="3670">
        <v>712</v>
      </c>
      <c r="J1315" s="3670" t="s">
        <v>3136</v>
      </c>
      <c r="K1315" s="2369"/>
      <c r="L1315" s="3443"/>
      <c r="M1315" s="3443" t="s">
        <v>37</v>
      </c>
      <c r="N1315" s="3443"/>
      <c r="O1315" s="3534" t="s">
        <v>37</v>
      </c>
      <c r="P1315" s="21" t="s">
        <v>71</v>
      </c>
      <c r="Q1315" s="21" t="s">
        <v>138</v>
      </c>
      <c r="R1315" s="21" t="s">
        <v>32</v>
      </c>
      <c r="S1315" s="3443"/>
      <c r="T1315" s="3443"/>
      <c r="U1315" s="3443"/>
      <c r="W1315" s="3913" t="s">
        <v>3137</v>
      </c>
      <c r="Y1315" s="3283"/>
    </row>
    <row r="1316" spans="1:25" ht="28.5" hidden="1">
      <c r="A1316" s="3480" t="s">
        <v>67</v>
      </c>
      <c r="B1316" s="3840">
        <v>45874</v>
      </c>
      <c r="C1316" s="3165" t="s">
        <v>3107</v>
      </c>
      <c r="D1316" s="4399"/>
      <c r="E1316" s="3828" t="s">
        <v>3138</v>
      </c>
      <c r="F1316" s="3643" t="s">
        <v>314</v>
      </c>
      <c r="G1316" s="3254"/>
      <c r="I1316" s="3670">
        <v>712</v>
      </c>
      <c r="J1316" s="3670" t="s">
        <v>3136</v>
      </c>
      <c r="K1316" s="2369"/>
      <c r="L1316" s="3443" t="s">
        <v>37</v>
      </c>
      <c r="M1316" s="3443"/>
      <c r="N1316" s="3443" t="s">
        <v>37</v>
      </c>
      <c r="O1316" s="3534" t="s">
        <v>37</v>
      </c>
      <c r="P1316" s="3161"/>
      <c r="Q1316" s="3161"/>
      <c r="R1316" s="3161"/>
      <c r="S1316" s="3443"/>
      <c r="T1316" s="3443"/>
      <c r="U1316" s="3443"/>
      <c r="W1316" s="3522"/>
      <c r="Y1316" s="3283"/>
    </row>
    <row r="1317" spans="1:25" ht="57" hidden="1">
      <c r="A1317" s="3598" t="s">
        <v>67</v>
      </c>
      <c r="B1317" s="3972">
        <v>45874</v>
      </c>
      <c r="C1317" s="3165" t="s">
        <v>3107</v>
      </c>
      <c r="D1317" s="4399" t="s">
        <v>3139</v>
      </c>
      <c r="E1317" s="3762" t="s">
        <v>48</v>
      </c>
      <c r="F1317" s="3975" t="s">
        <v>3140</v>
      </c>
      <c r="G1317" s="3254"/>
      <c r="I1317" s="3661">
        <v>705</v>
      </c>
      <c r="J1317" s="3978" t="s">
        <v>333</v>
      </c>
      <c r="K1317" s="2371"/>
      <c r="L1317" s="3462"/>
      <c r="M1317" s="3462" t="s">
        <v>37</v>
      </c>
      <c r="N1317" s="3462"/>
      <c r="O1317" s="3545" t="s">
        <v>37</v>
      </c>
      <c r="P1317" s="3160" t="s">
        <v>0</v>
      </c>
      <c r="Q1317" s="21" t="s">
        <v>526</v>
      </c>
      <c r="R1317" s="21" t="s">
        <v>160</v>
      </c>
      <c r="S1317" s="3462"/>
      <c r="T1317" s="3462"/>
      <c r="U1317" s="3462" t="s">
        <v>30</v>
      </c>
      <c r="W1317" s="3522" t="s">
        <v>3141</v>
      </c>
      <c r="Y1317" s="3283"/>
    </row>
    <row r="1318" spans="1:25" ht="28.5" hidden="1">
      <c r="A1318" s="3480" t="s">
        <v>67</v>
      </c>
      <c r="B1318" s="3444">
        <v>45874</v>
      </c>
      <c r="C1318" s="3165" t="s">
        <v>3107</v>
      </c>
      <c r="D1318" s="4399"/>
      <c r="E1318" s="3614" t="s">
        <v>3006</v>
      </c>
      <c r="F1318" s="3643" t="s">
        <v>142</v>
      </c>
      <c r="G1318" s="3254"/>
      <c r="I1318" s="3670">
        <v>705</v>
      </c>
      <c r="J1318" s="3670" t="s">
        <v>333</v>
      </c>
      <c r="K1318" s="2369"/>
      <c r="L1318" s="3443" t="s">
        <v>37</v>
      </c>
      <c r="M1318" s="3443"/>
      <c r="N1318" s="3443"/>
      <c r="O1318" s="3534"/>
      <c r="P1318" s="3161"/>
      <c r="Q1318" s="3161"/>
      <c r="R1318" s="3161"/>
      <c r="S1318" s="3443"/>
      <c r="T1318" s="3443"/>
      <c r="U1318" s="3443" t="s">
        <v>30</v>
      </c>
      <c r="W1318" s="3522"/>
      <c r="Y1318" s="3283"/>
    </row>
    <row r="1319" spans="1:25" ht="29.25" hidden="1" thickBot="1">
      <c r="A1319" s="3494" t="s">
        <v>67</v>
      </c>
      <c r="B1319" s="3973">
        <v>45874</v>
      </c>
      <c r="C1319" s="3357" t="s">
        <v>3107</v>
      </c>
      <c r="D1319" s="4404" t="s">
        <v>3142</v>
      </c>
      <c r="E1319" s="3829" t="s">
        <v>3046</v>
      </c>
      <c r="F1319" s="3715" t="s">
        <v>3143</v>
      </c>
      <c r="G1319" s="3254"/>
      <c r="I1319" s="3979">
        <v>705</v>
      </c>
      <c r="J1319" s="3979" t="s">
        <v>1436</v>
      </c>
      <c r="K1319" s="3608" t="s">
        <v>29</v>
      </c>
      <c r="L1319" s="3447" t="s">
        <v>37</v>
      </c>
      <c r="M1319" s="3447"/>
      <c r="N1319" s="3447"/>
      <c r="O1319" s="3546"/>
      <c r="P1319" s="3284"/>
      <c r="Q1319" s="3284"/>
      <c r="R1319" s="3284"/>
      <c r="S1319" s="3447"/>
      <c r="T1319" s="3447"/>
      <c r="U1319" s="3447"/>
      <c r="V1319" s="3284"/>
      <c r="W1319" s="3547"/>
      <c r="X1319" s="3284"/>
      <c r="Y1319" s="3285"/>
    </row>
    <row r="1320" spans="1:25" ht="28.5" hidden="1">
      <c r="A1320" s="3588" t="s">
        <v>67</v>
      </c>
      <c r="B1320" s="3457">
        <v>45874</v>
      </c>
      <c r="C1320" s="3355" t="s">
        <v>3107</v>
      </c>
      <c r="D1320" s="3513" t="s">
        <v>3144</v>
      </c>
      <c r="E1320" s="3685" t="s">
        <v>80</v>
      </c>
      <c r="F1320" s="3869" t="s">
        <v>48</v>
      </c>
      <c r="I1320" s="3660">
        <v>705</v>
      </c>
      <c r="J1320" s="3660" t="s">
        <v>3145</v>
      </c>
      <c r="K1320" s="3673" t="s">
        <v>114</v>
      </c>
      <c r="L1320" s="3456"/>
      <c r="M1320" s="3456" t="s">
        <v>30</v>
      </c>
      <c r="N1320" s="3456"/>
      <c r="O1320" s="3605"/>
      <c r="P1320" s="119" t="s">
        <v>0</v>
      </c>
      <c r="Q1320" s="119" t="s">
        <v>782</v>
      </c>
      <c r="R1320" s="119" t="s">
        <v>160</v>
      </c>
      <c r="S1320" s="3456" t="s">
        <v>37</v>
      </c>
      <c r="T1320" s="3456"/>
      <c r="U1320" s="3456"/>
      <c r="V1320" s="3276"/>
      <c r="W1320" s="3512" t="s">
        <v>3129</v>
      </c>
      <c r="X1320" s="3276"/>
      <c r="Y1320" s="3277"/>
    </row>
    <row r="1321" spans="1:25" ht="28.5" hidden="1">
      <c r="A1321" s="3588" t="s">
        <v>67</v>
      </c>
      <c r="B1321" s="3457">
        <v>45874</v>
      </c>
      <c r="C1321" s="3165" t="s">
        <v>3107</v>
      </c>
      <c r="D1321" s="4399" t="s">
        <v>3146</v>
      </c>
      <c r="E1321" s="3685" t="s">
        <v>48</v>
      </c>
      <c r="F1321" s="3869" t="s">
        <v>2488</v>
      </c>
      <c r="I1321" s="3660"/>
      <c r="J1321" s="3670" t="s">
        <v>3145</v>
      </c>
      <c r="K1321" s="3511" t="s">
        <v>114</v>
      </c>
      <c r="L1321" s="3443"/>
      <c r="M1321" s="3443"/>
      <c r="N1321" s="3443" t="s">
        <v>37</v>
      </c>
      <c r="O1321" s="3534"/>
      <c r="P1321" s="3160" t="s">
        <v>3132</v>
      </c>
      <c r="S1321" s="3443"/>
      <c r="T1321" s="3443"/>
      <c r="U1321" s="3443"/>
      <c r="W1321" s="3507" t="s">
        <v>3129</v>
      </c>
    </row>
    <row r="1322" spans="1:25" ht="28.5" hidden="1">
      <c r="A1322" s="3590" t="s">
        <v>85</v>
      </c>
      <c r="B1322" s="3444">
        <v>45875</v>
      </c>
      <c r="C1322" s="3165" t="s">
        <v>3107</v>
      </c>
      <c r="D1322" s="4399"/>
      <c r="E1322" s="3614" t="s">
        <v>204</v>
      </c>
      <c r="F1322" s="3643" t="s">
        <v>3147</v>
      </c>
      <c r="I1322" s="3670">
        <v>712</v>
      </c>
      <c r="J1322" s="3670" t="s">
        <v>3136</v>
      </c>
      <c r="K1322" s="2369"/>
      <c r="L1322" s="3443" t="s">
        <v>37</v>
      </c>
      <c r="M1322" s="3443"/>
      <c r="N1322" s="3443"/>
      <c r="O1322" s="3534"/>
      <c r="S1322" s="3443"/>
      <c r="T1322" s="3443"/>
      <c r="U1322" s="3443"/>
      <c r="W1322" s="3507"/>
    </row>
    <row r="1323" spans="1:25" ht="28.5" hidden="1">
      <c r="A1323" s="3480" t="s">
        <v>85</v>
      </c>
      <c r="B1323" s="3840">
        <v>45875</v>
      </c>
      <c r="C1323" s="3165" t="s">
        <v>3107</v>
      </c>
      <c r="D1323" s="4399" t="s">
        <v>3148</v>
      </c>
      <c r="E1323" s="3828" t="s">
        <v>1464</v>
      </c>
      <c r="F1323" s="3643" t="s">
        <v>1465</v>
      </c>
      <c r="I1323" s="3670">
        <v>701</v>
      </c>
      <c r="J1323" s="3670" t="s">
        <v>2705</v>
      </c>
      <c r="K1323" s="2369"/>
      <c r="L1323" s="3443" t="s">
        <v>37</v>
      </c>
      <c r="M1323" s="3443"/>
      <c r="N1323" s="3443"/>
      <c r="O1323" s="3534"/>
      <c r="S1323" s="3443"/>
      <c r="T1323" s="3443"/>
      <c r="U1323" s="3443"/>
      <c r="W1323" s="3913"/>
    </row>
    <row r="1324" spans="1:25" ht="28.5" hidden="1">
      <c r="A1324" s="3480" t="s">
        <v>85</v>
      </c>
      <c r="B1324" s="3840">
        <v>45875</v>
      </c>
      <c r="C1324" s="3165" t="s">
        <v>3107</v>
      </c>
      <c r="D1324" s="4399"/>
      <c r="E1324" s="3828" t="s">
        <v>1465</v>
      </c>
      <c r="F1324" s="3643" t="s">
        <v>1464</v>
      </c>
      <c r="I1324" s="3670">
        <v>701</v>
      </c>
      <c r="J1324" s="3670" t="s">
        <v>2839</v>
      </c>
      <c r="K1324" s="2369"/>
      <c r="L1324" s="3443" t="s">
        <v>37</v>
      </c>
      <c r="M1324" s="3443"/>
      <c r="N1324" s="3443"/>
      <c r="O1324" s="3534"/>
      <c r="S1324" s="3443"/>
      <c r="T1324" s="3443"/>
      <c r="U1324" s="3443"/>
      <c r="W1324" s="3913"/>
    </row>
    <row r="1325" spans="1:25" ht="28.5" hidden="1">
      <c r="A1325" s="3480" t="s">
        <v>85</v>
      </c>
      <c r="B1325" s="3840">
        <v>45875</v>
      </c>
      <c r="C1325" s="3165" t="s">
        <v>3107</v>
      </c>
      <c r="D1325" s="4399"/>
      <c r="E1325" s="3828" t="s">
        <v>450</v>
      </c>
      <c r="F1325" s="3643" t="s">
        <v>518</v>
      </c>
      <c r="I1325" s="3670">
        <v>705</v>
      </c>
      <c r="J1325" s="3984" t="s">
        <v>1436</v>
      </c>
      <c r="K1325" s="3511" t="s">
        <v>29</v>
      </c>
      <c r="L1325" s="3443" t="s">
        <v>37</v>
      </c>
      <c r="M1325" s="3443"/>
      <c r="N1325" s="3443"/>
      <c r="O1325" s="3534"/>
      <c r="S1325" s="3443"/>
      <c r="T1325" s="3443"/>
      <c r="U1325" s="3443"/>
      <c r="W1325" s="3913"/>
    </row>
    <row r="1326" spans="1:25" ht="28.5" hidden="1">
      <c r="A1326" s="3480" t="s">
        <v>85</v>
      </c>
      <c r="B1326" s="3840">
        <v>45875</v>
      </c>
      <c r="C1326" s="3165" t="s">
        <v>3107</v>
      </c>
      <c r="D1326" s="4399" t="s">
        <v>3149</v>
      </c>
      <c r="E1326" s="3828" t="s">
        <v>169</v>
      </c>
      <c r="F1326" s="3643" t="s">
        <v>1571</v>
      </c>
      <c r="I1326" s="3670">
        <v>712</v>
      </c>
      <c r="J1326" s="3670" t="s">
        <v>3014</v>
      </c>
      <c r="K1326" s="3511" t="s">
        <v>174</v>
      </c>
      <c r="L1326" s="3443" t="s">
        <v>37</v>
      </c>
      <c r="M1326" s="3443"/>
      <c r="N1326" s="3443"/>
      <c r="O1326" s="3534"/>
      <c r="S1326" s="3443"/>
      <c r="T1326" s="3443"/>
      <c r="U1326" s="3443"/>
      <c r="W1326" s="3913"/>
    </row>
    <row r="1327" spans="1:25" ht="28.5" hidden="1">
      <c r="A1327" s="3480" t="s">
        <v>85</v>
      </c>
      <c r="B1327" s="3840">
        <v>45875</v>
      </c>
      <c r="C1327" s="3165" t="s">
        <v>3107</v>
      </c>
      <c r="D1327" s="4399" t="s">
        <v>3150</v>
      </c>
      <c r="E1327" s="3828" t="s">
        <v>267</v>
      </c>
      <c r="F1327" s="3643" t="s">
        <v>599</v>
      </c>
      <c r="I1327" s="3670">
        <v>707</v>
      </c>
      <c r="J1327" s="3670">
        <v>60072</v>
      </c>
      <c r="K1327" s="3511" t="s">
        <v>84</v>
      </c>
      <c r="L1327" s="3443" t="s">
        <v>37</v>
      </c>
      <c r="M1327" s="3443"/>
      <c r="N1327" s="3443"/>
      <c r="O1327" s="3534"/>
      <c r="S1327" s="3443"/>
      <c r="T1327" s="3443"/>
      <c r="U1327" s="3443"/>
      <c r="W1327" s="3913"/>
    </row>
    <row r="1328" spans="1:25" ht="28.5" hidden="1">
      <c r="A1328" s="3480" t="s">
        <v>85</v>
      </c>
      <c r="B1328" s="3840">
        <v>45875</v>
      </c>
      <c r="C1328" s="3165" t="s">
        <v>3107</v>
      </c>
      <c r="D1328" s="4399" t="s">
        <v>3151</v>
      </c>
      <c r="E1328" s="3828" t="s">
        <v>273</v>
      </c>
      <c r="F1328" s="3643" t="s">
        <v>497</v>
      </c>
      <c r="I1328" s="3670">
        <v>707</v>
      </c>
      <c r="J1328" s="3670" t="s">
        <v>3152</v>
      </c>
      <c r="K1328" s="2369"/>
      <c r="L1328" s="3443" t="s">
        <v>37</v>
      </c>
      <c r="M1328" s="3443"/>
      <c r="N1328" s="3443"/>
      <c r="O1328" s="3534"/>
      <c r="S1328" s="3443"/>
      <c r="T1328" s="3443"/>
      <c r="U1328" s="3443"/>
      <c r="W1328" s="3913"/>
    </row>
    <row r="1329" spans="1:25" ht="28.5" hidden="1">
      <c r="A1329" s="3480" t="s">
        <v>85</v>
      </c>
      <c r="B1329" s="3444">
        <v>45875</v>
      </c>
      <c r="C1329" s="3165" t="s">
        <v>3107</v>
      </c>
      <c r="D1329" s="4399" t="s">
        <v>3154</v>
      </c>
      <c r="E1329" s="3614" t="s">
        <v>80</v>
      </c>
      <c r="F1329" s="3643" t="s">
        <v>44</v>
      </c>
      <c r="I1329" s="3670">
        <v>705</v>
      </c>
      <c r="J1329" s="3670" t="s">
        <v>3145</v>
      </c>
      <c r="K1329" s="3511" t="s">
        <v>174</v>
      </c>
      <c r="L1329" s="3443" t="s">
        <v>37</v>
      </c>
      <c r="M1329" s="3443"/>
      <c r="N1329" s="3443"/>
      <c r="O1329" s="3534"/>
      <c r="S1329" s="3443"/>
      <c r="T1329" s="3443"/>
      <c r="U1329" s="3443"/>
      <c r="W1329" s="3913"/>
    </row>
    <row r="1330" spans="1:25" ht="28.5" hidden="1">
      <c r="A1330" s="3443" t="s">
        <v>85</v>
      </c>
      <c r="B1330" s="3444">
        <v>45875</v>
      </c>
      <c r="C1330" s="3165" t="s">
        <v>3107</v>
      </c>
      <c r="D1330" s="4399"/>
      <c r="E1330" s="3614" t="s">
        <v>48</v>
      </c>
      <c r="F1330" s="3614" t="s">
        <v>61</v>
      </c>
      <c r="I1330" s="3443">
        <v>705</v>
      </c>
      <c r="J1330" s="3443" t="s">
        <v>2511</v>
      </c>
      <c r="K1330" s="2369"/>
      <c r="L1330" s="3443" t="s">
        <v>37</v>
      </c>
      <c r="M1330" s="3443"/>
      <c r="N1330" s="3443"/>
      <c r="O1330" s="3443"/>
      <c r="S1330" s="3443"/>
      <c r="T1330" s="3443"/>
      <c r="U1330" s="3443"/>
      <c r="W1330" s="3507"/>
    </row>
    <row r="1331" spans="1:25" ht="28.5" hidden="1">
      <c r="A1331" s="3443" t="s">
        <v>85</v>
      </c>
      <c r="B1331" s="3444">
        <v>45875</v>
      </c>
      <c r="C1331" s="3165" t="s">
        <v>3107</v>
      </c>
      <c r="D1331" s="4399" t="s">
        <v>3155</v>
      </c>
      <c r="E1331" s="3614" t="s">
        <v>3156</v>
      </c>
      <c r="F1331" s="3614" t="s">
        <v>2255</v>
      </c>
      <c r="I1331" s="3443">
        <v>707</v>
      </c>
      <c r="J1331" s="3443" t="s">
        <v>3157</v>
      </c>
      <c r="K1331" s="2369"/>
      <c r="L1331" s="3443" t="s">
        <v>37</v>
      </c>
      <c r="M1331" s="3443"/>
      <c r="N1331" s="3443"/>
      <c r="O1331" s="3443"/>
      <c r="S1331" s="3443"/>
      <c r="T1331" s="3443"/>
      <c r="U1331" s="3443"/>
      <c r="W1331" s="3507"/>
    </row>
    <row r="1332" spans="1:25" ht="28.5" hidden="1">
      <c r="A1332" s="3443" t="s">
        <v>85</v>
      </c>
      <c r="B1332" s="3444">
        <v>45875</v>
      </c>
      <c r="C1332" s="3165" t="s">
        <v>3107</v>
      </c>
      <c r="D1332" s="4399" t="s">
        <v>3158</v>
      </c>
      <c r="E1332" s="3614" t="s">
        <v>80</v>
      </c>
      <c r="F1332" s="3614" t="s">
        <v>3127</v>
      </c>
      <c r="I1332" s="3443">
        <v>705</v>
      </c>
      <c r="J1332" s="3660" t="s">
        <v>3128</v>
      </c>
      <c r="K1332" s="2369"/>
      <c r="L1332" s="3443" t="s">
        <v>37</v>
      </c>
      <c r="M1332" s="3443"/>
      <c r="N1332" s="3443"/>
      <c r="O1332" s="3443"/>
      <c r="S1332" s="3443"/>
      <c r="T1332" s="3443"/>
      <c r="U1332" s="3443" t="s">
        <v>37</v>
      </c>
      <c r="W1332" s="3507"/>
    </row>
    <row r="1333" spans="1:25" ht="28.5" hidden="1">
      <c r="A1333" s="3443" t="s">
        <v>85</v>
      </c>
      <c r="B1333" s="3444">
        <v>45875</v>
      </c>
      <c r="C1333" s="3165" t="s">
        <v>3107</v>
      </c>
      <c r="D1333" s="4399"/>
      <c r="E1333" s="3614" t="s">
        <v>3130</v>
      </c>
      <c r="F1333" s="3614" t="s">
        <v>3131</v>
      </c>
      <c r="I1333" s="3443">
        <v>705</v>
      </c>
      <c r="J1333" s="3660" t="s">
        <v>692</v>
      </c>
      <c r="K1333" s="2369"/>
      <c r="L1333" s="3443" t="s">
        <v>37</v>
      </c>
      <c r="M1333" s="3443"/>
      <c r="N1333" s="3443"/>
      <c r="O1333" s="3443"/>
      <c r="S1333" s="3443"/>
      <c r="T1333" s="3443"/>
      <c r="U1333" s="3443" t="s">
        <v>37</v>
      </c>
      <c r="W1333" s="3507"/>
    </row>
    <row r="1334" spans="1:25" ht="28.5" hidden="1">
      <c r="A1334" s="3870" t="s">
        <v>85</v>
      </c>
      <c r="B1334" s="3506">
        <v>45875</v>
      </c>
      <c r="C1334" s="3354" t="s">
        <v>3107</v>
      </c>
      <c r="D1334" s="4400" t="s">
        <v>3159</v>
      </c>
      <c r="E1334" s="3758" t="s">
        <v>48</v>
      </c>
      <c r="F1334" s="3975" t="s">
        <v>3160</v>
      </c>
      <c r="H1334" s="3273"/>
      <c r="I1334" s="3661">
        <v>705</v>
      </c>
      <c r="J1334" s="3661" t="s">
        <v>3117</v>
      </c>
      <c r="K1334" s="3255"/>
      <c r="L1334" s="3505" t="s">
        <v>37</v>
      </c>
      <c r="M1334" s="3505"/>
      <c r="N1334" s="3505"/>
      <c r="O1334" s="3607"/>
      <c r="P1334" s="3273"/>
      <c r="Q1334" s="3273"/>
      <c r="R1334" s="3273"/>
      <c r="S1334" s="3505"/>
      <c r="T1334" s="3505"/>
      <c r="U1334" s="3505" t="s">
        <v>37</v>
      </c>
      <c r="V1334" s="3273"/>
      <c r="W1334" s="3764"/>
      <c r="X1334" s="3273"/>
      <c r="Y1334" s="3274"/>
    </row>
    <row r="1335" spans="1:25" ht="28.5" hidden="1">
      <c r="A1335" s="3477" t="s">
        <v>85</v>
      </c>
      <c r="B1335" s="3974">
        <v>45875</v>
      </c>
      <c r="C1335" s="3356" t="s">
        <v>3107</v>
      </c>
      <c r="D1335" s="3514" t="s">
        <v>3161</v>
      </c>
      <c r="E1335" s="3976" t="s">
        <v>3006</v>
      </c>
      <c r="F1335" s="3709" t="s">
        <v>48</v>
      </c>
      <c r="G1335" s="3988"/>
      <c r="H1335" s="3990"/>
      <c r="I1335" s="4003">
        <v>705</v>
      </c>
      <c r="J1335" s="3977" t="s">
        <v>3117</v>
      </c>
      <c r="K1335" s="3871"/>
      <c r="L1335" s="3503" t="s">
        <v>37</v>
      </c>
      <c r="M1335" s="3503"/>
      <c r="N1335" s="3503"/>
      <c r="O1335" s="3530"/>
      <c r="P1335" s="3281"/>
      <c r="Q1335" s="3281"/>
      <c r="R1335" s="3281"/>
      <c r="S1335" s="3503"/>
      <c r="T1335" s="3503"/>
      <c r="U1335" s="3503" t="s">
        <v>37</v>
      </c>
      <c r="V1335" s="3281"/>
      <c r="W1335" s="3915"/>
      <c r="X1335" s="3281"/>
      <c r="Y1335" s="3282"/>
    </row>
    <row r="1336" spans="1:25" ht="28.5" hidden="1">
      <c r="A1336" s="3480" t="s">
        <v>85</v>
      </c>
      <c r="B1336" s="3840">
        <v>45875</v>
      </c>
      <c r="C1336" s="3165" t="s">
        <v>3107</v>
      </c>
      <c r="D1336" s="4399" t="s">
        <v>3162</v>
      </c>
      <c r="E1336" s="3828" t="s">
        <v>296</v>
      </c>
      <c r="F1336" s="3643" t="s">
        <v>392</v>
      </c>
      <c r="G1336" s="3988"/>
      <c r="H1336" s="3308"/>
      <c r="I1336" s="3980">
        <v>705</v>
      </c>
      <c r="J1336" s="3670" t="s">
        <v>3163</v>
      </c>
      <c r="K1336" s="2369"/>
      <c r="L1336" s="3443" t="s">
        <v>37</v>
      </c>
      <c r="M1336" s="3443"/>
      <c r="N1336" s="3443"/>
      <c r="O1336" s="3534"/>
      <c r="S1336" s="3443"/>
      <c r="T1336" s="3443"/>
      <c r="U1336" s="3443"/>
      <c r="W1336" s="3913"/>
      <c r="Y1336" s="3283"/>
    </row>
    <row r="1337" spans="1:25" ht="28.5" hidden="1">
      <c r="A1337" s="3480" t="s">
        <v>1495</v>
      </c>
      <c r="B1337" s="3444">
        <v>45875</v>
      </c>
      <c r="C1337" s="3165" t="s">
        <v>3107</v>
      </c>
      <c r="D1337" s="4399"/>
      <c r="E1337" s="3614" t="s">
        <v>1140</v>
      </c>
      <c r="F1337" s="3643" t="s">
        <v>3164</v>
      </c>
      <c r="G1337" s="3988"/>
      <c r="H1337" s="3308"/>
      <c r="I1337" s="3980">
        <v>705</v>
      </c>
      <c r="J1337" s="3984" t="s">
        <v>3165</v>
      </c>
      <c r="K1337" s="3511" t="s">
        <v>29</v>
      </c>
      <c r="L1337" s="3443" t="s">
        <v>37</v>
      </c>
      <c r="M1337" s="3443"/>
      <c r="N1337" s="3443"/>
      <c r="O1337" s="3534"/>
      <c r="S1337" s="3443"/>
      <c r="T1337" s="3443"/>
      <c r="U1337" s="3443"/>
      <c r="W1337" s="3913"/>
      <c r="Y1337" s="3283"/>
    </row>
    <row r="1338" spans="1:25" ht="28.5" hidden="1">
      <c r="A1338" s="3480" t="s">
        <v>1495</v>
      </c>
      <c r="B1338" s="3444">
        <v>45876</v>
      </c>
      <c r="C1338" s="3165" t="s">
        <v>3107</v>
      </c>
      <c r="D1338" s="4399"/>
      <c r="E1338" s="3614" t="s">
        <v>491</v>
      </c>
      <c r="F1338" s="3643" t="s">
        <v>2387</v>
      </c>
      <c r="G1338" s="3988"/>
      <c r="H1338" s="3308"/>
      <c r="I1338" s="3980">
        <v>707</v>
      </c>
      <c r="J1338" s="3670" t="s">
        <v>3152</v>
      </c>
      <c r="K1338" s="2369"/>
      <c r="L1338" s="3443" t="s">
        <v>37</v>
      </c>
      <c r="M1338" s="3443"/>
      <c r="N1338" s="3443"/>
      <c r="O1338" s="3534"/>
      <c r="S1338" s="3443"/>
      <c r="T1338" s="3443"/>
      <c r="U1338" s="3443"/>
      <c r="W1338" s="3913"/>
      <c r="Y1338" s="3283"/>
    </row>
    <row r="1339" spans="1:25" ht="28.5" hidden="1">
      <c r="A1339" s="3480" t="s">
        <v>105</v>
      </c>
      <c r="B1339" s="3444">
        <v>45876</v>
      </c>
      <c r="C1339" s="3165" t="s">
        <v>3107</v>
      </c>
      <c r="D1339" s="4399" t="s">
        <v>3166</v>
      </c>
      <c r="E1339" s="3614" t="s">
        <v>80</v>
      </c>
      <c r="F1339" s="3643" t="s">
        <v>48</v>
      </c>
      <c r="G1339" s="3988"/>
      <c r="H1339" s="3308"/>
      <c r="I1339" s="3980">
        <v>705</v>
      </c>
      <c r="J1339" s="3670" t="s">
        <v>3145</v>
      </c>
      <c r="K1339" s="3511" t="s">
        <v>174</v>
      </c>
      <c r="L1339" s="3443" t="s">
        <v>37</v>
      </c>
      <c r="M1339" s="3443"/>
      <c r="N1339" s="3443"/>
      <c r="O1339" s="3534"/>
      <c r="S1339" s="3443"/>
      <c r="T1339" s="3443"/>
      <c r="U1339" s="3443"/>
      <c r="W1339" s="3913"/>
      <c r="Y1339" s="3283"/>
    </row>
    <row r="1340" spans="1:25" ht="28.5" hidden="1">
      <c r="A1340" s="3480" t="s">
        <v>105</v>
      </c>
      <c r="B1340" s="3444">
        <v>45876</v>
      </c>
      <c r="C1340" s="3165" t="s">
        <v>3107</v>
      </c>
      <c r="D1340" s="4399"/>
      <c r="E1340" s="3614" t="s">
        <v>48</v>
      </c>
      <c r="F1340" s="3643" t="s">
        <v>80</v>
      </c>
      <c r="G1340" s="3988"/>
      <c r="H1340" s="3308"/>
      <c r="I1340" s="3980">
        <v>705</v>
      </c>
      <c r="J1340" s="3670" t="s">
        <v>2511</v>
      </c>
      <c r="K1340" s="2369"/>
      <c r="L1340" s="3443" t="s">
        <v>37</v>
      </c>
      <c r="M1340" s="3443"/>
      <c r="N1340" s="3443"/>
      <c r="O1340" s="3534"/>
      <c r="S1340" s="3443"/>
      <c r="T1340" s="3443"/>
      <c r="U1340" s="3443"/>
      <c r="W1340" s="3913"/>
      <c r="Y1340" s="3283"/>
    </row>
    <row r="1341" spans="1:25" ht="28.5" hidden="1">
      <c r="A1341" s="3480" t="s">
        <v>105</v>
      </c>
      <c r="B1341" s="3840">
        <v>45876</v>
      </c>
      <c r="C1341" s="3165" t="s">
        <v>3107</v>
      </c>
      <c r="D1341" s="4399" t="s">
        <v>3167</v>
      </c>
      <c r="E1341" s="3828" t="s">
        <v>80</v>
      </c>
      <c r="F1341" s="3643" t="s">
        <v>209</v>
      </c>
      <c r="G1341" s="3988"/>
      <c r="H1341" s="3308"/>
      <c r="I1341" s="3980">
        <v>705</v>
      </c>
      <c r="J1341" s="3670" t="s">
        <v>3168</v>
      </c>
      <c r="K1341" s="2369"/>
      <c r="L1341" s="3443" t="s">
        <v>37</v>
      </c>
      <c r="M1341" s="3443"/>
      <c r="N1341" s="3443"/>
      <c r="O1341" s="3534"/>
      <c r="S1341" s="3443"/>
      <c r="T1341" s="3443"/>
      <c r="U1341" s="3443"/>
      <c r="W1341" s="3913"/>
      <c r="Y1341" s="3283"/>
    </row>
    <row r="1342" spans="1:25" ht="28.5" hidden="1">
      <c r="A1342" s="3588" t="s">
        <v>105</v>
      </c>
      <c r="B1342" s="3457">
        <v>45876</v>
      </c>
      <c r="C1342" s="3165" t="s">
        <v>3107</v>
      </c>
      <c r="D1342" s="4399"/>
      <c r="E1342" s="3685" t="s">
        <v>169</v>
      </c>
      <c r="F1342" s="3869" t="s">
        <v>2779</v>
      </c>
      <c r="G1342" s="3988"/>
      <c r="H1342" s="3308"/>
      <c r="I1342" s="3981">
        <v>705</v>
      </c>
      <c r="J1342" s="3670" t="s">
        <v>3168</v>
      </c>
      <c r="K1342" s="2369"/>
      <c r="L1342" s="3443" t="s">
        <v>37</v>
      </c>
      <c r="M1342" s="3443"/>
      <c r="N1342" s="3443"/>
      <c r="O1342" s="3534"/>
      <c r="S1342" s="3443"/>
      <c r="T1342" s="3443"/>
      <c r="U1342" s="3443"/>
      <c r="W1342" s="3507"/>
      <c r="Y1342" s="3283"/>
    </row>
    <row r="1343" spans="1:25" ht="28.5" hidden="1">
      <c r="A1343" s="3590" t="s">
        <v>105</v>
      </c>
      <c r="B1343" s="3444">
        <v>45876</v>
      </c>
      <c r="C1343" s="3165" t="s">
        <v>3107</v>
      </c>
      <c r="D1343" s="4399" t="s">
        <v>3169</v>
      </c>
      <c r="E1343" s="3614" t="s">
        <v>450</v>
      </c>
      <c r="F1343" s="3643" t="s">
        <v>3170</v>
      </c>
      <c r="G1343" s="3988"/>
      <c r="H1343" s="3308"/>
      <c r="I1343" s="3980">
        <v>707</v>
      </c>
      <c r="J1343" s="3670" t="s">
        <v>3157</v>
      </c>
      <c r="K1343" s="2369"/>
      <c r="L1343" s="3443" t="s">
        <v>37</v>
      </c>
      <c r="M1343" s="3443"/>
      <c r="N1343" s="3443"/>
      <c r="O1343" s="3534"/>
      <c r="S1343" s="3443"/>
      <c r="T1343" s="3443"/>
      <c r="U1343" s="3443"/>
      <c r="W1343" s="3507"/>
      <c r="Y1343" s="3283"/>
    </row>
    <row r="1344" spans="1:25" ht="28.5" hidden="1">
      <c r="A1344" s="3480" t="s">
        <v>105</v>
      </c>
      <c r="B1344" s="3444">
        <v>45876</v>
      </c>
      <c r="C1344" s="3165" t="s">
        <v>3107</v>
      </c>
      <c r="D1344" s="4399" t="s">
        <v>3171</v>
      </c>
      <c r="E1344" s="3614" t="s">
        <v>1464</v>
      </c>
      <c r="F1344" s="3643" t="s">
        <v>1465</v>
      </c>
      <c r="G1344" s="3988"/>
      <c r="H1344" s="3308"/>
      <c r="I1344" s="3534">
        <v>701</v>
      </c>
      <c r="J1344" s="3443" t="s">
        <v>2705</v>
      </c>
      <c r="K1344" s="2369"/>
      <c r="L1344" s="3443" t="s">
        <v>37</v>
      </c>
      <c r="M1344" s="3443"/>
      <c r="N1344" s="3443"/>
      <c r="O1344" s="3443"/>
      <c r="S1344" s="3443"/>
      <c r="T1344" s="3443"/>
      <c r="U1344" s="3443"/>
      <c r="W1344" s="3507"/>
      <c r="Y1344" s="3283"/>
    </row>
    <row r="1345" spans="1:25" ht="28.5" hidden="1">
      <c r="A1345" s="3480" t="s">
        <v>105</v>
      </c>
      <c r="B1345" s="3444">
        <v>45876</v>
      </c>
      <c r="C1345" s="3165" t="s">
        <v>3107</v>
      </c>
      <c r="D1345" s="4399"/>
      <c r="E1345" s="3614" t="s">
        <v>1465</v>
      </c>
      <c r="F1345" s="3643" t="s">
        <v>1464</v>
      </c>
      <c r="G1345" s="3988"/>
      <c r="H1345" s="3308"/>
      <c r="I1345" s="3534">
        <v>701</v>
      </c>
      <c r="J1345" s="3443" t="s">
        <v>2839</v>
      </c>
      <c r="K1345" s="2369"/>
      <c r="L1345" s="3443" t="s">
        <v>37</v>
      </c>
      <c r="M1345" s="3443"/>
      <c r="N1345" s="3443"/>
      <c r="O1345" s="3443"/>
      <c r="S1345" s="3443"/>
      <c r="T1345" s="3443"/>
      <c r="U1345" s="3443"/>
      <c r="W1345" s="3507"/>
      <c r="Y1345" s="3283"/>
    </row>
    <row r="1346" spans="1:25" ht="28.5" hidden="1">
      <c r="A1346" s="3480" t="s">
        <v>1495</v>
      </c>
      <c r="B1346" s="3444">
        <v>45876</v>
      </c>
      <c r="C1346" s="3165" t="s">
        <v>3107</v>
      </c>
      <c r="D1346" s="4399" t="s">
        <v>3172</v>
      </c>
      <c r="E1346" s="3614" t="s">
        <v>80</v>
      </c>
      <c r="F1346" s="3643" t="s">
        <v>3127</v>
      </c>
      <c r="G1346" s="3988"/>
      <c r="H1346" s="3308"/>
      <c r="I1346" s="3982">
        <v>705</v>
      </c>
      <c r="J1346" s="3982" t="s">
        <v>692</v>
      </c>
      <c r="K1346" s="2369"/>
      <c r="L1346" s="3443" t="s">
        <v>37</v>
      </c>
      <c r="M1346" s="3443"/>
      <c r="N1346" s="3443"/>
      <c r="O1346" s="3534"/>
      <c r="S1346" s="3443"/>
      <c r="T1346" s="3443"/>
      <c r="U1346" s="3443" t="s">
        <v>37</v>
      </c>
      <c r="W1346" s="3507"/>
      <c r="Y1346" s="3283"/>
    </row>
    <row r="1347" spans="1:25" ht="28.5" hidden="1">
      <c r="A1347" s="3480" t="s">
        <v>1495</v>
      </c>
      <c r="B1347" s="3444">
        <v>45876</v>
      </c>
      <c r="C1347" s="3165" t="s">
        <v>3107</v>
      </c>
      <c r="D1347" s="4399"/>
      <c r="E1347" s="3614" t="s">
        <v>3130</v>
      </c>
      <c r="F1347" s="3643" t="s">
        <v>3131</v>
      </c>
      <c r="G1347" s="3988"/>
      <c r="H1347" s="3308"/>
      <c r="I1347" s="3982">
        <v>705</v>
      </c>
      <c r="J1347" s="3982" t="s">
        <v>3128</v>
      </c>
      <c r="K1347" s="2369"/>
      <c r="L1347" s="3443" t="s">
        <v>37</v>
      </c>
      <c r="M1347" s="3443"/>
      <c r="N1347" s="3443"/>
      <c r="O1347" s="3534"/>
      <c r="S1347" s="3443"/>
      <c r="T1347" s="3443"/>
      <c r="U1347" s="3443" t="s">
        <v>37</v>
      </c>
      <c r="W1347" s="3507"/>
      <c r="Y1347" s="3283"/>
    </row>
    <row r="1348" spans="1:25" ht="28.5" hidden="1">
      <c r="A1348" s="3590" t="s">
        <v>1495</v>
      </c>
      <c r="B1348" s="3444">
        <v>45876</v>
      </c>
      <c r="C1348" s="3165" t="s">
        <v>3107</v>
      </c>
      <c r="D1348" s="4399" t="s">
        <v>3173</v>
      </c>
      <c r="E1348" s="3614" t="s">
        <v>80</v>
      </c>
      <c r="F1348" s="3643" t="s">
        <v>44</v>
      </c>
      <c r="G1348" s="3988"/>
      <c r="H1348" s="3308"/>
      <c r="I1348" s="3980">
        <v>705</v>
      </c>
      <c r="J1348" s="3670" t="s">
        <v>3174</v>
      </c>
      <c r="K1348" s="2369"/>
      <c r="L1348" s="3443" t="s">
        <v>37</v>
      </c>
      <c r="M1348" s="3443"/>
      <c r="N1348" s="3443"/>
      <c r="O1348" s="3534"/>
      <c r="S1348" s="3443"/>
      <c r="T1348" s="3443"/>
      <c r="U1348" s="3443" t="s">
        <v>37</v>
      </c>
      <c r="W1348" s="3507"/>
      <c r="Y1348" s="3283"/>
    </row>
    <row r="1349" spans="1:25" ht="29.25" hidden="1" thickBot="1">
      <c r="A1349" s="3593" t="s">
        <v>1495</v>
      </c>
      <c r="B1349" s="3448">
        <v>45876</v>
      </c>
      <c r="C1349" s="3357" t="s">
        <v>3107</v>
      </c>
      <c r="D1349" s="4404"/>
      <c r="E1349" s="3690" t="s">
        <v>1266</v>
      </c>
      <c r="F1349" s="3715" t="s">
        <v>3131</v>
      </c>
      <c r="G1349" s="3988"/>
      <c r="H1349" s="3309"/>
      <c r="I1349" s="3983">
        <v>705</v>
      </c>
      <c r="J1349" s="3979" t="s">
        <v>1436</v>
      </c>
      <c r="K1349" s="3875"/>
      <c r="L1349" s="3447" t="s">
        <v>37</v>
      </c>
      <c r="M1349" s="3447"/>
      <c r="N1349" s="3447"/>
      <c r="O1349" s="3546"/>
      <c r="P1349" s="3284"/>
      <c r="Q1349" s="3284"/>
      <c r="R1349" s="3284"/>
      <c r="S1349" s="3447"/>
      <c r="T1349" s="3447"/>
      <c r="U1349" s="3447" t="s">
        <v>37</v>
      </c>
      <c r="V1349" s="3284"/>
      <c r="W1349" s="3707"/>
      <c r="X1349" s="3284"/>
      <c r="Y1349" s="3285"/>
    </row>
    <row r="1350" spans="1:25" ht="28.5" hidden="1">
      <c r="A1350" s="3477" t="s">
        <v>105</v>
      </c>
      <c r="B1350" s="3478">
        <v>45876</v>
      </c>
      <c r="C1350" s="3356" t="s">
        <v>3107</v>
      </c>
      <c r="D1350" s="3514" t="s">
        <v>3175</v>
      </c>
      <c r="E1350" s="3708" t="s">
        <v>296</v>
      </c>
      <c r="F1350" s="3709" t="s">
        <v>1554</v>
      </c>
      <c r="G1350" s="3988"/>
      <c r="H1350" s="3990"/>
      <c r="I1350" s="3977">
        <v>707</v>
      </c>
      <c r="J1350" s="3977" t="s">
        <v>3176</v>
      </c>
      <c r="K1350" s="3871"/>
      <c r="L1350" s="3503" t="s">
        <v>37</v>
      </c>
      <c r="M1350" s="3503"/>
      <c r="N1350" s="3503"/>
      <c r="O1350" s="3503"/>
      <c r="P1350" s="3281"/>
      <c r="Q1350" s="3281"/>
      <c r="R1350" s="3281"/>
      <c r="S1350" s="3503"/>
      <c r="T1350" s="3503"/>
      <c r="U1350" s="3503"/>
      <c r="V1350" s="3281"/>
      <c r="W1350" s="3519"/>
      <c r="X1350" s="3281"/>
      <c r="Y1350" s="3282"/>
    </row>
    <row r="1351" spans="1:25" ht="28.5" hidden="1">
      <c r="A1351" s="3588" t="s">
        <v>105</v>
      </c>
      <c r="B1351" s="3457">
        <v>45876</v>
      </c>
      <c r="C1351" s="3165" t="s">
        <v>3107</v>
      </c>
      <c r="D1351" s="4399" t="s">
        <v>3177</v>
      </c>
      <c r="E1351" s="3685" t="s">
        <v>296</v>
      </c>
      <c r="F1351" s="3869" t="s">
        <v>235</v>
      </c>
      <c r="G1351" s="3988"/>
      <c r="H1351" s="3308"/>
      <c r="I1351" s="3660">
        <v>707</v>
      </c>
      <c r="J1351" s="3980" t="s">
        <v>1704</v>
      </c>
      <c r="K1351" s="3511" t="s">
        <v>84</v>
      </c>
      <c r="L1351" s="3443" t="s">
        <v>37</v>
      </c>
      <c r="M1351" s="3443"/>
      <c r="N1351" s="3443"/>
      <c r="O1351" s="3443"/>
      <c r="S1351" s="3443"/>
      <c r="T1351" s="3443"/>
      <c r="U1351" s="3443"/>
      <c r="W1351" s="3507"/>
      <c r="Y1351" s="3283"/>
    </row>
    <row r="1352" spans="1:25" ht="28.5" hidden="1">
      <c r="A1352" s="3590" t="s">
        <v>132</v>
      </c>
      <c r="B1352" s="3444">
        <v>45877</v>
      </c>
      <c r="C1352" s="3165" t="s">
        <v>3107</v>
      </c>
      <c r="D1352" s="4399"/>
      <c r="E1352" s="3614" t="s">
        <v>264</v>
      </c>
      <c r="F1352" s="3643" t="s">
        <v>512</v>
      </c>
      <c r="G1352" s="3988"/>
      <c r="H1352" s="3308"/>
      <c r="I1352" s="3670">
        <v>705</v>
      </c>
      <c r="J1352" s="3980" t="s">
        <v>3168</v>
      </c>
      <c r="L1352" s="3456" t="s">
        <v>37</v>
      </c>
      <c r="U1352" s="3443"/>
      <c r="Y1352" s="3283"/>
    </row>
    <row r="1353" spans="1:25" ht="28.5" hidden="1">
      <c r="A1353" s="3590" t="s">
        <v>132</v>
      </c>
      <c r="B1353" s="3444">
        <v>45877</v>
      </c>
      <c r="C1353" s="3165" t="s">
        <v>3107</v>
      </c>
      <c r="D1353" s="4399" t="s">
        <v>3178</v>
      </c>
      <c r="E1353" s="3614" t="s">
        <v>1464</v>
      </c>
      <c r="F1353" s="3643" t="s">
        <v>1465</v>
      </c>
      <c r="G1353" s="3988"/>
      <c r="H1353" s="3308"/>
      <c r="I1353" s="3978">
        <v>701</v>
      </c>
      <c r="J1353" s="3985" t="s">
        <v>2705</v>
      </c>
      <c r="L1353" s="3456" t="s">
        <v>37</v>
      </c>
      <c r="U1353" s="3443"/>
      <c r="Y1353" s="3283"/>
    </row>
    <row r="1354" spans="1:25" ht="28.5" hidden="1">
      <c r="A1354" s="3590" t="s">
        <v>132</v>
      </c>
      <c r="B1354" s="3444">
        <v>45877</v>
      </c>
      <c r="C1354" s="3165" t="s">
        <v>3107</v>
      </c>
      <c r="D1354" s="4399"/>
      <c r="E1354" s="3614" t="s">
        <v>1465</v>
      </c>
      <c r="F1354" s="3643" t="s">
        <v>1464</v>
      </c>
      <c r="G1354" s="3988"/>
      <c r="H1354" s="3308"/>
      <c r="I1354" s="3443">
        <v>701</v>
      </c>
      <c r="J1354" s="3443" t="s">
        <v>2839</v>
      </c>
      <c r="L1354" s="3456" t="s">
        <v>37</v>
      </c>
      <c r="U1354" s="3443"/>
      <c r="Y1354" s="3283"/>
    </row>
    <row r="1355" spans="1:25" ht="28.5" hidden="1">
      <c r="A1355" s="3480" t="s">
        <v>132</v>
      </c>
      <c r="B1355" s="3444">
        <v>45877</v>
      </c>
      <c r="C1355" s="3165" t="s">
        <v>3107</v>
      </c>
      <c r="D1355" s="4399" t="s">
        <v>3179</v>
      </c>
      <c r="E1355" s="3614" t="s">
        <v>599</v>
      </c>
      <c r="F1355" s="3643" t="s">
        <v>267</v>
      </c>
      <c r="G1355" s="3988"/>
      <c r="H1355" s="3308"/>
      <c r="I1355" s="3443">
        <v>707</v>
      </c>
      <c r="J1355" s="3443" t="s">
        <v>3176</v>
      </c>
      <c r="L1355" s="3456" t="s">
        <v>37</v>
      </c>
      <c r="U1355" s="3443"/>
      <c r="Y1355" s="3283"/>
    </row>
    <row r="1356" spans="1:25" ht="28.5" hidden="1">
      <c r="A1356" s="3480" t="s">
        <v>132</v>
      </c>
      <c r="B1356" s="3444">
        <v>45877</v>
      </c>
      <c r="C1356" s="3165" t="s">
        <v>3107</v>
      </c>
      <c r="D1356" s="4399" t="s">
        <v>3180</v>
      </c>
      <c r="E1356" s="3614" t="s">
        <v>48</v>
      </c>
      <c r="F1356" s="3643" t="s">
        <v>3181</v>
      </c>
      <c r="G1356" s="3988"/>
      <c r="H1356" s="3308"/>
      <c r="I1356" s="3443"/>
      <c r="J1356" s="3443" t="s">
        <v>3182</v>
      </c>
      <c r="L1356" s="3456" t="s">
        <v>37</v>
      </c>
      <c r="U1356" s="3443"/>
      <c r="Y1356" s="3283"/>
    </row>
    <row r="1357" spans="1:25" ht="28.5" hidden="1">
      <c r="A1357" s="3870" t="s">
        <v>132</v>
      </c>
      <c r="B1357" s="3506">
        <v>45877</v>
      </c>
      <c r="C1357" s="3165" t="s">
        <v>3107</v>
      </c>
      <c r="D1357" s="4399"/>
      <c r="E1357" s="3758" t="s">
        <v>2662</v>
      </c>
      <c r="F1357" s="3975" t="s">
        <v>3183</v>
      </c>
      <c r="G1357" s="3988"/>
      <c r="H1357" s="3308"/>
      <c r="I1357" s="3443"/>
      <c r="J1357" s="3443" t="s">
        <v>3182</v>
      </c>
      <c r="L1357" s="3505" t="s">
        <v>37</v>
      </c>
      <c r="U1357" s="3443"/>
      <c r="Y1357" s="3283"/>
    </row>
    <row r="1358" spans="1:25" ht="28.5" hidden="1">
      <c r="A1358" s="3857" t="s">
        <v>132</v>
      </c>
      <c r="B1358" s="3463">
        <v>45877</v>
      </c>
      <c r="C1358" s="3165" t="s">
        <v>3107</v>
      </c>
      <c r="D1358" s="4399"/>
      <c r="E1358" s="3689" t="s">
        <v>48</v>
      </c>
      <c r="F1358" s="3714" t="s">
        <v>3184</v>
      </c>
      <c r="G1358" s="3988"/>
      <c r="H1358" s="3308"/>
      <c r="I1358" s="3985"/>
      <c r="J1358" s="3670" t="s">
        <v>3182</v>
      </c>
      <c r="L1358" s="3443" t="s">
        <v>37</v>
      </c>
      <c r="U1358" s="3443"/>
      <c r="Y1358" s="3283"/>
    </row>
    <row r="1359" spans="1:25" ht="29.25" hidden="1" thickBot="1">
      <c r="A1359" s="3593" t="s">
        <v>132</v>
      </c>
      <c r="B1359" s="3448">
        <v>45877</v>
      </c>
      <c r="C1359" s="3357" t="s">
        <v>3107</v>
      </c>
      <c r="D1359" s="4404"/>
      <c r="E1359" s="3690" t="s">
        <v>2662</v>
      </c>
      <c r="F1359" s="3715" t="s">
        <v>3185</v>
      </c>
      <c r="G1359" s="3988"/>
      <c r="H1359" s="3309"/>
      <c r="I1359" s="3983"/>
      <c r="J1359" s="3979" t="s">
        <v>3182</v>
      </c>
      <c r="K1359" s="3373"/>
      <c r="L1359" s="3447" t="s">
        <v>37</v>
      </c>
      <c r="M1359" s="3284"/>
      <c r="N1359" s="3284"/>
      <c r="O1359" s="3284"/>
      <c r="P1359" s="3284"/>
      <c r="Q1359" s="3284"/>
      <c r="R1359" s="3284"/>
      <c r="S1359" s="3284"/>
      <c r="T1359" s="3284"/>
      <c r="U1359" s="3447"/>
      <c r="V1359" s="3284"/>
      <c r="W1359" s="3284"/>
      <c r="X1359" s="3284"/>
      <c r="Y1359" s="3285"/>
    </row>
    <row r="1360" spans="1:25" ht="57.75" hidden="1" thickBot="1">
      <c r="A1360" s="3991" t="s">
        <v>132</v>
      </c>
      <c r="B1360" s="3992">
        <v>45877</v>
      </c>
      <c r="C1360" s="3993" t="s">
        <v>3107</v>
      </c>
      <c r="D1360" s="4410" t="s">
        <v>3186</v>
      </c>
      <c r="E1360" s="3994" t="s">
        <v>48</v>
      </c>
      <c r="F1360" s="3995" t="s">
        <v>3187</v>
      </c>
      <c r="G1360" s="3988"/>
      <c r="H1360" s="3996"/>
      <c r="I1360" s="3997">
        <v>705</v>
      </c>
      <c r="J1360" s="3998" t="s">
        <v>3188</v>
      </c>
      <c r="K1360" s="3999"/>
      <c r="L1360" s="4000" t="s">
        <v>37</v>
      </c>
      <c r="M1360" s="4001"/>
      <c r="N1360" s="4001"/>
      <c r="O1360" s="4001"/>
      <c r="P1360" s="4001"/>
      <c r="Q1360" s="4001"/>
      <c r="R1360" s="4001"/>
      <c r="S1360" s="4001"/>
      <c r="T1360" s="4001"/>
      <c r="U1360" s="4000" t="s">
        <v>30</v>
      </c>
      <c r="V1360" s="4001"/>
      <c r="W1360" s="4001"/>
      <c r="X1360" s="4001"/>
      <c r="Y1360" s="4002"/>
    </row>
    <row r="1361" spans="1:25" ht="57" hidden="1">
      <c r="A1361" s="3477" t="s">
        <v>132</v>
      </c>
      <c r="B1361" s="3657">
        <v>45877</v>
      </c>
      <c r="C1361" s="3355" t="s">
        <v>3107</v>
      </c>
      <c r="D1361" s="3513"/>
      <c r="E1361" s="3708" t="s">
        <v>48</v>
      </c>
      <c r="F1361" s="3729" t="s">
        <v>3189</v>
      </c>
      <c r="H1361" s="3276"/>
      <c r="I1361" s="4003">
        <v>705</v>
      </c>
      <c r="J1361" s="3981" t="s">
        <v>3188</v>
      </c>
      <c r="K1361" s="3294"/>
      <c r="L1361" s="3456" t="s">
        <v>37</v>
      </c>
      <c r="M1361" s="3276"/>
      <c r="N1361" s="3276"/>
      <c r="O1361" s="3276"/>
      <c r="P1361" s="3276"/>
      <c r="Q1361" s="3276"/>
      <c r="R1361" s="3307"/>
      <c r="S1361" s="3276"/>
      <c r="T1361" s="3276"/>
      <c r="U1361" s="3456" t="s">
        <v>30</v>
      </c>
      <c r="V1361" s="3276"/>
      <c r="X1361" s="3793"/>
      <c r="Y1361" s="3277"/>
    </row>
    <row r="1362" spans="1:25" ht="28.5" hidden="1">
      <c r="A1362" s="3590" t="s">
        <v>143</v>
      </c>
      <c r="B1362" s="3444">
        <v>45878</v>
      </c>
      <c r="C1362" s="3165" t="s">
        <v>3107</v>
      </c>
      <c r="D1362" s="4399"/>
      <c r="E1362" s="3614" t="s">
        <v>48</v>
      </c>
      <c r="F1362" s="3613" t="s">
        <v>3190</v>
      </c>
      <c r="I1362" s="3980">
        <v>705</v>
      </c>
      <c r="J1362" s="3980" t="s">
        <v>3188</v>
      </c>
      <c r="L1362" s="3443" t="s">
        <v>30</v>
      </c>
      <c r="R1362" s="3254"/>
      <c r="U1362" s="3443" t="s">
        <v>30</v>
      </c>
      <c r="V1362" s="3253"/>
    </row>
    <row r="1363" spans="1:25" ht="28.5" hidden="1">
      <c r="A1363" s="3590" t="s">
        <v>25</v>
      </c>
      <c r="B1363" s="3444">
        <v>45880</v>
      </c>
      <c r="C1363" s="3165" t="s">
        <v>3191</v>
      </c>
      <c r="D1363" s="4399" t="s">
        <v>3192</v>
      </c>
      <c r="E1363" s="3614" t="s">
        <v>1571</v>
      </c>
      <c r="F1363" s="3643" t="s">
        <v>169</v>
      </c>
      <c r="I1363" s="3980"/>
      <c r="J1363" s="3980" t="s">
        <v>2974</v>
      </c>
      <c r="K1363" s="3511" t="s">
        <v>174</v>
      </c>
      <c r="L1363" s="3443" t="s">
        <v>37</v>
      </c>
      <c r="M1363" s="3443"/>
      <c r="N1363" s="3443"/>
      <c r="O1363" s="3443"/>
      <c r="P1363" s="3443"/>
      <c r="Q1363" s="3443"/>
      <c r="R1363" s="3534"/>
      <c r="S1363" s="3443"/>
      <c r="T1363" s="3443"/>
      <c r="U1363" s="3443"/>
      <c r="V1363" s="3531"/>
      <c r="W1363" s="3443"/>
      <c r="X1363" s="3507"/>
    </row>
    <row r="1364" spans="1:25" ht="28.5" hidden="1">
      <c r="A1364" s="3500" t="s">
        <v>25</v>
      </c>
      <c r="B1364" s="3463">
        <v>45880</v>
      </c>
      <c r="C1364" s="3165" t="s">
        <v>3191</v>
      </c>
      <c r="D1364" s="4399" t="s">
        <v>3193</v>
      </c>
      <c r="E1364" s="3937" t="s">
        <v>1464</v>
      </c>
      <c r="F1364" s="4608" t="s">
        <v>1465</v>
      </c>
      <c r="I1364" s="3985">
        <v>701</v>
      </c>
      <c r="J1364" s="3985" t="s">
        <v>2705</v>
      </c>
      <c r="K1364" s="2371"/>
      <c r="L1364" s="3462" t="s">
        <v>37</v>
      </c>
      <c r="M1364" s="3462"/>
      <c r="N1364" s="3545"/>
      <c r="O1364" s="3462"/>
      <c r="P1364" s="3462"/>
      <c r="Q1364" s="3462"/>
      <c r="R1364" s="3545"/>
      <c r="S1364" s="3462"/>
      <c r="T1364" s="3462"/>
      <c r="U1364" s="3462"/>
      <c r="V1364" s="3531"/>
      <c r="W1364" s="3443"/>
      <c r="X1364" s="3507"/>
    </row>
    <row r="1365" spans="1:25" ht="29.25" hidden="1" thickBot="1">
      <c r="A1365" s="3494" t="s">
        <v>25</v>
      </c>
      <c r="B1365" s="3448">
        <v>45880</v>
      </c>
      <c r="C1365" s="3165" t="s">
        <v>3191</v>
      </c>
      <c r="D1365" s="4399"/>
      <c r="E1365" s="3958" t="s">
        <v>1465</v>
      </c>
      <c r="F1365" s="4607" t="s">
        <v>1464</v>
      </c>
      <c r="I1365" s="3983">
        <v>701</v>
      </c>
      <c r="J1365" s="3983" t="s">
        <v>2839</v>
      </c>
      <c r="K1365" s="3875"/>
      <c r="L1365" s="3447" t="s">
        <v>37</v>
      </c>
      <c r="M1365" s="3447"/>
      <c r="N1365" s="3546"/>
      <c r="O1365" s="3447"/>
      <c r="P1365" s="3447"/>
      <c r="Q1365" s="3447"/>
      <c r="R1365" s="3546"/>
      <c r="S1365" s="3447"/>
      <c r="T1365" s="3447"/>
      <c r="U1365" s="3447"/>
      <c r="V1365" s="3586"/>
      <c r="W1365" s="3447"/>
      <c r="X1365" s="3707"/>
    </row>
    <row r="1366" spans="1:25" ht="29.25" hidden="1" thickBot="1">
      <c r="A1366" s="3493" t="s">
        <v>25</v>
      </c>
      <c r="B1366" s="3506">
        <v>45880</v>
      </c>
      <c r="C1366" s="3355" t="s">
        <v>3191</v>
      </c>
      <c r="D1366" s="4399" t="s">
        <v>3194</v>
      </c>
      <c r="E1366" s="3685" t="s">
        <v>2006</v>
      </c>
      <c r="F1366" s="3773" t="s">
        <v>1293</v>
      </c>
      <c r="I1366" s="3605">
        <v>707</v>
      </c>
      <c r="J1366" s="3456">
        <v>60086</v>
      </c>
      <c r="K1366" s="3873"/>
      <c r="L1366" s="3447" t="s">
        <v>37</v>
      </c>
      <c r="M1366" s="3456"/>
      <c r="N1366" s="3456"/>
      <c r="O1366" s="3456"/>
      <c r="P1366" s="3456"/>
      <c r="Q1366" s="3456"/>
      <c r="R1366" s="3605"/>
      <c r="S1366" s="3456"/>
      <c r="T1366" s="3456"/>
      <c r="U1366" s="3456"/>
      <c r="V1366" s="3599"/>
      <c r="W1366" s="3456"/>
      <c r="X1366" s="3512"/>
    </row>
    <row r="1367" spans="1:25" ht="29.25" hidden="1" thickBot="1">
      <c r="A1367" s="3857" t="s">
        <v>25</v>
      </c>
      <c r="B1367" s="3444">
        <v>45880</v>
      </c>
      <c r="C1367" s="3165" t="s">
        <v>3191</v>
      </c>
      <c r="D1367" s="4399" t="s">
        <v>3195</v>
      </c>
      <c r="E1367" s="3689" t="s">
        <v>169</v>
      </c>
      <c r="F1367" s="3761" t="s">
        <v>52</v>
      </c>
      <c r="I1367" s="3985">
        <v>705</v>
      </c>
      <c r="J1367" s="3978" t="s">
        <v>3196</v>
      </c>
      <c r="K1367" s="2369"/>
      <c r="L1367" s="3447" t="s">
        <v>37</v>
      </c>
      <c r="M1367" s="3443"/>
      <c r="N1367" s="3443"/>
      <c r="O1367" s="3443"/>
      <c r="P1367" s="3443"/>
      <c r="Q1367" s="3443"/>
      <c r="R1367" s="3534"/>
      <c r="S1367" s="3443"/>
      <c r="T1367" s="3443"/>
      <c r="U1367" s="3443"/>
      <c r="V1367" s="3531"/>
      <c r="W1367" s="3443"/>
      <c r="X1367" s="3507"/>
    </row>
    <row r="1368" spans="1:25" ht="29.25" hidden="1" thickBot="1">
      <c r="A1368" s="3494" t="s">
        <v>67</v>
      </c>
      <c r="B1368" s="3448">
        <v>45881</v>
      </c>
      <c r="C1368" s="3165" t="s">
        <v>3191</v>
      </c>
      <c r="D1368" s="4399" t="s">
        <v>3197</v>
      </c>
      <c r="E1368" s="3958" t="s">
        <v>1464</v>
      </c>
      <c r="F1368" s="4633" t="s">
        <v>1465</v>
      </c>
      <c r="I1368" s="3983">
        <v>701</v>
      </c>
      <c r="J1368" s="3983" t="s">
        <v>2705</v>
      </c>
      <c r="K1368" s="3875"/>
      <c r="L1368" s="3447" t="s">
        <v>37</v>
      </c>
      <c r="M1368" s="3447"/>
      <c r="N1368" s="3447"/>
      <c r="O1368" s="3447"/>
      <c r="P1368" s="3447"/>
      <c r="Q1368" s="3447"/>
      <c r="R1368" s="3546"/>
      <c r="S1368" s="3447"/>
      <c r="T1368" s="3447"/>
      <c r="U1368" s="3447"/>
      <c r="V1368" s="3586"/>
      <c r="W1368" s="3447"/>
      <c r="X1368" s="3707"/>
    </row>
    <row r="1369" spans="1:25" ht="29.25" hidden="1" thickBot="1">
      <c r="A1369" s="3493" t="s">
        <v>67</v>
      </c>
      <c r="B1369" s="3506">
        <v>45881</v>
      </c>
      <c r="C1369" s="3165" t="s">
        <v>3191</v>
      </c>
      <c r="D1369" s="4399"/>
      <c r="E1369" s="4528" t="s">
        <v>1465</v>
      </c>
      <c r="F1369" s="4532" t="s">
        <v>1464</v>
      </c>
      <c r="I1369" s="3981">
        <v>701</v>
      </c>
      <c r="J1369" s="3981" t="s">
        <v>2839</v>
      </c>
      <c r="K1369" s="3873"/>
      <c r="L1369" s="3447" t="s">
        <v>37</v>
      </c>
      <c r="M1369" s="3456"/>
      <c r="N1369" s="3456"/>
      <c r="O1369" s="3456"/>
      <c r="P1369" s="3456"/>
      <c r="Q1369" s="3456"/>
      <c r="R1369" s="3605"/>
      <c r="S1369" s="3456"/>
      <c r="T1369" s="3456"/>
      <c r="U1369" s="3456"/>
      <c r="V1369" s="3599"/>
      <c r="W1369" s="3456"/>
      <c r="X1369" s="3512"/>
    </row>
    <row r="1370" spans="1:25" ht="28.5" hidden="1">
      <c r="A1370" s="3590" t="s">
        <v>67</v>
      </c>
      <c r="B1370" s="3444">
        <v>45881</v>
      </c>
      <c r="C1370" s="3165" t="s">
        <v>3191</v>
      </c>
      <c r="D1370" s="4399" t="s">
        <v>3198</v>
      </c>
      <c r="E1370" s="3723" t="s">
        <v>3199</v>
      </c>
      <c r="F1370" s="4634" t="s">
        <v>497</v>
      </c>
      <c r="I1370" s="3980">
        <v>707</v>
      </c>
      <c r="J1370" s="3980" t="s">
        <v>585</v>
      </c>
      <c r="K1370" s="2369"/>
      <c r="L1370" s="3462" t="s">
        <v>37</v>
      </c>
      <c r="M1370" s="3443"/>
      <c r="N1370" s="3443"/>
      <c r="O1370" s="3443"/>
      <c r="P1370" s="3443"/>
      <c r="Q1370" s="3443"/>
      <c r="R1370" s="3534"/>
      <c r="S1370" s="3443"/>
      <c r="T1370" s="3443"/>
      <c r="U1370" s="3443"/>
      <c r="V1370" s="3443"/>
      <c r="W1370" s="3443"/>
      <c r="X1370" s="3913"/>
    </row>
    <row r="1371" spans="1:25" ht="29.25" hidden="1" thickBot="1">
      <c r="A1371" s="3590" t="s">
        <v>85</v>
      </c>
      <c r="B1371" s="3444">
        <v>45882</v>
      </c>
      <c r="C1371" s="3355" t="s">
        <v>3191</v>
      </c>
      <c r="D1371" s="4399"/>
      <c r="E1371" s="3723" t="s">
        <v>3200</v>
      </c>
      <c r="F1371" s="4634" t="s">
        <v>3201</v>
      </c>
      <c r="I1371" s="3980">
        <v>707</v>
      </c>
      <c r="J1371" s="3980" t="s">
        <v>585</v>
      </c>
      <c r="K1371" s="2369"/>
      <c r="L1371" s="3447" t="s">
        <v>37</v>
      </c>
      <c r="M1371" s="3443"/>
      <c r="N1371" s="3443"/>
      <c r="O1371" s="3443"/>
      <c r="P1371" s="3443"/>
      <c r="Q1371" s="3443"/>
      <c r="R1371" s="3534"/>
      <c r="S1371" s="3443"/>
      <c r="T1371" s="3443"/>
      <c r="U1371" s="3443"/>
      <c r="V1371" s="3531"/>
      <c r="W1371" s="3443"/>
      <c r="X1371" s="3507"/>
    </row>
    <row r="1372" spans="1:25" ht="29.25" hidden="1" thickBot="1">
      <c r="A1372" s="3590" t="s">
        <v>85</v>
      </c>
      <c r="B1372" s="3444">
        <v>45882</v>
      </c>
      <c r="C1372" s="3165" t="s">
        <v>3191</v>
      </c>
      <c r="D1372" s="4399" t="s">
        <v>3202</v>
      </c>
      <c r="E1372" s="3614" t="s">
        <v>169</v>
      </c>
      <c r="F1372" s="3678" t="s">
        <v>1571</v>
      </c>
      <c r="I1372" s="3980">
        <v>712</v>
      </c>
      <c r="J1372" s="3980" t="s">
        <v>3014</v>
      </c>
      <c r="K1372" s="3511" t="s">
        <v>174</v>
      </c>
      <c r="L1372" s="3447" t="s">
        <v>37</v>
      </c>
      <c r="M1372" s="3443"/>
      <c r="N1372" s="3443"/>
      <c r="O1372" s="3443"/>
      <c r="P1372" s="3443"/>
      <c r="Q1372" s="3443"/>
      <c r="R1372" s="3534"/>
      <c r="S1372" s="3443"/>
      <c r="T1372" s="3443"/>
      <c r="U1372" s="3443"/>
      <c r="V1372" s="3531"/>
      <c r="W1372" s="3443"/>
      <c r="X1372" s="3507"/>
    </row>
    <row r="1373" spans="1:25" ht="28.5" hidden="1">
      <c r="A1373" s="3500" t="s">
        <v>85</v>
      </c>
      <c r="B1373" s="3506">
        <v>45882</v>
      </c>
      <c r="C1373" s="3165" t="s">
        <v>3191</v>
      </c>
      <c r="D1373" s="4399" t="s">
        <v>3203</v>
      </c>
      <c r="E1373" s="4528" t="s">
        <v>1464</v>
      </c>
      <c r="F1373" s="4532" t="s">
        <v>1465</v>
      </c>
      <c r="I1373" s="3985">
        <v>701</v>
      </c>
      <c r="J1373" s="3985" t="s">
        <v>2705</v>
      </c>
      <c r="K1373" s="2369"/>
      <c r="L1373" s="3443" t="s">
        <v>37</v>
      </c>
      <c r="M1373" s="3443"/>
      <c r="N1373" s="3443"/>
      <c r="O1373" s="3443"/>
      <c r="P1373" s="3443"/>
      <c r="Q1373" s="3443"/>
      <c r="R1373" s="4722"/>
      <c r="S1373" s="3443"/>
      <c r="T1373" s="3443"/>
      <c r="U1373" s="3443"/>
      <c r="V1373" s="3531"/>
      <c r="W1373" s="3443"/>
      <c r="X1373" s="3636"/>
    </row>
    <row r="1374" spans="1:25" ht="28.5" hidden="1">
      <c r="A1374" s="3500" t="s">
        <v>85</v>
      </c>
      <c r="B1374" s="3463">
        <v>45882</v>
      </c>
      <c r="C1374" s="3165" t="s">
        <v>3191</v>
      </c>
      <c r="D1374" s="4399"/>
      <c r="E1374" s="3937" t="s">
        <v>1465</v>
      </c>
      <c r="F1374" s="3938" t="s">
        <v>1464</v>
      </c>
      <c r="I1374" s="3985">
        <v>701</v>
      </c>
      <c r="J1374" s="3978" t="s">
        <v>2839</v>
      </c>
      <c r="K1374" s="2371"/>
      <c r="L1374" s="3462" t="s">
        <v>37</v>
      </c>
      <c r="M1374" s="3462"/>
      <c r="N1374" s="3443"/>
      <c r="O1374" s="3462"/>
      <c r="P1374" s="3443"/>
      <c r="Q1374" s="3443"/>
      <c r="R1374" s="4722"/>
      <c r="S1374" s="3462"/>
      <c r="T1374" s="3462"/>
      <c r="U1374" s="3462"/>
      <c r="V1374" s="3600"/>
      <c r="W1374" s="3600"/>
      <c r="X1374" s="3636"/>
    </row>
    <row r="1375" spans="1:25" ht="29.25" hidden="1" thickBot="1">
      <c r="A1375" s="3494" t="s">
        <v>85</v>
      </c>
      <c r="B1375" s="3448">
        <v>45882</v>
      </c>
      <c r="C1375" s="3165" t="s">
        <v>3191</v>
      </c>
      <c r="D1375" s="4399" t="s">
        <v>3204</v>
      </c>
      <c r="E1375" s="4586" t="s">
        <v>1293</v>
      </c>
      <c r="F1375" s="4649" t="s">
        <v>3205</v>
      </c>
      <c r="I1375" s="3983">
        <v>705</v>
      </c>
      <c r="J1375" s="3983" t="s">
        <v>3206</v>
      </c>
      <c r="K1375" s="3875"/>
      <c r="L1375" s="3447"/>
      <c r="M1375" s="3447" t="s">
        <v>37</v>
      </c>
      <c r="N1375" s="3447"/>
      <c r="O1375" s="3447"/>
      <c r="P1375" s="3284" t="s">
        <v>0</v>
      </c>
      <c r="Q1375" s="35" t="s">
        <v>187</v>
      </c>
      <c r="R1375" s="4773" t="s">
        <v>160</v>
      </c>
      <c r="S1375" s="3447"/>
      <c r="T1375" s="3447"/>
      <c r="U1375" s="3447"/>
      <c r="V1375" s="3586"/>
      <c r="W1375" s="3447"/>
      <c r="X1375" s="3863" t="s">
        <v>319</v>
      </c>
    </row>
    <row r="1376" spans="1:25" ht="28.5" hidden="1">
      <c r="A1376" s="3598" t="s">
        <v>85</v>
      </c>
      <c r="B1376" s="3506">
        <v>45882</v>
      </c>
      <c r="C1376" s="3355" t="s">
        <v>3191</v>
      </c>
      <c r="D1376" s="4399"/>
      <c r="E1376" s="4005" t="s">
        <v>3207</v>
      </c>
      <c r="F1376" s="4610" t="s">
        <v>2346</v>
      </c>
      <c r="I1376" s="3859">
        <v>705</v>
      </c>
      <c r="J1376" s="3859" t="s">
        <v>3208</v>
      </c>
      <c r="K1376" s="3873"/>
      <c r="L1376" s="3443"/>
      <c r="M1376" s="3505"/>
      <c r="N1376" s="3505" t="s">
        <v>37</v>
      </c>
      <c r="O1376" s="3505"/>
      <c r="P1376" s="4671" t="s">
        <v>0</v>
      </c>
      <c r="Q1376" s="4767" t="s">
        <v>187</v>
      </c>
      <c r="R1376" s="24" t="s">
        <v>160</v>
      </c>
      <c r="S1376" s="3505"/>
      <c r="T1376" s="3505"/>
      <c r="U1376" s="3505"/>
      <c r="V1376" s="3602"/>
      <c r="W1376" s="3456"/>
      <c r="X1376" s="3512" t="s">
        <v>319</v>
      </c>
    </row>
    <row r="1377" spans="1:24" ht="28.5" hidden="1">
      <c r="A1377" s="3480" t="s">
        <v>85</v>
      </c>
      <c r="B1377" s="3444">
        <v>45882</v>
      </c>
      <c r="C1377" s="3165" t="s">
        <v>3191</v>
      </c>
      <c r="D1377" s="4399" t="s">
        <v>3209</v>
      </c>
      <c r="E1377" s="3614" t="s">
        <v>52</v>
      </c>
      <c r="F1377" s="3643" t="s">
        <v>1293</v>
      </c>
      <c r="I1377" s="3980">
        <v>705</v>
      </c>
      <c r="J1377" s="3980" t="s">
        <v>3210</v>
      </c>
      <c r="K1377" s="2369"/>
      <c r="L1377" s="3443" t="s">
        <v>37</v>
      </c>
      <c r="M1377" s="3443"/>
      <c r="N1377" s="3443"/>
      <c r="O1377" s="3443"/>
      <c r="P1377" s="3443"/>
      <c r="Q1377" s="3443"/>
      <c r="R1377" s="3443"/>
      <c r="S1377" s="3443"/>
      <c r="T1377" s="3443"/>
      <c r="U1377" s="3443" t="s">
        <v>37</v>
      </c>
      <c r="V1377" s="3443"/>
      <c r="W1377" s="3534"/>
      <c r="X1377" s="3507"/>
    </row>
    <row r="1378" spans="1:24" ht="28.5" hidden="1">
      <c r="A1378" s="3480" t="s">
        <v>105</v>
      </c>
      <c r="B1378" s="3444">
        <v>45883</v>
      </c>
      <c r="C1378" s="3165" t="s">
        <v>3191</v>
      </c>
      <c r="D1378" s="4399" t="s">
        <v>3211</v>
      </c>
      <c r="E1378" s="3541" t="s">
        <v>1293</v>
      </c>
      <c r="F1378" s="3659" t="s">
        <v>3205</v>
      </c>
      <c r="I1378" s="3980">
        <v>705</v>
      </c>
      <c r="J1378" s="3980" t="s">
        <v>3206</v>
      </c>
      <c r="K1378" s="2369"/>
      <c r="L1378" s="3443" t="s">
        <v>37</v>
      </c>
      <c r="M1378" s="3443"/>
      <c r="N1378" s="3443"/>
      <c r="O1378" s="3443"/>
      <c r="P1378" s="3443"/>
      <c r="Q1378" s="3443"/>
      <c r="R1378" s="3462"/>
      <c r="S1378" s="3443"/>
      <c r="T1378" s="3443"/>
      <c r="U1378" s="3443"/>
      <c r="V1378" s="3443"/>
      <c r="W1378" s="3443"/>
      <c r="X1378" s="3636"/>
    </row>
    <row r="1379" spans="1:24" ht="28.5" hidden="1">
      <c r="A1379" s="3480" t="s">
        <v>105</v>
      </c>
      <c r="B1379" s="3444">
        <v>45883</v>
      </c>
      <c r="C1379" s="3165" t="s">
        <v>3191</v>
      </c>
      <c r="D1379" s="4399"/>
      <c r="E1379" s="3541" t="s">
        <v>3207</v>
      </c>
      <c r="F1379" s="3659" t="s">
        <v>2346</v>
      </c>
      <c r="I1379" s="3980">
        <v>705</v>
      </c>
      <c r="J1379" s="3980" t="s">
        <v>3208</v>
      </c>
      <c r="K1379" s="2369"/>
      <c r="L1379" s="3443" t="s">
        <v>37</v>
      </c>
      <c r="M1379" s="3443"/>
      <c r="N1379" s="3443"/>
      <c r="O1379" s="3443"/>
      <c r="P1379" s="3443"/>
      <c r="Q1379" s="3443"/>
      <c r="R1379" s="3443"/>
      <c r="S1379" s="3443"/>
      <c r="T1379" s="3443"/>
      <c r="U1379" s="3443"/>
      <c r="V1379" s="3443"/>
      <c r="W1379" s="3443"/>
      <c r="X1379" s="3507"/>
    </row>
    <row r="1380" spans="1:24" ht="28.5" hidden="1">
      <c r="A1380" s="3480" t="s">
        <v>105</v>
      </c>
      <c r="B1380" s="3444">
        <v>45883</v>
      </c>
      <c r="C1380" s="3165" t="s">
        <v>3191</v>
      </c>
      <c r="D1380" s="4399" t="s">
        <v>3212</v>
      </c>
      <c r="E1380" s="3614" t="s">
        <v>2876</v>
      </c>
      <c r="F1380" s="3643" t="s">
        <v>1145</v>
      </c>
      <c r="I1380" s="3980">
        <v>707</v>
      </c>
      <c r="J1380" s="3980" t="s">
        <v>3213</v>
      </c>
      <c r="K1380" s="49"/>
      <c r="L1380" s="3443" t="s">
        <v>37</v>
      </c>
      <c r="M1380" s="49"/>
      <c r="N1380" s="49"/>
      <c r="O1380" s="49"/>
      <c r="P1380" s="49"/>
      <c r="Q1380" s="49"/>
      <c r="R1380" s="3443"/>
      <c r="S1380" s="49"/>
      <c r="T1380" s="49"/>
      <c r="U1380" s="49"/>
      <c r="V1380" s="49"/>
      <c r="W1380" s="49"/>
      <c r="X1380" s="3507" t="s">
        <v>3214</v>
      </c>
    </row>
    <row r="1381" spans="1:24" ht="28.5" hidden="1">
      <c r="A1381" s="3480" t="s">
        <v>105</v>
      </c>
      <c r="B1381" s="3444">
        <v>45883</v>
      </c>
      <c r="C1381" s="3355" t="s">
        <v>3191</v>
      </c>
      <c r="D1381" s="4399" t="s">
        <v>3215</v>
      </c>
      <c r="E1381" s="3878" t="s">
        <v>1464</v>
      </c>
      <c r="F1381" s="3896" t="s">
        <v>1465</v>
      </c>
      <c r="I1381" s="3980">
        <v>701</v>
      </c>
      <c r="J1381" s="3980" t="s">
        <v>2705</v>
      </c>
      <c r="K1381" s="2369"/>
      <c r="L1381" s="3443" t="s">
        <v>37</v>
      </c>
      <c r="M1381" s="3443"/>
      <c r="N1381" s="3443"/>
      <c r="O1381" s="3443"/>
      <c r="P1381" s="3443"/>
      <c r="Q1381" s="3443"/>
      <c r="R1381" s="3462"/>
      <c r="S1381" s="3443"/>
      <c r="T1381" s="3443"/>
      <c r="U1381" s="3443"/>
      <c r="V1381" s="3443"/>
      <c r="W1381" s="3443"/>
      <c r="X1381" s="3636"/>
    </row>
    <row r="1382" spans="1:24" ht="28.5" hidden="1">
      <c r="A1382" s="3480" t="s">
        <v>105</v>
      </c>
      <c r="B1382" s="3444">
        <v>45883</v>
      </c>
      <c r="C1382" s="3165" t="s">
        <v>3191</v>
      </c>
      <c r="D1382" s="4399"/>
      <c r="E1382" s="3878" t="s">
        <v>1465</v>
      </c>
      <c r="F1382" s="3896" t="s">
        <v>1464</v>
      </c>
      <c r="I1382" s="3985">
        <v>701</v>
      </c>
      <c r="J1382" s="3985" t="s">
        <v>2839</v>
      </c>
      <c r="K1382" s="2371"/>
      <c r="L1382" s="3443" t="s">
        <v>37</v>
      </c>
      <c r="M1382" s="3462"/>
      <c r="N1382" s="3462"/>
      <c r="O1382" s="3462"/>
      <c r="P1382" s="3462"/>
      <c r="Q1382" s="3462"/>
      <c r="R1382" s="3462"/>
      <c r="S1382" s="3462"/>
      <c r="T1382" s="3462"/>
      <c r="U1382" s="3462"/>
      <c r="V1382" s="3462"/>
      <c r="W1382" s="3443"/>
      <c r="X1382" s="3507"/>
    </row>
    <row r="1383" spans="1:24" ht="29.25" hidden="1" thickBot="1">
      <c r="A1383" s="3500" t="s">
        <v>105</v>
      </c>
      <c r="B1383" s="3463">
        <v>45883</v>
      </c>
      <c r="C1383" s="3165" t="s">
        <v>3191</v>
      </c>
      <c r="D1383" s="4399" t="s">
        <v>3216</v>
      </c>
      <c r="E1383" s="3689" t="s">
        <v>2876</v>
      </c>
      <c r="F1383" s="3761" t="s">
        <v>1160</v>
      </c>
      <c r="I1383" s="4009">
        <v>707</v>
      </c>
      <c r="J1383" s="4010" t="s">
        <v>149</v>
      </c>
      <c r="K1383" s="51"/>
      <c r="L1383" s="49"/>
      <c r="M1383" s="51"/>
      <c r="N1383" s="51"/>
      <c r="O1383" s="3462" t="s">
        <v>37</v>
      </c>
      <c r="P1383" s="49"/>
      <c r="Q1383" s="49"/>
      <c r="R1383" s="4722"/>
      <c r="S1383" s="51"/>
      <c r="T1383" s="57"/>
      <c r="U1383" s="57"/>
      <c r="V1383" s="57"/>
      <c r="W1383" s="356"/>
      <c r="X1383" s="4797" t="s">
        <v>3214</v>
      </c>
    </row>
    <row r="1384" spans="1:24" ht="93.6" hidden="1" customHeight="1" thickBot="1">
      <c r="A1384" s="3443" t="s">
        <v>105</v>
      </c>
      <c r="B1384" s="3444">
        <v>45883</v>
      </c>
      <c r="C1384" s="3165" t="s">
        <v>3191</v>
      </c>
      <c r="D1384" s="4399" t="s">
        <v>3217</v>
      </c>
      <c r="E1384" s="3614" t="s">
        <v>273</v>
      </c>
      <c r="F1384" s="3678" t="s">
        <v>1160</v>
      </c>
      <c r="I1384" s="3443">
        <v>712</v>
      </c>
      <c r="J1384" s="3516" t="s">
        <v>1222</v>
      </c>
      <c r="K1384" s="51"/>
      <c r="L1384" s="3443" t="s">
        <v>37</v>
      </c>
      <c r="M1384" s="51"/>
      <c r="N1384" s="51"/>
      <c r="O1384" s="51"/>
      <c r="P1384" s="51"/>
      <c r="Q1384" s="51"/>
      <c r="R1384" s="51"/>
      <c r="S1384" s="51"/>
      <c r="T1384" s="51"/>
      <c r="U1384" s="51"/>
      <c r="V1384" s="51"/>
      <c r="W1384"/>
      <c r="X1384" s="4014"/>
    </row>
    <row r="1385" spans="1:24" ht="95.25" hidden="1" thickBot="1">
      <c r="A1385" s="3500" t="s">
        <v>105</v>
      </c>
      <c r="B1385" s="3463">
        <v>45883</v>
      </c>
      <c r="C1385" s="3165" t="s">
        <v>3191</v>
      </c>
      <c r="D1385" s="4399" t="s">
        <v>3218</v>
      </c>
      <c r="E1385" s="4006" t="s">
        <v>1311</v>
      </c>
      <c r="F1385" s="4007" t="s">
        <v>1052</v>
      </c>
      <c r="I1385" s="3855">
        <v>705</v>
      </c>
      <c r="J1385" s="3978" t="s">
        <v>3219</v>
      </c>
      <c r="K1385" s="51"/>
      <c r="L1385" s="3443"/>
      <c r="M1385" s="4011" t="s">
        <v>37</v>
      </c>
      <c r="N1385" s="51"/>
      <c r="O1385" s="51"/>
      <c r="P1385" s="3273" t="s">
        <v>0</v>
      </c>
      <c r="Q1385" s="24" t="s">
        <v>110</v>
      </c>
      <c r="R1385" s="24" t="s">
        <v>46</v>
      </c>
      <c r="S1385" s="51"/>
      <c r="T1385" s="57"/>
      <c r="U1385" s="57"/>
      <c r="V1385" s="57"/>
      <c r="W1385" s="356"/>
      <c r="X1385" s="4012" t="s">
        <v>3220</v>
      </c>
    </row>
    <row r="1386" spans="1:24" ht="33.950000000000003" hidden="1" customHeight="1" thickBot="1">
      <c r="A1386" s="3447" t="s">
        <v>105</v>
      </c>
      <c r="B1386" s="3448">
        <v>45883</v>
      </c>
      <c r="C1386" s="3355" t="s">
        <v>3191</v>
      </c>
      <c r="D1386" s="4399"/>
      <c r="E1386" s="4033" t="s">
        <v>258</v>
      </c>
      <c r="F1386" s="4648" t="s">
        <v>3098</v>
      </c>
      <c r="I1386" s="3447">
        <v>705</v>
      </c>
      <c r="J1386" s="3523" t="s">
        <v>3219</v>
      </c>
      <c r="K1386" s="57"/>
      <c r="L1386" s="3443" t="s">
        <v>37</v>
      </c>
      <c r="M1386" s="4013"/>
      <c r="N1386" s="57"/>
      <c r="O1386" s="57"/>
      <c r="P1386" s="57"/>
      <c r="Q1386" s="4947"/>
      <c r="R1386" s="57"/>
      <c r="S1386" s="57"/>
      <c r="T1386" s="57"/>
      <c r="U1386" s="57"/>
      <c r="V1386" s="57"/>
      <c r="W1386" s="4014"/>
      <c r="X1386" s="4012" t="s">
        <v>3220</v>
      </c>
    </row>
    <row r="1387" spans="1:24" ht="28.5" hidden="1">
      <c r="A1387" s="3477" t="s">
        <v>132</v>
      </c>
      <c r="B1387" s="3478">
        <v>45884</v>
      </c>
      <c r="C1387" s="3165" t="s">
        <v>3191</v>
      </c>
      <c r="D1387" s="3514" t="s">
        <v>3221</v>
      </c>
      <c r="E1387" s="3708" t="s">
        <v>80</v>
      </c>
      <c r="F1387" s="3709" t="s">
        <v>44</v>
      </c>
      <c r="G1387" s="3365"/>
      <c r="H1387" s="3792"/>
      <c r="I1387" s="4016">
        <v>705</v>
      </c>
      <c r="J1387" s="3977" t="s">
        <v>3222</v>
      </c>
      <c r="K1387" s="111"/>
      <c r="L1387" s="111" t="s">
        <v>37</v>
      </c>
      <c r="M1387" s="111"/>
      <c r="N1387" s="49"/>
      <c r="O1387" s="49"/>
      <c r="P1387" s="49"/>
      <c r="Q1387" s="49"/>
      <c r="R1387" s="49"/>
      <c r="S1387" s="49"/>
      <c r="T1387" s="49"/>
      <c r="U1387" s="49"/>
      <c r="V1387" s="49"/>
      <c r="W1387" s="49"/>
      <c r="X1387" s="49"/>
    </row>
    <row r="1388" spans="1:24" ht="28.5" hidden="1">
      <c r="A1388" s="3480" t="s">
        <v>132</v>
      </c>
      <c r="B1388" s="3444">
        <v>45884</v>
      </c>
      <c r="C1388" s="3165" t="s">
        <v>3191</v>
      </c>
      <c r="D1388" s="4399"/>
      <c r="E1388" s="3614" t="s">
        <v>48</v>
      </c>
      <c r="F1388" s="3643" t="s">
        <v>164</v>
      </c>
      <c r="G1388" s="3254"/>
      <c r="H1388" s="3793"/>
      <c r="I1388" s="3982">
        <v>705</v>
      </c>
      <c r="J1388" s="3670" t="s">
        <v>3223</v>
      </c>
      <c r="K1388" s="49"/>
      <c r="L1388" s="49" t="s">
        <v>37</v>
      </c>
      <c r="M1388" s="49"/>
      <c r="N1388" s="49"/>
      <c r="O1388" s="49"/>
      <c r="P1388" s="49"/>
      <c r="Q1388" s="49"/>
      <c r="R1388"/>
      <c r="S1388" s="49"/>
      <c r="T1388" s="49"/>
      <c r="U1388" s="49"/>
      <c r="V1388" s="49"/>
      <c r="W1388" s="49"/>
      <c r="X1388" s="49"/>
    </row>
    <row r="1389" spans="1:24" ht="28.5" hidden="1">
      <c r="A1389" s="3480" t="s">
        <v>25</v>
      </c>
      <c r="B1389" s="3444">
        <v>45887</v>
      </c>
      <c r="C1389" s="3165" t="s">
        <v>3224</v>
      </c>
      <c r="D1389" s="3695">
        <v>893</v>
      </c>
      <c r="E1389" s="3614" t="s">
        <v>1571</v>
      </c>
      <c r="F1389" s="3643" t="s">
        <v>169</v>
      </c>
      <c r="G1389" s="4026" t="s">
        <v>1206</v>
      </c>
      <c r="H1389" s="3927" t="s">
        <v>1199</v>
      </c>
      <c r="I1389" s="3982">
        <v>712</v>
      </c>
      <c r="J1389" s="3670" t="s">
        <v>2974</v>
      </c>
      <c r="K1389" s="3511" t="s">
        <v>174</v>
      </c>
      <c r="L1389" s="3443" t="s">
        <v>37</v>
      </c>
      <c r="M1389" s="3443"/>
      <c r="R1389" s="3161"/>
    </row>
    <row r="1390" spans="1:24" ht="57" hidden="1">
      <c r="A1390" s="3480" t="s">
        <v>25</v>
      </c>
      <c r="B1390" s="3444">
        <v>45887</v>
      </c>
      <c r="C1390" s="3165" t="s">
        <v>3224</v>
      </c>
      <c r="D1390" s="4129">
        <v>894</v>
      </c>
      <c r="E1390" s="3878" t="s">
        <v>1464</v>
      </c>
      <c r="F1390" s="3896" t="s">
        <v>3225</v>
      </c>
      <c r="G1390" s="4017"/>
      <c r="H1390" s="4018"/>
      <c r="I1390" s="3982">
        <v>701</v>
      </c>
      <c r="J1390" s="3670" t="s">
        <v>2705</v>
      </c>
      <c r="K1390" s="2369"/>
      <c r="L1390" s="3443"/>
      <c r="M1390" s="3443" t="s">
        <v>30</v>
      </c>
      <c r="P1390" s="3160" t="s">
        <v>3226</v>
      </c>
      <c r="Q1390" s="21" t="s">
        <v>110</v>
      </c>
      <c r="R1390" s="21" t="s">
        <v>790</v>
      </c>
      <c r="W1390" s="3507" t="s">
        <v>3227</v>
      </c>
    </row>
    <row r="1391" spans="1:24" ht="29.25" hidden="1" thickBot="1">
      <c r="A1391" s="3494" t="s">
        <v>25</v>
      </c>
      <c r="B1391" s="3448">
        <v>45887</v>
      </c>
      <c r="C1391" s="3165" t="s">
        <v>3224</v>
      </c>
      <c r="D1391" s="4799"/>
      <c r="E1391" s="3958" t="s">
        <v>1465</v>
      </c>
      <c r="F1391" s="4607" t="s">
        <v>3228</v>
      </c>
      <c r="G1391" s="4679"/>
      <c r="H1391" s="4706"/>
      <c r="I1391" s="4019">
        <v>701</v>
      </c>
      <c r="J1391" s="3979" t="s">
        <v>2839</v>
      </c>
      <c r="K1391" s="2369"/>
      <c r="L1391" s="3443"/>
      <c r="M1391" s="3443"/>
      <c r="N1391" s="3443" t="s">
        <v>30</v>
      </c>
      <c r="P1391" s="3160" t="s">
        <v>3226</v>
      </c>
      <c r="Q1391" s="21" t="s">
        <v>110</v>
      </c>
      <c r="R1391" s="21" t="s">
        <v>790</v>
      </c>
      <c r="W1391" s="3507" t="s">
        <v>3229</v>
      </c>
    </row>
    <row r="1392" spans="1:24" ht="28.5" hidden="1">
      <c r="A1392" s="3477" t="s">
        <v>25</v>
      </c>
      <c r="B1392" s="3478">
        <v>45887</v>
      </c>
      <c r="C1392" s="3165" t="s">
        <v>3224</v>
      </c>
      <c r="D1392" s="4020">
        <v>895</v>
      </c>
      <c r="E1392" s="3708" t="s">
        <v>168</v>
      </c>
      <c r="F1392" s="3709" t="s">
        <v>80</v>
      </c>
      <c r="G1392" s="4021" t="s">
        <v>1206</v>
      </c>
      <c r="H1392" s="3924" t="s">
        <v>1199</v>
      </c>
      <c r="I1392" s="4016">
        <v>705</v>
      </c>
      <c r="J1392" s="3977" t="s">
        <v>3230</v>
      </c>
      <c r="K1392" s="2369"/>
      <c r="L1392" s="3443" t="s">
        <v>37</v>
      </c>
      <c r="M1392" s="3443"/>
      <c r="W1392" s="3507"/>
    </row>
    <row r="1393" spans="1:23" ht="28.5" hidden="1">
      <c r="A1393" s="3480" t="s">
        <v>25</v>
      </c>
      <c r="B1393" s="3444">
        <v>45887</v>
      </c>
      <c r="C1393" s="3165" t="s">
        <v>3224</v>
      </c>
      <c r="D1393" s="3688">
        <v>896</v>
      </c>
      <c r="E1393" s="3614" t="s">
        <v>1598</v>
      </c>
      <c r="F1393" s="3643" t="s">
        <v>169</v>
      </c>
      <c r="G1393" s="3776" t="s">
        <v>1206</v>
      </c>
      <c r="H1393" s="3927" t="s">
        <v>1199</v>
      </c>
      <c r="I1393" s="3982">
        <v>707</v>
      </c>
      <c r="J1393" s="3670" t="s">
        <v>276</v>
      </c>
      <c r="K1393" s="2369"/>
      <c r="L1393" s="3443" t="s">
        <v>30</v>
      </c>
      <c r="M1393" s="3443"/>
      <c r="W1393" s="3507"/>
    </row>
    <row r="1394" spans="1:23" ht="28.5" hidden="1">
      <c r="A1394" s="3480" t="s">
        <v>67</v>
      </c>
      <c r="B1394" s="3444">
        <v>45888</v>
      </c>
      <c r="C1394" s="3165" t="s">
        <v>3224</v>
      </c>
      <c r="D1394" s="3688">
        <v>897</v>
      </c>
      <c r="E1394" s="3878" t="s">
        <v>1464</v>
      </c>
      <c r="F1394" s="3896" t="s">
        <v>3225</v>
      </c>
      <c r="G1394" s="3776" t="s">
        <v>1206</v>
      </c>
      <c r="H1394" s="3927" t="s">
        <v>1199</v>
      </c>
      <c r="I1394" s="3982">
        <v>701</v>
      </c>
      <c r="J1394" s="3670" t="s">
        <v>2705</v>
      </c>
      <c r="K1394" s="2369"/>
      <c r="L1394" s="3443" t="s">
        <v>37</v>
      </c>
      <c r="M1394" s="3443"/>
      <c r="W1394" s="3507"/>
    </row>
    <row r="1395" spans="1:23" ht="28.5" hidden="1">
      <c r="A1395" s="3480" t="s">
        <v>67</v>
      </c>
      <c r="B1395" s="3444">
        <v>45888</v>
      </c>
      <c r="C1395" s="3165" t="s">
        <v>3224</v>
      </c>
      <c r="D1395" s="3688"/>
      <c r="E1395" s="3878" t="s">
        <v>1465</v>
      </c>
      <c r="F1395" s="3896" t="s">
        <v>3228</v>
      </c>
      <c r="G1395" s="3776" t="s">
        <v>1206</v>
      </c>
      <c r="H1395" s="3927" t="s">
        <v>1199</v>
      </c>
      <c r="I1395" s="3982">
        <v>701</v>
      </c>
      <c r="J1395" s="3670" t="s">
        <v>2839</v>
      </c>
      <c r="K1395" s="2369"/>
      <c r="L1395" s="3443" t="s">
        <v>37</v>
      </c>
      <c r="M1395" s="3443"/>
      <c r="W1395" s="3507"/>
    </row>
    <row r="1396" spans="1:23" ht="28.5" hidden="1">
      <c r="A1396" s="3480" t="s">
        <v>67</v>
      </c>
      <c r="B1396" s="3444">
        <v>45888</v>
      </c>
      <c r="C1396" s="3165" t="s">
        <v>3224</v>
      </c>
      <c r="D1396" s="4129">
        <v>898</v>
      </c>
      <c r="E1396" s="3614" t="s">
        <v>1598</v>
      </c>
      <c r="F1396" s="3643" t="s">
        <v>169</v>
      </c>
      <c r="G1396" s="3560" t="s">
        <v>3231</v>
      </c>
      <c r="H1396" s="4022" t="s">
        <v>3231</v>
      </c>
      <c r="I1396" s="3982">
        <v>707</v>
      </c>
      <c r="J1396" s="3670" t="s">
        <v>3232</v>
      </c>
      <c r="K1396" s="2369"/>
      <c r="L1396" s="3443"/>
      <c r="M1396" s="3443"/>
      <c r="W1396" s="3507"/>
    </row>
    <row r="1397" spans="1:23" ht="28.5" hidden="1">
      <c r="A1397" s="3480" t="s">
        <v>67</v>
      </c>
      <c r="B1397" s="3444">
        <v>45888</v>
      </c>
      <c r="C1397" s="3165" t="s">
        <v>3224</v>
      </c>
      <c r="D1397" s="3688">
        <v>899</v>
      </c>
      <c r="E1397" s="3614" t="s">
        <v>1598</v>
      </c>
      <c r="F1397" s="3643" t="s">
        <v>80</v>
      </c>
      <c r="G1397" s="4023" t="s">
        <v>1199</v>
      </c>
      <c r="H1397" s="3941" t="s">
        <v>1199</v>
      </c>
      <c r="I1397" s="3982">
        <v>705</v>
      </c>
      <c r="J1397" s="3670" t="s">
        <v>3233</v>
      </c>
      <c r="K1397" s="2369"/>
      <c r="L1397" s="3443" t="s">
        <v>37</v>
      </c>
      <c r="M1397" s="3443"/>
      <c r="W1397" s="3507"/>
    </row>
    <row r="1398" spans="1:23" ht="28.5" hidden="1">
      <c r="A1398" s="3480" t="s">
        <v>67</v>
      </c>
      <c r="B1398" s="3444">
        <v>45888</v>
      </c>
      <c r="C1398" s="3165" t="s">
        <v>3224</v>
      </c>
      <c r="D1398" s="3688">
        <v>900</v>
      </c>
      <c r="E1398" s="3541" t="s">
        <v>80</v>
      </c>
      <c r="F1398" s="3659" t="s">
        <v>1056</v>
      </c>
      <c r="G1398" s="4023" t="s">
        <v>1199</v>
      </c>
      <c r="H1398" s="3941" t="s">
        <v>1199</v>
      </c>
      <c r="I1398" s="3982">
        <v>707</v>
      </c>
      <c r="J1398" s="3670" t="s">
        <v>3234</v>
      </c>
      <c r="K1398" s="2369"/>
      <c r="L1398" s="3443" t="s">
        <v>37</v>
      </c>
      <c r="M1398" s="3443"/>
      <c r="W1398" s="3507"/>
    </row>
    <row r="1399" spans="1:23" ht="29.25" hidden="1" thickBot="1">
      <c r="A1399" s="3494" t="s">
        <v>67</v>
      </c>
      <c r="B1399" s="3448">
        <v>45888</v>
      </c>
      <c r="C1399" s="3165" t="s">
        <v>3224</v>
      </c>
      <c r="D1399" s="3725"/>
      <c r="E1399" s="3631" t="s">
        <v>943</v>
      </c>
      <c r="F1399" s="3665" t="s">
        <v>2346</v>
      </c>
      <c r="G1399" s="3778" t="s">
        <v>1199</v>
      </c>
      <c r="H1399" s="3930" t="s">
        <v>1199</v>
      </c>
      <c r="I1399" s="4019">
        <v>707</v>
      </c>
      <c r="J1399" s="3979">
        <v>60086</v>
      </c>
      <c r="K1399" s="2369"/>
      <c r="L1399" s="3443" t="s">
        <v>37</v>
      </c>
      <c r="M1399" s="3443"/>
      <c r="W1399" s="3507"/>
    </row>
    <row r="1400" spans="1:23" ht="28.5" hidden="1">
      <c r="A1400" s="3477" t="s">
        <v>67</v>
      </c>
      <c r="B1400" s="3478">
        <v>45888</v>
      </c>
      <c r="C1400" s="3165" t="s">
        <v>3224</v>
      </c>
      <c r="D1400" s="4020">
        <v>901</v>
      </c>
      <c r="E1400" s="4562" t="s">
        <v>3235</v>
      </c>
      <c r="F1400" s="4874" t="s">
        <v>3236</v>
      </c>
      <c r="G1400" s="4212" t="s">
        <v>3237</v>
      </c>
      <c r="H1400" s="3924"/>
      <c r="I1400" s="4016">
        <v>707</v>
      </c>
      <c r="J1400" s="3977">
        <v>60086</v>
      </c>
      <c r="K1400" s="2369"/>
      <c r="L1400" s="3443" t="s">
        <v>37</v>
      </c>
      <c r="M1400" s="3443"/>
      <c r="W1400" s="3507"/>
    </row>
    <row r="1401" spans="1:23" ht="28.5" hidden="1">
      <c r="A1401" s="3480" t="s">
        <v>67</v>
      </c>
      <c r="B1401" s="3444">
        <v>45888</v>
      </c>
      <c r="C1401" s="3165" t="s">
        <v>3224</v>
      </c>
      <c r="D1401" s="3688"/>
      <c r="E1401" s="3620" t="s">
        <v>3236</v>
      </c>
      <c r="F1401" s="3648" t="s">
        <v>3238</v>
      </c>
      <c r="G1401" s="4024" t="s">
        <v>1202</v>
      </c>
      <c r="H1401" s="3927"/>
      <c r="I1401" s="3982">
        <v>707</v>
      </c>
      <c r="J1401" s="3670">
        <v>60086</v>
      </c>
      <c r="K1401" s="2369"/>
      <c r="L1401" s="3599" t="s">
        <v>37</v>
      </c>
      <c r="M1401" s="3443"/>
      <c r="W1401" s="3507"/>
    </row>
    <row r="1402" spans="1:23" ht="28.5" hidden="1">
      <c r="A1402" s="3480" t="s">
        <v>85</v>
      </c>
      <c r="B1402" s="3444">
        <v>45889</v>
      </c>
      <c r="C1402" s="3165" t="s">
        <v>3224</v>
      </c>
      <c r="D1402" s="3688">
        <v>902</v>
      </c>
      <c r="E1402" s="3878" t="s">
        <v>1464</v>
      </c>
      <c r="F1402" s="3896" t="s">
        <v>3225</v>
      </c>
      <c r="G1402" s="3776" t="s">
        <v>2272</v>
      </c>
      <c r="H1402" s="3935" t="s">
        <v>1206</v>
      </c>
      <c r="I1402" s="3982">
        <v>701</v>
      </c>
      <c r="J1402" s="3670" t="s">
        <v>2705</v>
      </c>
      <c r="K1402" s="2369"/>
      <c r="L1402" s="3599" t="s">
        <v>37</v>
      </c>
      <c r="M1402" s="3443"/>
      <c r="W1402" s="3507"/>
    </row>
    <row r="1403" spans="1:23" ht="28.5" hidden="1">
      <c r="A1403" s="3480" t="s">
        <v>85</v>
      </c>
      <c r="B1403" s="3444">
        <v>45889</v>
      </c>
      <c r="C1403" s="3165" t="s">
        <v>3224</v>
      </c>
      <c r="D1403" s="3688"/>
      <c r="E1403" s="3878" t="s">
        <v>1465</v>
      </c>
      <c r="F1403" s="3896" t="s">
        <v>3228</v>
      </c>
      <c r="G1403" s="3776" t="s">
        <v>1206</v>
      </c>
      <c r="H1403" s="3935" t="s">
        <v>1206</v>
      </c>
      <c r="I1403" s="3982">
        <v>701</v>
      </c>
      <c r="J1403" s="3670" t="s">
        <v>2839</v>
      </c>
      <c r="K1403" s="2369"/>
      <c r="L1403" s="3443" t="s">
        <v>37</v>
      </c>
      <c r="M1403" s="3443"/>
      <c r="W1403" s="3507"/>
    </row>
    <row r="1404" spans="1:23" ht="28.5" hidden="1">
      <c r="A1404" s="3480" t="s">
        <v>85</v>
      </c>
      <c r="B1404" s="3444">
        <v>45889</v>
      </c>
      <c r="C1404" s="3165" t="s">
        <v>3224</v>
      </c>
      <c r="D1404" s="3688">
        <v>903</v>
      </c>
      <c r="E1404" s="3553" t="s">
        <v>80</v>
      </c>
      <c r="F1404" s="3711" t="s">
        <v>3239</v>
      </c>
      <c r="G1404" s="3830" t="s">
        <v>1199</v>
      </c>
      <c r="H1404" s="3935" t="s">
        <v>1199</v>
      </c>
      <c r="I1404" s="3982">
        <v>705</v>
      </c>
      <c r="J1404" s="3670" t="s">
        <v>3240</v>
      </c>
      <c r="K1404" s="3873"/>
      <c r="L1404" s="3456" t="s">
        <v>37</v>
      </c>
      <c r="M1404" s="3443"/>
      <c r="R1404" s="3161"/>
      <c r="W1404" s="3522"/>
    </row>
    <row r="1405" spans="1:23" ht="28.5" hidden="1">
      <c r="A1405" s="3480" t="s">
        <v>85</v>
      </c>
      <c r="B1405" s="3444">
        <v>45889</v>
      </c>
      <c r="C1405" s="3165" t="s">
        <v>3224</v>
      </c>
      <c r="D1405" s="3688">
        <v>904</v>
      </c>
      <c r="E1405" s="3614" t="s">
        <v>169</v>
      </c>
      <c r="F1405" s="3643" t="s">
        <v>264</v>
      </c>
      <c r="G1405" s="3776" t="s">
        <v>1206</v>
      </c>
      <c r="H1405" s="3935" t="s">
        <v>1206</v>
      </c>
      <c r="I1405" s="3982">
        <v>707</v>
      </c>
      <c r="J1405" s="3670" t="s">
        <v>3241</v>
      </c>
      <c r="K1405" s="3873"/>
      <c r="L1405" s="3456" t="s">
        <v>37</v>
      </c>
      <c r="M1405" s="3456"/>
      <c r="W1405" s="3522"/>
    </row>
    <row r="1406" spans="1:23" ht="57" hidden="1">
      <c r="A1406" s="3477" t="s">
        <v>85</v>
      </c>
      <c r="B1406" s="3478">
        <v>45889</v>
      </c>
      <c r="C1406" s="3165" t="s">
        <v>3224</v>
      </c>
      <c r="D1406" s="4800">
        <v>905</v>
      </c>
      <c r="E1406" s="3708" t="s">
        <v>169</v>
      </c>
      <c r="F1406" s="3709" t="s">
        <v>1571</v>
      </c>
      <c r="G1406" s="4015" t="s">
        <v>1206</v>
      </c>
      <c r="H1406" s="3944" t="s">
        <v>1206</v>
      </c>
      <c r="I1406" s="4016">
        <v>712</v>
      </c>
      <c r="J1406" s="3977" t="s">
        <v>2974</v>
      </c>
      <c r="K1406" s="3511" t="s">
        <v>174</v>
      </c>
      <c r="L1406" s="3443"/>
      <c r="M1406" s="3443" t="s">
        <v>30</v>
      </c>
      <c r="P1406" s="3160" t="s">
        <v>0</v>
      </c>
      <c r="Q1406" s="21" t="s">
        <v>126</v>
      </c>
      <c r="R1406" s="21" t="s">
        <v>46</v>
      </c>
      <c r="S1406" s="3443" t="s">
        <v>30</v>
      </c>
      <c r="W1406" s="3507" t="s">
        <v>3242</v>
      </c>
    </row>
    <row r="1407" spans="1:23" ht="28.5" hidden="1">
      <c r="A1407" s="3480" t="s">
        <v>85</v>
      </c>
      <c r="B1407" s="3444">
        <v>45889</v>
      </c>
      <c r="C1407" s="3165" t="s">
        <v>3224</v>
      </c>
      <c r="D1407" s="3688">
        <v>906</v>
      </c>
      <c r="E1407" s="3614" t="s">
        <v>80</v>
      </c>
      <c r="F1407" s="3643" t="s">
        <v>48</v>
      </c>
      <c r="G1407" s="4024" t="s">
        <v>1199</v>
      </c>
      <c r="H1407" s="3927" t="s">
        <v>1199</v>
      </c>
      <c r="I1407" s="3982">
        <v>705</v>
      </c>
      <c r="J1407" s="3670" t="s">
        <v>3243</v>
      </c>
      <c r="K1407" s="3443"/>
      <c r="L1407" s="3443" t="s">
        <v>37</v>
      </c>
      <c r="M1407" s="3443"/>
      <c r="W1407" s="3507"/>
    </row>
    <row r="1408" spans="1:23" ht="28.5" hidden="1">
      <c r="A1408" s="3480" t="s">
        <v>105</v>
      </c>
      <c r="B1408" s="3444">
        <v>45890</v>
      </c>
      <c r="C1408" s="3165" t="s">
        <v>3224</v>
      </c>
      <c r="D1408" s="3688"/>
      <c r="E1408" s="3553" t="s">
        <v>491</v>
      </c>
      <c r="F1408" s="3711" t="s">
        <v>3244</v>
      </c>
      <c r="G1408" s="3830" t="s">
        <v>1206</v>
      </c>
      <c r="H1408" s="3935" t="s">
        <v>1206</v>
      </c>
      <c r="I1408" s="3982">
        <v>705</v>
      </c>
      <c r="J1408" s="3670" t="s">
        <v>3245</v>
      </c>
      <c r="K1408" s="2369"/>
      <c r="L1408" s="3443" t="s">
        <v>37</v>
      </c>
      <c r="M1408" s="3443"/>
      <c r="W1408" s="3507"/>
    </row>
    <row r="1409" spans="1:23" ht="28.5" hidden="1">
      <c r="A1409" s="3480" t="s">
        <v>105</v>
      </c>
      <c r="B1409" s="3444">
        <v>45890</v>
      </c>
      <c r="C1409" s="3165" t="s">
        <v>3224</v>
      </c>
      <c r="D1409" s="3688"/>
      <c r="E1409" s="3553" t="s">
        <v>1175</v>
      </c>
      <c r="F1409" s="3711" t="s">
        <v>3246</v>
      </c>
      <c r="G1409" s="4023" t="s">
        <v>1206</v>
      </c>
      <c r="H1409" s="3935" t="s">
        <v>1206</v>
      </c>
      <c r="I1409" s="3982">
        <v>705</v>
      </c>
      <c r="J1409" s="3670" t="s">
        <v>3247</v>
      </c>
      <c r="K1409" s="2369"/>
      <c r="L1409" s="3443" t="s">
        <v>37</v>
      </c>
      <c r="M1409" s="3443"/>
      <c r="W1409" s="3507"/>
    </row>
    <row r="1410" spans="1:23" ht="28.5" hidden="1">
      <c r="A1410" s="3480" t="s">
        <v>105</v>
      </c>
      <c r="B1410" s="3444">
        <v>45890</v>
      </c>
      <c r="C1410" s="3165" t="s">
        <v>3224</v>
      </c>
      <c r="D1410" s="3688">
        <v>907</v>
      </c>
      <c r="E1410" s="3878" t="s">
        <v>1464</v>
      </c>
      <c r="F1410" s="3896" t="s">
        <v>3225</v>
      </c>
      <c r="G1410" s="3830" t="s">
        <v>1206</v>
      </c>
      <c r="H1410" s="3935" t="s">
        <v>1206</v>
      </c>
      <c r="I1410" s="3982">
        <v>701</v>
      </c>
      <c r="J1410" s="3670" t="s">
        <v>2705</v>
      </c>
      <c r="K1410" s="3873"/>
      <c r="L1410" s="3443" t="s">
        <v>37</v>
      </c>
      <c r="M1410" s="3443"/>
      <c r="W1410" s="3507"/>
    </row>
    <row r="1411" spans="1:23" ht="28.5" hidden="1">
      <c r="A1411" s="3480" t="s">
        <v>105</v>
      </c>
      <c r="B1411" s="3444">
        <v>45890</v>
      </c>
      <c r="C1411" s="3165" t="s">
        <v>3224</v>
      </c>
      <c r="D1411" s="3688"/>
      <c r="E1411" s="3878" t="s">
        <v>1465</v>
      </c>
      <c r="F1411" s="3896" t="s">
        <v>3228</v>
      </c>
      <c r="G1411" s="3830" t="s">
        <v>1206</v>
      </c>
      <c r="H1411" s="3935" t="s">
        <v>1206</v>
      </c>
      <c r="I1411" s="3982">
        <v>701</v>
      </c>
      <c r="J1411" s="3670" t="s">
        <v>2839</v>
      </c>
      <c r="K1411" s="3873"/>
      <c r="L1411" s="3443" t="s">
        <v>37</v>
      </c>
      <c r="M1411" s="3443"/>
      <c r="W1411" s="3507"/>
    </row>
    <row r="1412" spans="1:23" ht="28.5" hidden="1">
      <c r="A1412" s="3480" t="s">
        <v>105</v>
      </c>
      <c r="B1412" s="3444">
        <v>45890</v>
      </c>
      <c r="C1412" s="3165" t="s">
        <v>3224</v>
      </c>
      <c r="D1412" s="3695">
        <v>908</v>
      </c>
      <c r="E1412" s="3878" t="s">
        <v>80</v>
      </c>
      <c r="F1412" s="3896" t="s">
        <v>43</v>
      </c>
      <c r="G1412" s="4023" t="s">
        <v>1206</v>
      </c>
      <c r="H1412" s="3941" t="s">
        <v>1206</v>
      </c>
      <c r="I1412" s="3982">
        <v>705</v>
      </c>
      <c r="J1412" s="3670" t="s">
        <v>3248</v>
      </c>
      <c r="K1412" s="3511" t="s">
        <v>627</v>
      </c>
      <c r="L1412" s="3443" t="s">
        <v>37</v>
      </c>
      <c r="M1412" s="3443"/>
      <c r="W1412" s="3507"/>
    </row>
    <row r="1413" spans="1:23" ht="28.5" hidden="1">
      <c r="A1413" s="3480" t="s">
        <v>105</v>
      </c>
      <c r="B1413" s="3444">
        <v>45890</v>
      </c>
      <c r="C1413" s="3165" t="s">
        <v>3224</v>
      </c>
      <c r="D1413" s="3695"/>
      <c r="E1413" s="3878" t="s">
        <v>43</v>
      </c>
      <c r="F1413" s="3896" t="s">
        <v>80</v>
      </c>
      <c r="G1413" s="4023" t="s">
        <v>1206</v>
      </c>
      <c r="H1413" s="3941" t="s">
        <v>1206</v>
      </c>
      <c r="I1413" s="3982">
        <v>705</v>
      </c>
      <c r="J1413" s="3670">
        <v>60086</v>
      </c>
      <c r="K1413" s="3511" t="s">
        <v>627</v>
      </c>
      <c r="L1413" s="3443" t="s">
        <v>37</v>
      </c>
      <c r="M1413" s="3443"/>
      <c r="W1413" s="3507"/>
    </row>
    <row r="1414" spans="1:23" ht="28.5" hidden="1">
      <c r="A1414" s="3480" t="s">
        <v>105</v>
      </c>
      <c r="B1414" s="3444">
        <v>45890</v>
      </c>
      <c r="C1414" s="3165" t="s">
        <v>3224</v>
      </c>
      <c r="D1414" s="3688">
        <v>909</v>
      </c>
      <c r="E1414" s="3614" t="s">
        <v>1160</v>
      </c>
      <c r="F1414" s="3643" t="s">
        <v>3249</v>
      </c>
      <c r="G1414" s="4028" t="s">
        <v>1206</v>
      </c>
      <c r="H1414" s="3935" t="s">
        <v>1206</v>
      </c>
      <c r="I1414" s="3982">
        <v>712</v>
      </c>
      <c r="J1414" s="3670" t="s">
        <v>99</v>
      </c>
      <c r="K1414" s="3873"/>
      <c r="L1414" s="3456" t="s">
        <v>37</v>
      </c>
      <c r="M1414" s="3456"/>
      <c r="W1414" s="3913"/>
    </row>
    <row r="1415" spans="1:23" ht="28.5" hidden="1">
      <c r="A1415" s="3480" t="s">
        <v>105</v>
      </c>
      <c r="B1415" s="3444">
        <v>45890</v>
      </c>
      <c r="C1415" s="3165" t="s">
        <v>3224</v>
      </c>
      <c r="D1415" s="3688">
        <v>910</v>
      </c>
      <c r="E1415" s="3614" t="s">
        <v>169</v>
      </c>
      <c r="F1415" s="3643" t="s">
        <v>79</v>
      </c>
      <c r="G1415" s="4024" t="s">
        <v>1199</v>
      </c>
      <c r="H1415" s="3927" t="s">
        <v>1199</v>
      </c>
      <c r="I1415" s="3982">
        <v>707</v>
      </c>
      <c r="J1415" s="3670" t="s">
        <v>3250</v>
      </c>
      <c r="K1415" s="2369"/>
      <c r="L1415" s="3443" t="s">
        <v>37</v>
      </c>
      <c r="M1415" s="3443"/>
      <c r="W1415" s="3507"/>
    </row>
    <row r="1416" spans="1:23" ht="28.5" hidden="1">
      <c r="A1416" s="3477" t="s">
        <v>105</v>
      </c>
      <c r="B1416" s="3478">
        <v>45890</v>
      </c>
      <c r="C1416" s="3165" t="s">
        <v>3224</v>
      </c>
      <c r="D1416" s="4020">
        <v>911</v>
      </c>
      <c r="E1416" s="3708" t="s">
        <v>48</v>
      </c>
      <c r="F1416" s="3709" t="s">
        <v>3251</v>
      </c>
      <c r="G1416" s="4232" t="s">
        <v>1206</v>
      </c>
      <c r="H1416" s="3961" t="s">
        <v>1206</v>
      </c>
      <c r="I1416" s="4016">
        <v>705</v>
      </c>
      <c r="J1416" s="3977" t="s">
        <v>3252</v>
      </c>
      <c r="K1416" s="3443"/>
      <c r="L1416" s="3443" t="s">
        <v>37</v>
      </c>
      <c r="M1416" s="3443"/>
      <c r="U1416" s="3160" t="s">
        <v>37</v>
      </c>
      <c r="W1416" s="3507" t="s">
        <v>3253</v>
      </c>
    </row>
    <row r="1417" spans="1:23" ht="28.5" hidden="1">
      <c r="A1417" s="3480" t="s">
        <v>105</v>
      </c>
      <c r="B1417" s="3444">
        <v>45890</v>
      </c>
      <c r="C1417" s="3165" t="s">
        <v>3224</v>
      </c>
      <c r="D1417" s="3688">
        <v>912</v>
      </c>
      <c r="E1417" s="4029" t="s">
        <v>52</v>
      </c>
      <c r="F1417" s="4030" t="s">
        <v>127</v>
      </c>
      <c r="G1417" s="3830" t="s">
        <v>1206</v>
      </c>
      <c r="H1417" s="3935" t="s">
        <v>1206</v>
      </c>
      <c r="I1417" s="3982">
        <v>705</v>
      </c>
      <c r="J1417" s="3670" t="s">
        <v>3254</v>
      </c>
      <c r="K1417" s="2369"/>
      <c r="L1417" s="3443" t="s">
        <v>37</v>
      </c>
      <c r="M1417" s="3443"/>
      <c r="U1417" s="3160" t="s">
        <v>37</v>
      </c>
      <c r="W1417" s="3507"/>
    </row>
    <row r="1418" spans="1:23" ht="28.5" hidden="1">
      <c r="A1418" s="3480" t="s">
        <v>132</v>
      </c>
      <c r="B1418" s="3444">
        <v>45891</v>
      </c>
      <c r="C1418" s="3165" t="s">
        <v>3224</v>
      </c>
      <c r="D1418" s="3688"/>
      <c r="E1418" s="4029" t="s">
        <v>129</v>
      </c>
      <c r="F1418" s="4030" t="s">
        <v>130</v>
      </c>
      <c r="G1418" s="3830" t="s">
        <v>1206</v>
      </c>
      <c r="H1418" s="3935" t="s">
        <v>1206</v>
      </c>
      <c r="I1418" s="3982">
        <v>705</v>
      </c>
      <c r="J1418" s="3670" t="s">
        <v>3255</v>
      </c>
      <c r="K1418" s="2369"/>
      <c r="L1418" s="3443" t="s">
        <v>37</v>
      </c>
      <c r="M1418" s="3443"/>
      <c r="W1418" s="3507"/>
    </row>
    <row r="1419" spans="1:23" ht="28.5" hidden="1">
      <c r="A1419" s="3480" t="s">
        <v>132</v>
      </c>
      <c r="B1419" s="3444">
        <v>45891</v>
      </c>
      <c r="C1419" s="3165" t="s">
        <v>3224</v>
      </c>
      <c r="D1419" s="3688"/>
      <c r="E1419" s="3553" t="s">
        <v>1736</v>
      </c>
      <c r="F1419" s="3711" t="s">
        <v>3256</v>
      </c>
      <c r="G1419" s="4023" t="s">
        <v>1199</v>
      </c>
      <c r="H1419" s="3941" t="s">
        <v>1199</v>
      </c>
      <c r="I1419" s="3982">
        <v>705</v>
      </c>
      <c r="J1419" s="3670" t="s">
        <v>3247</v>
      </c>
      <c r="K1419" s="2369"/>
      <c r="L1419" s="3443" t="s">
        <v>37</v>
      </c>
      <c r="M1419" s="3443"/>
      <c r="W1419" s="3507"/>
    </row>
    <row r="1420" spans="1:23" ht="57" hidden="1">
      <c r="A1420" s="3480" t="s">
        <v>132</v>
      </c>
      <c r="B1420" s="3444">
        <v>45891</v>
      </c>
      <c r="C1420" s="3165" t="s">
        <v>3224</v>
      </c>
      <c r="D1420" s="3688">
        <v>913</v>
      </c>
      <c r="E1420" s="3878" t="s">
        <v>1464</v>
      </c>
      <c r="F1420" s="3896" t="s">
        <v>3225</v>
      </c>
      <c r="G1420" s="3830" t="s">
        <v>1206</v>
      </c>
      <c r="H1420" s="3935" t="s">
        <v>1206</v>
      </c>
      <c r="I1420" s="3982">
        <v>701</v>
      </c>
      <c r="J1420" s="3670" t="s">
        <v>2705</v>
      </c>
      <c r="K1420" s="3873"/>
      <c r="L1420" s="3456" t="s">
        <v>37</v>
      </c>
      <c r="M1420" s="3456"/>
      <c r="O1420" s="3443" t="s">
        <v>30</v>
      </c>
      <c r="W1420" s="3913" t="s">
        <v>3257</v>
      </c>
    </row>
    <row r="1421" spans="1:23" ht="28.5" hidden="1">
      <c r="A1421" s="3480" t="s">
        <v>132</v>
      </c>
      <c r="B1421" s="3444">
        <v>45891</v>
      </c>
      <c r="C1421" s="3165" t="s">
        <v>3224</v>
      </c>
      <c r="D1421" s="3688"/>
      <c r="E1421" s="3878" t="s">
        <v>1465</v>
      </c>
      <c r="F1421" s="3896" t="s">
        <v>3228</v>
      </c>
      <c r="G1421" s="4023" t="s">
        <v>1206</v>
      </c>
      <c r="H1421" s="3941" t="s">
        <v>1199</v>
      </c>
      <c r="I1421" s="3982">
        <v>701</v>
      </c>
      <c r="J1421" s="3670" t="s">
        <v>2839</v>
      </c>
      <c r="K1421" s="3873"/>
      <c r="L1421" s="3456" t="s">
        <v>37</v>
      </c>
      <c r="M1421" s="3456"/>
      <c r="W1421" s="3522"/>
    </row>
    <row r="1422" spans="1:23" ht="57" hidden="1">
      <c r="A1422" s="3480" t="s">
        <v>132</v>
      </c>
      <c r="B1422" s="3444">
        <v>45891</v>
      </c>
      <c r="C1422" s="3165" t="s">
        <v>3224</v>
      </c>
      <c r="D1422" s="3688">
        <v>914</v>
      </c>
      <c r="E1422" s="3614" t="s">
        <v>52</v>
      </c>
      <c r="F1422" s="3643" t="s">
        <v>273</v>
      </c>
      <c r="G1422" s="3830" t="s">
        <v>1206</v>
      </c>
      <c r="H1422" s="3935" t="s">
        <v>1206</v>
      </c>
      <c r="I1422" s="3982">
        <v>707</v>
      </c>
      <c r="J1422" s="3670" t="s">
        <v>226</v>
      </c>
      <c r="K1422" s="3873"/>
      <c r="L1422" s="3456" t="s">
        <v>37</v>
      </c>
      <c r="M1422" s="3456"/>
      <c r="W1422" s="3522" t="s">
        <v>3258</v>
      </c>
    </row>
    <row r="1423" spans="1:23" ht="28.5" hidden="1">
      <c r="A1423" s="3480" t="s">
        <v>132</v>
      </c>
      <c r="B1423" s="3444">
        <v>45891</v>
      </c>
      <c r="C1423" s="3165" t="s">
        <v>3224</v>
      </c>
      <c r="D1423" s="3695">
        <v>915</v>
      </c>
      <c r="E1423" s="3689" t="s">
        <v>169</v>
      </c>
      <c r="F1423" s="3714" t="s">
        <v>1571</v>
      </c>
      <c r="G1423" s="4079" t="s">
        <v>1199</v>
      </c>
      <c r="H1423" s="4193" t="s">
        <v>1199</v>
      </c>
      <c r="I1423" s="3855">
        <v>712</v>
      </c>
      <c r="J1423" s="3978" t="s">
        <v>2974</v>
      </c>
      <c r="K1423" s="3693" t="s">
        <v>174</v>
      </c>
      <c r="L1423" s="3505" t="s">
        <v>37</v>
      </c>
      <c r="M1423" s="3505"/>
      <c r="W1423" s="3522"/>
    </row>
    <row r="1424" spans="1:23" ht="29.25" hidden="1" thickBot="1">
      <c r="A1424" s="3494" t="s">
        <v>132</v>
      </c>
      <c r="B1424" s="3448">
        <v>45891</v>
      </c>
      <c r="C1424" s="3165" t="s">
        <v>3224</v>
      </c>
      <c r="D1424" s="4032"/>
      <c r="E1424" s="3690" t="s">
        <v>1571</v>
      </c>
      <c r="F1424" s="3715" t="s">
        <v>169</v>
      </c>
      <c r="G1424" s="4896" t="s">
        <v>1206</v>
      </c>
      <c r="H1424" s="4705" t="s">
        <v>1206</v>
      </c>
      <c r="I1424" s="3546">
        <v>712</v>
      </c>
      <c r="J1424" s="3523" t="s">
        <v>2974</v>
      </c>
      <c r="K1424" s="3608" t="s">
        <v>174</v>
      </c>
      <c r="L1424" s="3447" t="s">
        <v>37</v>
      </c>
      <c r="M1424" s="3447"/>
      <c r="W1424" s="3522"/>
    </row>
    <row r="1425" spans="1:24" ht="57" hidden="1">
      <c r="A1425" s="3443" t="s">
        <v>132</v>
      </c>
      <c r="B1425" s="3444">
        <v>45891</v>
      </c>
      <c r="C1425" s="3165" t="s">
        <v>3224</v>
      </c>
      <c r="D1425" s="3695">
        <v>916</v>
      </c>
      <c r="E1425" s="3614" t="s">
        <v>1148</v>
      </c>
      <c r="F1425" s="3614" t="s">
        <v>3259</v>
      </c>
      <c r="G1425" s="3957" t="s">
        <v>1199</v>
      </c>
      <c r="H1425" s="3814" t="s">
        <v>1199</v>
      </c>
      <c r="I1425" s="3443">
        <v>707</v>
      </c>
      <c r="J1425" s="3443" t="s">
        <v>318</v>
      </c>
      <c r="K1425" s="4050" t="s">
        <v>627</v>
      </c>
      <c r="L1425" s="3605" t="s">
        <v>37</v>
      </c>
      <c r="M1425" s="3456"/>
      <c r="N1425" s="3276"/>
      <c r="O1425" s="3276"/>
      <c r="P1425" s="3276"/>
      <c r="Q1425" s="3276"/>
      <c r="R1425" s="3307"/>
      <c r="S1425" s="3276"/>
      <c r="T1425" s="3276"/>
      <c r="U1425" s="3276"/>
      <c r="V1425" s="3276"/>
      <c r="W1425" s="3522" t="s">
        <v>3260</v>
      </c>
      <c r="X1425" s="3793"/>
    </row>
    <row r="1426" spans="1:24" ht="31.5" hidden="1">
      <c r="A1426" s="3656" t="s">
        <v>132</v>
      </c>
      <c r="B1426" s="3657">
        <v>45891</v>
      </c>
      <c r="C1426" s="3165" t="s">
        <v>3224</v>
      </c>
      <c r="D1426" s="4516">
        <v>917</v>
      </c>
      <c r="E1426" s="4561" t="s">
        <v>3261</v>
      </c>
      <c r="F1426" s="4631" t="s">
        <v>2702</v>
      </c>
      <c r="G1426" s="4897" t="s">
        <v>1199</v>
      </c>
      <c r="H1426" s="4917" t="s">
        <v>1199</v>
      </c>
      <c r="I1426" s="4010">
        <v>712</v>
      </c>
      <c r="J1426" s="3704" t="s">
        <v>3262</v>
      </c>
      <c r="K1426" s="3403" t="s">
        <v>1630</v>
      </c>
      <c r="L1426" s="3605" t="s">
        <v>37</v>
      </c>
      <c r="M1426" s="3456"/>
      <c r="N1426" s="3276"/>
      <c r="O1426" s="3276"/>
      <c r="R1426" s="3161"/>
      <c r="S1426" s="3276"/>
      <c r="T1426" s="3276"/>
      <c r="U1426" s="3276"/>
      <c r="V1426" s="3276"/>
      <c r="W1426" s="3522"/>
      <c r="X1426" s="3793"/>
    </row>
    <row r="1427" spans="1:24" ht="28.5" hidden="1">
      <c r="A1427" s="3443" t="s">
        <v>143</v>
      </c>
      <c r="B1427" s="3444">
        <v>45892</v>
      </c>
      <c r="C1427" s="3165" t="s">
        <v>3224</v>
      </c>
      <c r="D1427" s="3688">
        <v>918</v>
      </c>
      <c r="E1427" s="3614" t="s">
        <v>1293</v>
      </c>
      <c r="F1427" s="3614" t="s">
        <v>52</v>
      </c>
      <c r="G1427" s="3811" t="s">
        <v>1199</v>
      </c>
      <c r="H1427" s="4048" t="s">
        <v>1199</v>
      </c>
      <c r="I1427" s="3670">
        <v>705</v>
      </c>
      <c r="J1427" s="3590" t="s">
        <v>3263</v>
      </c>
      <c r="K1427" s="4075" t="s">
        <v>174</v>
      </c>
      <c r="L1427" s="3534"/>
      <c r="M1427" s="3443" t="s">
        <v>3264</v>
      </c>
      <c r="N1427" s="3443"/>
      <c r="O1427" s="3443"/>
      <c r="P1427" s="3443"/>
      <c r="Q1427" s="3443"/>
      <c r="R1427" s="4722"/>
      <c r="S1427" s="3443"/>
      <c r="T1427" s="3443"/>
      <c r="U1427" s="3443"/>
      <c r="V1427" s="3531"/>
      <c r="W1427" s="3507"/>
      <c r="X1427" s="3507"/>
    </row>
    <row r="1428" spans="1:24" ht="57" hidden="1">
      <c r="A1428" s="3443" t="s">
        <v>25</v>
      </c>
      <c r="B1428" s="3444">
        <v>45894</v>
      </c>
      <c r="C1428" s="3165" t="s">
        <v>3265</v>
      </c>
      <c r="D1428" s="3579">
        <v>919</v>
      </c>
      <c r="E1428" s="3614" t="s">
        <v>1571</v>
      </c>
      <c r="F1428" s="3614" t="s">
        <v>169</v>
      </c>
      <c r="G1428" s="3587"/>
      <c r="H1428" s="4036"/>
      <c r="I1428" s="3670">
        <v>712</v>
      </c>
      <c r="J1428" s="3590" t="s">
        <v>2974</v>
      </c>
      <c r="K1428" s="4075" t="s">
        <v>174</v>
      </c>
      <c r="L1428" s="3534"/>
      <c r="M1428" s="3443" t="s">
        <v>37</v>
      </c>
      <c r="N1428" s="3443"/>
      <c r="O1428" s="3443"/>
      <c r="P1428" s="3160" t="s">
        <v>0</v>
      </c>
      <c r="Q1428" s="21" t="s">
        <v>782</v>
      </c>
      <c r="R1428" s="29" t="s">
        <v>32</v>
      </c>
      <c r="S1428" s="3443"/>
      <c r="T1428" s="3443"/>
      <c r="U1428" s="3443"/>
      <c r="V1428" s="3531"/>
      <c r="W1428" s="3507" t="s">
        <v>3266</v>
      </c>
      <c r="X1428" s="3507"/>
    </row>
    <row r="1429" spans="1:24" ht="28.5" hidden="1">
      <c r="A1429" s="3443" t="s">
        <v>25</v>
      </c>
      <c r="B1429" s="3444">
        <v>45894</v>
      </c>
      <c r="C1429" s="3165" t="s">
        <v>3265</v>
      </c>
      <c r="D1429" s="3579"/>
      <c r="E1429" s="3614" t="s">
        <v>169</v>
      </c>
      <c r="F1429" s="3614" t="s">
        <v>1571</v>
      </c>
      <c r="G1429" s="3587"/>
      <c r="H1429" s="4036"/>
      <c r="I1429" s="3670">
        <v>712</v>
      </c>
      <c r="J1429" s="3590" t="s">
        <v>3267</v>
      </c>
      <c r="K1429" s="4052"/>
      <c r="L1429" s="3534"/>
      <c r="M1429" s="3443"/>
      <c r="N1429" s="3443" t="s">
        <v>37</v>
      </c>
      <c r="O1429" s="3443"/>
      <c r="P1429" s="3161" t="s">
        <v>0</v>
      </c>
      <c r="Q1429" s="21" t="s">
        <v>782</v>
      </c>
      <c r="R1429" s="20" t="s">
        <v>32</v>
      </c>
      <c r="S1429" s="3443"/>
      <c r="T1429" s="3443"/>
      <c r="U1429" s="3443"/>
      <c r="V1429" s="3531"/>
      <c r="W1429" s="3507"/>
      <c r="X1429" s="3507"/>
    </row>
    <row r="1430" spans="1:24" ht="28.5" hidden="1">
      <c r="A1430" s="3443" t="s">
        <v>25</v>
      </c>
      <c r="B1430" s="3444">
        <v>45894</v>
      </c>
      <c r="C1430" s="3165" t="s">
        <v>3265</v>
      </c>
      <c r="D1430" s="4130">
        <v>920</v>
      </c>
      <c r="E1430" s="3878" t="s">
        <v>1464</v>
      </c>
      <c r="F1430" s="3878" t="s">
        <v>3225</v>
      </c>
      <c r="G1430" s="3802" t="s">
        <v>1206</v>
      </c>
      <c r="H1430" s="4037" t="s">
        <v>1199</v>
      </c>
      <c r="I1430" s="3670">
        <v>701</v>
      </c>
      <c r="J1430" s="3590" t="s">
        <v>2705</v>
      </c>
      <c r="K1430" s="4055"/>
      <c r="L1430" s="3534" t="s">
        <v>37</v>
      </c>
      <c r="M1430" s="3443"/>
      <c r="N1430" s="3443"/>
      <c r="O1430" s="3443"/>
      <c r="P1430" s="3443"/>
      <c r="Q1430" s="3443"/>
      <c r="R1430" s="3534"/>
      <c r="S1430" s="3443"/>
      <c r="T1430" s="3443"/>
      <c r="U1430" s="3443"/>
      <c r="V1430" s="3531"/>
      <c r="W1430" s="3507"/>
      <c r="X1430" s="3507"/>
    </row>
    <row r="1431" spans="1:24" ht="57" hidden="1">
      <c r="A1431" s="3443" t="s">
        <v>25</v>
      </c>
      <c r="B1431" s="3444">
        <v>45894</v>
      </c>
      <c r="C1431" s="3165" t="s">
        <v>3265</v>
      </c>
      <c r="D1431" s="3579"/>
      <c r="E1431" s="3878" t="s">
        <v>1465</v>
      </c>
      <c r="F1431" s="3878" t="s">
        <v>3228</v>
      </c>
      <c r="G1431" s="3587"/>
      <c r="H1431" s="4036"/>
      <c r="I1431" s="3670">
        <v>701</v>
      </c>
      <c r="J1431" s="3590" t="s">
        <v>2839</v>
      </c>
      <c r="K1431" s="4052"/>
      <c r="L1431" s="3534"/>
      <c r="M1431" s="3443" t="s">
        <v>37</v>
      </c>
      <c r="N1431" s="3443"/>
      <c r="O1431" s="3443"/>
      <c r="P1431" s="20" t="s">
        <v>109</v>
      </c>
      <c r="Q1431" s="21" t="s">
        <v>323</v>
      </c>
      <c r="R1431" s="20" t="s">
        <v>790</v>
      </c>
      <c r="S1431" s="3443"/>
      <c r="T1431" s="3443"/>
      <c r="U1431" s="3443"/>
      <c r="V1431" s="3531"/>
      <c r="W1431" s="3507" t="s">
        <v>3268</v>
      </c>
      <c r="X1431" s="3507"/>
    </row>
    <row r="1432" spans="1:24" ht="28.5" hidden="1">
      <c r="A1432" s="3443" t="s">
        <v>25</v>
      </c>
      <c r="B1432" s="3444">
        <v>45894</v>
      </c>
      <c r="C1432" s="3165" t="s">
        <v>3265</v>
      </c>
      <c r="D1432" s="3511">
        <v>921</v>
      </c>
      <c r="E1432" s="3614" t="s">
        <v>80</v>
      </c>
      <c r="F1432" s="3614" t="s">
        <v>1698</v>
      </c>
      <c r="G1432" s="3811" t="s">
        <v>1199</v>
      </c>
      <c r="H1432" s="4037" t="s">
        <v>1199</v>
      </c>
      <c r="I1432" s="3670">
        <v>705</v>
      </c>
      <c r="J1432" s="3590" t="s">
        <v>3269</v>
      </c>
      <c r="K1432" s="4075" t="s">
        <v>3270</v>
      </c>
      <c r="L1432" s="3545" t="s">
        <v>37</v>
      </c>
      <c r="M1432" s="3462"/>
      <c r="N1432" s="3462"/>
      <c r="O1432" s="3462"/>
      <c r="P1432" s="3462"/>
      <c r="Q1432" s="3273"/>
      <c r="R1432" s="3545"/>
      <c r="S1432" s="3462"/>
      <c r="T1432" s="3462"/>
      <c r="U1432" s="3462"/>
      <c r="V1432" s="3600"/>
      <c r="W1432" s="3636"/>
      <c r="X1432" s="3636"/>
    </row>
    <row r="1433" spans="1:24" ht="114" hidden="1">
      <c r="A1433" s="3443" t="s">
        <v>25</v>
      </c>
      <c r="B1433" s="3444">
        <v>45894</v>
      </c>
      <c r="C1433" s="3165" t="s">
        <v>3265</v>
      </c>
      <c r="D1433" s="4130"/>
      <c r="E1433" s="3614" t="s">
        <v>48</v>
      </c>
      <c r="F1433" s="3614" t="s">
        <v>1864</v>
      </c>
      <c r="G1433" s="4038" t="s">
        <v>1199</v>
      </c>
      <c r="H1433" s="3949" t="s">
        <v>1199</v>
      </c>
      <c r="I1433" s="3670"/>
      <c r="J1433" s="3590"/>
      <c r="K1433" s="4053"/>
      <c r="L1433" s="3545"/>
      <c r="M1433" s="3462" t="s">
        <v>37</v>
      </c>
      <c r="N1433" s="3462"/>
      <c r="O1433" s="3462"/>
      <c r="P1433" s="24" t="s">
        <v>109</v>
      </c>
      <c r="Q1433" s="24" t="s">
        <v>794</v>
      </c>
      <c r="R1433" s="32" t="s">
        <v>160</v>
      </c>
      <c r="S1433" s="3462"/>
      <c r="T1433" s="3462"/>
      <c r="U1433" s="3462"/>
      <c r="V1433" s="3600"/>
      <c r="W1433" s="3636" t="s">
        <v>3271</v>
      </c>
      <c r="X1433" s="3636"/>
    </row>
    <row r="1434" spans="1:24" ht="29.25" hidden="1" thickBot="1">
      <c r="A1434" s="3443" t="s">
        <v>25</v>
      </c>
      <c r="B1434" s="3444">
        <v>45894</v>
      </c>
      <c r="C1434" s="3165" t="s">
        <v>3265</v>
      </c>
      <c r="D1434" s="4130">
        <v>922</v>
      </c>
      <c r="E1434" s="3616" t="s">
        <v>80</v>
      </c>
      <c r="F1434" s="3616" t="s">
        <v>3272</v>
      </c>
      <c r="G1434" s="4038" t="s">
        <v>1199</v>
      </c>
      <c r="H1434" s="3949" t="s">
        <v>1199</v>
      </c>
      <c r="I1434" s="3670">
        <v>705</v>
      </c>
      <c r="J1434" s="3590" t="s">
        <v>3219</v>
      </c>
      <c r="K1434" s="4054"/>
      <c r="L1434" s="3546" t="s">
        <v>37</v>
      </c>
      <c r="M1434" s="3447"/>
      <c r="N1434" s="3447"/>
      <c r="O1434" s="3447"/>
      <c r="P1434" s="3447"/>
      <c r="Q1434" s="3447"/>
      <c r="R1434" s="3546"/>
      <c r="S1434" s="3447"/>
      <c r="T1434" s="3447"/>
      <c r="U1434" s="3447"/>
      <c r="V1434" s="3586"/>
      <c r="W1434" s="3507"/>
      <c r="X1434" s="3507"/>
    </row>
    <row r="1435" spans="1:24" ht="29.25" hidden="1" thickBot="1">
      <c r="A1435" s="3447" t="s">
        <v>25</v>
      </c>
      <c r="B1435" s="3448">
        <v>45894</v>
      </c>
      <c r="C1435" s="3165" t="s">
        <v>3265</v>
      </c>
      <c r="D1435" s="4131">
        <v>923</v>
      </c>
      <c r="E1435" s="3850" t="s">
        <v>1698</v>
      </c>
      <c r="F1435" s="3850" t="s">
        <v>140</v>
      </c>
      <c r="G1435" s="4039" t="s">
        <v>1206</v>
      </c>
      <c r="H1435" s="4039" t="s">
        <v>1206</v>
      </c>
      <c r="I1435" s="3979">
        <v>705</v>
      </c>
      <c r="J1435" s="3593" t="s">
        <v>994</v>
      </c>
      <c r="K1435" s="4055"/>
      <c r="L1435" s="3605" t="s">
        <v>37</v>
      </c>
      <c r="M1435" s="3456"/>
      <c r="N1435" s="3456"/>
      <c r="O1435" s="3456"/>
      <c r="P1435" s="3456"/>
      <c r="Q1435" s="3456"/>
      <c r="R1435" s="3605"/>
      <c r="S1435" s="3456"/>
      <c r="T1435" s="3456"/>
      <c r="U1435" s="3456"/>
      <c r="V1435" s="3599"/>
      <c r="W1435" s="3512"/>
      <c r="X1435" s="3512"/>
    </row>
    <row r="1436" spans="1:24" ht="28.5" hidden="1">
      <c r="A1436" s="3598" t="s">
        <v>25</v>
      </c>
      <c r="B1436" s="3506">
        <v>45894</v>
      </c>
      <c r="C1436" s="3165" t="s">
        <v>3265</v>
      </c>
      <c r="D1436" s="4132"/>
      <c r="E1436" s="3845" t="s">
        <v>80</v>
      </c>
      <c r="F1436" s="4632" t="s">
        <v>142</v>
      </c>
      <c r="G1436" s="4040" t="s">
        <v>1206</v>
      </c>
      <c r="H1436" s="4040" t="s">
        <v>1206</v>
      </c>
      <c r="I1436" s="4010">
        <v>701</v>
      </c>
      <c r="J1436" s="4722" t="s">
        <v>2705</v>
      </c>
      <c r="K1436" s="4052"/>
      <c r="L1436" s="3534" t="s">
        <v>37</v>
      </c>
      <c r="M1436" s="3443"/>
      <c r="N1436" s="3443"/>
      <c r="O1436" s="3443"/>
      <c r="P1436" s="3443"/>
      <c r="Q1436" s="3443"/>
      <c r="R1436" s="3534"/>
      <c r="S1436" s="3443"/>
      <c r="T1436" s="3443"/>
      <c r="U1436" s="3443"/>
      <c r="V1436" s="3531"/>
      <c r="W1436" s="3507"/>
      <c r="X1436" s="3507"/>
    </row>
    <row r="1437" spans="1:24" ht="28.5" hidden="1">
      <c r="A1437" s="3443" t="s">
        <v>25</v>
      </c>
      <c r="B1437" s="3444">
        <v>45894</v>
      </c>
      <c r="C1437" s="3165" t="s">
        <v>3265</v>
      </c>
      <c r="D1437" s="4132">
        <v>924</v>
      </c>
      <c r="E1437" s="3614" t="s">
        <v>168</v>
      </c>
      <c r="F1437" s="3614" t="s">
        <v>80</v>
      </c>
      <c r="G1437" s="3802" t="s">
        <v>1206</v>
      </c>
      <c r="H1437" s="4081" t="s">
        <v>1206</v>
      </c>
      <c r="I1437" s="3670">
        <v>705</v>
      </c>
      <c r="J1437" s="3982" t="s">
        <v>3273</v>
      </c>
      <c r="K1437" s="3928"/>
      <c r="L1437" s="3534" t="s">
        <v>37</v>
      </c>
      <c r="M1437" s="3443"/>
      <c r="N1437" s="3443"/>
      <c r="O1437" s="3443"/>
      <c r="P1437" s="3443"/>
      <c r="Q1437" s="3443"/>
      <c r="R1437" s="3534"/>
      <c r="S1437" s="3456"/>
      <c r="T1437" s="3456"/>
      <c r="U1437" s="3456"/>
      <c r="V1437" s="3456"/>
      <c r="W1437" s="3522"/>
      <c r="X1437" s="3522"/>
    </row>
    <row r="1438" spans="1:24" ht="28.5" hidden="1">
      <c r="A1438" s="3443" t="s">
        <v>67</v>
      </c>
      <c r="B1438" s="3444">
        <v>45895</v>
      </c>
      <c r="C1438" s="3165" t="s">
        <v>3265</v>
      </c>
      <c r="D1438" s="4134"/>
      <c r="E1438" s="3616" t="s">
        <v>939</v>
      </c>
      <c r="F1438" s="3616" t="s">
        <v>534</v>
      </c>
      <c r="G1438" s="4038" t="s">
        <v>1206</v>
      </c>
      <c r="H1438" s="4096" t="s">
        <v>1206</v>
      </c>
      <c r="I1438" s="3978">
        <v>701</v>
      </c>
      <c r="J1438" s="3857" t="s">
        <v>2705</v>
      </c>
      <c r="K1438" s="4747"/>
      <c r="L1438" s="3605" t="s">
        <v>37</v>
      </c>
      <c r="M1438" s="3456"/>
      <c r="N1438" s="3456"/>
      <c r="O1438" s="3456"/>
      <c r="P1438" s="3456"/>
      <c r="Q1438" s="3456"/>
      <c r="R1438" s="3605"/>
      <c r="S1438" s="3456"/>
      <c r="T1438" s="3456"/>
      <c r="U1438" s="3456"/>
      <c r="V1438" s="3456"/>
      <c r="W1438" s="3522"/>
      <c r="X1438" s="3522"/>
    </row>
    <row r="1439" spans="1:24" ht="28.5" hidden="1">
      <c r="A1439" s="3443" t="s">
        <v>67</v>
      </c>
      <c r="B1439" s="3444">
        <v>45895</v>
      </c>
      <c r="C1439" s="3165" t="s">
        <v>3265</v>
      </c>
      <c r="D1439" s="4130"/>
      <c r="E1439" s="4561" t="s">
        <v>442</v>
      </c>
      <c r="F1439" s="4631" t="s">
        <v>512</v>
      </c>
      <c r="G1439" s="3772" t="s">
        <v>1206</v>
      </c>
      <c r="H1439" s="4041" t="s">
        <v>1206</v>
      </c>
      <c r="I1439" s="3670">
        <v>701</v>
      </c>
      <c r="J1439" s="3590" t="s">
        <v>2705</v>
      </c>
      <c r="K1439" s="4075" t="s">
        <v>174</v>
      </c>
      <c r="L1439" s="3534" t="s">
        <v>37</v>
      </c>
      <c r="M1439" s="3443"/>
      <c r="N1439" s="3443"/>
      <c r="O1439" s="3443"/>
      <c r="P1439" s="3443"/>
      <c r="Q1439" s="3443"/>
      <c r="R1439" s="3534"/>
      <c r="S1439" s="3443"/>
      <c r="T1439" s="3443"/>
      <c r="U1439" s="3443"/>
      <c r="V1439" s="3531"/>
      <c r="W1439" s="3507"/>
      <c r="X1439" s="3507"/>
    </row>
    <row r="1440" spans="1:24" ht="28.5" hidden="1">
      <c r="A1440" s="3443" t="s">
        <v>67</v>
      </c>
      <c r="B1440" s="3444">
        <v>45895</v>
      </c>
      <c r="C1440" s="3165" t="s">
        <v>3265</v>
      </c>
      <c r="D1440" s="3511">
        <v>925</v>
      </c>
      <c r="E1440" s="3614" t="s">
        <v>169</v>
      </c>
      <c r="F1440" s="3614" t="s">
        <v>1571</v>
      </c>
      <c r="G1440" s="3772" t="s">
        <v>1206</v>
      </c>
      <c r="H1440" s="3772" t="s">
        <v>1206</v>
      </c>
      <c r="I1440" s="3670">
        <v>712</v>
      </c>
      <c r="J1440" s="3982" t="s">
        <v>2974</v>
      </c>
      <c r="K1440" s="4075" t="s">
        <v>174</v>
      </c>
      <c r="L1440" s="3534" t="s">
        <v>37</v>
      </c>
      <c r="M1440" s="3443"/>
      <c r="N1440" s="3443"/>
      <c r="O1440" s="3443"/>
      <c r="P1440" s="4722"/>
      <c r="Q1440" s="3443"/>
      <c r="R1440" s="4722"/>
      <c r="S1440" s="3443"/>
      <c r="T1440" s="3443"/>
      <c r="U1440" s="3443"/>
      <c r="V1440" s="3531"/>
      <c r="W1440" s="3507"/>
      <c r="X1440" s="3507"/>
    </row>
    <row r="1441" spans="1:24" ht="28.5" hidden="1">
      <c r="A1441" s="3443" t="s">
        <v>67</v>
      </c>
      <c r="B1441" s="3444">
        <v>45895</v>
      </c>
      <c r="C1441" s="3165" t="s">
        <v>3265</v>
      </c>
      <c r="D1441" s="3511"/>
      <c r="E1441" s="3614" t="s">
        <v>1571</v>
      </c>
      <c r="F1441" s="3614" t="s">
        <v>169</v>
      </c>
      <c r="G1441" s="3772" t="s">
        <v>1206</v>
      </c>
      <c r="H1441" s="4041" t="s">
        <v>1206</v>
      </c>
      <c r="I1441" s="3670">
        <v>712</v>
      </c>
      <c r="J1441" s="3982" t="s">
        <v>3267</v>
      </c>
      <c r="K1441" s="4055"/>
      <c r="L1441" s="3605"/>
      <c r="M1441" s="3456"/>
      <c r="N1441" s="3456"/>
      <c r="O1441" s="3456"/>
      <c r="P1441" s="3456"/>
      <c r="Q1441" s="3456" t="s">
        <v>30</v>
      </c>
      <c r="R1441" s="3605"/>
      <c r="S1441" s="3456"/>
      <c r="T1441" s="3456"/>
      <c r="U1441" s="3456"/>
      <c r="V1441" s="3456"/>
      <c r="W1441" s="3522"/>
      <c r="X1441" s="3522"/>
    </row>
    <row r="1442" spans="1:24" ht="28.5" hidden="1">
      <c r="A1442" s="3443" t="s">
        <v>67</v>
      </c>
      <c r="B1442" s="3444">
        <v>45895</v>
      </c>
      <c r="C1442" s="3165" t="s">
        <v>3265</v>
      </c>
      <c r="D1442" s="4129">
        <v>926</v>
      </c>
      <c r="E1442" s="3878" t="s">
        <v>1465</v>
      </c>
      <c r="F1442" s="3878" t="s">
        <v>1464</v>
      </c>
      <c r="G1442" s="3587"/>
      <c r="H1442" s="4098"/>
      <c r="I1442" s="3670">
        <v>701</v>
      </c>
      <c r="J1442" s="3982" t="s">
        <v>2705</v>
      </c>
      <c r="K1442" s="4055"/>
      <c r="L1442" s="3607"/>
      <c r="M1442" s="3505" t="s">
        <v>30</v>
      </c>
      <c r="N1442" s="3505"/>
      <c r="O1442" s="3505"/>
      <c r="P1442" s="119" t="s">
        <v>0</v>
      </c>
      <c r="Q1442" s="119" t="s">
        <v>31</v>
      </c>
      <c r="R1442" s="4771" t="s">
        <v>790</v>
      </c>
      <c r="S1442" s="3505"/>
      <c r="T1442" s="3505"/>
      <c r="U1442" s="3505"/>
      <c r="V1442" s="3602"/>
      <c r="W1442" s="4061" t="s">
        <v>3274</v>
      </c>
      <c r="X1442" s="4061"/>
    </row>
    <row r="1443" spans="1:24" ht="28.5" hidden="1">
      <c r="A1443" s="3443" t="s">
        <v>67</v>
      </c>
      <c r="B1443" s="3444">
        <v>45895</v>
      </c>
      <c r="C1443" s="3165" t="s">
        <v>3265</v>
      </c>
      <c r="D1443" s="4130">
        <v>927</v>
      </c>
      <c r="E1443" s="3614" t="s">
        <v>1598</v>
      </c>
      <c r="F1443" s="3614" t="s">
        <v>3275</v>
      </c>
      <c r="G1443" s="3772" t="s">
        <v>1206</v>
      </c>
      <c r="H1443" s="3772" t="s">
        <v>1206</v>
      </c>
      <c r="I1443" s="3670">
        <v>712</v>
      </c>
      <c r="J1443" s="3982" t="s">
        <v>3267</v>
      </c>
      <c r="K1443" s="4051" t="s">
        <v>174</v>
      </c>
      <c r="L1443" s="3607" t="s">
        <v>37</v>
      </c>
      <c r="M1443" s="3505"/>
      <c r="N1443" s="3505"/>
      <c r="O1443" s="3505"/>
      <c r="P1443" s="3505"/>
      <c r="Q1443" s="3505"/>
      <c r="R1443" s="3607"/>
      <c r="S1443" s="3505"/>
      <c r="T1443" s="3505"/>
      <c r="U1443" s="3505"/>
      <c r="V1443" s="3602"/>
      <c r="W1443" s="4061"/>
      <c r="X1443" s="4061"/>
    </row>
    <row r="1444" spans="1:24" ht="85.5" hidden="1">
      <c r="A1444" s="3443" t="s">
        <v>67</v>
      </c>
      <c r="B1444" s="3444">
        <v>45895</v>
      </c>
      <c r="C1444" s="3165" t="s">
        <v>3265</v>
      </c>
      <c r="D1444" s="4130">
        <v>928</v>
      </c>
      <c r="E1444" s="3614" t="s">
        <v>80</v>
      </c>
      <c r="F1444" s="3614" t="s">
        <v>168</v>
      </c>
      <c r="G1444" s="3812" t="s">
        <v>1206</v>
      </c>
      <c r="H1444" s="3772" t="s">
        <v>1206</v>
      </c>
      <c r="I1444" s="3670">
        <v>712</v>
      </c>
      <c r="J1444" s="3982" t="s">
        <v>3276</v>
      </c>
      <c r="K1444" s="4740"/>
      <c r="L1444" s="3545"/>
      <c r="M1444" s="3462" t="s">
        <v>37</v>
      </c>
      <c r="N1444" s="3462"/>
      <c r="O1444" s="3462"/>
      <c r="P1444" s="3689"/>
      <c r="Q1444" s="3689"/>
      <c r="R1444" s="3728"/>
      <c r="S1444" s="3462"/>
      <c r="T1444" s="3462"/>
      <c r="U1444" s="3462"/>
      <c r="V1444" s="3600"/>
      <c r="W1444" s="3636" t="s">
        <v>3277</v>
      </c>
      <c r="X1444" s="3636"/>
    </row>
    <row r="1445" spans="1:24" ht="28.5" hidden="1">
      <c r="A1445" s="3443" t="s">
        <v>67</v>
      </c>
      <c r="B1445" s="3444">
        <v>45895</v>
      </c>
      <c r="C1445" s="3165" t="s">
        <v>3265</v>
      </c>
      <c r="D1445" s="4130">
        <v>929</v>
      </c>
      <c r="E1445" s="3614" t="s">
        <v>1864</v>
      </c>
      <c r="F1445" s="3614" t="s">
        <v>3278</v>
      </c>
      <c r="G1445" s="3812" t="s">
        <v>1206</v>
      </c>
      <c r="H1445" s="4090" t="s">
        <v>1206</v>
      </c>
      <c r="I1445" s="3670"/>
      <c r="J1445" s="3982" t="s">
        <v>922</v>
      </c>
      <c r="K1445" s="4740"/>
      <c r="L1445" s="3545"/>
      <c r="M1445" s="3462"/>
      <c r="N1445" s="3462"/>
      <c r="O1445" s="3462"/>
      <c r="P1445" s="3462"/>
      <c r="Q1445" s="3462" t="s">
        <v>37</v>
      </c>
      <c r="R1445" s="3545"/>
      <c r="S1445" s="3462"/>
      <c r="T1445" s="3462"/>
      <c r="U1445" s="3462"/>
      <c r="V1445" s="3600"/>
      <c r="W1445" s="3636"/>
      <c r="X1445" s="3636"/>
    </row>
    <row r="1446" spans="1:24" ht="29.25" hidden="1" thickBot="1">
      <c r="A1446" s="3443" t="s">
        <v>67</v>
      </c>
      <c r="B1446" s="3444">
        <v>45895</v>
      </c>
      <c r="C1446" s="3165" t="s">
        <v>3265</v>
      </c>
      <c r="D1446" s="4130"/>
      <c r="E1446" s="3614" t="s">
        <v>3278</v>
      </c>
      <c r="F1446" s="3614" t="s">
        <v>1864</v>
      </c>
      <c r="G1446" s="3812" t="s">
        <v>1206</v>
      </c>
      <c r="H1446" s="4090" t="s">
        <v>1206</v>
      </c>
      <c r="I1446" s="3670"/>
      <c r="J1446" s="3982" t="s">
        <v>3269</v>
      </c>
      <c r="K1446" s="4054"/>
      <c r="L1446" s="3546" t="s">
        <v>37</v>
      </c>
      <c r="M1446" s="3456"/>
      <c r="N1446" s="3447"/>
      <c r="O1446" s="3447"/>
      <c r="P1446" s="3447"/>
      <c r="Q1446" s="3447"/>
      <c r="R1446" s="3546"/>
      <c r="S1446" s="3545"/>
      <c r="T1446" s="3462"/>
      <c r="U1446" s="3462"/>
      <c r="V1446" s="3600"/>
      <c r="W1446" s="3636" t="s">
        <v>3279</v>
      </c>
      <c r="X1446" s="3636"/>
    </row>
    <row r="1447" spans="1:24" ht="29.25" hidden="1" thickBot="1">
      <c r="A1447" s="3443" t="s">
        <v>67</v>
      </c>
      <c r="B1447" s="3444">
        <v>45895</v>
      </c>
      <c r="C1447" s="3165" t="s">
        <v>3265</v>
      </c>
      <c r="D1447" s="4130">
        <v>930</v>
      </c>
      <c r="E1447" s="3563" t="s">
        <v>48</v>
      </c>
      <c r="F1447" s="3563" t="s">
        <v>3280</v>
      </c>
      <c r="G1447" s="3772" t="s">
        <v>1206</v>
      </c>
      <c r="H1447" s="4041" t="s">
        <v>1206</v>
      </c>
      <c r="I1447" s="3593">
        <v>705</v>
      </c>
      <c r="J1447" s="3593" t="s">
        <v>3281</v>
      </c>
      <c r="K1447" s="4054"/>
      <c r="L1447" s="3546" t="s">
        <v>37</v>
      </c>
      <c r="M1447" s="3447"/>
      <c r="N1447" s="3447"/>
      <c r="O1447" s="3447"/>
      <c r="P1447" s="3447"/>
      <c r="Q1447" s="3447"/>
      <c r="R1447" s="3546"/>
      <c r="S1447" s="3545"/>
      <c r="T1447" s="3462"/>
      <c r="U1447" s="3462"/>
      <c r="V1447" s="3600"/>
      <c r="W1447" s="3636"/>
      <c r="X1447" s="3636"/>
    </row>
    <row r="1448" spans="1:24" ht="29.25" hidden="1" thickBot="1">
      <c r="A1448" s="3443" t="s">
        <v>67</v>
      </c>
      <c r="B1448" s="3444">
        <v>45895</v>
      </c>
      <c r="C1448" s="3165" t="s">
        <v>3265</v>
      </c>
      <c r="D1448" s="4130"/>
      <c r="E1448" s="3563" t="s">
        <v>48</v>
      </c>
      <c r="F1448" s="3563" t="s">
        <v>3280</v>
      </c>
      <c r="G1448" s="3772" t="s">
        <v>1206</v>
      </c>
      <c r="H1448" s="4041" t="s">
        <v>1206</v>
      </c>
      <c r="I1448" s="3593">
        <v>705</v>
      </c>
      <c r="J1448" s="3593" t="s">
        <v>994</v>
      </c>
      <c r="K1448" s="4055"/>
      <c r="L1448" s="3605" t="s">
        <v>37</v>
      </c>
      <c r="M1448" s="3456"/>
      <c r="N1448" s="3456"/>
      <c r="O1448" s="3456"/>
      <c r="P1448" s="3456"/>
      <c r="Q1448" s="3456"/>
      <c r="R1448" s="3605"/>
      <c r="S1448" s="3456"/>
      <c r="T1448" s="3456"/>
      <c r="U1448" s="3456"/>
      <c r="V1448" s="3456"/>
      <c r="W1448" s="3522" t="s">
        <v>3282</v>
      </c>
      <c r="X1448" s="3522"/>
    </row>
    <row r="1449" spans="1:24" ht="28.5" hidden="1">
      <c r="A1449" s="3656" t="s">
        <v>67</v>
      </c>
      <c r="B1449" s="3657">
        <v>45895</v>
      </c>
      <c r="C1449" s="3165" t="s">
        <v>3265</v>
      </c>
      <c r="D1449" s="4511"/>
      <c r="E1449" s="4533" t="s">
        <v>168</v>
      </c>
      <c r="F1449" s="4609" t="s">
        <v>2461</v>
      </c>
      <c r="G1449" s="4044" t="s">
        <v>1206</v>
      </c>
      <c r="H1449" s="4045" t="s">
        <v>1206</v>
      </c>
      <c r="I1449" s="3661">
        <v>701</v>
      </c>
      <c r="J1449" s="3870" t="s">
        <v>2705</v>
      </c>
      <c r="K1449" s="4055"/>
      <c r="L1449" s="3605" t="s">
        <v>37</v>
      </c>
      <c r="M1449" s="3456"/>
      <c r="N1449" s="3456"/>
      <c r="O1449" s="3456"/>
      <c r="P1449" s="3456"/>
      <c r="Q1449" s="3456"/>
      <c r="R1449" s="3605"/>
      <c r="S1449" s="3456"/>
      <c r="T1449" s="3456"/>
      <c r="U1449" s="3456"/>
      <c r="V1449" s="3456"/>
      <c r="W1449" s="3522"/>
      <c r="X1449" s="3522"/>
    </row>
    <row r="1450" spans="1:24" ht="28.5" hidden="1">
      <c r="A1450" s="3443" t="s">
        <v>67</v>
      </c>
      <c r="B1450" s="3444">
        <v>45895</v>
      </c>
      <c r="C1450" s="3165" t="s">
        <v>3265</v>
      </c>
      <c r="D1450" s="4139"/>
      <c r="E1450" s="3563" t="s">
        <v>1698</v>
      </c>
      <c r="F1450" s="3563" t="s">
        <v>235</v>
      </c>
      <c r="G1450" s="3776" t="s">
        <v>1206</v>
      </c>
      <c r="H1450" s="3776" t="s">
        <v>1206</v>
      </c>
      <c r="I1450" s="3670">
        <v>701</v>
      </c>
      <c r="J1450" s="3590" t="s">
        <v>2705</v>
      </c>
      <c r="K1450" s="4075" t="s">
        <v>174</v>
      </c>
      <c r="L1450" s="3534" t="s">
        <v>37</v>
      </c>
      <c r="M1450" s="3443"/>
      <c r="N1450" s="3443"/>
      <c r="O1450" s="3443"/>
      <c r="P1450" s="3443"/>
      <c r="Q1450" s="3443"/>
      <c r="R1450" s="3534"/>
      <c r="S1450" s="3443"/>
      <c r="T1450" s="3443"/>
      <c r="U1450" s="3443"/>
      <c r="V1450" s="3531"/>
      <c r="W1450" s="3507"/>
      <c r="X1450" s="3507"/>
    </row>
    <row r="1451" spans="1:24" ht="28.5" hidden="1">
      <c r="A1451" s="3443" t="s">
        <v>85</v>
      </c>
      <c r="B1451" s="3444">
        <v>45896</v>
      </c>
      <c r="C1451" s="3165" t="s">
        <v>3265</v>
      </c>
      <c r="D1451" s="3511">
        <v>931</v>
      </c>
      <c r="E1451" s="3685" t="s">
        <v>169</v>
      </c>
      <c r="F1451" s="3685" t="s">
        <v>1571</v>
      </c>
      <c r="G1451" s="3772" t="s">
        <v>1206</v>
      </c>
      <c r="H1451" s="3772" t="s">
        <v>1206</v>
      </c>
      <c r="I1451" s="3670">
        <v>712</v>
      </c>
      <c r="J1451" s="3590" t="s">
        <v>2974</v>
      </c>
      <c r="K1451" s="4075" t="s">
        <v>174</v>
      </c>
      <c r="L1451" s="3534" t="s">
        <v>37</v>
      </c>
      <c r="M1451" s="3443"/>
      <c r="N1451" s="3443"/>
      <c r="O1451" s="3443"/>
      <c r="P1451" s="3443"/>
      <c r="Q1451" s="3443"/>
      <c r="R1451" s="3534"/>
      <c r="S1451" s="3443"/>
      <c r="T1451" s="3443"/>
      <c r="U1451" s="3443"/>
      <c r="V1451" s="3531"/>
      <c r="W1451" s="3507"/>
      <c r="X1451" s="3507"/>
    </row>
    <row r="1452" spans="1:24" ht="29.25" hidden="1" thickBot="1">
      <c r="A1452" s="3443" t="s">
        <v>85</v>
      </c>
      <c r="B1452" s="3444">
        <v>45896</v>
      </c>
      <c r="C1452" s="3165" t="s">
        <v>3265</v>
      </c>
      <c r="D1452" s="3511"/>
      <c r="E1452" s="3685" t="s">
        <v>1571</v>
      </c>
      <c r="F1452" s="3685" t="s">
        <v>169</v>
      </c>
      <c r="G1452" s="3772" t="s">
        <v>1206</v>
      </c>
      <c r="H1452" s="3772" t="s">
        <v>1206</v>
      </c>
      <c r="I1452" s="3670">
        <v>712</v>
      </c>
      <c r="J1452" s="3590" t="s">
        <v>3267</v>
      </c>
      <c r="K1452" s="4054"/>
      <c r="L1452" s="3546" t="s">
        <v>37</v>
      </c>
      <c r="M1452" s="3447"/>
      <c r="N1452" s="3456"/>
      <c r="O1452" s="3456"/>
      <c r="P1452" s="3456"/>
      <c r="Q1452" s="3456"/>
      <c r="R1452" s="3605"/>
      <c r="S1452" s="3456"/>
      <c r="T1452" s="3456" t="s">
        <v>30</v>
      </c>
      <c r="U1452" s="3456"/>
      <c r="V1452" s="3456"/>
      <c r="W1452" s="3522"/>
      <c r="X1452" s="3522"/>
    </row>
    <row r="1453" spans="1:24" ht="29.25" hidden="1" thickBot="1">
      <c r="A1453" s="3462" t="s">
        <v>85</v>
      </c>
      <c r="B1453" s="3463">
        <v>45896</v>
      </c>
      <c r="C1453" s="3165" t="s">
        <v>3265</v>
      </c>
      <c r="D1453" s="4134">
        <v>932</v>
      </c>
      <c r="E1453" s="3937" t="s">
        <v>3278</v>
      </c>
      <c r="F1453" s="3937" t="s">
        <v>1698</v>
      </c>
      <c r="G1453" s="3801" t="s">
        <v>1206</v>
      </c>
      <c r="H1453" s="4096" t="s">
        <v>1206</v>
      </c>
      <c r="I1453" s="3979">
        <v>701</v>
      </c>
      <c r="J1453" s="3593" t="s">
        <v>3283</v>
      </c>
      <c r="K1453" s="4257"/>
      <c r="L1453" s="3605" t="s">
        <v>37</v>
      </c>
      <c r="M1453" s="3456"/>
      <c r="N1453" s="3456"/>
      <c r="O1453" s="3456"/>
      <c r="P1453" s="3456"/>
      <c r="Q1453" s="3456"/>
      <c r="R1453" s="3605"/>
      <c r="S1453" s="3456"/>
      <c r="T1453" s="3456" t="s">
        <v>30</v>
      </c>
      <c r="U1453" s="3456"/>
      <c r="V1453" s="3456"/>
      <c r="W1453" s="3522"/>
      <c r="X1453" s="3522"/>
    </row>
    <row r="1454" spans="1:24" ht="29.25" hidden="1" thickBot="1">
      <c r="A1454" s="3447" t="s">
        <v>85</v>
      </c>
      <c r="B1454" s="3448">
        <v>45896</v>
      </c>
      <c r="C1454" s="3165" t="s">
        <v>3265</v>
      </c>
      <c r="D1454" s="4131"/>
      <c r="E1454" s="3958" t="s">
        <v>3284</v>
      </c>
      <c r="F1454" s="3958" t="s">
        <v>3285</v>
      </c>
      <c r="G1454" s="4039" t="s">
        <v>1206</v>
      </c>
      <c r="H1454" s="4705" t="s">
        <v>1206</v>
      </c>
      <c r="I1454" s="3670">
        <v>701</v>
      </c>
      <c r="J1454" s="3982" t="s">
        <v>2705</v>
      </c>
      <c r="K1454" s="4059"/>
      <c r="L1454" s="3607" t="s">
        <v>37</v>
      </c>
      <c r="M1454" s="3505"/>
      <c r="N1454" s="3505"/>
      <c r="O1454" s="3505"/>
      <c r="P1454" s="3505"/>
      <c r="Q1454" s="3505"/>
      <c r="R1454" s="3607"/>
      <c r="S1454" s="3456"/>
      <c r="T1454" s="3456"/>
      <c r="U1454" s="3456"/>
      <c r="V1454" s="3456"/>
      <c r="W1454" s="3507"/>
      <c r="X1454" s="3522"/>
    </row>
    <row r="1455" spans="1:24" ht="28.5" hidden="1">
      <c r="A1455" s="3505" t="s">
        <v>85</v>
      </c>
      <c r="B1455" s="3506">
        <v>45896</v>
      </c>
      <c r="C1455" s="3165" t="s">
        <v>3265</v>
      </c>
      <c r="D1455" s="4132">
        <v>934</v>
      </c>
      <c r="E1455" s="3781" t="s">
        <v>3286</v>
      </c>
      <c r="F1455" s="3758" t="s">
        <v>169</v>
      </c>
      <c r="G1455" s="3879" t="s">
        <v>1206</v>
      </c>
      <c r="H1455" s="4045" t="s">
        <v>1206</v>
      </c>
      <c r="I1455" s="3978">
        <v>712</v>
      </c>
      <c r="J1455" s="3857" t="s">
        <v>3267</v>
      </c>
      <c r="K1455" s="3670"/>
      <c r="L1455" s="3534" t="s">
        <v>37</v>
      </c>
      <c r="M1455" s="3443"/>
      <c r="N1455" s="3443"/>
      <c r="O1455" s="3443"/>
      <c r="P1455" s="3443"/>
      <c r="Q1455" s="3443"/>
      <c r="R1455" s="3534"/>
      <c r="S1455" s="3456"/>
      <c r="T1455" s="3456"/>
      <c r="U1455" s="3456"/>
      <c r="V1455" s="3456"/>
      <c r="W1455" s="3522"/>
      <c r="X1455" s="3522"/>
    </row>
    <row r="1456" spans="1:24" ht="85.5" hidden="1">
      <c r="A1456" s="3500" t="s">
        <v>85</v>
      </c>
      <c r="B1456" s="3463">
        <v>45896</v>
      </c>
      <c r="C1456" s="3165" t="s">
        <v>3265</v>
      </c>
      <c r="D1456" s="4142">
        <v>935</v>
      </c>
      <c r="E1456" s="3614" t="s">
        <v>80</v>
      </c>
      <c r="F1456" s="3614" t="s">
        <v>168</v>
      </c>
      <c r="G1456" s="4076" t="s">
        <v>1206</v>
      </c>
      <c r="H1456" s="4046" t="s">
        <v>1206</v>
      </c>
      <c r="I1456" s="3978">
        <v>712</v>
      </c>
      <c r="J1456" s="3857" t="s">
        <v>3276</v>
      </c>
      <c r="K1456" s="4057" t="s">
        <v>174</v>
      </c>
      <c r="L1456" s="3605" t="s">
        <v>37</v>
      </c>
      <c r="M1456" s="3456"/>
      <c r="N1456" s="3456"/>
      <c r="O1456" s="3456"/>
      <c r="P1456" s="3456"/>
      <c r="Q1456" s="3456"/>
      <c r="R1456" s="3605"/>
      <c r="S1456" s="3456"/>
      <c r="T1456" s="3456"/>
      <c r="U1456" s="3456"/>
      <c r="V1456" s="3456"/>
      <c r="W1456" s="3522" t="s">
        <v>3287</v>
      </c>
      <c r="X1456" s="3522"/>
    </row>
    <row r="1457" spans="1:25" ht="28.5" hidden="1">
      <c r="A1457" s="3443" t="s">
        <v>105</v>
      </c>
      <c r="B1457" s="3444">
        <v>45897</v>
      </c>
      <c r="C1457" s="3165" t="s">
        <v>3265</v>
      </c>
      <c r="D1457" s="4141">
        <v>936</v>
      </c>
      <c r="E1457" s="3683" t="s">
        <v>273</v>
      </c>
      <c r="F1457" s="3683" t="s">
        <v>2384</v>
      </c>
      <c r="G1457" s="3566" t="s">
        <v>3288</v>
      </c>
      <c r="H1457" s="4918"/>
      <c r="I1457" s="3670">
        <v>712</v>
      </c>
      <c r="J1457" s="3590" t="s">
        <v>3289</v>
      </c>
      <c r="K1457" s="4056" t="s">
        <v>174</v>
      </c>
      <c r="L1457" s="3534" t="s">
        <v>37</v>
      </c>
      <c r="M1457" s="3443"/>
      <c r="N1457" s="3443"/>
      <c r="O1457" s="3443"/>
      <c r="P1457" s="3443"/>
      <c r="Q1457" s="3443"/>
      <c r="R1457" s="3534"/>
      <c r="S1457" s="3443"/>
      <c r="T1457" s="3443"/>
      <c r="U1457" s="3443"/>
      <c r="V1457" s="3531"/>
      <c r="W1457" s="3507"/>
      <c r="X1457" s="3507"/>
    </row>
    <row r="1458" spans="1:25" ht="28.5" hidden="1">
      <c r="A1458" s="3443" t="s">
        <v>105</v>
      </c>
      <c r="B1458" s="3444">
        <v>45897</v>
      </c>
      <c r="C1458" s="3165" t="s">
        <v>3265</v>
      </c>
      <c r="D1458" s="3511">
        <v>937</v>
      </c>
      <c r="E1458" s="3614" t="s">
        <v>169</v>
      </c>
      <c r="F1458" s="3614" t="s">
        <v>1571</v>
      </c>
      <c r="G1458" s="3772" t="s">
        <v>1206</v>
      </c>
      <c r="H1458" s="3772" t="s">
        <v>1206</v>
      </c>
      <c r="I1458" s="3670">
        <v>712</v>
      </c>
      <c r="J1458" s="3590" t="s">
        <v>2974</v>
      </c>
      <c r="K1458" s="4729" t="s">
        <v>174</v>
      </c>
      <c r="L1458" s="3545" t="s">
        <v>37</v>
      </c>
      <c r="M1458" s="3443"/>
      <c r="N1458" s="3443"/>
      <c r="O1458" s="3443"/>
      <c r="P1458" s="3443"/>
      <c r="Q1458" s="3443"/>
      <c r="R1458" s="3534"/>
      <c r="S1458" s="3443"/>
      <c r="T1458" s="3443"/>
      <c r="U1458" s="3443"/>
      <c r="V1458" s="3531"/>
      <c r="W1458" s="3507"/>
      <c r="X1458" s="3507"/>
    </row>
    <row r="1459" spans="1:25" ht="28.5" hidden="1">
      <c r="A1459" s="3462" t="s">
        <v>105</v>
      </c>
      <c r="B1459" s="3463">
        <v>45897</v>
      </c>
      <c r="C1459" s="3165" t="s">
        <v>3265</v>
      </c>
      <c r="D1459" s="3632"/>
      <c r="E1459" s="3689" t="s">
        <v>1571</v>
      </c>
      <c r="F1459" s="3689" t="s">
        <v>169</v>
      </c>
      <c r="G1459" s="3765" t="s">
        <v>1206</v>
      </c>
      <c r="H1459" s="3765" t="s">
        <v>1206</v>
      </c>
      <c r="I1459" s="3978">
        <v>712</v>
      </c>
      <c r="J1459" s="3857" t="s">
        <v>3267</v>
      </c>
      <c r="K1459" s="3986"/>
      <c r="L1459" s="3545" t="s">
        <v>30</v>
      </c>
      <c r="M1459" s="3545"/>
      <c r="N1459" s="3462"/>
      <c r="O1459" s="3462"/>
      <c r="P1459" s="3462"/>
      <c r="Q1459" s="3462"/>
      <c r="R1459" s="3534"/>
      <c r="S1459" s="3443"/>
      <c r="T1459" s="3443"/>
      <c r="U1459" s="3443"/>
      <c r="V1459" s="3531"/>
      <c r="W1459" s="3507"/>
      <c r="X1459" s="3507"/>
    </row>
    <row r="1460" spans="1:25" ht="28.5" hidden="1">
      <c r="A1460" s="3462" t="s">
        <v>105</v>
      </c>
      <c r="B1460" s="3463">
        <v>45897</v>
      </c>
      <c r="C1460" s="3165" t="s">
        <v>3265</v>
      </c>
      <c r="D1460" s="4134">
        <v>938</v>
      </c>
      <c r="E1460" s="3937" t="s">
        <v>1464</v>
      </c>
      <c r="F1460" s="3937" t="s">
        <v>3225</v>
      </c>
      <c r="G1460" s="3801" t="s">
        <v>1206</v>
      </c>
      <c r="H1460" s="4096" t="s">
        <v>1206</v>
      </c>
      <c r="I1460" s="3978">
        <v>701</v>
      </c>
      <c r="J1460" s="3857" t="s">
        <v>2705</v>
      </c>
      <c r="K1460" s="3986"/>
      <c r="L1460" s="3545" t="s">
        <v>30</v>
      </c>
      <c r="M1460" s="3545"/>
      <c r="N1460" s="3462"/>
      <c r="O1460" s="3462"/>
      <c r="P1460" s="3462"/>
      <c r="Q1460" s="3462"/>
      <c r="R1460" s="3534"/>
      <c r="S1460" s="3443"/>
      <c r="T1460" s="3443"/>
      <c r="U1460" s="3443"/>
      <c r="V1460" s="3531"/>
      <c r="W1460" s="3443"/>
      <c r="X1460" s="3507"/>
    </row>
    <row r="1461" spans="1:25" ht="29.25" hidden="1" thickBot="1">
      <c r="A1461" s="3462" t="s">
        <v>105</v>
      </c>
      <c r="B1461" s="3463">
        <v>45897</v>
      </c>
      <c r="C1461" s="3165" t="s">
        <v>3265</v>
      </c>
      <c r="D1461" s="4134"/>
      <c r="E1461" s="3937" t="s">
        <v>1465</v>
      </c>
      <c r="F1461" s="3937" t="s">
        <v>3228</v>
      </c>
      <c r="G1461" s="3801" t="s">
        <v>1206</v>
      </c>
      <c r="H1461" s="4096" t="s">
        <v>1206</v>
      </c>
      <c r="I1461" s="3978">
        <v>701</v>
      </c>
      <c r="J1461" s="3857" t="s">
        <v>2839</v>
      </c>
      <c r="K1461" s="3953"/>
      <c r="L1461" s="3546" t="s">
        <v>30</v>
      </c>
      <c r="M1461" s="3447"/>
      <c r="N1461" s="3447"/>
      <c r="O1461" s="3447"/>
      <c r="P1461" s="3447"/>
      <c r="Q1461" s="3447"/>
      <c r="R1461" s="3546"/>
      <c r="S1461" s="3443"/>
      <c r="T1461" s="3443"/>
      <c r="U1461" s="3443"/>
      <c r="V1461" s="3531"/>
      <c r="W1461" s="3443"/>
      <c r="X1461" s="3507"/>
    </row>
    <row r="1462" spans="1:25" ht="29.25" hidden="1" thickBot="1">
      <c r="A1462" s="3447" t="s">
        <v>105</v>
      </c>
      <c r="B1462" s="3448">
        <v>45897</v>
      </c>
      <c r="C1462" s="3165" t="s">
        <v>3265</v>
      </c>
      <c r="D1462" s="4134">
        <v>939</v>
      </c>
      <c r="E1462" s="3447" t="s">
        <v>3290</v>
      </c>
      <c r="F1462" s="3447" t="s">
        <v>3291</v>
      </c>
      <c r="G1462" s="3885" t="s">
        <v>1206</v>
      </c>
      <c r="H1462" s="4047" t="s">
        <v>1206</v>
      </c>
      <c r="I1462" s="3979">
        <v>705</v>
      </c>
      <c r="J1462" s="3593" t="s">
        <v>2112</v>
      </c>
      <c r="K1462" s="4055"/>
      <c r="L1462" s="3605" t="s">
        <v>30</v>
      </c>
      <c r="M1462" s="3456"/>
      <c r="N1462" s="3456"/>
      <c r="O1462" s="3456"/>
      <c r="P1462" s="4722"/>
      <c r="Q1462" s="3443"/>
      <c r="R1462" s="4722"/>
      <c r="S1462" s="3456"/>
      <c r="T1462" s="3456"/>
      <c r="U1462" s="3456" t="s">
        <v>37</v>
      </c>
      <c r="V1462" s="3456"/>
      <c r="W1462" s="3443"/>
      <c r="X1462" s="3522"/>
    </row>
    <row r="1463" spans="1:25" ht="28.5" hidden="1">
      <c r="A1463" s="3443" t="s">
        <v>105</v>
      </c>
      <c r="B1463" s="3444">
        <v>45897</v>
      </c>
      <c r="C1463" s="3165" t="s">
        <v>3265</v>
      </c>
      <c r="D1463" s="4130">
        <v>940</v>
      </c>
      <c r="E1463" s="4531" t="s">
        <v>48</v>
      </c>
      <c r="F1463" s="4531" t="s">
        <v>140</v>
      </c>
      <c r="G1463" s="3811" t="s">
        <v>1199</v>
      </c>
      <c r="H1463" s="3811" t="s">
        <v>1199</v>
      </c>
      <c r="I1463" s="3443">
        <v>701</v>
      </c>
      <c r="J1463" s="3443" t="s">
        <v>2839</v>
      </c>
      <c r="K1463" s="4055"/>
      <c r="L1463" s="3605" t="s">
        <v>30</v>
      </c>
      <c r="M1463" s="3456"/>
      <c r="N1463" s="3456"/>
      <c r="O1463" s="3456"/>
      <c r="P1463" s="3456"/>
      <c r="Q1463" s="3456"/>
      <c r="R1463" s="3605"/>
      <c r="S1463" s="3456"/>
      <c r="T1463" s="3456"/>
      <c r="U1463" s="3456"/>
      <c r="V1463" s="3456"/>
      <c r="W1463" s="3443"/>
      <c r="X1463" s="3522"/>
    </row>
    <row r="1464" spans="1:25" ht="28.5" hidden="1">
      <c r="A1464" s="3443" t="s">
        <v>105</v>
      </c>
      <c r="B1464" s="3444">
        <v>45897</v>
      </c>
      <c r="C1464" s="3165" t="s">
        <v>3265</v>
      </c>
      <c r="D1464" s="4130"/>
      <c r="E1464" s="4531" t="s">
        <v>80</v>
      </c>
      <c r="F1464" s="4531" t="s">
        <v>142</v>
      </c>
      <c r="G1464" s="3811" t="s">
        <v>1199</v>
      </c>
      <c r="H1464" s="3811" t="s">
        <v>1199</v>
      </c>
      <c r="I1464" s="3670">
        <v>701</v>
      </c>
      <c r="J1464" s="3590" t="s">
        <v>2839</v>
      </c>
      <c r="K1464" s="4058"/>
      <c r="L1464" s="3607" t="s">
        <v>37</v>
      </c>
      <c r="M1464" s="3505"/>
      <c r="N1464" s="3505"/>
      <c r="O1464" s="3505"/>
      <c r="P1464" s="4767"/>
      <c r="Q1464" s="4767"/>
      <c r="R1464" s="4772"/>
      <c r="S1464" s="3456"/>
      <c r="T1464" s="3456"/>
      <c r="U1464" s="3456"/>
      <c r="V1464" s="3456"/>
      <c r="W1464" s="3507"/>
      <c r="X1464" s="3522"/>
    </row>
    <row r="1465" spans="1:25" ht="28.5" hidden="1">
      <c r="A1465" s="3443" t="s">
        <v>132</v>
      </c>
      <c r="B1465" s="3444">
        <v>45898</v>
      </c>
      <c r="C1465" s="3165" t="s">
        <v>3265</v>
      </c>
      <c r="D1465" s="3632">
        <v>941</v>
      </c>
      <c r="E1465" s="3761" t="s">
        <v>169</v>
      </c>
      <c r="F1465" s="3689" t="s">
        <v>1571</v>
      </c>
      <c r="G1465" s="3772" t="s">
        <v>1206</v>
      </c>
      <c r="H1465" s="3772" t="s">
        <v>1206</v>
      </c>
      <c r="I1465" s="3978">
        <v>712</v>
      </c>
      <c r="J1465" s="3857" t="s">
        <v>2974</v>
      </c>
      <c r="K1465" s="4075" t="s">
        <v>174</v>
      </c>
      <c r="L1465" s="3534" t="s">
        <v>37</v>
      </c>
      <c r="M1465" s="3443"/>
      <c r="N1465" s="3443"/>
      <c r="O1465" s="3443"/>
      <c r="P1465" s="4722"/>
      <c r="Q1465" s="3443"/>
      <c r="R1465" s="4722"/>
      <c r="S1465" s="3443"/>
      <c r="T1465" s="3443"/>
      <c r="U1465" s="3443"/>
      <c r="V1465" s="3531"/>
      <c r="W1465" s="3443"/>
      <c r="X1465" s="3507"/>
    </row>
    <row r="1466" spans="1:25" ht="28.5" hidden="1">
      <c r="A1466" s="3443" t="s">
        <v>132</v>
      </c>
      <c r="B1466" s="3444">
        <v>45898</v>
      </c>
      <c r="C1466" s="3165" t="s">
        <v>3265</v>
      </c>
      <c r="D1466" s="3511"/>
      <c r="E1466" s="3614" t="s">
        <v>1571</v>
      </c>
      <c r="F1466" s="3614" t="s">
        <v>169</v>
      </c>
      <c r="G1466" s="3772" t="s">
        <v>1206</v>
      </c>
      <c r="H1466" s="3772" t="s">
        <v>1206</v>
      </c>
      <c r="I1466" s="3670">
        <v>712</v>
      </c>
      <c r="J1466" s="3590" t="s">
        <v>3267</v>
      </c>
      <c r="K1466" s="4740" t="s">
        <v>174</v>
      </c>
      <c r="L1466" s="3534" t="s">
        <v>37</v>
      </c>
      <c r="M1466" s="3443"/>
      <c r="N1466" s="3443"/>
      <c r="O1466" s="3443"/>
      <c r="P1466" s="3443"/>
      <c r="Q1466" s="3443"/>
      <c r="R1466" s="3534"/>
      <c r="S1466" s="3443"/>
      <c r="T1466" s="3443"/>
      <c r="U1466" s="3443"/>
      <c r="V1466" s="3531"/>
      <c r="W1466" s="3443"/>
      <c r="X1466" s="3507"/>
    </row>
    <row r="1467" spans="1:25" ht="86.25" hidden="1" thickBot="1">
      <c r="A1467" s="3443" t="s">
        <v>132</v>
      </c>
      <c r="B1467" s="3444">
        <v>45898</v>
      </c>
      <c r="C1467" s="3165" t="s">
        <v>3265</v>
      </c>
      <c r="D1467" s="4130">
        <v>942</v>
      </c>
      <c r="E1467" s="3683" t="s">
        <v>273</v>
      </c>
      <c r="F1467" s="3683" t="s">
        <v>450</v>
      </c>
      <c r="G1467" s="3802" t="s">
        <v>1206</v>
      </c>
      <c r="H1467" s="3802" t="s">
        <v>1206</v>
      </c>
      <c r="I1467" s="3670">
        <v>712</v>
      </c>
      <c r="J1467" s="3590" t="s">
        <v>3289</v>
      </c>
      <c r="K1467" s="4054"/>
      <c r="L1467" s="3546"/>
      <c r="M1467" s="3447" t="s">
        <v>37</v>
      </c>
      <c r="N1467" s="3447"/>
      <c r="O1467" s="3447"/>
      <c r="P1467" s="35" t="s">
        <v>109</v>
      </c>
      <c r="Q1467" s="35" t="s">
        <v>1589</v>
      </c>
      <c r="R1467" s="4773" t="s">
        <v>32</v>
      </c>
      <c r="S1467" s="3605"/>
      <c r="T1467" s="3456"/>
      <c r="U1467" s="3456"/>
      <c r="V1467" s="3456"/>
      <c r="W1467" s="3507" t="s">
        <v>3292</v>
      </c>
      <c r="X1467" s="3522"/>
    </row>
    <row r="1468" spans="1:25" ht="29.25" hidden="1" thickBot="1">
      <c r="A1468" s="3447" t="s">
        <v>132</v>
      </c>
      <c r="B1468" s="3448">
        <v>45898</v>
      </c>
      <c r="C1468" s="3165" t="s">
        <v>3265</v>
      </c>
      <c r="D1468" s="4131">
        <v>943</v>
      </c>
      <c r="E1468" s="3958" t="s">
        <v>1464</v>
      </c>
      <c r="F1468" s="3958" t="s">
        <v>3225</v>
      </c>
      <c r="G1468" s="3802" t="s">
        <v>1206</v>
      </c>
      <c r="H1468" s="3802" t="s">
        <v>1206</v>
      </c>
      <c r="I1468" s="3979">
        <v>701</v>
      </c>
      <c r="J1468" s="3593" t="s">
        <v>2705</v>
      </c>
      <c r="K1468" s="4052"/>
      <c r="L1468" s="3605" t="s">
        <v>37</v>
      </c>
      <c r="M1468" s="3456"/>
      <c r="N1468" s="3456"/>
      <c r="O1468" s="3456"/>
      <c r="P1468" s="3456"/>
      <c r="Q1468" s="3456"/>
      <c r="R1468" s="3605"/>
      <c r="S1468" s="3456"/>
      <c r="T1468" s="3456"/>
      <c r="U1468" s="3456"/>
      <c r="V1468" s="3456"/>
      <c r="W1468" s="3443"/>
      <c r="X1468" s="3522"/>
    </row>
    <row r="1469" spans="1:25" ht="28.5" hidden="1">
      <c r="A1469" s="3443" t="s">
        <v>132</v>
      </c>
      <c r="B1469" s="3444">
        <v>45898</v>
      </c>
      <c r="C1469" s="3165" t="s">
        <v>3265</v>
      </c>
      <c r="D1469" s="4130"/>
      <c r="E1469" s="3878" t="s">
        <v>1465</v>
      </c>
      <c r="F1469" s="3878" t="s">
        <v>3228</v>
      </c>
      <c r="G1469" s="3802" t="s">
        <v>1206</v>
      </c>
      <c r="H1469" s="4081" t="s">
        <v>1206</v>
      </c>
      <c r="I1469" s="3670">
        <v>701</v>
      </c>
      <c r="J1469" s="3590" t="s">
        <v>2839</v>
      </c>
      <c r="K1469" s="4051" t="s">
        <v>174</v>
      </c>
      <c r="L1469" s="3605" t="s">
        <v>37</v>
      </c>
      <c r="M1469" s="3456"/>
      <c r="N1469" s="3456"/>
      <c r="O1469" s="3456"/>
      <c r="P1469" s="3456"/>
      <c r="Q1469" s="3456"/>
      <c r="R1469" s="3605"/>
      <c r="S1469" s="3456"/>
      <c r="T1469" s="3456"/>
      <c r="U1469" s="3456"/>
      <c r="V1469" s="3456"/>
      <c r="W1469" s="3443"/>
      <c r="X1469" s="3522"/>
    </row>
    <row r="1470" spans="1:25" ht="28.5" hidden="1">
      <c r="A1470" s="3505" t="s">
        <v>132</v>
      </c>
      <c r="B1470" s="3506">
        <v>45898</v>
      </c>
      <c r="C1470" s="3354" t="s">
        <v>3265</v>
      </c>
      <c r="D1470" s="4132">
        <v>944</v>
      </c>
      <c r="E1470" s="3758" t="s">
        <v>3293</v>
      </c>
      <c r="F1470" s="3758" t="s">
        <v>939</v>
      </c>
      <c r="G1470" s="4662" t="s">
        <v>1206</v>
      </c>
      <c r="H1470" s="4698" t="s">
        <v>1206</v>
      </c>
      <c r="I1470" s="3661"/>
      <c r="J1470" s="3870" t="s">
        <v>3294</v>
      </c>
      <c r="K1470" s="4728"/>
      <c r="L1470" s="3462" t="s">
        <v>37</v>
      </c>
      <c r="M1470" s="3462"/>
      <c r="N1470" s="3462"/>
      <c r="O1470" s="3462"/>
      <c r="P1470" s="3462"/>
      <c r="Q1470" s="3462"/>
      <c r="R1470" s="3462"/>
      <c r="S1470" s="3462"/>
      <c r="T1470" s="3462"/>
      <c r="U1470" s="3462"/>
      <c r="V1470" s="3462"/>
      <c r="W1470" s="3462" t="s">
        <v>3295</v>
      </c>
      <c r="X1470" s="3636"/>
      <c r="Y1470" s="3274"/>
    </row>
    <row r="1471" spans="1:25" ht="28.5" hidden="1">
      <c r="A1471" s="3656" t="s">
        <v>143</v>
      </c>
      <c r="B1471" s="3657">
        <v>45899</v>
      </c>
      <c r="C1471" s="3356" t="s">
        <v>3265</v>
      </c>
      <c r="D1471" s="4136">
        <v>945</v>
      </c>
      <c r="E1471" s="3708" t="s">
        <v>97</v>
      </c>
      <c r="F1471" s="3709" t="s">
        <v>3296</v>
      </c>
      <c r="G1471" s="4023" t="s">
        <v>1199</v>
      </c>
      <c r="H1471" s="4048" t="s">
        <v>1199</v>
      </c>
      <c r="I1471" s="3704">
        <v>712</v>
      </c>
      <c r="J1471" s="3528" t="s">
        <v>261</v>
      </c>
      <c r="K1471" s="3694" t="s">
        <v>1119</v>
      </c>
      <c r="L1471" s="3530" t="s">
        <v>37</v>
      </c>
      <c r="M1471" s="3503"/>
      <c r="N1471" s="3503"/>
      <c r="O1471" s="3503"/>
      <c r="P1471" s="3503"/>
      <c r="Q1471" s="3503"/>
      <c r="R1471" s="3530"/>
      <c r="S1471" s="3503"/>
      <c r="T1471" s="3503"/>
      <c r="U1471" s="3503"/>
      <c r="V1471" s="3503"/>
      <c r="W1471" s="3515"/>
      <c r="X1471" s="3519"/>
      <c r="Y1471" s="3282"/>
    </row>
    <row r="1472" spans="1:25" ht="28.5" hidden="1">
      <c r="A1472" s="3480" t="s">
        <v>143</v>
      </c>
      <c r="B1472" s="3444">
        <v>45899</v>
      </c>
      <c r="C1472" s="3165" t="s">
        <v>3265</v>
      </c>
      <c r="D1472" s="4133"/>
      <c r="E1472" s="3614" t="s">
        <v>3296</v>
      </c>
      <c r="F1472" s="3643" t="s">
        <v>3297</v>
      </c>
      <c r="G1472" s="4023" t="s">
        <v>1199</v>
      </c>
      <c r="H1472" s="4048" t="s">
        <v>1199</v>
      </c>
      <c r="I1472" s="3590">
        <v>712</v>
      </c>
      <c r="J1472" s="3531" t="s">
        <v>261</v>
      </c>
      <c r="K1472" s="3511" t="s">
        <v>1119</v>
      </c>
      <c r="L1472" s="3307" t="s">
        <v>37</v>
      </c>
      <c r="M1472" s="3276"/>
      <c r="N1472" s="3276"/>
      <c r="O1472" s="3276"/>
      <c r="P1472" s="3276"/>
      <c r="Q1472" s="3276"/>
      <c r="R1472" s="3307"/>
      <c r="S1472" s="3276"/>
      <c r="T1472" s="3276"/>
      <c r="U1472" s="3276"/>
      <c r="V1472" s="3276"/>
      <c r="W1472" s="3793"/>
      <c r="Y1472" s="3283"/>
    </row>
    <row r="1473" spans="1:25" ht="28.5" hidden="1">
      <c r="A1473" s="3480" t="s">
        <v>25</v>
      </c>
      <c r="B1473" s="3444">
        <v>45901</v>
      </c>
      <c r="C1473" s="3165" t="s">
        <v>3298</v>
      </c>
      <c r="D1473" s="3511">
        <v>946</v>
      </c>
      <c r="E1473" s="3695" t="s">
        <v>1571</v>
      </c>
      <c r="F1473" s="3838" t="s">
        <v>169</v>
      </c>
      <c r="G1473" s="3254"/>
      <c r="H1473" s="3253"/>
      <c r="I1473" s="3590">
        <v>712</v>
      </c>
      <c r="J1473" s="3531" t="s">
        <v>2974</v>
      </c>
      <c r="K1473" s="3511" t="s">
        <v>174</v>
      </c>
      <c r="L1473" s="3534" t="s">
        <v>30</v>
      </c>
      <c r="M1473" s="3443"/>
      <c r="N1473" s="3443"/>
      <c r="O1473" s="3443"/>
      <c r="P1473" s="3443"/>
      <c r="Q1473" s="3443"/>
      <c r="R1473" s="3534"/>
      <c r="S1473" s="3443"/>
      <c r="T1473" s="3443"/>
      <c r="U1473" s="3443"/>
      <c r="V1473" s="3531"/>
      <c r="W1473" s="3507"/>
      <c r="Y1473" s="3283"/>
    </row>
    <row r="1474" spans="1:25" ht="28.5" hidden="1">
      <c r="A1474" s="3480" t="s">
        <v>25</v>
      </c>
      <c r="B1474" s="3444">
        <v>45901</v>
      </c>
      <c r="C1474" s="3165" t="s">
        <v>3298</v>
      </c>
      <c r="D1474" s="3511"/>
      <c r="E1474" s="3695" t="s">
        <v>169</v>
      </c>
      <c r="F1474" s="3838" t="s">
        <v>1571</v>
      </c>
      <c r="G1474" s="3254"/>
      <c r="H1474" s="3253"/>
      <c r="I1474" s="3590">
        <v>712</v>
      </c>
      <c r="J1474" s="3531" t="s">
        <v>3267</v>
      </c>
      <c r="K1474" s="3511" t="s">
        <v>174</v>
      </c>
      <c r="L1474" s="3534" t="s">
        <v>30</v>
      </c>
      <c r="M1474" s="3443"/>
      <c r="N1474" s="3443"/>
      <c r="O1474" s="3443"/>
      <c r="P1474" s="3443"/>
      <c r="Q1474" s="3443"/>
      <c r="R1474" s="3534"/>
      <c r="S1474" s="3443"/>
      <c r="T1474" s="3443"/>
      <c r="U1474" s="3443"/>
      <c r="V1474" s="3531"/>
      <c r="W1474" s="3507"/>
      <c r="Y1474" s="3283"/>
    </row>
    <row r="1475" spans="1:25" ht="28.5" hidden="1">
      <c r="A1475" s="3480" t="s">
        <v>25</v>
      </c>
      <c r="B1475" s="3444">
        <v>45901</v>
      </c>
      <c r="C1475" s="3165" t="s">
        <v>3298</v>
      </c>
      <c r="D1475" s="4130">
        <v>947</v>
      </c>
      <c r="E1475" s="3878" t="s">
        <v>1464</v>
      </c>
      <c r="F1475" s="3896" t="s">
        <v>3225</v>
      </c>
      <c r="G1475" s="3254"/>
      <c r="H1475" s="3253"/>
      <c r="I1475" s="3590">
        <v>701</v>
      </c>
      <c r="J1475" s="3531" t="s">
        <v>2705</v>
      </c>
      <c r="K1475" s="2369"/>
      <c r="L1475" s="3534" t="s">
        <v>30</v>
      </c>
      <c r="M1475" s="3443"/>
      <c r="N1475" s="3443"/>
      <c r="O1475" s="3443"/>
      <c r="P1475" s="3443"/>
      <c r="Q1475" s="3443"/>
      <c r="R1475" s="3534"/>
      <c r="S1475" s="3443"/>
      <c r="T1475" s="3443"/>
      <c r="U1475" s="3443"/>
      <c r="V1475" s="3531"/>
      <c r="W1475" s="3507"/>
      <c r="Y1475" s="3283"/>
    </row>
    <row r="1476" spans="1:25" ht="28.5" hidden="1">
      <c r="A1476" s="4072" t="s">
        <v>25</v>
      </c>
      <c r="B1476" s="3463">
        <v>45901</v>
      </c>
      <c r="C1476" s="3354" t="s">
        <v>3298</v>
      </c>
      <c r="D1476" s="4134"/>
      <c r="E1476" s="3937" t="s">
        <v>1465</v>
      </c>
      <c r="F1476" s="4608" t="s">
        <v>3228</v>
      </c>
      <c r="G1476" s="3254"/>
      <c r="H1476" s="3253"/>
      <c r="I1476" s="3857">
        <v>701</v>
      </c>
      <c r="J1476" s="3600" t="s">
        <v>2839</v>
      </c>
      <c r="K1476" s="2371"/>
      <c r="L1476" s="3545" t="s">
        <v>30</v>
      </c>
      <c r="M1476" s="3462"/>
      <c r="N1476" s="3462"/>
      <c r="O1476" s="3462"/>
      <c r="P1476" s="4722"/>
      <c r="Q1476" s="3462"/>
      <c r="R1476" s="4722"/>
      <c r="S1476" s="3462"/>
      <c r="T1476" s="3462"/>
      <c r="U1476" s="3462"/>
      <c r="V1476" s="3600"/>
      <c r="W1476" s="3636" t="s">
        <v>3274</v>
      </c>
      <c r="X1476" s="3273"/>
      <c r="Y1476" s="3300"/>
    </row>
    <row r="1477" spans="1:25" ht="28.5" hidden="1">
      <c r="A1477" s="4496" t="s">
        <v>25</v>
      </c>
      <c r="B1477" s="3657">
        <v>45901</v>
      </c>
      <c r="C1477" s="3356" t="s">
        <v>3298</v>
      </c>
      <c r="D1477" s="4510">
        <v>948</v>
      </c>
      <c r="E1477" s="3708" t="s">
        <v>450</v>
      </c>
      <c r="F1477" s="3709" t="s">
        <v>63</v>
      </c>
      <c r="G1477" s="3254"/>
      <c r="H1477" s="3253"/>
      <c r="I1477" s="4010">
        <v>712</v>
      </c>
      <c r="J1477" s="3704" t="s">
        <v>246</v>
      </c>
      <c r="K1477" s="3871"/>
      <c r="L1477" s="3530" t="s">
        <v>30</v>
      </c>
      <c r="M1477" s="3503"/>
      <c r="N1477" s="3503"/>
      <c r="O1477" s="3503"/>
      <c r="P1477" s="3503"/>
      <c r="Q1477" s="3503"/>
      <c r="R1477" s="3530"/>
      <c r="S1477" s="3503"/>
      <c r="T1477" s="3503"/>
      <c r="U1477" s="3503"/>
      <c r="V1477" s="3503"/>
      <c r="W1477" s="3521"/>
      <c r="X1477" s="3281"/>
      <c r="Y1477" s="3282"/>
    </row>
    <row r="1478" spans="1:25" ht="52.5" hidden="1">
      <c r="A1478" s="3480" t="s">
        <v>25</v>
      </c>
      <c r="B1478" s="3444">
        <v>45901</v>
      </c>
      <c r="C1478" s="3165" t="s">
        <v>3298</v>
      </c>
      <c r="D1478" s="4139">
        <v>949</v>
      </c>
      <c r="E1478" s="3614" t="s">
        <v>273</v>
      </c>
      <c r="F1478" s="3643" t="s">
        <v>1266</v>
      </c>
      <c r="G1478" s="3254"/>
      <c r="H1478" s="3253"/>
      <c r="I1478" s="3670">
        <v>705</v>
      </c>
      <c r="J1478" s="3590">
        <v>1544</v>
      </c>
      <c r="K1478" s="2369"/>
      <c r="L1478" s="3605"/>
      <c r="M1478" s="3456" t="s">
        <v>37</v>
      </c>
      <c r="N1478" s="3456"/>
      <c r="O1478" s="3456"/>
      <c r="P1478" s="119" t="s">
        <v>0</v>
      </c>
      <c r="Q1478" s="119" t="s">
        <v>31</v>
      </c>
      <c r="R1478" s="4771" t="s">
        <v>46</v>
      </c>
      <c r="S1478" s="3456"/>
      <c r="T1478" s="3456"/>
      <c r="U1478" s="3456"/>
      <c r="V1478" s="3456"/>
      <c r="W1478" s="3522" t="s">
        <v>3299</v>
      </c>
      <c r="Y1478" s="3283"/>
    </row>
    <row r="1479" spans="1:25" ht="28.5" hidden="1">
      <c r="A1479" s="3493" t="s">
        <v>67</v>
      </c>
      <c r="B1479" s="3457">
        <v>45902</v>
      </c>
      <c r="C1479" s="3165" t="s">
        <v>3298</v>
      </c>
      <c r="D1479" s="3673">
        <v>950</v>
      </c>
      <c r="E1479" s="3691" t="s">
        <v>1571</v>
      </c>
      <c r="F1479" s="4647" t="s">
        <v>169</v>
      </c>
      <c r="G1479" s="3254"/>
      <c r="H1479" s="3253"/>
      <c r="I1479" s="3588">
        <v>712</v>
      </c>
      <c r="J1479" s="3531" t="s">
        <v>2974</v>
      </c>
      <c r="K1479" s="3511" t="s">
        <v>174</v>
      </c>
      <c r="L1479" s="3534" t="s">
        <v>30</v>
      </c>
      <c r="M1479" s="3443"/>
      <c r="N1479" s="3443"/>
      <c r="O1479" s="3443"/>
      <c r="P1479" s="4722"/>
      <c r="Q1479" s="3443"/>
      <c r="R1479" s="4722"/>
      <c r="S1479" s="3443"/>
      <c r="T1479" s="3443"/>
      <c r="U1479" s="3443"/>
      <c r="V1479" s="3531"/>
      <c r="W1479" s="3507"/>
      <c r="Y1479" s="3283"/>
    </row>
    <row r="1480" spans="1:25" ht="28.5" hidden="1">
      <c r="A1480" s="3480" t="s">
        <v>67</v>
      </c>
      <c r="B1480" s="3444">
        <v>45902</v>
      </c>
      <c r="C1480" s="3165" t="s">
        <v>3298</v>
      </c>
      <c r="D1480" s="3511"/>
      <c r="E1480" s="3695" t="s">
        <v>169</v>
      </c>
      <c r="F1480" s="3838" t="s">
        <v>1571</v>
      </c>
      <c r="G1480" s="3254"/>
      <c r="H1480" s="3253"/>
      <c r="I1480" s="3590">
        <v>712</v>
      </c>
      <c r="J1480" s="3531" t="s">
        <v>3267</v>
      </c>
      <c r="K1480" s="3511" t="s">
        <v>174</v>
      </c>
      <c r="L1480" s="3534" t="s">
        <v>30</v>
      </c>
      <c r="M1480" s="3443"/>
      <c r="N1480" s="3443"/>
      <c r="O1480" s="3443"/>
      <c r="P1480" s="3443"/>
      <c r="Q1480" s="3443"/>
      <c r="R1480" s="3443"/>
      <c r="S1480" s="3443"/>
      <c r="T1480" s="3443"/>
      <c r="U1480" s="3443"/>
      <c r="V1480" s="3531"/>
      <c r="W1480" s="3507"/>
      <c r="Y1480" s="3283"/>
    </row>
    <row r="1481" spans="1:25" ht="57" hidden="1">
      <c r="A1481" s="3500" t="s">
        <v>67</v>
      </c>
      <c r="B1481" s="3463">
        <v>45902</v>
      </c>
      <c r="C1481" s="3165" t="s">
        <v>3298</v>
      </c>
      <c r="D1481" s="4129">
        <v>951</v>
      </c>
      <c r="E1481" s="3937" t="s">
        <v>1464</v>
      </c>
      <c r="F1481" s="4608" t="s">
        <v>3225</v>
      </c>
      <c r="G1481" s="3254"/>
      <c r="H1481" s="3253"/>
      <c r="I1481" s="3857">
        <v>701</v>
      </c>
      <c r="J1481" s="3531" t="s">
        <v>2705</v>
      </c>
      <c r="K1481" s="2369"/>
      <c r="L1481" s="3534"/>
      <c r="M1481" s="3443" t="s">
        <v>37</v>
      </c>
      <c r="N1481" s="3443"/>
      <c r="O1481" s="3443"/>
      <c r="P1481" s="20" t="s">
        <v>71</v>
      </c>
      <c r="Q1481" s="21" t="s">
        <v>138</v>
      </c>
      <c r="R1481" s="20" t="s">
        <v>790</v>
      </c>
      <c r="S1481" s="3443" t="s">
        <v>37</v>
      </c>
      <c r="T1481" s="3443"/>
      <c r="U1481" s="3443"/>
      <c r="V1481" s="3531"/>
      <c r="W1481" s="3507" t="s">
        <v>3300</v>
      </c>
      <c r="Y1481" s="3283"/>
    </row>
    <row r="1482" spans="1:25" ht="29.25" hidden="1" thickBot="1">
      <c r="A1482" s="3494" t="s">
        <v>67</v>
      </c>
      <c r="B1482" s="3448">
        <v>45902</v>
      </c>
      <c r="C1482" s="3357" t="s">
        <v>3298</v>
      </c>
      <c r="D1482" s="4146"/>
      <c r="E1482" s="3958" t="s">
        <v>1465</v>
      </c>
      <c r="F1482" s="4607" t="s">
        <v>3228</v>
      </c>
      <c r="G1482" s="3254"/>
      <c r="H1482" s="3253"/>
      <c r="I1482" s="3979">
        <v>701</v>
      </c>
      <c r="J1482" s="4063" t="s">
        <v>2839</v>
      </c>
      <c r="K1482" s="3875"/>
      <c r="L1482" s="3606"/>
      <c r="M1482" s="3508"/>
      <c r="N1482" s="3508"/>
      <c r="O1482" s="3508"/>
      <c r="P1482" s="3508"/>
      <c r="Q1482" s="3508" t="s">
        <v>37</v>
      </c>
      <c r="R1482" s="3606"/>
      <c r="S1482" s="3508"/>
      <c r="T1482" s="3508"/>
      <c r="U1482" s="3508"/>
      <c r="V1482" s="3586"/>
      <c r="W1482" s="3707"/>
      <c r="X1482" s="3284"/>
      <c r="Y1482" s="3285"/>
    </row>
    <row r="1483" spans="1:25" ht="28.5" hidden="1">
      <c r="A1483" s="3656" t="s">
        <v>67</v>
      </c>
      <c r="B1483" s="3657">
        <v>45902</v>
      </c>
      <c r="C1483" s="3356" t="s">
        <v>3298</v>
      </c>
      <c r="D1483" s="4510">
        <v>952</v>
      </c>
      <c r="E1483" s="3708" t="s">
        <v>267</v>
      </c>
      <c r="F1483" s="3709" t="s">
        <v>537</v>
      </c>
      <c r="G1483" s="3254"/>
      <c r="H1483" s="3253"/>
      <c r="I1483" s="4010">
        <v>707</v>
      </c>
      <c r="J1483" s="3704" t="s">
        <v>278</v>
      </c>
      <c r="K1483" s="3871"/>
      <c r="L1483" s="3530"/>
      <c r="M1483" s="3503" t="s">
        <v>37</v>
      </c>
      <c r="N1483" s="3503"/>
      <c r="O1483" s="3503"/>
      <c r="P1483" s="34" t="s">
        <v>231</v>
      </c>
      <c r="Q1483" s="34" t="s">
        <v>232</v>
      </c>
      <c r="R1483" s="4402" t="s">
        <v>38</v>
      </c>
      <c r="S1483" s="3503"/>
      <c r="T1483" s="3503"/>
      <c r="U1483" s="3503"/>
      <c r="V1483" s="3503"/>
      <c r="W1483" s="3521" t="s">
        <v>3301</v>
      </c>
      <c r="X1483" s="3281"/>
      <c r="Y1483" s="3282"/>
    </row>
    <row r="1484" spans="1:25" ht="28.5" hidden="1">
      <c r="A1484" s="3480" t="s">
        <v>67</v>
      </c>
      <c r="B1484" s="3444">
        <v>45902</v>
      </c>
      <c r="C1484" s="3165" t="s">
        <v>3298</v>
      </c>
      <c r="D1484" s="4139">
        <v>953</v>
      </c>
      <c r="E1484" s="3614" t="s">
        <v>48</v>
      </c>
      <c r="F1484" s="3643" t="s">
        <v>1091</v>
      </c>
      <c r="G1484" s="3254"/>
      <c r="H1484" s="3253"/>
      <c r="I1484" s="3670">
        <v>707</v>
      </c>
      <c r="J1484" s="3590" t="s">
        <v>278</v>
      </c>
      <c r="K1484" s="2369"/>
      <c r="L1484" s="3605" t="s">
        <v>30</v>
      </c>
      <c r="M1484" s="3456"/>
      <c r="N1484" s="3456"/>
      <c r="O1484" s="3456"/>
      <c r="P1484" s="3456"/>
      <c r="Q1484" s="3456"/>
      <c r="R1484" s="3605"/>
      <c r="S1484" s="3456"/>
      <c r="T1484" s="3456"/>
      <c r="U1484" s="3456"/>
      <c r="V1484" s="3456"/>
      <c r="W1484" s="3522"/>
      <c r="Y1484" s="3283"/>
    </row>
    <row r="1485" spans="1:25" ht="29.25" hidden="1" thickBot="1">
      <c r="A1485" s="3480" t="s">
        <v>85</v>
      </c>
      <c r="B1485" s="3444">
        <v>45903</v>
      </c>
      <c r="C1485" s="3165" t="s">
        <v>3298</v>
      </c>
      <c r="D1485" s="3511">
        <v>954</v>
      </c>
      <c r="E1485" s="3695" t="s">
        <v>1571</v>
      </c>
      <c r="F1485" s="3838" t="s">
        <v>169</v>
      </c>
      <c r="G1485" s="3254"/>
      <c r="H1485" s="3253"/>
      <c r="I1485" s="3670">
        <v>712</v>
      </c>
      <c r="J1485" s="3590" t="s">
        <v>2974</v>
      </c>
      <c r="K1485" s="3511" t="s">
        <v>174</v>
      </c>
      <c r="L1485" s="3534" t="s">
        <v>30</v>
      </c>
      <c r="M1485" s="3443"/>
      <c r="N1485" s="3443"/>
      <c r="O1485" s="3443"/>
      <c r="P1485" s="3443"/>
      <c r="Q1485" s="3443"/>
      <c r="R1485" s="3534"/>
      <c r="S1485" s="3546"/>
      <c r="T1485" s="3447"/>
      <c r="U1485" s="3447"/>
      <c r="V1485" s="3531"/>
      <c r="W1485" s="3507"/>
      <c r="Y1485" s="3283"/>
    </row>
    <row r="1486" spans="1:25" ht="28.5" hidden="1">
      <c r="A1486" s="3493" t="s">
        <v>85</v>
      </c>
      <c r="B1486" s="3457">
        <v>45903</v>
      </c>
      <c r="C1486" s="3165" t="s">
        <v>3298</v>
      </c>
      <c r="D1486" s="3673"/>
      <c r="E1486" s="3691" t="s">
        <v>169</v>
      </c>
      <c r="F1486" s="4647" t="s">
        <v>1571</v>
      </c>
      <c r="G1486" s="3254"/>
      <c r="H1486" s="3253"/>
      <c r="I1486" s="3660">
        <v>712</v>
      </c>
      <c r="J1486" s="3588" t="s">
        <v>3267</v>
      </c>
      <c r="K1486" s="3511" t="s">
        <v>174</v>
      </c>
      <c r="L1486" s="3605" t="s">
        <v>30</v>
      </c>
      <c r="M1486" s="3456"/>
      <c r="N1486" s="3456"/>
      <c r="O1486" s="3456"/>
      <c r="P1486" s="4722"/>
      <c r="Q1486" s="3443"/>
      <c r="R1486" s="4722"/>
      <c r="S1486" s="3456"/>
      <c r="T1486" s="3456"/>
      <c r="U1486" s="3443"/>
      <c r="V1486" s="3531"/>
      <c r="W1486" s="3507"/>
      <c r="Y1486" s="3283"/>
    </row>
    <row r="1487" spans="1:25" ht="28.5" hidden="1">
      <c r="A1487" s="3480" t="s">
        <v>85</v>
      </c>
      <c r="B1487" s="3444">
        <v>45903</v>
      </c>
      <c r="C1487" s="3165" t="s">
        <v>3298</v>
      </c>
      <c r="D1487" s="3511">
        <v>955</v>
      </c>
      <c r="E1487" s="3614" t="s">
        <v>273</v>
      </c>
      <c r="F1487" s="3643" t="s">
        <v>1266</v>
      </c>
      <c r="G1487" s="3254"/>
      <c r="H1487" s="3253"/>
      <c r="I1487" s="3670">
        <v>705</v>
      </c>
      <c r="J1487" s="3590">
        <v>1544</v>
      </c>
      <c r="K1487" s="3511" t="s">
        <v>627</v>
      </c>
      <c r="L1487" s="3534"/>
      <c r="M1487" s="3443"/>
      <c r="N1487" s="3443"/>
      <c r="O1487" s="3443"/>
      <c r="P1487" s="4722"/>
      <c r="Q1487" s="3443" t="s">
        <v>30</v>
      </c>
      <c r="R1487" s="4722"/>
      <c r="S1487" s="3443"/>
      <c r="T1487" s="3443" t="s">
        <v>30</v>
      </c>
      <c r="U1487" s="3443"/>
      <c r="V1487" s="3531"/>
      <c r="W1487" s="3507" t="s">
        <v>3302</v>
      </c>
      <c r="Y1487" s="3283"/>
    </row>
    <row r="1488" spans="1:25" ht="57" hidden="1">
      <c r="A1488" s="3480" t="s">
        <v>85</v>
      </c>
      <c r="B1488" s="3444">
        <v>45903</v>
      </c>
      <c r="C1488" s="3165" t="s">
        <v>3298</v>
      </c>
      <c r="D1488" s="4130">
        <v>956</v>
      </c>
      <c r="E1488" s="3878" t="s">
        <v>1464</v>
      </c>
      <c r="F1488" s="3896" t="s">
        <v>3225</v>
      </c>
      <c r="G1488" s="3254"/>
      <c r="H1488" s="3253"/>
      <c r="I1488" s="3670">
        <v>701</v>
      </c>
      <c r="J1488" s="3590" t="s">
        <v>2705</v>
      </c>
      <c r="K1488" s="2369"/>
      <c r="L1488" s="3534"/>
      <c r="M1488" s="3443" t="s">
        <v>37</v>
      </c>
      <c r="N1488" s="3443"/>
      <c r="O1488" s="3443"/>
      <c r="P1488" s="21" t="s">
        <v>109</v>
      </c>
      <c r="Q1488" s="21" t="s">
        <v>794</v>
      </c>
      <c r="R1488" s="29" t="s">
        <v>790</v>
      </c>
      <c r="S1488" s="3443" t="s">
        <v>37</v>
      </c>
      <c r="T1488" s="3443"/>
      <c r="U1488" s="3443"/>
      <c r="V1488" s="3531"/>
      <c r="W1488" s="3507" t="s">
        <v>3303</v>
      </c>
      <c r="Y1488" s="3283"/>
    </row>
    <row r="1489" spans="1:25" ht="28.5" hidden="1">
      <c r="A1489" s="3500" t="s">
        <v>85</v>
      </c>
      <c r="B1489" s="3463">
        <v>45903</v>
      </c>
      <c r="C1489" s="3165" t="s">
        <v>3298</v>
      </c>
      <c r="D1489" s="4134"/>
      <c r="E1489" s="3937" t="s">
        <v>1465</v>
      </c>
      <c r="F1489" s="4608" t="s">
        <v>3228</v>
      </c>
      <c r="G1489" s="3254"/>
      <c r="H1489" s="3253"/>
      <c r="I1489" s="3978">
        <v>701</v>
      </c>
      <c r="J1489" s="3857" t="s">
        <v>2839</v>
      </c>
      <c r="K1489" s="2369"/>
      <c r="L1489" s="3545"/>
      <c r="M1489" s="3462"/>
      <c r="N1489" s="3462" t="s">
        <v>37</v>
      </c>
      <c r="O1489" s="3462"/>
      <c r="P1489" s="24" t="s">
        <v>109</v>
      </c>
      <c r="Q1489" s="24" t="s">
        <v>794</v>
      </c>
      <c r="R1489" s="32" t="s">
        <v>790</v>
      </c>
      <c r="S1489" s="3443"/>
      <c r="T1489" s="3443"/>
      <c r="U1489" s="3443"/>
      <c r="V1489" s="3531"/>
      <c r="W1489" s="3507"/>
      <c r="Y1489" s="3283"/>
    </row>
    <row r="1490" spans="1:25" ht="29.25" hidden="1" thickBot="1">
      <c r="A1490" s="3500" t="s">
        <v>85</v>
      </c>
      <c r="B1490" s="3463">
        <v>45903</v>
      </c>
      <c r="C1490" s="3354" t="s">
        <v>3298</v>
      </c>
      <c r="D1490" s="4134">
        <v>957</v>
      </c>
      <c r="E1490" s="3689" t="s">
        <v>1598</v>
      </c>
      <c r="F1490" s="3714" t="s">
        <v>80</v>
      </c>
      <c r="G1490" s="3254"/>
      <c r="H1490" s="3253"/>
      <c r="I1490" s="3857">
        <v>707</v>
      </c>
      <c r="J1490" s="3600">
        <v>60020</v>
      </c>
      <c r="K1490" s="2371"/>
      <c r="L1490" s="3545" t="s">
        <v>30</v>
      </c>
      <c r="M1490" s="3462"/>
      <c r="N1490" s="3462"/>
      <c r="O1490" s="3462"/>
      <c r="P1490" s="3462"/>
      <c r="Q1490" s="3462"/>
      <c r="R1490" s="3462"/>
      <c r="S1490" s="3505"/>
      <c r="T1490" s="3505"/>
      <c r="U1490" s="3462"/>
      <c r="V1490" s="3600"/>
      <c r="W1490" s="3636"/>
      <c r="X1490" s="3284"/>
      <c r="Y1490" s="3285"/>
    </row>
    <row r="1491" spans="1:25" ht="28.5" hidden="1">
      <c r="A1491" s="3477" t="s">
        <v>85</v>
      </c>
      <c r="B1491" s="3478">
        <v>45903</v>
      </c>
      <c r="C1491" s="3356" t="s">
        <v>3298</v>
      </c>
      <c r="D1491" s="4149">
        <v>958</v>
      </c>
      <c r="E1491" s="4066" t="s">
        <v>939</v>
      </c>
      <c r="F1491" s="4067" t="s">
        <v>659</v>
      </c>
      <c r="G1491" s="3254"/>
      <c r="H1491" s="3253"/>
      <c r="I1491" s="3977">
        <v>707</v>
      </c>
      <c r="J1491" s="3868" t="s">
        <v>3304</v>
      </c>
      <c r="K1491" s="3871"/>
      <c r="L1491" s="3530" t="s">
        <v>30</v>
      </c>
      <c r="M1491" s="3503"/>
      <c r="N1491" s="3503"/>
      <c r="O1491" s="3503"/>
      <c r="P1491" s="3503"/>
      <c r="Q1491" s="3503"/>
      <c r="R1491" s="3530"/>
      <c r="S1491" s="3503"/>
      <c r="T1491" s="3503"/>
      <c r="U1491" s="3503"/>
      <c r="V1491" s="3528"/>
      <c r="W1491" s="3521"/>
      <c r="X1491" s="3365"/>
      <c r="Y1491" s="3282"/>
    </row>
    <row r="1492" spans="1:25" ht="28.5" hidden="1">
      <c r="A1492" s="3493" t="s">
        <v>85</v>
      </c>
      <c r="B1492" s="3457">
        <v>45903</v>
      </c>
      <c r="C1492" s="3165" t="s">
        <v>3298</v>
      </c>
      <c r="D1492" s="4138">
        <v>959</v>
      </c>
      <c r="E1492" s="3685" t="s">
        <v>3305</v>
      </c>
      <c r="F1492" s="3869" t="s">
        <v>537</v>
      </c>
      <c r="G1492" s="3254"/>
      <c r="H1492" s="3253"/>
      <c r="I1492" s="3480">
        <v>707</v>
      </c>
      <c r="J1492" s="3531" t="s">
        <v>278</v>
      </c>
      <c r="K1492" s="2369"/>
      <c r="L1492" s="3534" t="s">
        <v>30</v>
      </c>
      <c r="M1492" s="3443"/>
      <c r="N1492" s="3443"/>
      <c r="O1492" s="3443"/>
      <c r="P1492" s="4722"/>
      <c r="Q1492" s="3443"/>
      <c r="R1492" s="4722"/>
      <c r="S1492" s="3456"/>
      <c r="T1492" s="3456" t="s">
        <v>37</v>
      </c>
      <c r="U1492" s="3443"/>
      <c r="V1492" s="3531"/>
      <c r="W1492" s="3522"/>
      <c r="X1492" s="3254"/>
      <c r="Y1492" s="3283"/>
    </row>
    <row r="1493" spans="1:25" ht="28.5" hidden="1">
      <c r="A1493" s="3493" t="s">
        <v>105</v>
      </c>
      <c r="B1493" s="3444">
        <v>45904</v>
      </c>
      <c r="C1493" s="3165" t="s">
        <v>3298</v>
      </c>
      <c r="D1493" s="3511"/>
      <c r="E1493" s="3625" t="s">
        <v>450</v>
      </c>
      <c r="F1493" s="3654" t="s">
        <v>1834</v>
      </c>
      <c r="G1493" s="3254"/>
      <c r="H1493" s="3253"/>
      <c r="I1493" s="3480">
        <v>707</v>
      </c>
      <c r="J1493" s="3531" t="s">
        <v>3304</v>
      </c>
      <c r="K1493" s="3511" t="s">
        <v>627</v>
      </c>
      <c r="L1493" s="3534" t="s">
        <v>30</v>
      </c>
      <c r="M1493" s="3443"/>
      <c r="N1493" s="3443"/>
      <c r="O1493" s="3443"/>
      <c r="P1493" s="3443"/>
      <c r="Q1493" s="3443"/>
      <c r="R1493" s="3534"/>
      <c r="S1493" s="3443"/>
      <c r="T1493" s="3443"/>
      <c r="U1493" s="3443"/>
      <c r="V1493" s="3531"/>
      <c r="W1493" s="3522" t="s">
        <v>3306</v>
      </c>
      <c r="X1493" s="3254"/>
      <c r="Y1493" s="3283"/>
    </row>
    <row r="1494" spans="1:25" ht="114" hidden="1">
      <c r="A1494" s="3500" t="s">
        <v>105</v>
      </c>
      <c r="B1494" s="3463">
        <v>45904</v>
      </c>
      <c r="C1494" s="3165" t="s">
        <v>3298</v>
      </c>
      <c r="D1494" s="4142">
        <v>960</v>
      </c>
      <c r="E1494" s="3878" t="s">
        <v>1465</v>
      </c>
      <c r="F1494" s="3896" t="s">
        <v>3225</v>
      </c>
      <c r="G1494" s="3254"/>
      <c r="H1494" s="3253"/>
      <c r="I1494" s="3480">
        <v>701</v>
      </c>
      <c r="J1494" s="3531" t="s">
        <v>2705</v>
      </c>
      <c r="K1494" s="2369"/>
      <c r="L1494" s="3534"/>
      <c r="M1494" s="3443"/>
      <c r="N1494" s="3443" t="s">
        <v>30</v>
      </c>
      <c r="O1494" s="3443"/>
      <c r="P1494" s="21" t="s">
        <v>109</v>
      </c>
      <c r="Q1494" s="21" t="s">
        <v>794</v>
      </c>
      <c r="R1494" s="29" t="s">
        <v>790</v>
      </c>
      <c r="S1494" s="3456" t="s">
        <v>37</v>
      </c>
      <c r="T1494" s="3456" t="s">
        <v>37</v>
      </c>
      <c r="U1494" s="3456"/>
      <c r="V1494" s="3456"/>
      <c r="W1494" s="3522" t="s">
        <v>3307</v>
      </c>
      <c r="X1494" s="3254"/>
      <c r="Y1494" s="3283"/>
    </row>
    <row r="1495" spans="1:25" ht="28.5" hidden="1">
      <c r="A1495" s="3480" t="s">
        <v>105</v>
      </c>
      <c r="B1495" s="3444">
        <v>45904</v>
      </c>
      <c r="C1495" s="3165" t="s">
        <v>3298</v>
      </c>
      <c r="D1495" s="4139"/>
      <c r="E1495" s="3878" t="s">
        <v>1465</v>
      </c>
      <c r="F1495" s="3896" t="s">
        <v>3228</v>
      </c>
      <c r="G1495" s="3254"/>
      <c r="H1495" s="3253"/>
      <c r="I1495" s="3480">
        <v>701</v>
      </c>
      <c r="J1495" s="3531" t="s">
        <v>2839</v>
      </c>
      <c r="K1495" s="2369"/>
      <c r="L1495" s="3534" t="s">
        <v>37</v>
      </c>
      <c r="M1495" s="3443"/>
      <c r="N1495" s="3443"/>
      <c r="O1495" s="3443"/>
      <c r="P1495" s="3443"/>
      <c r="Q1495" s="3443"/>
      <c r="R1495" s="3605"/>
      <c r="S1495" s="3456"/>
      <c r="T1495" s="3456"/>
      <c r="U1495" s="3456"/>
      <c r="V1495" s="3456"/>
      <c r="W1495" s="3522"/>
      <c r="X1495" s="3254"/>
      <c r="Y1495" s="3283"/>
    </row>
    <row r="1496" spans="1:25" ht="28.5" hidden="1">
      <c r="A1496" s="3480" t="s">
        <v>105</v>
      </c>
      <c r="B1496" s="3444">
        <v>45904</v>
      </c>
      <c r="C1496" s="3165" t="s">
        <v>3298</v>
      </c>
      <c r="D1496" s="4133">
        <v>961</v>
      </c>
      <c r="E1496" s="3695" t="s">
        <v>1571</v>
      </c>
      <c r="F1496" s="3838" t="s">
        <v>169</v>
      </c>
      <c r="G1496" s="3254"/>
      <c r="H1496" s="3253"/>
      <c r="I1496" s="3480">
        <v>712</v>
      </c>
      <c r="J1496" s="3531" t="s">
        <v>2974</v>
      </c>
      <c r="K1496" s="3511" t="s">
        <v>174</v>
      </c>
      <c r="L1496" s="3534" t="s">
        <v>37</v>
      </c>
      <c r="M1496" s="3443"/>
      <c r="N1496" s="3443"/>
      <c r="O1496" s="3443"/>
      <c r="P1496" s="3443"/>
      <c r="Q1496" s="3443"/>
      <c r="R1496" s="3605"/>
      <c r="S1496" s="3456"/>
      <c r="T1496" s="3456"/>
      <c r="U1496" s="3456"/>
      <c r="V1496" s="3456"/>
      <c r="W1496" s="3522"/>
      <c r="X1496" s="3254"/>
      <c r="Y1496" s="3283"/>
    </row>
    <row r="1497" spans="1:25" ht="28.5" hidden="1">
      <c r="A1497" s="3480" t="s">
        <v>105</v>
      </c>
      <c r="B1497" s="3444">
        <v>45904</v>
      </c>
      <c r="C1497" s="3165" t="s">
        <v>3298</v>
      </c>
      <c r="D1497" s="4133"/>
      <c r="E1497" s="3695" t="s">
        <v>169</v>
      </c>
      <c r="F1497" s="3838" t="s">
        <v>1571</v>
      </c>
      <c r="G1497" s="3254"/>
      <c r="H1497" s="3253"/>
      <c r="I1497" s="3480">
        <v>712</v>
      </c>
      <c r="J1497" s="3531" t="s">
        <v>3267</v>
      </c>
      <c r="K1497" s="3511" t="s">
        <v>174</v>
      </c>
      <c r="L1497" s="3534" t="s">
        <v>37</v>
      </c>
      <c r="M1497" s="3443"/>
      <c r="N1497" s="3443"/>
      <c r="O1497" s="3443"/>
      <c r="P1497" s="3443"/>
      <c r="Q1497" s="3443"/>
      <c r="R1497" s="3605"/>
      <c r="S1497" s="3456"/>
      <c r="T1497" s="3456"/>
      <c r="U1497" s="3456"/>
      <c r="V1497" s="3456"/>
      <c r="W1497" s="3522"/>
      <c r="X1497" s="3254"/>
      <c r="Y1497" s="3283"/>
    </row>
    <row r="1498" spans="1:25" ht="28.5" hidden="1">
      <c r="A1498" s="3493" t="s">
        <v>105</v>
      </c>
      <c r="B1498" s="3457">
        <v>45904</v>
      </c>
      <c r="C1498" s="3165" t="s">
        <v>3298</v>
      </c>
      <c r="D1498" s="4138">
        <v>962</v>
      </c>
      <c r="E1498" s="3685" t="s">
        <v>148</v>
      </c>
      <c r="F1498" s="3869" t="s">
        <v>3308</v>
      </c>
      <c r="G1498" s="3254"/>
      <c r="H1498" s="3253"/>
      <c r="I1498" s="3480">
        <v>712</v>
      </c>
      <c r="J1498" s="3531" t="s">
        <v>3267</v>
      </c>
      <c r="K1498" s="3511" t="s">
        <v>174</v>
      </c>
      <c r="L1498" s="3534" t="s">
        <v>37</v>
      </c>
      <c r="M1498" s="3443"/>
      <c r="N1498" s="3443"/>
      <c r="O1498" s="3443"/>
      <c r="P1498" s="3443"/>
      <c r="Q1498" s="3443"/>
      <c r="R1498" s="3605"/>
      <c r="S1498" s="3456"/>
      <c r="T1498" s="3456"/>
      <c r="U1498" s="3443"/>
      <c r="V1498" s="3531"/>
      <c r="W1498" s="3522"/>
      <c r="X1498" s="3254"/>
      <c r="Y1498" s="3283"/>
    </row>
    <row r="1499" spans="1:25" ht="28.5" hidden="1">
      <c r="A1499" s="3493" t="s">
        <v>105</v>
      </c>
      <c r="B1499" s="3444">
        <v>45904</v>
      </c>
      <c r="C1499" s="3165" t="s">
        <v>3298</v>
      </c>
      <c r="D1499" s="4130">
        <v>963</v>
      </c>
      <c r="E1499" s="3614" t="s">
        <v>500</v>
      </c>
      <c r="F1499" s="3643" t="s">
        <v>3309</v>
      </c>
      <c r="G1499" s="3254"/>
      <c r="H1499" s="3253"/>
      <c r="I1499" s="3480">
        <v>712</v>
      </c>
      <c r="J1499" s="3531" t="s">
        <v>3267</v>
      </c>
      <c r="K1499" s="3511" t="s">
        <v>174</v>
      </c>
      <c r="L1499" s="3534" t="s">
        <v>37</v>
      </c>
      <c r="M1499" s="3443"/>
      <c r="N1499" s="3443"/>
      <c r="O1499" s="3443"/>
      <c r="P1499" s="3443"/>
      <c r="Q1499" s="3443"/>
      <c r="R1499" s="3534"/>
      <c r="S1499" s="3443"/>
      <c r="T1499" s="3443"/>
      <c r="U1499" s="3443"/>
      <c r="V1499" s="3531"/>
      <c r="W1499" s="3522"/>
      <c r="X1499" s="3254"/>
      <c r="Y1499" s="3283"/>
    </row>
    <row r="1500" spans="1:25" ht="29.25" hidden="1" thickBot="1">
      <c r="A1500" s="3494" t="s">
        <v>105</v>
      </c>
      <c r="B1500" s="3448">
        <v>45904</v>
      </c>
      <c r="C1500" s="3357" t="s">
        <v>3298</v>
      </c>
      <c r="D1500" s="4131">
        <v>964</v>
      </c>
      <c r="E1500" s="4585" t="s">
        <v>273</v>
      </c>
      <c r="F1500" s="4875" t="s">
        <v>584</v>
      </c>
      <c r="G1500" s="3254"/>
      <c r="H1500" s="3253"/>
      <c r="I1500" s="4064">
        <v>701</v>
      </c>
      <c r="J1500" s="4063" t="s">
        <v>2705</v>
      </c>
      <c r="K1500" s="3875"/>
      <c r="L1500" s="3606" t="s">
        <v>37</v>
      </c>
      <c r="M1500" s="3508"/>
      <c r="N1500" s="3508"/>
      <c r="O1500" s="3508"/>
      <c r="P1500" s="3508"/>
      <c r="Q1500" s="3508"/>
      <c r="R1500" s="3606"/>
      <c r="S1500" s="3508"/>
      <c r="T1500" s="3508"/>
      <c r="U1500" s="3447"/>
      <c r="V1500" s="3586"/>
      <c r="W1500" s="3547"/>
      <c r="X1500" s="3366"/>
      <c r="Y1500" s="3285"/>
    </row>
    <row r="1501" spans="1:25" ht="28.5" hidden="1">
      <c r="A1501" s="3477" t="s">
        <v>105</v>
      </c>
      <c r="B1501" s="3478">
        <v>45904</v>
      </c>
      <c r="C1501" s="3356" t="s">
        <v>3298</v>
      </c>
      <c r="D1501" s="4149"/>
      <c r="E1501" s="3676" t="s">
        <v>586</v>
      </c>
      <c r="F1501" s="4646" t="s">
        <v>389</v>
      </c>
      <c r="G1501" s="3254"/>
      <c r="H1501" s="3253"/>
      <c r="I1501" s="4010">
        <v>701</v>
      </c>
      <c r="J1501" s="3868" t="s">
        <v>2839</v>
      </c>
      <c r="K1501" s="3871"/>
      <c r="L1501" s="3530" t="s">
        <v>37</v>
      </c>
      <c r="M1501" s="3503"/>
      <c r="N1501" s="3503"/>
      <c r="O1501" s="3503"/>
      <c r="P1501" s="3503"/>
      <c r="Q1501" s="3503"/>
      <c r="R1501" s="3530"/>
      <c r="S1501" s="3503"/>
      <c r="T1501" s="3503"/>
      <c r="U1501" s="3503"/>
      <c r="V1501" s="3528"/>
      <c r="W1501" s="3521"/>
      <c r="X1501" s="3365"/>
      <c r="Y1501" s="3282"/>
    </row>
    <row r="1502" spans="1:25" ht="28.5" hidden="1">
      <c r="A1502" s="3500" t="s">
        <v>105</v>
      </c>
      <c r="B1502" s="3463">
        <v>45904</v>
      </c>
      <c r="C1502" s="3165" t="s">
        <v>3298</v>
      </c>
      <c r="D1502" s="4135">
        <v>965</v>
      </c>
      <c r="E1502" s="3557" t="s">
        <v>48</v>
      </c>
      <c r="F1502" s="3910" t="s">
        <v>2384</v>
      </c>
      <c r="G1502" s="3254"/>
      <c r="H1502" s="3253"/>
      <c r="I1502" s="3480">
        <v>701</v>
      </c>
      <c r="J1502" s="3855" t="s">
        <v>2705</v>
      </c>
      <c r="K1502" s="2369"/>
      <c r="L1502" s="3534" t="s">
        <v>37</v>
      </c>
      <c r="M1502" s="3443"/>
      <c r="N1502" s="3443"/>
      <c r="O1502" s="3443"/>
      <c r="P1502" s="4722"/>
      <c r="Q1502" s="3443"/>
      <c r="R1502" s="4722"/>
      <c r="S1502" s="3456"/>
      <c r="T1502" s="3456"/>
      <c r="U1502" s="3456"/>
      <c r="V1502" s="3456"/>
      <c r="W1502" s="3522"/>
      <c r="X1502" s="3254"/>
      <c r="Y1502" s="3283"/>
    </row>
    <row r="1503" spans="1:25" ht="28.5" hidden="1">
      <c r="A1503" s="3480" t="s">
        <v>132</v>
      </c>
      <c r="B1503" s="3444">
        <v>45905</v>
      </c>
      <c r="C1503" s="3165" t="s">
        <v>3298</v>
      </c>
      <c r="D1503" s="4133"/>
      <c r="E1503" s="3557" t="s">
        <v>442</v>
      </c>
      <c r="F1503" s="3910" t="s">
        <v>3310</v>
      </c>
      <c r="G1503" s="3254"/>
      <c r="H1503" s="3253"/>
      <c r="I1503" s="3480">
        <v>701</v>
      </c>
      <c r="J1503" s="3982" t="s">
        <v>2839</v>
      </c>
      <c r="K1503" s="2369"/>
      <c r="L1503" s="3605" t="s">
        <v>37</v>
      </c>
      <c r="M1503" s="3456"/>
      <c r="N1503" s="3456"/>
      <c r="O1503" s="3456"/>
      <c r="P1503" s="4722"/>
      <c r="Q1503" s="3443"/>
      <c r="R1503" s="4722"/>
      <c r="S1503" s="3456"/>
      <c r="T1503" s="3456"/>
      <c r="U1503" s="3456"/>
      <c r="V1503" s="3456"/>
      <c r="W1503" s="3522"/>
      <c r="X1503" s="3254"/>
      <c r="Y1503" s="3283"/>
    </row>
    <row r="1504" spans="1:25" ht="28.5" hidden="1">
      <c r="A1504" s="3493" t="s">
        <v>132</v>
      </c>
      <c r="B1504" s="3457">
        <v>45905</v>
      </c>
      <c r="C1504" s="3165" t="s">
        <v>3298</v>
      </c>
      <c r="D1504" s="4137">
        <v>966</v>
      </c>
      <c r="E1504" s="3691" t="s">
        <v>169</v>
      </c>
      <c r="F1504" s="4647" t="s">
        <v>1571</v>
      </c>
      <c r="G1504" s="3254"/>
      <c r="H1504" s="3253"/>
      <c r="I1504" s="3480">
        <v>712</v>
      </c>
      <c r="J1504" s="3982" t="s">
        <v>2974</v>
      </c>
      <c r="K1504" s="3511" t="s">
        <v>174</v>
      </c>
      <c r="L1504" s="3534"/>
      <c r="M1504" s="3456" t="s">
        <v>37</v>
      </c>
      <c r="N1504" s="3456"/>
      <c r="O1504" s="3456"/>
      <c r="P1504" s="119" t="s">
        <v>0</v>
      </c>
      <c r="Q1504" s="119" t="s">
        <v>187</v>
      </c>
      <c r="R1504" s="4771" t="s">
        <v>32</v>
      </c>
      <c r="S1504" s="3456"/>
      <c r="T1504" s="3456"/>
      <c r="U1504" s="3443"/>
      <c r="V1504" s="3531"/>
      <c r="W1504" s="4069" t="s">
        <v>3311</v>
      </c>
      <c r="X1504" s="3254"/>
      <c r="Y1504" s="3283"/>
    </row>
    <row r="1505" spans="1:25" ht="28.5" hidden="1">
      <c r="A1505" s="3493" t="s">
        <v>132</v>
      </c>
      <c r="B1505" s="3444">
        <v>45905</v>
      </c>
      <c r="C1505" s="3165" t="s">
        <v>3298</v>
      </c>
      <c r="D1505" s="4129"/>
      <c r="E1505" s="3695" t="s">
        <v>1571</v>
      </c>
      <c r="F1505" s="3838" t="s">
        <v>169</v>
      </c>
      <c r="G1505" s="3254"/>
      <c r="H1505" s="3253"/>
      <c r="I1505" s="3480">
        <v>712</v>
      </c>
      <c r="J1505" s="3982" t="s">
        <v>3267</v>
      </c>
      <c r="K1505" s="3511" t="s">
        <v>174</v>
      </c>
      <c r="L1505" s="3534"/>
      <c r="M1505" s="3443"/>
      <c r="N1505" s="3443" t="s">
        <v>30</v>
      </c>
      <c r="O1505" s="3443"/>
      <c r="P1505" s="21" t="s">
        <v>0</v>
      </c>
      <c r="Q1505" s="21" t="s">
        <v>187</v>
      </c>
      <c r="R1505" s="29" t="s">
        <v>32</v>
      </c>
      <c r="S1505" s="3443"/>
      <c r="T1505" s="3443"/>
      <c r="U1505" s="3443"/>
      <c r="V1505" s="3531"/>
      <c r="W1505" s="4069" t="s">
        <v>3312</v>
      </c>
      <c r="X1505" s="3254"/>
      <c r="Y1505" s="3283"/>
    </row>
    <row r="1506" spans="1:25" ht="28.5" hidden="1">
      <c r="A1506" s="3480" t="s">
        <v>132</v>
      </c>
      <c r="B1506" s="3444">
        <v>45905</v>
      </c>
      <c r="C1506" s="3165" t="s">
        <v>3298</v>
      </c>
      <c r="D1506" s="4139">
        <v>967</v>
      </c>
      <c r="E1506" s="4832" t="s">
        <v>3313</v>
      </c>
      <c r="F1506" s="3896" t="s">
        <v>3225</v>
      </c>
      <c r="G1506" s="3254"/>
      <c r="H1506" s="3253"/>
      <c r="I1506" s="3480">
        <v>701</v>
      </c>
      <c r="J1506" s="3982" t="s">
        <v>2705</v>
      </c>
      <c r="K1506" s="2369"/>
      <c r="L1506" s="3534" t="s">
        <v>37</v>
      </c>
      <c r="M1506" s="3456"/>
      <c r="N1506" s="3456"/>
      <c r="O1506" s="3456"/>
      <c r="P1506" s="3456"/>
      <c r="Q1506" s="3456"/>
      <c r="R1506" s="3605"/>
      <c r="S1506" s="3456"/>
      <c r="T1506" s="3456" t="s">
        <v>37</v>
      </c>
      <c r="U1506" s="3456"/>
      <c r="V1506" s="3456"/>
      <c r="W1506" s="3522"/>
      <c r="X1506" s="3254"/>
      <c r="Y1506" s="3283"/>
    </row>
    <row r="1507" spans="1:25" ht="29.25" hidden="1" thickBot="1">
      <c r="A1507" s="3494" t="s">
        <v>132</v>
      </c>
      <c r="B1507" s="3448">
        <v>45905</v>
      </c>
      <c r="C1507" s="3357" t="s">
        <v>3298</v>
      </c>
      <c r="D1507" s="4515"/>
      <c r="E1507" s="3958" t="s">
        <v>1465</v>
      </c>
      <c r="F1507" s="4607" t="s">
        <v>3228</v>
      </c>
      <c r="G1507" s="3254"/>
      <c r="H1507" s="3253"/>
      <c r="I1507" s="3494">
        <v>701</v>
      </c>
      <c r="J1507" s="4019" t="s">
        <v>2839</v>
      </c>
      <c r="K1507" s="3875"/>
      <c r="L1507" s="3546"/>
      <c r="M1507" s="3508"/>
      <c r="N1507" s="3508"/>
      <c r="O1507" s="3508"/>
      <c r="P1507" s="3508"/>
      <c r="Q1507" s="3508"/>
      <c r="R1507" s="3606"/>
      <c r="S1507" s="3508"/>
      <c r="T1507" s="3508"/>
      <c r="U1507" s="3508"/>
      <c r="V1507" s="3508"/>
      <c r="W1507" s="3547"/>
      <c r="X1507" s="3366"/>
      <c r="Y1507" s="3285"/>
    </row>
    <row r="1508" spans="1:25" ht="28.5" hidden="1">
      <c r="A1508" s="3656" t="s">
        <v>132</v>
      </c>
      <c r="B1508" s="3657">
        <v>45905</v>
      </c>
      <c r="C1508" s="3375" t="s">
        <v>3298</v>
      </c>
      <c r="D1508" s="4510">
        <v>968</v>
      </c>
      <c r="E1508" s="3708" t="s">
        <v>939</v>
      </c>
      <c r="F1508" s="3708" t="s">
        <v>3308</v>
      </c>
      <c r="G1508" s="4678"/>
      <c r="H1508" s="4678"/>
      <c r="I1508" s="3704">
        <v>712</v>
      </c>
      <c r="J1508" s="3503" t="s">
        <v>3267</v>
      </c>
      <c r="K1508" s="4727"/>
      <c r="L1508" s="3530" t="s">
        <v>37</v>
      </c>
      <c r="M1508" s="3503"/>
      <c r="N1508" s="3503"/>
      <c r="O1508" s="3503"/>
      <c r="P1508" s="4722"/>
      <c r="Q1508" s="3443"/>
      <c r="R1508" s="4722"/>
      <c r="S1508" s="3503"/>
      <c r="T1508" s="3503"/>
      <c r="U1508" s="3503"/>
      <c r="V1508" s="3503"/>
      <c r="W1508" s="3521"/>
      <c r="X1508" s="3792"/>
      <c r="Y1508" s="3277"/>
    </row>
    <row r="1509" spans="1:25" ht="28.5" hidden="1">
      <c r="A1509" s="3480" t="s">
        <v>132</v>
      </c>
      <c r="B1509" s="3463">
        <v>45905</v>
      </c>
      <c r="C1509" s="3165" t="s">
        <v>3298</v>
      </c>
      <c r="D1509" s="4141">
        <v>969</v>
      </c>
      <c r="E1509" s="3614" t="s">
        <v>1598</v>
      </c>
      <c r="F1509" s="3614" t="s">
        <v>282</v>
      </c>
      <c r="G1509" s="3364"/>
      <c r="H1509" s="3364"/>
      <c r="I1509" s="3590">
        <v>712</v>
      </c>
      <c r="J1509" s="3443" t="s">
        <v>3267</v>
      </c>
      <c r="K1509" s="4055"/>
      <c r="L1509" s="3605"/>
      <c r="M1509" s="3456"/>
      <c r="N1509" s="3456"/>
      <c r="O1509" s="3456"/>
      <c r="P1509" s="4722"/>
      <c r="Q1509" s="3443"/>
      <c r="R1509" s="4722"/>
      <c r="S1509" s="3456"/>
      <c r="T1509" s="3456"/>
      <c r="U1509" s="3456" t="s">
        <v>30</v>
      </c>
      <c r="V1509" s="3456"/>
      <c r="W1509" s="3522"/>
      <c r="X1509" s="3793"/>
    </row>
    <row r="1510" spans="1:25" ht="57" hidden="1">
      <c r="A1510" s="3480" t="s">
        <v>25</v>
      </c>
      <c r="B1510" s="3463">
        <v>45908</v>
      </c>
      <c r="C1510" s="3689">
        <v>37</v>
      </c>
      <c r="D1510" s="4140">
        <v>970</v>
      </c>
      <c r="E1510" s="3695" t="s">
        <v>1571</v>
      </c>
      <c r="F1510" s="3695" t="s">
        <v>169</v>
      </c>
      <c r="G1510" s="4070" t="s">
        <v>1199</v>
      </c>
      <c r="H1510" s="4078" t="s">
        <v>1199</v>
      </c>
      <c r="I1510" s="3857">
        <v>712</v>
      </c>
      <c r="J1510" s="3443" t="s">
        <v>2974</v>
      </c>
      <c r="K1510" s="4075" t="s">
        <v>174</v>
      </c>
      <c r="L1510" s="3534"/>
      <c r="M1510" s="3443" t="s">
        <v>37</v>
      </c>
      <c r="N1510" s="3443"/>
      <c r="O1510" s="3443"/>
      <c r="P1510" s="21" t="s">
        <v>71</v>
      </c>
      <c r="Q1510" s="21" t="s">
        <v>720</v>
      </c>
      <c r="R1510" s="29" t="s">
        <v>32</v>
      </c>
      <c r="S1510" s="3456"/>
      <c r="T1510" s="3456"/>
      <c r="U1510" s="3456"/>
      <c r="V1510" s="3599"/>
      <c r="W1510" s="3522" t="s">
        <v>3314</v>
      </c>
      <c r="X1510" s="3522"/>
    </row>
    <row r="1511" spans="1:25" ht="57" hidden="1">
      <c r="A1511" s="3480" t="s">
        <v>25</v>
      </c>
      <c r="B1511" s="3463">
        <v>45908</v>
      </c>
      <c r="C1511" s="3689">
        <v>37</v>
      </c>
      <c r="D1511" s="4140"/>
      <c r="E1511" s="3695" t="s">
        <v>169</v>
      </c>
      <c r="F1511" s="3695" t="s">
        <v>1571</v>
      </c>
      <c r="G1511" s="3587" t="s">
        <v>1199</v>
      </c>
      <c r="H1511" s="3587" t="s">
        <v>1199</v>
      </c>
      <c r="I1511" s="3855">
        <v>712</v>
      </c>
      <c r="J1511" s="3443" t="s">
        <v>3267</v>
      </c>
      <c r="K1511" s="4075" t="s">
        <v>174</v>
      </c>
      <c r="L1511" s="3534"/>
      <c r="M1511" s="3443"/>
      <c r="N1511" s="3443" t="s">
        <v>37</v>
      </c>
      <c r="O1511" s="3443"/>
      <c r="P1511" s="21" t="s">
        <v>71</v>
      </c>
      <c r="Q1511" s="21" t="s">
        <v>720</v>
      </c>
      <c r="R1511" s="29" t="s">
        <v>32</v>
      </c>
      <c r="S1511" s="3456"/>
      <c r="T1511" s="3456"/>
      <c r="U1511" s="3456"/>
      <c r="V1511" s="3599"/>
      <c r="W1511" s="3522" t="s">
        <v>3314</v>
      </c>
      <c r="X1511" s="3522"/>
    </row>
    <row r="1512" spans="1:25" ht="28.5" hidden="1">
      <c r="A1512" s="4068" t="s">
        <v>25</v>
      </c>
      <c r="B1512" s="3463">
        <v>45908</v>
      </c>
      <c r="C1512" s="3689">
        <v>37</v>
      </c>
      <c r="D1512" s="4135">
        <v>971</v>
      </c>
      <c r="E1512" s="3614" t="s">
        <v>3315</v>
      </c>
      <c r="F1512" s="3614" t="s">
        <v>282</v>
      </c>
      <c r="G1512" s="3772" t="s">
        <v>1206</v>
      </c>
      <c r="H1512" s="3802" t="s">
        <v>1199</v>
      </c>
      <c r="I1512" s="3855">
        <v>707</v>
      </c>
      <c r="J1512" s="3443" t="s">
        <v>3316</v>
      </c>
      <c r="K1512" s="4055"/>
      <c r="L1512" s="3534" t="s">
        <v>37</v>
      </c>
      <c r="M1512" s="3443"/>
      <c r="N1512" s="3443"/>
      <c r="O1512" s="3443"/>
      <c r="P1512" s="3443"/>
      <c r="Q1512" s="3443"/>
      <c r="R1512" s="3534"/>
      <c r="S1512" s="3456"/>
      <c r="T1512" s="3456"/>
      <c r="U1512" s="3456"/>
      <c r="V1512" s="3599"/>
      <c r="W1512" s="3522"/>
      <c r="X1512" s="3522"/>
    </row>
    <row r="1513" spans="1:25" ht="28.5" hidden="1">
      <c r="A1513" s="4072" t="s">
        <v>25</v>
      </c>
      <c r="B1513" s="3463">
        <v>45908</v>
      </c>
      <c r="C1513" s="3718">
        <v>37</v>
      </c>
      <c r="D1513" s="4142">
        <v>972</v>
      </c>
      <c r="E1513" s="3689" t="s">
        <v>3317</v>
      </c>
      <c r="F1513" s="3689" t="s">
        <v>375</v>
      </c>
      <c r="G1513" s="4073" t="s">
        <v>1199</v>
      </c>
      <c r="H1513" s="4071" t="s">
        <v>1199</v>
      </c>
      <c r="I1513" s="3857">
        <v>712</v>
      </c>
      <c r="J1513" s="3462" t="s">
        <v>3318</v>
      </c>
      <c r="K1513" s="4728"/>
      <c r="L1513" s="3545" t="s">
        <v>37</v>
      </c>
      <c r="M1513" s="3462"/>
      <c r="N1513" s="3462"/>
      <c r="O1513" s="3462"/>
      <c r="P1513" s="3462"/>
      <c r="Q1513" s="3462"/>
      <c r="R1513" s="3545"/>
      <c r="S1513" s="3505"/>
      <c r="T1513" s="3505"/>
      <c r="U1513" s="3505"/>
      <c r="V1513" s="3602"/>
      <c r="W1513" s="3544"/>
      <c r="X1513" s="3544"/>
    </row>
    <row r="1514" spans="1:25" ht="28.5" hidden="1">
      <c r="A1514" s="4496" t="s">
        <v>25</v>
      </c>
      <c r="B1514" s="3657">
        <v>45908</v>
      </c>
      <c r="C1514" s="3614">
        <v>37</v>
      </c>
      <c r="D1514" s="4513">
        <v>973</v>
      </c>
      <c r="E1514" s="3708" t="s">
        <v>1598</v>
      </c>
      <c r="F1514" s="3708" t="s">
        <v>592</v>
      </c>
      <c r="G1514" s="4688" t="s">
        <v>1199</v>
      </c>
      <c r="H1514" s="4919" t="s">
        <v>1199</v>
      </c>
      <c r="I1514" s="3704">
        <v>701</v>
      </c>
      <c r="J1514" s="3503" t="s">
        <v>225</v>
      </c>
      <c r="K1514" s="4727"/>
      <c r="L1514" s="3530" t="s">
        <v>37</v>
      </c>
      <c r="M1514" s="3503"/>
      <c r="N1514" s="3503"/>
      <c r="O1514" s="3503"/>
      <c r="P1514" s="3503"/>
      <c r="Q1514" s="3503"/>
      <c r="R1514" s="3530"/>
      <c r="S1514" s="3503"/>
      <c r="T1514" s="3503"/>
      <c r="U1514" s="3503"/>
      <c r="V1514" s="3528"/>
      <c r="W1514" s="3521"/>
      <c r="X1514" s="3521"/>
    </row>
    <row r="1515" spans="1:25" ht="28.5" hidden="1">
      <c r="A1515" s="4072" t="s">
        <v>25</v>
      </c>
      <c r="B1515" s="3463">
        <v>45908</v>
      </c>
      <c r="C1515" s="3689">
        <v>37</v>
      </c>
      <c r="D1515" s="4135">
        <v>974</v>
      </c>
      <c r="E1515" s="3541" t="s">
        <v>3317</v>
      </c>
      <c r="F1515" s="3541" t="s">
        <v>870</v>
      </c>
      <c r="G1515" s="4073" t="s">
        <v>1199</v>
      </c>
      <c r="H1515" s="4073" t="s">
        <v>1199</v>
      </c>
      <c r="I1515" s="3857">
        <v>712</v>
      </c>
      <c r="J1515" s="3443" t="s">
        <v>3319</v>
      </c>
      <c r="K1515" s="4075" t="s">
        <v>84</v>
      </c>
      <c r="L1515" s="3534" t="s">
        <v>37</v>
      </c>
      <c r="M1515" s="3443"/>
      <c r="N1515" s="3443"/>
      <c r="O1515" s="3443"/>
      <c r="P1515" s="3443"/>
      <c r="Q1515" s="3443"/>
      <c r="R1515" s="3534"/>
      <c r="S1515" s="3456"/>
      <c r="T1515" s="3456"/>
      <c r="U1515" s="3456"/>
      <c r="V1515" s="3456"/>
      <c r="W1515" s="3522"/>
      <c r="X1515" s="3522"/>
    </row>
    <row r="1516" spans="1:25" ht="28.5" hidden="1">
      <c r="A1516" s="3500" t="s">
        <v>67</v>
      </c>
      <c r="B1516" s="3463">
        <v>45909</v>
      </c>
      <c r="C1516" s="3689">
        <v>37</v>
      </c>
      <c r="D1516" s="4133"/>
      <c r="E1516" s="3541" t="s">
        <v>870</v>
      </c>
      <c r="F1516" s="3541" t="s">
        <v>3320</v>
      </c>
      <c r="G1516" s="4046" t="s">
        <v>1206</v>
      </c>
      <c r="H1516" s="4073" t="s">
        <v>1199</v>
      </c>
      <c r="I1516" s="3590">
        <v>712</v>
      </c>
      <c r="J1516" s="3443" t="s">
        <v>3319</v>
      </c>
      <c r="K1516" s="4051" t="s">
        <v>84</v>
      </c>
      <c r="L1516" s="3605" t="s">
        <v>37</v>
      </c>
      <c r="M1516" s="3456"/>
      <c r="N1516" s="3456"/>
      <c r="O1516" s="3456"/>
      <c r="P1516" s="3456"/>
      <c r="Q1516" s="3456"/>
      <c r="R1516" s="3605"/>
      <c r="S1516" s="3456"/>
      <c r="T1516" s="3456"/>
      <c r="U1516" s="3456"/>
      <c r="V1516" s="3456"/>
      <c r="W1516" s="3522"/>
      <c r="X1516" s="3522"/>
    </row>
    <row r="1517" spans="1:25" ht="28.5" hidden="1">
      <c r="A1517" s="3500" t="s">
        <v>67</v>
      </c>
      <c r="B1517" s="3463">
        <v>45909</v>
      </c>
      <c r="C1517" s="3689">
        <v>37</v>
      </c>
      <c r="D1517" s="3511">
        <v>975</v>
      </c>
      <c r="E1517" s="3695" t="s">
        <v>1571</v>
      </c>
      <c r="F1517" s="3695" t="s">
        <v>169</v>
      </c>
      <c r="G1517" s="4073" t="s">
        <v>1199</v>
      </c>
      <c r="H1517" s="4073" t="s">
        <v>1199</v>
      </c>
      <c r="I1517" s="3590">
        <v>712</v>
      </c>
      <c r="J1517" s="3443" t="s">
        <v>2974</v>
      </c>
      <c r="K1517" s="4075" t="s">
        <v>174</v>
      </c>
      <c r="L1517" s="3534" t="s">
        <v>37</v>
      </c>
      <c r="M1517" s="3443"/>
      <c r="N1517" s="3443"/>
      <c r="O1517" s="3443"/>
      <c r="P1517" s="3443"/>
      <c r="Q1517" s="3443"/>
      <c r="R1517" s="3534"/>
      <c r="S1517" s="3443"/>
      <c r="T1517" s="3443"/>
      <c r="U1517" s="3443"/>
      <c r="V1517" s="3531"/>
      <c r="W1517" s="3522"/>
      <c r="X1517" s="3522"/>
    </row>
    <row r="1518" spans="1:25" ht="28.5" hidden="1">
      <c r="A1518" s="3500" t="s">
        <v>67</v>
      </c>
      <c r="B1518" s="3463">
        <v>45909</v>
      </c>
      <c r="C1518" s="3718">
        <v>37</v>
      </c>
      <c r="D1518" s="4135"/>
      <c r="E1518" s="3695" t="s">
        <v>169</v>
      </c>
      <c r="F1518" s="3695" t="s">
        <v>1571</v>
      </c>
      <c r="G1518" s="3802" t="s">
        <v>1199</v>
      </c>
      <c r="H1518" s="4073" t="s">
        <v>1199</v>
      </c>
      <c r="I1518" s="3590">
        <v>712</v>
      </c>
      <c r="J1518" s="3443" t="s">
        <v>3267</v>
      </c>
      <c r="K1518" s="4075" t="s">
        <v>174</v>
      </c>
      <c r="L1518" s="3534" t="s">
        <v>37</v>
      </c>
      <c r="M1518" s="3443"/>
      <c r="N1518" s="3443"/>
      <c r="O1518" s="3443"/>
      <c r="P1518" s="3443"/>
      <c r="Q1518" s="3443"/>
      <c r="R1518" s="3534"/>
      <c r="S1518" s="3443"/>
      <c r="T1518" s="3443"/>
      <c r="U1518" s="3443"/>
      <c r="V1518" s="3531"/>
      <c r="W1518" s="3522"/>
      <c r="X1518" s="3522"/>
    </row>
    <row r="1519" spans="1:25" ht="28.5" hidden="1">
      <c r="A1519" s="3500" t="s">
        <v>67</v>
      </c>
      <c r="B1519" s="3463">
        <v>45909</v>
      </c>
      <c r="C1519" s="3614">
        <v>37</v>
      </c>
      <c r="D1519" s="4142">
        <v>976</v>
      </c>
      <c r="E1519" s="3878" t="s">
        <v>1464</v>
      </c>
      <c r="F1519" s="3878" t="s">
        <v>3225</v>
      </c>
      <c r="G1519" s="4076" t="s">
        <v>1206</v>
      </c>
      <c r="H1519" s="4076" t="s">
        <v>1206</v>
      </c>
      <c r="I1519" s="3857">
        <v>701</v>
      </c>
      <c r="J1519" s="3443" t="s">
        <v>2705</v>
      </c>
      <c r="K1519" s="4052"/>
      <c r="L1519" s="3534" t="s">
        <v>37</v>
      </c>
      <c r="M1519" s="3443"/>
      <c r="N1519" s="3443"/>
      <c r="O1519" s="3443"/>
      <c r="P1519" s="3443"/>
      <c r="Q1519" s="3443"/>
      <c r="R1519" s="3534"/>
      <c r="S1519" s="3456"/>
      <c r="T1519" s="3456"/>
      <c r="U1519" s="3456"/>
      <c r="V1519" s="3599"/>
      <c r="W1519" s="3522"/>
      <c r="X1519" s="3522"/>
    </row>
    <row r="1520" spans="1:25" ht="28.5" hidden="1">
      <c r="A1520" s="3500" t="s">
        <v>67</v>
      </c>
      <c r="B1520" s="3463">
        <v>45909</v>
      </c>
      <c r="C1520" s="3689">
        <v>37</v>
      </c>
      <c r="D1520" s="4139"/>
      <c r="E1520" s="3878" t="s">
        <v>1465</v>
      </c>
      <c r="F1520" s="3878" t="s">
        <v>3228</v>
      </c>
      <c r="G1520" s="4046" t="s">
        <v>1206</v>
      </c>
      <c r="H1520" s="4071" t="s">
        <v>1199</v>
      </c>
      <c r="I1520" s="3857">
        <v>701</v>
      </c>
      <c r="J1520" s="3443" t="s">
        <v>2839</v>
      </c>
      <c r="K1520" s="4055"/>
      <c r="L1520" s="3534" t="s">
        <v>37</v>
      </c>
      <c r="M1520" s="3443"/>
      <c r="N1520" s="3443"/>
      <c r="O1520" s="3443"/>
      <c r="P1520" s="4722"/>
      <c r="Q1520" s="3443"/>
      <c r="R1520" s="4722"/>
      <c r="S1520" s="3456"/>
      <c r="T1520" s="3456"/>
      <c r="U1520" s="3456"/>
      <c r="V1520" s="3599"/>
      <c r="W1520" s="3522"/>
      <c r="X1520" s="3522"/>
    </row>
    <row r="1521" spans="1:24" ht="28.5" hidden="1">
      <c r="A1521" s="3500" t="s">
        <v>67</v>
      </c>
      <c r="B1521" s="3463">
        <v>45909</v>
      </c>
      <c r="C1521" s="3689">
        <v>37</v>
      </c>
      <c r="D1521" s="4142">
        <v>977</v>
      </c>
      <c r="E1521" s="3614" t="s">
        <v>282</v>
      </c>
      <c r="F1521" s="3614" t="s">
        <v>80</v>
      </c>
      <c r="G1521" s="4076" t="s">
        <v>1206</v>
      </c>
      <c r="H1521" s="4071" t="s">
        <v>1199</v>
      </c>
      <c r="I1521" s="3857">
        <v>707</v>
      </c>
      <c r="J1521" s="3443" t="s">
        <v>2502</v>
      </c>
      <c r="K1521" s="4052"/>
      <c r="L1521" s="3534" t="s">
        <v>37</v>
      </c>
      <c r="M1521" s="3443"/>
      <c r="N1521" s="3443"/>
      <c r="O1521" s="3443"/>
      <c r="P1521" s="3443"/>
      <c r="Q1521" s="3443"/>
      <c r="R1521" s="3534"/>
      <c r="S1521" s="3456"/>
      <c r="T1521" s="3456"/>
      <c r="U1521" s="3456"/>
      <c r="V1521" s="3599"/>
      <c r="W1521" s="3522"/>
      <c r="X1521" s="3522"/>
    </row>
    <row r="1522" spans="1:24" ht="57" hidden="1">
      <c r="A1522" s="3500" t="s">
        <v>67</v>
      </c>
      <c r="B1522" s="3463">
        <v>45909</v>
      </c>
      <c r="C1522" s="3718">
        <v>37</v>
      </c>
      <c r="D1522" s="4141">
        <v>978</v>
      </c>
      <c r="E1522" s="3614" t="s">
        <v>3321</v>
      </c>
      <c r="F1522" s="3614" t="s">
        <v>1091</v>
      </c>
      <c r="G1522" s="4077" t="s">
        <v>3322</v>
      </c>
      <c r="H1522" s="4078"/>
      <c r="I1522" s="3857">
        <v>707</v>
      </c>
      <c r="J1522" s="3443" t="s">
        <v>384</v>
      </c>
      <c r="K1522" s="4051" t="s">
        <v>627</v>
      </c>
      <c r="L1522" s="3534"/>
      <c r="M1522" s="3443" t="s">
        <v>37</v>
      </c>
      <c r="N1522" s="3443"/>
      <c r="O1522" s="3443"/>
      <c r="P1522" s="21" t="s">
        <v>122</v>
      </c>
      <c r="Q1522" s="21" t="s">
        <v>110</v>
      </c>
      <c r="R1522" s="29" t="s">
        <v>38</v>
      </c>
      <c r="S1522" s="3456"/>
      <c r="T1522" s="3456"/>
      <c r="U1522" s="3456"/>
      <c r="V1522" s="3599"/>
      <c r="W1522" s="3522" t="s">
        <v>3323</v>
      </c>
      <c r="X1522" s="3522"/>
    </row>
    <row r="1523" spans="1:24" ht="28.5" hidden="1">
      <c r="A1523" s="3500" t="s">
        <v>67</v>
      </c>
      <c r="B1523" s="3463">
        <v>45909</v>
      </c>
      <c r="C1523" s="3614">
        <v>37</v>
      </c>
      <c r="D1523" s="4142">
        <v>979</v>
      </c>
      <c r="E1523" s="3614" t="s">
        <v>3308</v>
      </c>
      <c r="F1523" s="3614" t="s">
        <v>3324</v>
      </c>
      <c r="G1523" s="4076" t="s">
        <v>1206</v>
      </c>
      <c r="H1523" s="4071" t="s">
        <v>1199</v>
      </c>
      <c r="I1523" s="3857">
        <v>707</v>
      </c>
      <c r="J1523" s="3443" t="s">
        <v>2277</v>
      </c>
      <c r="K1523" s="4052"/>
      <c r="L1523" s="3534" t="s">
        <v>37</v>
      </c>
      <c r="M1523" s="3443"/>
      <c r="N1523" s="3443"/>
      <c r="O1523" s="3443"/>
      <c r="P1523" s="3443"/>
      <c r="Q1523" s="3443"/>
      <c r="R1523" s="3534"/>
      <c r="S1523" s="3456"/>
      <c r="T1523" s="3456"/>
      <c r="U1523" s="3456"/>
      <c r="V1523" s="3599"/>
      <c r="W1523" s="3522"/>
      <c r="X1523" s="3522"/>
    </row>
    <row r="1524" spans="1:24" ht="29.25" hidden="1" thickBot="1">
      <c r="A1524" s="3500" t="s">
        <v>67</v>
      </c>
      <c r="B1524" s="3463">
        <v>45909</v>
      </c>
      <c r="C1524" s="3689">
        <v>37</v>
      </c>
      <c r="D1524" s="4135">
        <v>980</v>
      </c>
      <c r="E1524" s="3844" t="s">
        <v>169</v>
      </c>
      <c r="F1524" s="3844" t="s">
        <v>275</v>
      </c>
      <c r="G1524" s="4079" t="s">
        <v>1199</v>
      </c>
      <c r="H1524" s="4080" t="s">
        <v>1199</v>
      </c>
      <c r="I1524" s="3857">
        <v>707</v>
      </c>
      <c r="J1524" s="3462" t="s">
        <v>3325</v>
      </c>
      <c r="K1524" s="4088" t="s">
        <v>84</v>
      </c>
      <c r="L1524" s="3545" t="s">
        <v>37</v>
      </c>
      <c r="M1524" s="3462"/>
      <c r="N1524" s="3462"/>
      <c r="O1524" s="3462"/>
      <c r="P1524" s="3462"/>
      <c r="Q1524" s="3462"/>
      <c r="R1524" s="3545"/>
      <c r="S1524" s="3505"/>
      <c r="T1524" s="3505"/>
      <c r="U1524" s="3505"/>
      <c r="V1524" s="3602"/>
      <c r="W1524" s="3547"/>
      <c r="X1524" s="3547"/>
    </row>
    <row r="1525" spans="1:24" ht="28.5" hidden="1">
      <c r="A1525" s="3656" t="s">
        <v>67</v>
      </c>
      <c r="B1525" s="3657">
        <v>45909</v>
      </c>
      <c r="C1525" s="3689">
        <v>37</v>
      </c>
      <c r="D1525" s="4510">
        <v>981</v>
      </c>
      <c r="E1525" s="4065" t="s">
        <v>273</v>
      </c>
      <c r="F1525" s="4065" t="s">
        <v>2660</v>
      </c>
      <c r="G1525" s="4087" t="s">
        <v>1199</v>
      </c>
      <c r="H1525" s="4087" t="s">
        <v>1199</v>
      </c>
      <c r="I1525" s="3704">
        <v>707</v>
      </c>
      <c r="J1525" s="3503" t="s">
        <v>107</v>
      </c>
      <c r="K1525" s="4727"/>
      <c r="L1525" s="3530" t="s">
        <v>37</v>
      </c>
      <c r="M1525" s="3503"/>
      <c r="N1525" s="3503"/>
      <c r="O1525" s="3503"/>
      <c r="P1525" s="4722"/>
      <c r="Q1525" s="3443"/>
      <c r="R1525" s="4722"/>
      <c r="S1525" s="3503"/>
      <c r="T1525" s="3503"/>
      <c r="U1525" s="3503"/>
      <c r="V1525" s="3503"/>
      <c r="W1525" s="3609"/>
      <c r="X1525" s="3609"/>
    </row>
    <row r="1526" spans="1:24" ht="28.5" hidden="1">
      <c r="A1526" s="3500" t="s">
        <v>67</v>
      </c>
      <c r="B1526" s="3463">
        <v>45909</v>
      </c>
      <c r="C1526" s="3689">
        <v>37</v>
      </c>
      <c r="D1526" s="4139"/>
      <c r="E1526" s="3557" t="s">
        <v>2662</v>
      </c>
      <c r="F1526" s="3557" t="s">
        <v>389</v>
      </c>
      <c r="G1526" s="4073" t="s">
        <v>1199</v>
      </c>
      <c r="H1526" s="4073" t="s">
        <v>1199</v>
      </c>
      <c r="I1526" s="3590">
        <v>707</v>
      </c>
      <c r="J1526" s="3443" t="s">
        <v>107</v>
      </c>
      <c r="K1526" s="4055"/>
      <c r="L1526" s="3605" t="s">
        <v>37</v>
      </c>
      <c r="M1526" s="3456"/>
      <c r="N1526" s="3456"/>
      <c r="O1526" s="3456"/>
      <c r="P1526" s="3456"/>
      <c r="Q1526" s="3456"/>
      <c r="R1526" s="3605"/>
      <c r="S1526" s="3456"/>
      <c r="T1526" s="3456"/>
      <c r="U1526" s="3456"/>
      <c r="V1526" s="3456"/>
      <c r="W1526" s="3522"/>
      <c r="X1526" s="3522"/>
    </row>
    <row r="1527" spans="1:24" ht="28.5" hidden="1">
      <c r="A1527" s="3500" t="s">
        <v>85</v>
      </c>
      <c r="B1527" s="3463">
        <v>45910</v>
      </c>
      <c r="C1527" s="3718">
        <v>37</v>
      </c>
      <c r="D1527" s="4129">
        <v>982</v>
      </c>
      <c r="E1527" s="3695" t="s">
        <v>1571</v>
      </c>
      <c r="F1527" s="3695" t="s">
        <v>169</v>
      </c>
      <c r="G1527" s="3587"/>
      <c r="H1527" s="4098"/>
      <c r="I1527" s="3590">
        <v>712</v>
      </c>
      <c r="J1527" s="3443" t="s">
        <v>2974</v>
      </c>
      <c r="K1527" s="4075" t="s">
        <v>174</v>
      </c>
      <c r="L1527" s="3534"/>
      <c r="M1527" s="3443" t="s">
        <v>37</v>
      </c>
      <c r="N1527" s="3443"/>
      <c r="O1527" s="3443"/>
      <c r="P1527" s="21" t="s">
        <v>71</v>
      </c>
      <c r="Q1527" s="21" t="s">
        <v>178</v>
      </c>
      <c r="R1527" s="29" t="s">
        <v>32</v>
      </c>
      <c r="S1527" s="3443"/>
      <c r="T1527" s="3443"/>
      <c r="U1527" s="3443"/>
      <c r="V1527" s="3531"/>
      <c r="W1527" s="3522" t="s">
        <v>3326</v>
      </c>
      <c r="X1527" s="3522"/>
    </row>
    <row r="1528" spans="1:24" ht="28.5" hidden="1">
      <c r="A1528" s="3500" t="s">
        <v>85</v>
      </c>
      <c r="B1528" s="3463">
        <v>45910</v>
      </c>
      <c r="C1528" s="3614">
        <v>37</v>
      </c>
      <c r="D1528" s="4129"/>
      <c r="E1528" s="3695" t="s">
        <v>169</v>
      </c>
      <c r="F1528" s="3695" t="s">
        <v>1571</v>
      </c>
      <c r="G1528" s="3587"/>
      <c r="H1528" s="4098"/>
      <c r="I1528" s="3590">
        <v>712</v>
      </c>
      <c r="J1528" s="3443" t="s">
        <v>3267</v>
      </c>
      <c r="K1528" s="4075" t="s">
        <v>174</v>
      </c>
      <c r="L1528" s="3534"/>
      <c r="M1528" s="3443"/>
      <c r="N1528" s="3443"/>
      <c r="O1528" s="3443"/>
      <c r="P1528" s="3443"/>
      <c r="Q1528" s="3443" t="s">
        <v>37</v>
      </c>
      <c r="R1528" s="3534"/>
      <c r="S1528" s="3443"/>
      <c r="T1528" s="3443"/>
      <c r="U1528" s="3443"/>
      <c r="V1528" s="3531"/>
      <c r="W1528" s="3522"/>
      <c r="X1528" s="3522"/>
    </row>
    <row r="1529" spans="1:24" ht="28.5" hidden="1">
      <c r="A1529" s="3500" t="s">
        <v>85</v>
      </c>
      <c r="B1529" s="3463">
        <v>45910</v>
      </c>
      <c r="C1529" s="3689">
        <v>37</v>
      </c>
      <c r="D1529" s="4142">
        <v>983</v>
      </c>
      <c r="E1529" s="3878" t="s">
        <v>1464</v>
      </c>
      <c r="F1529" s="3878" t="s">
        <v>3225</v>
      </c>
      <c r="G1529" s="4046" t="s">
        <v>1206</v>
      </c>
      <c r="H1529" s="4071" t="s">
        <v>1199</v>
      </c>
      <c r="I1529" s="3857">
        <v>701</v>
      </c>
      <c r="J1529" s="3443" t="s">
        <v>2705</v>
      </c>
      <c r="K1529" s="4055"/>
      <c r="L1529" s="3534" t="s">
        <v>37</v>
      </c>
      <c r="M1529" s="3443"/>
      <c r="N1529" s="3443"/>
      <c r="O1529" s="3443"/>
      <c r="P1529" s="3443"/>
      <c r="Q1529" s="3443"/>
      <c r="R1529" s="3534"/>
      <c r="S1529" s="3456"/>
      <c r="T1529" s="3456"/>
      <c r="U1529" s="3456"/>
      <c r="V1529" s="3599"/>
      <c r="W1529" s="3522"/>
      <c r="X1529" s="3522"/>
    </row>
    <row r="1530" spans="1:24" ht="28.5" hidden="1">
      <c r="A1530" s="3500" t="s">
        <v>85</v>
      </c>
      <c r="B1530" s="3463">
        <v>45910</v>
      </c>
      <c r="C1530" s="3689">
        <v>37</v>
      </c>
      <c r="D1530" s="4142"/>
      <c r="E1530" s="3878" t="s">
        <v>1465</v>
      </c>
      <c r="F1530" s="3878" t="s">
        <v>3228</v>
      </c>
      <c r="G1530" s="4046" t="s">
        <v>1206</v>
      </c>
      <c r="H1530" s="4071" t="s">
        <v>1199</v>
      </c>
      <c r="I1530" s="3857">
        <v>701</v>
      </c>
      <c r="J1530" s="3443" t="s">
        <v>2839</v>
      </c>
      <c r="K1530" s="4052"/>
      <c r="L1530" s="3534" t="s">
        <v>37</v>
      </c>
      <c r="M1530" s="3443"/>
      <c r="N1530" s="3443"/>
      <c r="O1530" s="3443"/>
      <c r="P1530" s="3443"/>
      <c r="Q1530" s="3443"/>
      <c r="R1530" s="3534"/>
      <c r="S1530" s="3456"/>
      <c r="T1530" s="3456"/>
      <c r="U1530" s="3456"/>
      <c r="V1530" s="3599"/>
      <c r="W1530" s="3522"/>
      <c r="X1530" s="3522"/>
    </row>
    <row r="1531" spans="1:24" ht="28.5" hidden="1">
      <c r="A1531" s="3500" t="s">
        <v>85</v>
      </c>
      <c r="B1531" s="3463">
        <v>45910</v>
      </c>
      <c r="C1531" s="3689">
        <v>37</v>
      </c>
      <c r="D1531" s="4133"/>
      <c r="E1531" s="3553" t="s">
        <v>282</v>
      </c>
      <c r="F1531" s="3553" t="s">
        <v>3327</v>
      </c>
      <c r="G1531" s="4082" t="s">
        <v>1206</v>
      </c>
      <c r="H1531" s="4083" t="s">
        <v>1206</v>
      </c>
      <c r="I1531" s="3857">
        <v>707</v>
      </c>
      <c r="J1531" s="3443" t="s">
        <v>3328</v>
      </c>
      <c r="K1531" s="4051" t="s">
        <v>84</v>
      </c>
      <c r="L1531" s="3534" t="s">
        <v>37</v>
      </c>
      <c r="M1531" s="3443"/>
      <c r="N1531" s="3443"/>
      <c r="O1531" s="3443"/>
      <c r="P1531" s="4722"/>
      <c r="Q1531" s="3443"/>
      <c r="R1531" s="4722"/>
      <c r="S1531" s="3456"/>
      <c r="T1531" s="3456"/>
      <c r="U1531" s="3456"/>
      <c r="V1531" s="3599"/>
      <c r="W1531" s="3522"/>
      <c r="X1531" s="3522"/>
    </row>
    <row r="1532" spans="1:24" ht="28.5" hidden="1">
      <c r="A1532" s="3500" t="s">
        <v>85</v>
      </c>
      <c r="B1532" s="3463">
        <v>45910</v>
      </c>
      <c r="C1532" s="3718">
        <v>37</v>
      </c>
      <c r="D1532" s="4140">
        <v>985</v>
      </c>
      <c r="E1532" s="3614" t="s">
        <v>3321</v>
      </c>
      <c r="F1532" s="3614" t="s">
        <v>1091</v>
      </c>
      <c r="G1532" s="4097"/>
      <c r="H1532" s="4084"/>
      <c r="I1532" s="3857">
        <v>707</v>
      </c>
      <c r="J1532" s="3443" t="s">
        <v>384</v>
      </c>
      <c r="K1532" s="4075" t="s">
        <v>627</v>
      </c>
      <c r="L1532" s="3534"/>
      <c r="M1532" s="3443" t="s">
        <v>37</v>
      </c>
      <c r="N1532" s="3443"/>
      <c r="O1532" s="3443"/>
      <c r="P1532" s="20" t="s">
        <v>71</v>
      </c>
      <c r="Q1532" s="21" t="s">
        <v>178</v>
      </c>
      <c r="R1532" s="20" t="s">
        <v>38</v>
      </c>
      <c r="S1532" s="3456"/>
      <c r="T1532" s="3456"/>
      <c r="U1532" s="3456"/>
      <c r="V1532" s="3599"/>
      <c r="W1532" s="3522" t="s">
        <v>3329</v>
      </c>
      <c r="X1532" s="3522"/>
    </row>
    <row r="1533" spans="1:24" ht="28.5" hidden="1">
      <c r="A1533" s="3500" t="s">
        <v>85</v>
      </c>
      <c r="B1533" s="3463">
        <v>45910</v>
      </c>
      <c r="C1533" s="3614">
        <v>37</v>
      </c>
      <c r="D1533" s="4142">
        <v>986</v>
      </c>
      <c r="E1533" s="3541" t="s">
        <v>1598</v>
      </c>
      <c r="F1533" s="3541" t="s">
        <v>209</v>
      </c>
      <c r="G1533" s="4073" t="s">
        <v>1199</v>
      </c>
      <c r="H1533" s="4073" t="s">
        <v>1199</v>
      </c>
      <c r="I1533" s="3857">
        <v>707</v>
      </c>
      <c r="J1533" s="3443" t="s">
        <v>597</v>
      </c>
      <c r="K1533" s="4052"/>
      <c r="L1533" s="3534"/>
      <c r="M1533" s="3443" t="s">
        <v>30</v>
      </c>
      <c r="N1533" s="3443"/>
      <c r="O1533" s="3443"/>
      <c r="P1533" s="20" t="s">
        <v>0</v>
      </c>
      <c r="Q1533" s="21" t="s">
        <v>31</v>
      </c>
      <c r="R1533" s="20" t="s">
        <v>38</v>
      </c>
      <c r="S1533" s="3456"/>
      <c r="T1533" s="3456"/>
      <c r="U1533" s="3456"/>
      <c r="V1533" s="3599"/>
      <c r="W1533" s="3522" t="s">
        <v>3330</v>
      </c>
      <c r="X1533" s="3522"/>
    </row>
    <row r="1534" spans="1:24" ht="28.5" hidden="1">
      <c r="A1534" s="3500" t="s">
        <v>85</v>
      </c>
      <c r="B1534" s="3463">
        <v>45910</v>
      </c>
      <c r="C1534" s="3689">
        <v>37</v>
      </c>
      <c r="D1534" s="4142"/>
      <c r="E1534" s="3864" t="s">
        <v>169</v>
      </c>
      <c r="F1534" s="3864" t="s">
        <v>220</v>
      </c>
      <c r="G1534" s="4046" t="s">
        <v>3331</v>
      </c>
      <c r="H1534" s="4920" t="s">
        <v>3331</v>
      </c>
      <c r="I1534" s="3857">
        <v>707</v>
      </c>
      <c r="J1534" s="3462" t="s">
        <v>3332</v>
      </c>
      <c r="K1534" s="4053"/>
      <c r="L1534" s="3545"/>
      <c r="M1534" s="3462"/>
      <c r="N1534" s="3462" t="s">
        <v>37</v>
      </c>
      <c r="O1534" s="3462"/>
      <c r="P1534" s="24" t="s">
        <v>0</v>
      </c>
      <c r="Q1534" s="24" t="s">
        <v>31</v>
      </c>
      <c r="R1534" s="32" t="s">
        <v>38</v>
      </c>
      <c r="S1534" s="3505"/>
      <c r="T1534" s="3505"/>
      <c r="U1534" s="3505"/>
      <c r="V1534" s="3602"/>
      <c r="W1534" s="3544"/>
      <c r="X1534" s="3544"/>
    </row>
    <row r="1535" spans="1:24" ht="28.5" hidden="1">
      <c r="A1535" s="3443" t="s">
        <v>85</v>
      </c>
      <c r="B1535" s="3444">
        <v>45910</v>
      </c>
      <c r="C1535" s="3689">
        <v>37</v>
      </c>
      <c r="D1535" s="4130">
        <v>987</v>
      </c>
      <c r="E1535" s="3623" t="s">
        <v>273</v>
      </c>
      <c r="F1535" s="3623" t="s">
        <v>584</v>
      </c>
      <c r="G1535" s="3802" t="s">
        <v>1206</v>
      </c>
      <c r="H1535" s="3802" t="s">
        <v>1206</v>
      </c>
      <c r="I1535" s="3443">
        <v>703</v>
      </c>
      <c r="J1535" s="3443" t="s">
        <v>1245</v>
      </c>
      <c r="K1535" s="2369"/>
      <c r="L1535" s="3443" t="s">
        <v>30</v>
      </c>
      <c r="M1535" s="3443"/>
      <c r="N1535" s="3443"/>
      <c r="O1535" s="3443"/>
      <c r="P1535" s="3443"/>
      <c r="Q1535" s="3443"/>
      <c r="R1535" s="3443"/>
      <c r="S1535" s="3443"/>
      <c r="T1535" s="3443"/>
      <c r="U1535" s="3443"/>
      <c r="V1535" s="3443"/>
      <c r="W1535" s="3507"/>
      <c r="X1535" s="3507"/>
    </row>
    <row r="1536" spans="1:24" ht="29.25" hidden="1" thickBot="1">
      <c r="A1536" s="3481" t="s">
        <v>85</v>
      </c>
      <c r="B1536" s="3451">
        <v>45910</v>
      </c>
      <c r="C1536" s="3689">
        <v>37</v>
      </c>
      <c r="D1536" s="4143"/>
      <c r="E1536" s="4560" t="s">
        <v>1219</v>
      </c>
      <c r="F1536" s="4560" t="s">
        <v>389</v>
      </c>
      <c r="G1536" s="4677" t="s">
        <v>1206</v>
      </c>
      <c r="H1536" s="4085" t="s">
        <v>1206</v>
      </c>
      <c r="I1536" s="4063">
        <v>703</v>
      </c>
      <c r="J1536" s="3508" t="s">
        <v>1245</v>
      </c>
      <c r="K1536" s="4086"/>
      <c r="L1536" s="3606" t="s">
        <v>30</v>
      </c>
      <c r="M1536" s="3508"/>
      <c r="N1536" s="3508"/>
      <c r="O1536" s="3508"/>
      <c r="P1536" s="3508"/>
      <c r="Q1536" s="3508"/>
      <c r="R1536" s="3606"/>
      <c r="S1536" s="3508"/>
      <c r="T1536" s="3508"/>
      <c r="U1536" s="3508"/>
      <c r="V1536" s="3601"/>
      <c r="W1536" s="3610"/>
      <c r="X1536" s="3610"/>
    </row>
    <row r="1537" spans="1:24" ht="28.5" hidden="1">
      <c r="A1537" s="3656" t="s">
        <v>85</v>
      </c>
      <c r="B1537" s="3657">
        <v>45910</v>
      </c>
      <c r="C1537" s="3718">
        <v>37</v>
      </c>
      <c r="D1537" s="4510">
        <v>988</v>
      </c>
      <c r="E1537" s="3503" t="s">
        <v>3308</v>
      </c>
      <c r="F1537" s="3503" t="s">
        <v>148</v>
      </c>
      <c r="G1537" s="4089" t="s">
        <v>1206</v>
      </c>
      <c r="H1537" s="4087" t="s">
        <v>1199</v>
      </c>
      <c r="I1537" s="3704">
        <v>707</v>
      </c>
      <c r="J1537" s="3503" t="s">
        <v>151</v>
      </c>
      <c r="K1537" s="4727"/>
      <c r="L1537" s="3530" t="s">
        <v>30</v>
      </c>
      <c r="M1537" s="3503"/>
      <c r="N1537" s="3503"/>
      <c r="O1537" s="3503"/>
      <c r="P1537" s="3503"/>
      <c r="Q1537" s="3503"/>
      <c r="R1537" s="3530"/>
      <c r="S1537" s="3503"/>
      <c r="T1537" s="3503"/>
      <c r="U1537" s="3503" t="s">
        <v>30</v>
      </c>
      <c r="V1537" s="3503"/>
      <c r="W1537" s="3521"/>
      <c r="X1537" s="3521"/>
    </row>
    <row r="1538" spans="1:24" ht="28.5" hidden="1">
      <c r="A1538" s="3500" t="s">
        <v>85</v>
      </c>
      <c r="B1538" s="3463">
        <v>45911</v>
      </c>
      <c r="C1538" s="3614">
        <v>37</v>
      </c>
      <c r="D1538" s="4139">
        <v>984</v>
      </c>
      <c r="E1538" s="3443" t="s">
        <v>48</v>
      </c>
      <c r="F1538" s="3443" t="s">
        <v>169</v>
      </c>
      <c r="G1538" s="4073" t="s">
        <v>1199</v>
      </c>
      <c r="H1538" s="4073" t="s">
        <v>1199</v>
      </c>
      <c r="I1538" s="3590">
        <v>707</v>
      </c>
      <c r="J1538" s="3443" t="s">
        <v>3333</v>
      </c>
      <c r="K1538" s="4055"/>
      <c r="L1538" s="3605" t="s">
        <v>37</v>
      </c>
      <c r="M1538" s="3456"/>
      <c r="N1538" s="3456"/>
      <c r="O1538" s="3456"/>
      <c r="P1538" s="3456"/>
      <c r="Q1538" s="3456"/>
      <c r="R1538" s="3605"/>
      <c r="S1538" s="3456"/>
      <c r="T1538" s="3456"/>
      <c r="U1538" s="3456" t="s">
        <v>30</v>
      </c>
      <c r="V1538" s="3456"/>
      <c r="W1538" s="3522" t="s">
        <v>3334</v>
      </c>
      <c r="X1538" s="3522"/>
    </row>
    <row r="1539" spans="1:24" ht="28.5" hidden="1">
      <c r="A1539" s="3500" t="s">
        <v>105</v>
      </c>
      <c r="B1539" s="3463">
        <v>45911</v>
      </c>
      <c r="C1539" s="3689">
        <v>37</v>
      </c>
      <c r="D1539" s="3511">
        <v>989</v>
      </c>
      <c r="E1539" s="3695" t="s">
        <v>1571</v>
      </c>
      <c r="F1539" s="3695" t="s">
        <v>169</v>
      </c>
      <c r="G1539" s="3802" t="s">
        <v>1199</v>
      </c>
      <c r="H1539" s="4081" t="s">
        <v>1199</v>
      </c>
      <c r="I1539" s="3590">
        <v>712</v>
      </c>
      <c r="J1539" s="3443" t="s">
        <v>2974</v>
      </c>
      <c r="K1539" s="4075" t="s">
        <v>174</v>
      </c>
      <c r="L1539" s="3534" t="s">
        <v>30</v>
      </c>
      <c r="M1539" s="3443"/>
      <c r="N1539" s="3443"/>
      <c r="O1539" s="3443"/>
      <c r="P1539" s="3443"/>
      <c r="Q1539" s="3443"/>
      <c r="R1539" s="3534"/>
      <c r="S1539" s="3443"/>
      <c r="T1539" s="3443"/>
      <c r="U1539" s="3443"/>
      <c r="V1539" s="3531"/>
      <c r="W1539" s="3522"/>
      <c r="X1539" s="3522"/>
    </row>
    <row r="1540" spans="1:24" ht="28.5" hidden="1">
      <c r="A1540" s="3500" t="s">
        <v>105</v>
      </c>
      <c r="B1540" s="3463">
        <v>45911</v>
      </c>
      <c r="C1540" s="3689">
        <v>37</v>
      </c>
      <c r="D1540" s="3511"/>
      <c r="E1540" s="3695" t="s">
        <v>169</v>
      </c>
      <c r="F1540" s="3695" t="s">
        <v>1571</v>
      </c>
      <c r="G1540" s="3802" t="s">
        <v>1199</v>
      </c>
      <c r="H1540" s="4081" t="s">
        <v>1199</v>
      </c>
      <c r="I1540" s="3590">
        <v>712</v>
      </c>
      <c r="J1540" s="3443" t="s">
        <v>3267</v>
      </c>
      <c r="K1540" s="4075" t="s">
        <v>174</v>
      </c>
      <c r="L1540" s="3534" t="s">
        <v>30</v>
      </c>
      <c r="M1540" s="3443"/>
      <c r="N1540" s="3443"/>
      <c r="O1540" s="3443"/>
      <c r="P1540" s="3443"/>
      <c r="Q1540" s="3443"/>
      <c r="R1540" s="3534"/>
      <c r="S1540" s="3443"/>
      <c r="T1540" s="3443"/>
      <c r="U1540" s="3443"/>
      <c r="V1540" s="3531"/>
      <c r="W1540" s="3522"/>
      <c r="X1540" s="3522"/>
    </row>
    <row r="1541" spans="1:24" ht="28.5" hidden="1">
      <c r="A1541" s="3500" t="s">
        <v>105</v>
      </c>
      <c r="B1541" s="3463">
        <v>45911</v>
      </c>
      <c r="C1541" s="3689">
        <v>37</v>
      </c>
      <c r="D1541" s="4130">
        <v>990</v>
      </c>
      <c r="E1541" s="3878" t="s">
        <v>1464</v>
      </c>
      <c r="F1541" s="3878" t="s">
        <v>3225</v>
      </c>
      <c r="G1541" s="4046" t="s">
        <v>1206</v>
      </c>
      <c r="H1541" s="4071" t="s">
        <v>1199</v>
      </c>
      <c r="I1541" s="3857">
        <v>701</v>
      </c>
      <c r="J1541" s="3443" t="s">
        <v>2705</v>
      </c>
      <c r="K1541" s="4052"/>
      <c r="L1541" s="3534" t="s">
        <v>30</v>
      </c>
      <c r="M1541" s="3443"/>
      <c r="N1541" s="3443"/>
      <c r="O1541" s="3443"/>
      <c r="P1541" s="3443"/>
      <c r="Q1541" s="3443"/>
      <c r="R1541" s="3534"/>
      <c r="S1541" s="3456"/>
      <c r="T1541" s="3456"/>
      <c r="U1541" s="3456"/>
      <c r="V1541" s="3599"/>
      <c r="W1541" s="3522"/>
      <c r="X1541" s="3522"/>
    </row>
    <row r="1542" spans="1:24" ht="265.35000000000002" hidden="1" customHeight="1">
      <c r="A1542" s="3500" t="s">
        <v>105</v>
      </c>
      <c r="B1542" s="3463">
        <v>45911</v>
      </c>
      <c r="C1542" s="3718">
        <v>37</v>
      </c>
      <c r="D1542" s="4139"/>
      <c r="E1542" s="3878" t="s">
        <v>1465</v>
      </c>
      <c r="F1542" s="3878" t="s">
        <v>3228</v>
      </c>
      <c r="G1542" s="4076" t="s">
        <v>1206</v>
      </c>
      <c r="H1542" s="4071" t="s">
        <v>1199</v>
      </c>
      <c r="I1542" s="3857">
        <v>701</v>
      </c>
      <c r="J1542" s="3443" t="s">
        <v>2839</v>
      </c>
      <c r="K1542" s="4055"/>
      <c r="L1542" s="3534" t="s">
        <v>30</v>
      </c>
      <c r="M1542" s="3443"/>
      <c r="N1542" s="3443"/>
      <c r="O1542" s="3443"/>
      <c r="P1542" s="4722"/>
      <c r="Q1542" s="3443"/>
      <c r="R1542" s="4722"/>
      <c r="S1542" s="3456"/>
      <c r="T1542" s="3456"/>
      <c r="U1542" s="3456"/>
      <c r="V1542" s="3599"/>
      <c r="W1542" s="3522"/>
      <c r="X1542" s="3522"/>
    </row>
    <row r="1543" spans="1:24" ht="145.35" hidden="1" customHeight="1">
      <c r="A1543" s="3500" t="s">
        <v>105</v>
      </c>
      <c r="B1543" s="3463">
        <v>45911</v>
      </c>
      <c r="C1543" s="3614">
        <v>37</v>
      </c>
      <c r="D1543" s="4142">
        <v>991</v>
      </c>
      <c r="E1543" s="3541" t="s">
        <v>3321</v>
      </c>
      <c r="F1543" s="3541" t="s">
        <v>1091</v>
      </c>
      <c r="G1543" s="4079" t="s">
        <v>1206</v>
      </c>
      <c r="H1543" s="4079" t="s">
        <v>1206</v>
      </c>
      <c r="I1543" s="3857">
        <v>707</v>
      </c>
      <c r="J1543" s="3443" t="s">
        <v>384</v>
      </c>
      <c r="K1543" s="4052"/>
      <c r="L1543" s="3534" t="s">
        <v>30</v>
      </c>
      <c r="M1543" s="3443"/>
      <c r="N1543" s="3443"/>
      <c r="O1543" s="3443"/>
      <c r="P1543" s="3443"/>
      <c r="Q1543" s="3443" t="s">
        <v>30</v>
      </c>
      <c r="R1543" s="3534"/>
      <c r="S1543" s="3456"/>
      <c r="T1543" s="3456" t="s">
        <v>30</v>
      </c>
      <c r="U1543" s="3456"/>
      <c r="V1543" s="3599"/>
      <c r="W1543" s="3522"/>
      <c r="X1543" s="3522"/>
    </row>
    <row r="1544" spans="1:24" ht="171" hidden="1">
      <c r="A1544" s="3500" t="s">
        <v>105</v>
      </c>
      <c r="B1544" s="3463">
        <v>45911</v>
      </c>
      <c r="C1544" s="3689">
        <v>37</v>
      </c>
      <c r="D1544" s="4135"/>
      <c r="E1544" s="3541" t="s">
        <v>169</v>
      </c>
      <c r="F1544" s="3541" t="s">
        <v>3335</v>
      </c>
      <c r="G1544" s="4079" t="s">
        <v>1199</v>
      </c>
      <c r="H1544" s="4079" t="s">
        <v>1199</v>
      </c>
      <c r="I1544" s="3857">
        <v>707</v>
      </c>
      <c r="J1544" s="3443" t="s">
        <v>3332</v>
      </c>
      <c r="K1544" s="4075" t="s">
        <v>627</v>
      </c>
      <c r="L1544" s="3534"/>
      <c r="M1544" s="3443" t="s">
        <v>37</v>
      </c>
      <c r="N1544" s="3443"/>
      <c r="O1544" s="3443"/>
      <c r="P1544" s="21" t="s">
        <v>71</v>
      </c>
      <c r="Q1544" s="21" t="s">
        <v>720</v>
      </c>
      <c r="R1544" s="29" t="s">
        <v>38</v>
      </c>
      <c r="S1544" s="3456"/>
      <c r="T1544" s="3456"/>
      <c r="U1544" s="3456"/>
      <c r="V1544" s="3599"/>
      <c r="W1544" s="4095" t="s">
        <v>3336</v>
      </c>
      <c r="X1544" s="3522"/>
    </row>
    <row r="1545" spans="1:24" ht="57" hidden="1">
      <c r="A1545" s="3500" t="s">
        <v>105</v>
      </c>
      <c r="B1545" s="3463">
        <v>45911</v>
      </c>
      <c r="C1545" s="3689">
        <v>37</v>
      </c>
      <c r="D1545" s="4142">
        <v>992</v>
      </c>
      <c r="E1545" s="3443" t="s">
        <v>80</v>
      </c>
      <c r="F1545" s="3443" t="s">
        <v>1571</v>
      </c>
      <c r="G1545" s="4073" t="s">
        <v>1199</v>
      </c>
      <c r="H1545" s="4073" t="s">
        <v>1199</v>
      </c>
      <c r="I1545" s="3857">
        <v>707</v>
      </c>
      <c r="J1545" s="3443">
        <v>60020</v>
      </c>
      <c r="K1545" s="4052"/>
      <c r="L1545" s="3534" t="s">
        <v>30</v>
      </c>
      <c r="M1545" s="3443"/>
      <c r="N1545" s="3443"/>
      <c r="O1545" s="3443"/>
      <c r="P1545" s="3443"/>
      <c r="Q1545" s="3443"/>
      <c r="R1545" s="3534"/>
      <c r="S1545" s="3456"/>
      <c r="T1545" s="3456"/>
      <c r="U1545" s="3456" t="s">
        <v>30</v>
      </c>
      <c r="V1545" s="3599"/>
      <c r="W1545" s="3522" t="s">
        <v>3337</v>
      </c>
      <c r="X1545" s="3522"/>
    </row>
    <row r="1546" spans="1:24" ht="28.5" hidden="1">
      <c r="A1546" s="3500" t="s">
        <v>105</v>
      </c>
      <c r="B1546" s="3463">
        <v>45911</v>
      </c>
      <c r="C1546" s="3689">
        <v>37</v>
      </c>
      <c r="D1546" s="4142">
        <v>993</v>
      </c>
      <c r="E1546" s="3443" t="s">
        <v>1598</v>
      </c>
      <c r="F1546" s="3443" t="s">
        <v>3308</v>
      </c>
      <c r="G1546" s="4076" t="s">
        <v>1206</v>
      </c>
      <c r="H1546" s="4076" t="s">
        <v>1206</v>
      </c>
      <c r="I1546" s="3857">
        <v>707</v>
      </c>
      <c r="J1546" s="3443" t="s">
        <v>94</v>
      </c>
      <c r="K1546" s="4052"/>
      <c r="L1546" s="3534" t="s">
        <v>30</v>
      </c>
      <c r="M1546" s="3443"/>
      <c r="N1546" s="3443"/>
      <c r="O1546" s="3443"/>
      <c r="P1546" s="3443"/>
      <c r="Q1546" s="3443"/>
      <c r="R1546" s="3534"/>
      <c r="S1546" s="3456"/>
      <c r="T1546" s="3456"/>
      <c r="U1546" s="3456"/>
      <c r="V1546" s="3599"/>
      <c r="W1546" s="3522"/>
      <c r="X1546" s="3522"/>
    </row>
    <row r="1547" spans="1:24" ht="28.5" hidden="1">
      <c r="A1547" s="3500" t="s">
        <v>105</v>
      </c>
      <c r="B1547" s="3463">
        <v>45911</v>
      </c>
      <c r="C1547" s="3718">
        <v>37</v>
      </c>
      <c r="D1547" s="4142">
        <v>994</v>
      </c>
      <c r="E1547" s="3443" t="s">
        <v>169</v>
      </c>
      <c r="F1547" s="3443" t="s">
        <v>3338</v>
      </c>
      <c r="G1547" s="4076" t="s">
        <v>1206</v>
      </c>
      <c r="H1547" s="4704" t="s">
        <v>1206</v>
      </c>
      <c r="I1547" s="3857">
        <v>707</v>
      </c>
      <c r="J1547" s="3443" t="s">
        <v>3339</v>
      </c>
      <c r="K1547" s="4052"/>
      <c r="L1547" s="3534" t="s">
        <v>30</v>
      </c>
      <c r="M1547" s="3443"/>
      <c r="N1547" s="3443"/>
      <c r="O1547" s="3443"/>
      <c r="P1547" s="3443"/>
      <c r="Q1547" s="3443"/>
      <c r="R1547" s="3534"/>
      <c r="S1547" s="3456"/>
      <c r="T1547" s="3456"/>
      <c r="U1547" s="3456"/>
      <c r="V1547" s="3599"/>
      <c r="W1547" s="3522"/>
      <c r="X1547" s="3522"/>
    </row>
    <row r="1548" spans="1:24" ht="28.5" hidden="1">
      <c r="A1548" s="3500" t="s">
        <v>105</v>
      </c>
      <c r="B1548" s="3463">
        <v>45911</v>
      </c>
      <c r="C1548" s="3614">
        <v>37</v>
      </c>
      <c r="D1548" s="4142">
        <v>995</v>
      </c>
      <c r="E1548" s="3688" t="s">
        <v>1091</v>
      </c>
      <c r="F1548" s="3688" t="s">
        <v>2660</v>
      </c>
      <c r="G1548" s="3812" t="s">
        <v>1206</v>
      </c>
      <c r="H1548" s="3812" t="s">
        <v>1206</v>
      </c>
      <c r="I1548" s="3590">
        <v>707</v>
      </c>
      <c r="J1548" s="3443" t="s">
        <v>3340</v>
      </c>
      <c r="K1548" s="4052"/>
      <c r="L1548" s="3534" t="s">
        <v>30</v>
      </c>
      <c r="M1548" s="3443"/>
      <c r="N1548" s="3443"/>
      <c r="O1548" s="3443"/>
      <c r="P1548" s="3443"/>
      <c r="Q1548" s="3443"/>
      <c r="R1548" s="3534"/>
      <c r="S1548" s="3443"/>
      <c r="T1548" s="3443"/>
      <c r="U1548" s="3443"/>
      <c r="V1548" s="3531"/>
      <c r="W1548" s="3522"/>
      <c r="X1548" s="3522"/>
    </row>
    <row r="1549" spans="1:24" ht="28.5" hidden="1">
      <c r="A1549" s="3500" t="s">
        <v>105</v>
      </c>
      <c r="B1549" s="3463">
        <v>45911</v>
      </c>
      <c r="C1549" s="3689">
        <v>37</v>
      </c>
      <c r="D1549" s="4142"/>
      <c r="E1549" s="3688" t="s">
        <v>2662</v>
      </c>
      <c r="F1549" s="3688" t="s">
        <v>571</v>
      </c>
      <c r="G1549" s="3533" t="s">
        <v>1199</v>
      </c>
      <c r="H1549" s="3533" t="s">
        <v>1199</v>
      </c>
      <c r="I1549" s="3590">
        <v>707</v>
      </c>
      <c r="J1549" s="3443" t="s">
        <v>3340</v>
      </c>
      <c r="K1549" s="4052"/>
      <c r="L1549" s="3534" t="s">
        <v>30</v>
      </c>
      <c r="M1549" s="3443"/>
      <c r="N1549" s="3443"/>
      <c r="O1549" s="3443"/>
      <c r="P1549" s="3443"/>
      <c r="Q1549" s="3443"/>
      <c r="R1549" s="3534"/>
      <c r="S1549" s="3443"/>
      <c r="T1549" s="3443"/>
      <c r="U1549" s="3443"/>
      <c r="V1549" s="3531"/>
      <c r="W1549" s="3522"/>
      <c r="X1549" s="3522"/>
    </row>
    <row r="1550" spans="1:24" ht="28.5" hidden="1">
      <c r="A1550" s="3500" t="s">
        <v>105</v>
      </c>
      <c r="B1550" s="3463">
        <v>45911</v>
      </c>
      <c r="C1550" s="3689">
        <v>37</v>
      </c>
      <c r="D1550" s="4142">
        <v>996</v>
      </c>
      <c r="E1550" s="3689" t="s">
        <v>148</v>
      </c>
      <c r="F1550" s="3689" t="s">
        <v>517</v>
      </c>
      <c r="G1550" s="4076" t="s">
        <v>1206</v>
      </c>
      <c r="H1550" s="4704" t="s">
        <v>1206</v>
      </c>
      <c r="I1550" s="3857">
        <v>707</v>
      </c>
      <c r="J1550" s="3462" t="s">
        <v>151</v>
      </c>
      <c r="K1550" s="4053"/>
      <c r="L1550" s="3545" t="s">
        <v>30</v>
      </c>
      <c r="M1550" s="3462"/>
      <c r="N1550" s="3462"/>
      <c r="O1550" s="3462"/>
      <c r="P1550" s="3462"/>
      <c r="Q1550" s="3462"/>
      <c r="R1550" s="3545"/>
      <c r="S1550" s="3462"/>
      <c r="T1550" s="3462"/>
      <c r="U1550" s="3505" t="s">
        <v>30</v>
      </c>
      <c r="V1550" s="3602"/>
      <c r="W1550" s="3544"/>
      <c r="X1550" s="3544"/>
    </row>
    <row r="1551" spans="1:24" ht="28.5" hidden="1">
      <c r="A1551" s="3656" t="s">
        <v>105</v>
      </c>
      <c r="B1551" s="3657">
        <v>45911</v>
      </c>
      <c r="C1551" s="3689">
        <v>37</v>
      </c>
      <c r="D1551" s="4510">
        <v>997</v>
      </c>
      <c r="E1551" s="3708" t="s">
        <v>870</v>
      </c>
      <c r="F1551" s="3708" t="s">
        <v>204</v>
      </c>
      <c r="G1551" s="4089" t="s">
        <v>1206</v>
      </c>
      <c r="H1551" s="4089" t="s">
        <v>1206</v>
      </c>
      <c r="I1551" s="3704">
        <v>707</v>
      </c>
      <c r="J1551" s="3503" t="s">
        <v>151</v>
      </c>
      <c r="K1551" s="4727"/>
      <c r="L1551" s="3530" t="s">
        <v>30</v>
      </c>
      <c r="M1551" s="3503"/>
      <c r="N1551" s="3503"/>
      <c r="O1551" s="3503"/>
      <c r="P1551" s="3503"/>
      <c r="Q1551" s="3503"/>
      <c r="R1551" s="3530"/>
      <c r="S1551" s="3503"/>
      <c r="T1551" s="3503"/>
      <c r="U1551" s="3503" t="s">
        <v>30</v>
      </c>
      <c r="V1551" s="3503"/>
      <c r="W1551" s="3521"/>
      <c r="X1551" s="3521"/>
    </row>
    <row r="1552" spans="1:24" ht="28.5" hidden="1">
      <c r="A1552" s="3500" t="s">
        <v>105</v>
      </c>
      <c r="B1552" s="3463">
        <v>45911</v>
      </c>
      <c r="C1552" s="3718">
        <v>37</v>
      </c>
      <c r="D1552" s="4133">
        <v>998</v>
      </c>
      <c r="E1552" s="3616" t="s">
        <v>243</v>
      </c>
      <c r="F1552" s="3616" t="s">
        <v>68</v>
      </c>
      <c r="G1552" s="3811" t="s">
        <v>1199</v>
      </c>
      <c r="H1552" s="3811" t="s">
        <v>1199</v>
      </c>
      <c r="I1552" s="3590">
        <v>707</v>
      </c>
      <c r="J1552" s="3443" t="s">
        <v>2251</v>
      </c>
      <c r="K1552" s="4051" t="s">
        <v>29</v>
      </c>
      <c r="L1552" s="3605" t="s">
        <v>30</v>
      </c>
      <c r="M1552" s="3456"/>
      <c r="N1552" s="3456"/>
      <c r="O1552" s="3456"/>
      <c r="P1552" s="3456"/>
      <c r="Q1552" s="3456"/>
      <c r="R1552" s="3605"/>
      <c r="S1552" s="3456"/>
      <c r="T1552" s="3456"/>
      <c r="U1552" s="3456"/>
      <c r="V1552" s="3456"/>
      <c r="W1552" s="3522"/>
      <c r="X1552" s="3522"/>
    </row>
    <row r="1553" spans="1:24" ht="28.5" hidden="1">
      <c r="A1553" s="3500" t="s">
        <v>132</v>
      </c>
      <c r="B1553" s="3463">
        <v>45912</v>
      </c>
      <c r="C1553" s="3614">
        <v>37</v>
      </c>
      <c r="D1553" s="4135">
        <v>999</v>
      </c>
      <c r="E1553" s="3695" t="s">
        <v>1571</v>
      </c>
      <c r="F1553" s="3695" t="s">
        <v>169</v>
      </c>
      <c r="G1553" s="3812" t="s">
        <v>1206</v>
      </c>
      <c r="H1553" s="4090" t="s">
        <v>1206</v>
      </c>
      <c r="I1553" s="3590">
        <v>712</v>
      </c>
      <c r="J1553" s="3443" t="s">
        <v>2974</v>
      </c>
      <c r="K1553" s="4075" t="s">
        <v>174</v>
      </c>
      <c r="L1553" s="3534" t="s">
        <v>30</v>
      </c>
      <c r="M1553" s="3443"/>
      <c r="N1553" s="3443"/>
      <c r="O1553" s="3443"/>
      <c r="P1553" s="3443"/>
      <c r="Q1553" s="3443"/>
      <c r="R1553" s="3534"/>
      <c r="S1553" s="3443"/>
      <c r="T1553" s="3443"/>
      <c r="U1553" s="3443"/>
      <c r="V1553" s="3531"/>
      <c r="W1553" s="3522"/>
      <c r="X1553" s="3522"/>
    </row>
    <row r="1554" spans="1:24" ht="28.5" hidden="1">
      <c r="A1554" s="3500" t="s">
        <v>132</v>
      </c>
      <c r="B1554" s="3463">
        <v>45912</v>
      </c>
      <c r="C1554" s="3689">
        <v>37</v>
      </c>
      <c r="D1554" s="4135"/>
      <c r="E1554" s="3695" t="s">
        <v>169</v>
      </c>
      <c r="F1554" s="3695" t="s">
        <v>1571</v>
      </c>
      <c r="G1554" s="3812" t="s">
        <v>1206</v>
      </c>
      <c r="H1554" s="3812" t="s">
        <v>1206</v>
      </c>
      <c r="I1554" s="3590">
        <v>712</v>
      </c>
      <c r="J1554" s="3443" t="s">
        <v>3267</v>
      </c>
      <c r="K1554" s="4075" t="s">
        <v>174</v>
      </c>
      <c r="L1554" s="3534" t="s">
        <v>30</v>
      </c>
      <c r="M1554" s="3443"/>
      <c r="N1554" s="3443"/>
      <c r="O1554" s="3443"/>
      <c r="P1554" s="3443"/>
      <c r="Q1554" s="3443"/>
      <c r="R1554" s="3534"/>
      <c r="S1554" s="3443"/>
      <c r="T1554" s="3443"/>
      <c r="U1554" s="3443"/>
      <c r="V1554" s="3531"/>
      <c r="W1554" s="3522"/>
      <c r="X1554" s="3522"/>
    </row>
    <row r="1555" spans="1:24" ht="28.5" hidden="1">
      <c r="A1555" s="3500" t="s">
        <v>132</v>
      </c>
      <c r="B1555" s="3463">
        <v>45912</v>
      </c>
      <c r="C1555" s="3689">
        <v>37</v>
      </c>
      <c r="D1555" s="4142">
        <v>1000</v>
      </c>
      <c r="E1555" s="3878" t="s">
        <v>1464</v>
      </c>
      <c r="F1555" s="3878" t="s">
        <v>3225</v>
      </c>
      <c r="G1555" s="4076" t="s">
        <v>1206</v>
      </c>
      <c r="H1555" s="4704" t="s">
        <v>1206</v>
      </c>
      <c r="I1555" s="3857">
        <v>701</v>
      </c>
      <c r="J1555" s="3443" t="s">
        <v>2705</v>
      </c>
      <c r="K1555" s="4052"/>
      <c r="L1555" s="3534" t="s">
        <v>30</v>
      </c>
      <c r="M1555" s="3443"/>
      <c r="N1555" s="3443"/>
      <c r="O1555" s="3443"/>
      <c r="P1555" s="3443"/>
      <c r="Q1555" s="3443"/>
      <c r="R1555" s="3534"/>
      <c r="S1555" s="3456"/>
      <c r="T1555" s="3456"/>
      <c r="U1555" s="4722"/>
      <c r="V1555" s="3602"/>
      <c r="W1555" s="3544"/>
      <c r="X1555" s="3544"/>
    </row>
    <row r="1556" spans="1:24" ht="28.5" hidden="1">
      <c r="A1556" s="3480" t="s">
        <v>132</v>
      </c>
      <c r="B1556" s="3444">
        <v>45912</v>
      </c>
      <c r="C1556" s="3689">
        <v>37</v>
      </c>
      <c r="D1556" s="4130"/>
      <c r="E1556" s="3878" t="s">
        <v>1465</v>
      </c>
      <c r="F1556" s="3878" t="s">
        <v>3228</v>
      </c>
      <c r="G1556" s="3812" t="s">
        <v>1206</v>
      </c>
      <c r="H1556" s="3812" t="s">
        <v>1206</v>
      </c>
      <c r="I1556" s="3443">
        <v>701</v>
      </c>
      <c r="J1556" s="3443" t="s">
        <v>2839</v>
      </c>
      <c r="K1556" s="2369"/>
      <c r="L1556" s="3443" t="s">
        <v>30</v>
      </c>
      <c r="M1556" s="3443"/>
      <c r="N1556" s="3443"/>
      <c r="O1556" s="3443"/>
      <c r="P1556" s="3443"/>
      <c r="Q1556" s="3443"/>
      <c r="R1556" s="3443"/>
      <c r="S1556" s="3443"/>
      <c r="T1556" s="3531"/>
      <c r="U1556" s="3443"/>
      <c r="V1556" s="3443"/>
      <c r="W1556" s="3507"/>
      <c r="X1556" s="3507"/>
    </row>
    <row r="1557" spans="1:24" ht="28.5" hidden="1">
      <c r="A1557" s="3480" t="s">
        <v>132</v>
      </c>
      <c r="B1557" s="3444">
        <v>45912</v>
      </c>
      <c r="C1557" s="3718">
        <v>37</v>
      </c>
      <c r="D1557" s="4142"/>
      <c r="E1557" s="3688" t="s">
        <v>537</v>
      </c>
      <c r="F1557" s="3688" t="s">
        <v>454</v>
      </c>
      <c r="G1557" s="3802" t="s">
        <v>1206</v>
      </c>
      <c r="H1557" s="4081" t="s">
        <v>1206</v>
      </c>
      <c r="I1557" s="3443">
        <v>707</v>
      </c>
      <c r="J1557" s="3443" t="s">
        <v>3341</v>
      </c>
      <c r="K1557" s="2369"/>
      <c r="L1557" s="3443" t="s">
        <v>30</v>
      </c>
      <c r="M1557" s="3443"/>
      <c r="N1557" s="3443"/>
      <c r="O1557" s="3443"/>
      <c r="P1557" s="3443"/>
      <c r="Q1557" s="3443"/>
      <c r="R1557" s="3443"/>
      <c r="S1557" s="3443"/>
      <c r="T1557" s="3443"/>
      <c r="U1557" s="190"/>
      <c r="V1557" s="3602"/>
      <c r="W1557" s="3637"/>
      <c r="X1557" s="3637"/>
    </row>
    <row r="1558" spans="1:24" ht="28.5" hidden="1">
      <c r="A1558" s="3500" t="s">
        <v>132</v>
      </c>
      <c r="B1558" s="3463">
        <v>45912</v>
      </c>
      <c r="C1558" s="3614">
        <v>37</v>
      </c>
      <c r="D1558" s="4135"/>
      <c r="E1558" s="3616" t="s">
        <v>68</v>
      </c>
      <c r="F1558" s="3616" t="s">
        <v>3342</v>
      </c>
      <c r="G1558" s="4076" t="s">
        <v>1206</v>
      </c>
      <c r="H1558" s="4090" t="s">
        <v>1206</v>
      </c>
      <c r="I1558" s="3590">
        <v>707</v>
      </c>
      <c r="J1558" s="3443" t="s">
        <v>2251</v>
      </c>
      <c r="K1558" s="4075" t="s">
        <v>29</v>
      </c>
      <c r="L1558" s="3534" t="s">
        <v>30</v>
      </c>
      <c r="M1558" s="3443"/>
      <c r="N1558" s="3443"/>
      <c r="O1558" s="3443"/>
      <c r="P1558" s="3443"/>
      <c r="Q1558" s="3443"/>
      <c r="R1558" s="3534"/>
      <c r="S1558" s="3443"/>
      <c r="T1558" s="3443"/>
      <c r="U1558" s="3443"/>
      <c r="V1558" s="3531"/>
      <c r="W1558" s="3522"/>
      <c r="X1558" s="3522"/>
    </row>
    <row r="1559" spans="1:24" ht="28.5" hidden="1">
      <c r="A1559" s="3500" t="s">
        <v>132</v>
      </c>
      <c r="B1559" s="3463">
        <v>45912</v>
      </c>
      <c r="C1559" s="3689">
        <v>37</v>
      </c>
      <c r="D1559" s="4142">
        <v>1001</v>
      </c>
      <c r="E1559" s="3614" t="s">
        <v>80</v>
      </c>
      <c r="F1559" s="3614" t="s">
        <v>840</v>
      </c>
      <c r="G1559" s="3812" t="s">
        <v>1206</v>
      </c>
      <c r="H1559" s="4091" t="s">
        <v>1206</v>
      </c>
      <c r="I1559" s="3590">
        <v>707</v>
      </c>
      <c r="J1559" s="3443">
        <v>60093</v>
      </c>
      <c r="K1559" s="3981"/>
      <c r="L1559" s="3534" t="s">
        <v>30</v>
      </c>
      <c r="M1559" s="3443"/>
      <c r="N1559" s="3443"/>
      <c r="O1559" s="3443"/>
      <c r="P1559" s="3443"/>
      <c r="Q1559" s="3443"/>
      <c r="R1559" s="3534"/>
      <c r="S1559" s="3443"/>
      <c r="T1559" s="3443"/>
      <c r="U1559" s="3443"/>
      <c r="V1559" s="3531"/>
      <c r="W1559" s="3522"/>
      <c r="X1559" s="3522"/>
    </row>
    <row r="1560" spans="1:24" ht="28.5" hidden="1">
      <c r="A1560" s="3500" t="s">
        <v>132</v>
      </c>
      <c r="B1560" s="3463">
        <v>45912</v>
      </c>
      <c r="C1560" s="3689">
        <v>37</v>
      </c>
      <c r="D1560" s="4142">
        <v>1001</v>
      </c>
      <c r="E1560" s="3614" t="s">
        <v>939</v>
      </c>
      <c r="F1560" s="3614" t="s">
        <v>3031</v>
      </c>
      <c r="G1560" s="3772" t="s">
        <v>1206</v>
      </c>
      <c r="H1560" s="3772" t="s">
        <v>1206</v>
      </c>
      <c r="I1560" s="3590">
        <v>707</v>
      </c>
      <c r="J1560" s="3443" t="s">
        <v>1485</v>
      </c>
      <c r="K1560" s="4055"/>
      <c r="L1560" s="3605" t="s">
        <v>30</v>
      </c>
      <c r="M1560" s="3456"/>
      <c r="N1560" s="3456"/>
      <c r="O1560" s="3456"/>
      <c r="P1560" s="3456"/>
      <c r="Q1560" s="3456"/>
      <c r="R1560" s="3605"/>
      <c r="S1560" s="3456"/>
      <c r="T1560" s="3456"/>
      <c r="U1560" s="3456"/>
      <c r="V1560" s="3456"/>
      <c r="W1560" s="3522"/>
      <c r="X1560" s="3522"/>
    </row>
    <row r="1561" spans="1:24" ht="29.25" hidden="1" thickBot="1">
      <c r="A1561" s="3494" t="s">
        <v>132</v>
      </c>
      <c r="B1561" s="3448">
        <v>45912</v>
      </c>
      <c r="C1561" s="3689">
        <v>37</v>
      </c>
      <c r="D1561" s="4144">
        <v>1001</v>
      </c>
      <c r="E1561" s="4530" t="s">
        <v>2744</v>
      </c>
      <c r="F1561" s="4530" t="s">
        <v>148</v>
      </c>
      <c r="G1561" s="4898" t="s">
        <v>1206</v>
      </c>
      <c r="H1561" s="4094" t="s">
        <v>1206</v>
      </c>
      <c r="I1561" s="3593"/>
      <c r="J1561" s="3447" t="s">
        <v>3343</v>
      </c>
      <c r="K1561" s="4060" t="s">
        <v>29</v>
      </c>
      <c r="L1561" s="3494" t="s">
        <v>30</v>
      </c>
      <c r="M1561" s="3546"/>
      <c r="N1561" s="3447"/>
      <c r="O1561" s="3447"/>
      <c r="P1561" s="3447"/>
      <c r="Q1561" s="3447"/>
      <c r="R1561" s="3546"/>
      <c r="S1561" s="3447"/>
      <c r="T1561" s="3447"/>
      <c r="U1561" s="3447"/>
      <c r="V1561" s="3586"/>
      <c r="W1561" s="3547"/>
      <c r="X1561" s="3547"/>
    </row>
    <row r="1562" spans="1:24" ht="29.25" hidden="1" thickBot="1">
      <c r="A1562" s="3481" t="s">
        <v>132</v>
      </c>
      <c r="B1562" s="3451">
        <v>45912</v>
      </c>
      <c r="C1562" s="3760">
        <v>37</v>
      </c>
      <c r="D1562" s="4143">
        <v>1002</v>
      </c>
      <c r="E1562" s="4833" t="s">
        <v>169</v>
      </c>
      <c r="F1562" s="4833" t="s">
        <v>1571</v>
      </c>
      <c r="G1562" s="4899" t="s">
        <v>1206</v>
      </c>
      <c r="H1562" s="4921" t="s">
        <v>1206</v>
      </c>
      <c r="I1562" s="4063">
        <v>707</v>
      </c>
      <c r="J1562" s="3508" t="s">
        <v>922</v>
      </c>
      <c r="K1562" s="4936"/>
      <c r="L1562" s="3606" t="s">
        <v>30</v>
      </c>
      <c r="M1562" s="3508"/>
      <c r="N1562" s="3508"/>
      <c r="O1562" s="3508"/>
      <c r="P1562" s="3508"/>
      <c r="Q1562" s="3508" t="s">
        <v>30</v>
      </c>
      <c r="R1562" s="3606"/>
      <c r="S1562" s="3508"/>
      <c r="T1562" s="3508" t="s">
        <v>37</v>
      </c>
      <c r="U1562" s="3508"/>
      <c r="V1562" s="3601"/>
      <c r="W1562" s="3733" t="s">
        <v>3344</v>
      </c>
      <c r="X1562" s="3733"/>
    </row>
    <row r="1563" spans="1:24" ht="28.5" hidden="1">
      <c r="A1563" s="3531" t="s">
        <v>132</v>
      </c>
      <c r="B1563" s="3444">
        <v>45912</v>
      </c>
      <c r="C1563" s="3614">
        <v>37</v>
      </c>
      <c r="D1563" s="3511">
        <v>1003</v>
      </c>
      <c r="E1563" s="3815" t="s">
        <v>243</v>
      </c>
      <c r="F1563" s="3815" t="s">
        <v>79</v>
      </c>
      <c r="G1563" s="3811" t="s">
        <v>1206</v>
      </c>
      <c r="H1563" s="4093" t="s">
        <v>1206</v>
      </c>
      <c r="I1563" s="3443">
        <v>707</v>
      </c>
      <c r="J1563" s="3443" t="s">
        <v>3345</v>
      </c>
      <c r="K1563" s="3511" t="s">
        <v>3346</v>
      </c>
      <c r="L1563" s="3443" t="s">
        <v>30</v>
      </c>
      <c r="M1563" s="3443"/>
      <c r="N1563" s="3443"/>
      <c r="O1563" s="3443"/>
      <c r="P1563" s="3443"/>
      <c r="Q1563" s="3443"/>
      <c r="R1563" s="3443"/>
      <c r="S1563" s="3443"/>
      <c r="T1563" s="3443"/>
      <c r="U1563" s="3443"/>
      <c r="V1563" s="3443"/>
      <c r="W1563" s="3507"/>
      <c r="X1563" s="3892"/>
    </row>
    <row r="1564" spans="1:24" ht="28.5" hidden="1">
      <c r="A1564" s="3531" t="s">
        <v>143</v>
      </c>
      <c r="B1564" s="3444">
        <v>45913</v>
      </c>
      <c r="C1564" s="3614">
        <v>37</v>
      </c>
      <c r="D1564" s="3511">
        <v>1004</v>
      </c>
      <c r="E1564" s="3614" t="s">
        <v>48</v>
      </c>
      <c r="F1564" s="3614" t="s">
        <v>168</v>
      </c>
      <c r="G1564" s="4093" t="s">
        <v>1206</v>
      </c>
      <c r="H1564" s="4093" t="s">
        <v>1206</v>
      </c>
      <c r="I1564" s="3443">
        <v>705</v>
      </c>
      <c r="J1564" s="3443" t="s">
        <v>3347</v>
      </c>
      <c r="K1564" s="3511" t="s">
        <v>174</v>
      </c>
      <c r="L1564" s="3443" t="s">
        <v>30</v>
      </c>
      <c r="M1564" s="3443"/>
      <c r="N1564" s="3443"/>
      <c r="O1564" s="3443"/>
      <c r="P1564" s="3443"/>
      <c r="Q1564" s="3443"/>
      <c r="R1564" s="3443"/>
      <c r="S1564" s="3443"/>
      <c r="T1564" s="3443"/>
      <c r="U1564" s="3443" t="s">
        <v>30</v>
      </c>
      <c r="V1564" s="3443"/>
      <c r="W1564" s="3507"/>
      <c r="X1564" s="3892"/>
    </row>
    <row r="1565" spans="1:24" ht="28.5" hidden="1">
      <c r="A1565" s="3443" t="s">
        <v>25</v>
      </c>
      <c r="B1565" s="3444">
        <v>45915</v>
      </c>
      <c r="C1565" s="3614">
        <v>38</v>
      </c>
      <c r="D1565" s="4130">
        <v>1005</v>
      </c>
      <c r="E1565" s="3878" t="s">
        <v>1464</v>
      </c>
      <c r="F1565" s="3878" t="s">
        <v>3225</v>
      </c>
      <c r="G1565" s="3811" t="s">
        <v>3348</v>
      </c>
      <c r="H1565" s="3772" t="s">
        <v>1206</v>
      </c>
      <c r="I1565" s="3443">
        <v>701</v>
      </c>
      <c r="J1565" s="3443" t="s">
        <v>2705</v>
      </c>
      <c r="K1565" s="2369"/>
      <c r="L1565" s="3443" t="s">
        <v>37</v>
      </c>
      <c r="M1565" s="3443"/>
      <c r="N1565" s="3443"/>
      <c r="O1565" s="3443"/>
      <c r="P1565" s="3443"/>
      <c r="Q1565" s="3443"/>
      <c r="R1565" s="3443"/>
      <c r="S1565" s="3443"/>
      <c r="T1565" s="3443"/>
      <c r="U1565" s="3443"/>
      <c r="V1565" s="3443"/>
      <c r="W1565" s="3443"/>
      <c r="X1565" s="3895"/>
    </row>
    <row r="1566" spans="1:24" ht="28.5" hidden="1">
      <c r="A1566" s="3443" t="s">
        <v>25</v>
      </c>
      <c r="B1566" s="3444">
        <v>45915</v>
      </c>
      <c r="C1566" s="3614">
        <v>38</v>
      </c>
      <c r="D1566" s="4130"/>
      <c r="E1566" s="3878" t="s">
        <v>1465</v>
      </c>
      <c r="F1566" s="3878" t="s">
        <v>3228</v>
      </c>
      <c r="G1566" s="3811" t="s">
        <v>1199</v>
      </c>
      <c r="H1566" s="3772" t="s">
        <v>1206</v>
      </c>
      <c r="I1566" s="3443">
        <v>701</v>
      </c>
      <c r="J1566" s="3443" t="s">
        <v>2839</v>
      </c>
      <c r="K1566" s="2369"/>
      <c r="L1566" s="3443" t="s">
        <v>37</v>
      </c>
      <c r="M1566" s="3443"/>
      <c r="N1566" s="3443"/>
      <c r="O1566" s="3443"/>
      <c r="P1566" s="3443"/>
      <c r="Q1566" s="3443"/>
      <c r="R1566" s="3443"/>
      <c r="S1566" s="3443"/>
      <c r="T1566" s="3443"/>
      <c r="U1566" s="3443"/>
      <c r="V1566" s="3443"/>
      <c r="W1566" s="3443"/>
      <c r="X1566" s="3895"/>
    </row>
    <row r="1567" spans="1:24" ht="28.5" hidden="1">
      <c r="A1567" s="3443" t="s">
        <v>25</v>
      </c>
      <c r="B1567" s="3444">
        <v>45915</v>
      </c>
      <c r="C1567" s="3614">
        <v>38</v>
      </c>
      <c r="D1567" s="4142">
        <v>1006</v>
      </c>
      <c r="E1567" s="3443" t="s">
        <v>3308</v>
      </c>
      <c r="F1567" s="3443" t="s">
        <v>1484</v>
      </c>
      <c r="G1567" s="3811" t="s">
        <v>1199</v>
      </c>
      <c r="H1567" s="4041" t="s">
        <v>1206</v>
      </c>
      <c r="I1567" s="3443">
        <v>707</v>
      </c>
      <c r="J1567" s="3443" t="s">
        <v>94</v>
      </c>
      <c r="K1567" s="4055"/>
      <c r="L1567" s="3443" t="s">
        <v>37</v>
      </c>
      <c r="M1567" s="3443"/>
      <c r="N1567" s="3443"/>
      <c r="O1567" s="3443"/>
      <c r="P1567" s="3443"/>
      <c r="Q1567" s="3443"/>
      <c r="R1567" s="3443"/>
      <c r="S1567" s="3443"/>
      <c r="T1567" s="3443"/>
      <c r="U1567" s="3443"/>
      <c r="V1567" s="3443"/>
      <c r="W1567" s="3443"/>
      <c r="X1567" s="3895"/>
    </row>
    <row r="1568" spans="1:24" ht="28.5" hidden="1">
      <c r="A1568" s="3443" t="s">
        <v>25</v>
      </c>
      <c r="B1568" s="3444">
        <v>45915</v>
      </c>
      <c r="C1568" s="3614">
        <v>38</v>
      </c>
      <c r="D1568" s="4142">
        <v>1007</v>
      </c>
      <c r="E1568" s="3443" t="s">
        <v>273</v>
      </c>
      <c r="F1568" s="3443" t="s">
        <v>3349</v>
      </c>
      <c r="G1568" s="3811" t="s">
        <v>1199</v>
      </c>
      <c r="H1568" s="4041" t="s">
        <v>1206</v>
      </c>
      <c r="I1568" s="3443">
        <v>707</v>
      </c>
      <c r="J1568" s="3443" t="s">
        <v>107</v>
      </c>
      <c r="K1568" s="4055"/>
      <c r="L1568" s="3443" t="s">
        <v>37</v>
      </c>
      <c r="M1568" s="3443"/>
      <c r="N1568" s="3443"/>
      <c r="O1568" s="3443"/>
      <c r="P1568" s="3443"/>
      <c r="Q1568" s="3443"/>
      <c r="R1568" s="3443"/>
      <c r="S1568" s="3443"/>
      <c r="T1568" s="3443"/>
      <c r="U1568" s="3443"/>
      <c r="V1568" s="3443"/>
      <c r="W1568" s="3443"/>
      <c r="X1568" s="3895"/>
    </row>
    <row r="1569" spans="1:24" ht="28.5" hidden="1">
      <c r="A1569" s="3443" t="s">
        <v>25</v>
      </c>
      <c r="B1569" s="3444">
        <v>45915</v>
      </c>
      <c r="C1569" s="3614">
        <v>38</v>
      </c>
      <c r="D1569" s="4135">
        <v>1008</v>
      </c>
      <c r="E1569" s="3443" t="s">
        <v>79</v>
      </c>
      <c r="F1569" s="3443" t="s">
        <v>857</v>
      </c>
      <c r="G1569" s="3811" t="s">
        <v>1199</v>
      </c>
      <c r="H1569" s="4041" t="s">
        <v>1206</v>
      </c>
      <c r="I1569" s="3443">
        <v>707</v>
      </c>
      <c r="J1569" s="3443" t="s">
        <v>3345</v>
      </c>
      <c r="K1569" s="4051" t="s">
        <v>3346</v>
      </c>
      <c r="L1569" s="3443" t="s">
        <v>37</v>
      </c>
      <c r="M1569" s="3443"/>
      <c r="N1569" s="3443"/>
      <c r="O1569" s="3443"/>
      <c r="P1569" s="3443"/>
      <c r="Q1569" s="3443"/>
      <c r="R1569" s="3443"/>
      <c r="S1569" s="3443"/>
      <c r="T1569" s="3443"/>
      <c r="U1569" s="3443"/>
      <c r="V1569" s="3443"/>
      <c r="W1569" s="3443"/>
      <c r="X1569" s="3895"/>
    </row>
    <row r="1570" spans="1:24" ht="28.5" hidden="1">
      <c r="A1570" s="3443" t="s">
        <v>25</v>
      </c>
      <c r="B1570" s="3444">
        <v>45915</v>
      </c>
      <c r="C1570" s="3614">
        <v>38</v>
      </c>
      <c r="D1570" s="3511">
        <v>1009</v>
      </c>
      <c r="E1570" s="3614" t="s">
        <v>48</v>
      </c>
      <c r="F1570" s="3614" t="s">
        <v>168</v>
      </c>
      <c r="G1570" s="3811" t="s">
        <v>1206</v>
      </c>
      <c r="H1570" s="4041" t="s">
        <v>1206</v>
      </c>
      <c r="I1570" s="3443">
        <v>705</v>
      </c>
      <c r="J1570" s="3443" t="s">
        <v>3350</v>
      </c>
      <c r="K1570" s="3511" t="s">
        <v>174</v>
      </c>
      <c r="L1570" s="3443" t="s">
        <v>37</v>
      </c>
      <c r="M1570" s="3443"/>
      <c r="N1570" s="3443"/>
      <c r="O1570" s="3443"/>
      <c r="P1570" s="3443"/>
      <c r="Q1570" s="3443"/>
      <c r="R1570" s="3443"/>
      <c r="S1570" s="3443"/>
      <c r="T1570" s="3443"/>
      <c r="U1570" s="3443"/>
      <c r="V1570" s="3443"/>
      <c r="W1570" s="3443"/>
      <c r="X1570" s="3895"/>
    </row>
    <row r="1571" spans="1:24" ht="28.5" hidden="1">
      <c r="A1571" s="3443" t="s">
        <v>25</v>
      </c>
      <c r="B1571" s="3444">
        <v>45915</v>
      </c>
      <c r="C1571" s="3614">
        <v>38</v>
      </c>
      <c r="D1571" s="3511">
        <v>1010</v>
      </c>
      <c r="E1571" s="3618" t="s">
        <v>97</v>
      </c>
      <c r="F1571" s="3618" t="s">
        <v>3351</v>
      </c>
      <c r="G1571" s="3772" t="s">
        <v>1206</v>
      </c>
      <c r="H1571" s="4081" t="s">
        <v>1199</v>
      </c>
      <c r="I1571" s="3443">
        <v>712</v>
      </c>
      <c r="J1571" s="3443" t="s">
        <v>3352</v>
      </c>
      <c r="K1571" s="3511" t="s">
        <v>84</v>
      </c>
      <c r="L1571" s="3443" t="s">
        <v>37</v>
      </c>
      <c r="M1571" s="3443"/>
      <c r="N1571" s="3443"/>
      <c r="O1571" s="3443"/>
      <c r="P1571" s="3443"/>
      <c r="Q1571" s="3443"/>
      <c r="R1571" s="3443"/>
      <c r="S1571" s="3443"/>
      <c r="T1571" s="3443"/>
      <c r="U1571" s="3443"/>
      <c r="V1571" s="3443"/>
      <c r="W1571" s="3443"/>
      <c r="X1571" s="3895"/>
    </row>
    <row r="1572" spans="1:24" ht="28.5" hidden="1">
      <c r="A1572" s="3443" t="s">
        <v>25</v>
      </c>
      <c r="B1572" s="3444">
        <v>45915</v>
      </c>
      <c r="C1572" s="3614">
        <v>38</v>
      </c>
      <c r="D1572" s="4142">
        <v>1011</v>
      </c>
      <c r="E1572" s="3615" t="s">
        <v>48</v>
      </c>
      <c r="F1572" s="3615" t="s">
        <v>850</v>
      </c>
      <c r="G1572" s="3802" t="s">
        <v>1199</v>
      </c>
      <c r="H1572" s="4081" t="s">
        <v>1199</v>
      </c>
      <c r="I1572" s="3443">
        <v>705</v>
      </c>
      <c r="J1572" s="3443" t="s">
        <v>157</v>
      </c>
      <c r="K1572" s="2369"/>
      <c r="L1572" s="3443" t="s">
        <v>37</v>
      </c>
      <c r="M1572" s="3443"/>
      <c r="N1572" s="3443"/>
      <c r="O1572" s="3443"/>
      <c r="P1572" s="3443"/>
      <c r="Q1572" s="3443"/>
      <c r="R1572" s="3443"/>
      <c r="S1572" s="3443"/>
      <c r="T1572" s="3443"/>
      <c r="U1572" s="3443"/>
      <c r="V1572" s="3443"/>
      <c r="W1572" s="3443"/>
      <c r="X1572" s="3895"/>
    </row>
    <row r="1573" spans="1:24" ht="28.5" hidden="1">
      <c r="A1573" s="3443" t="s">
        <v>25</v>
      </c>
      <c r="B1573" s="3444">
        <v>45915</v>
      </c>
      <c r="C1573" s="3614">
        <v>38</v>
      </c>
      <c r="D1573" s="4142">
        <v>1012</v>
      </c>
      <c r="E1573" s="3443" t="s">
        <v>169</v>
      </c>
      <c r="F1573" s="3443" t="s">
        <v>3353</v>
      </c>
      <c r="G1573" s="3811" t="s">
        <v>1199</v>
      </c>
      <c r="H1573" s="4048" t="s">
        <v>1199</v>
      </c>
      <c r="I1573" s="3443">
        <v>712</v>
      </c>
      <c r="J1573" s="3443" t="s">
        <v>3354</v>
      </c>
      <c r="K1573" s="4055"/>
      <c r="L1573" s="3443" t="s">
        <v>37</v>
      </c>
      <c r="M1573" s="3443"/>
      <c r="N1573" s="3443"/>
      <c r="O1573" s="3443"/>
      <c r="P1573" s="3443"/>
      <c r="Q1573" s="3443"/>
      <c r="R1573" s="3443"/>
      <c r="S1573" s="3443"/>
      <c r="T1573" s="3443"/>
      <c r="U1573" s="3443"/>
      <c r="V1573" s="3443"/>
      <c r="W1573" s="3443"/>
      <c r="X1573" s="3895"/>
    </row>
    <row r="1574" spans="1:24" ht="28.5" hidden="1">
      <c r="A1574" s="3443" t="s">
        <v>25</v>
      </c>
      <c r="B1574" s="3444">
        <v>45915</v>
      </c>
      <c r="C1574" s="3614">
        <v>38</v>
      </c>
      <c r="D1574" s="4135">
        <v>1013</v>
      </c>
      <c r="E1574" s="3443" t="s">
        <v>148</v>
      </c>
      <c r="F1574" s="3443" t="s">
        <v>48</v>
      </c>
      <c r="G1574" s="3802" t="s">
        <v>1199</v>
      </c>
      <c r="H1574" s="4081" t="s">
        <v>1199</v>
      </c>
      <c r="I1574" s="3443">
        <v>705</v>
      </c>
      <c r="J1574" s="3443" t="s">
        <v>1706</v>
      </c>
      <c r="K1574" s="4055"/>
      <c r="L1574" s="3443" t="s">
        <v>37</v>
      </c>
      <c r="M1574" s="3443"/>
      <c r="N1574" s="3443"/>
      <c r="O1574" s="3443"/>
      <c r="P1574" s="3443"/>
      <c r="Q1574" s="3443"/>
      <c r="R1574" s="3443"/>
      <c r="S1574" s="3443"/>
      <c r="T1574" s="3443"/>
      <c r="U1574" s="3443"/>
      <c r="V1574" s="3443"/>
      <c r="W1574" s="3443"/>
      <c r="X1574" s="3895"/>
    </row>
    <row r="1575" spans="1:24" ht="29.25" hidden="1" thickBot="1">
      <c r="A1575" s="3447" t="s">
        <v>25</v>
      </c>
      <c r="B1575" s="3448">
        <v>45915</v>
      </c>
      <c r="C1575" s="3614">
        <v>38</v>
      </c>
      <c r="D1575" s="4144">
        <v>1014</v>
      </c>
      <c r="E1575" s="3447" t="s">
        <v>204</v>
      </c>
      <c r="F1575" s="3447" t="s">
        <v>98</v>
      </c>
      <c r="G1575" s="3885" t="s">
        <v>1199</v>
      </c>
      <c r="H1575" s="4047" t="s">
        <v>1199</v>
      </c>
      <c r="I1575" s="3447">
        <v>707</v>
      </c>
      <c r="J1575" s="3447" t="s">
        <v>151</v>
      </c>
      <c r="K1575" s="4051" t="s">
        <v>627</v>
      </c>
      <c r="L1575" s="3447" t="s">
        <v>37</v>
      </c>
      <c r="M1575" s="3447"/>
      <c r="N1575" s="3447"/>
      <c r="O1575" s="3447"/>
      <c r="P1575" s="3447"/>
      <c r="Q1575" s="3447"/>
      <c r="R1575" s="3447"/>
      <c r="S1575" s="3447"/>
      <c r="T1575" s="3447"/>
      <c r="U1575" s="3447"/>
      <c r="V1575" s="3447"/>
      <c r="W1575" s="3447"/>
      <c r="X1575" s="3893"/>
    </row>
    <row r="1576" spans="1:24" ht="28.5" hidden="1">
      <c r="A1576" s="3870" t="s">
        <v>25</v>
      </c>
      <c r="B1576" s="3457">
        <v>45915</v>
      </c>
      <c r="C1576" s="3614">
        <v>38</v>
      </c>
      <c r="D1576" s="4145">
        <v>1015</v>
      </c>
      <c r="E1576" s="4834" t="s">
        <v>48</v>
      </c>
      <c r="F1576" s="4834" t="s">
        <v>2276</v>
      </c>
      <c r="G1576" s="4676" t="s">
        <v>1206</v>
      </c>
      <c r="H1576" s="4703" t="s">
        <v>1206</v>
      </c>
      <c r="I1576" s="3456">
        <v>705</v>
      </c>
      <c r="J1576" s="3456" t="s">
        <v>3355</v>
      </c>
      <c r="K1576" s="3673" t="s">
        <v>3270</v>
      </c>
      <c r="L1576" s="3456" t="s">
        <v>37</v>
      </c>
      <c r="M1576" s="3456"/>
      <c r="N1576" s="3456"/>
      <c r="O1576" s="3456"/>
      <c r="P1576" s="3456"/>
      <c r="Q1576" s="3456"/>
      <c r="R1576" s="3456"/>
      <c r="S1576" s="3456"/>
      <c r="T1576" s="3456"/>
      <c r="U1576" s="3456"/>
      <c r="V1576" s="3456"/>
      <c r="W1576" s="3456"/>
      <c r="X1576" s="3895"/>
    </row>
    <row r="1577" spans="1:24" ht="28.5" hidden="1">
      <c r="A1577" s="3857" t="s">
        <v>25</v>
      </c>
      <c r="B1577" s="3444">
        <v>45915</v>
      </c>
      <c r="C1577" s="3614">
        <v>38</v>
      </c>
      <c r="D1577" s="4135"/>
      <c r="E1577" s="3539" t="s">
        <v>339</v>
      </c>
      <c r="F1577" s="3539" t="s">
        <v>142</v>
      </c>
      <c r="G1577" s="4049" t="s">
        <v>1206</v>
      </c>
      <c r="H1577" s="4049" t="s">
        <v>1206</v>
      </c>
      <c r="I1577" s="3443">
        <v>705</v>
      </c>
      <c r="J1577" s="3443" t="s">
        <v>2124</v>
      </c>
      <c r="K1577" s="3511" t="s">
        <v>3270</v>
      </c>
      <c r="L1577" s="3443" t="s">
        <v>37</v>
      </c>
      <c r="M1577" s="3443"/>
      <c r="N1577" s="3443"/>
      <c r="O1577" s="3443"/>
      <c r="P1577" s="3443"/>
      <c r="Q1577" s="3443"/>
      <c r="R1577" s="3443"/>
      <c r="S1577" s="3443"/>
      <c r="T1577" s="3443"/>
      <c r="U1577" s="3443"/>
      <c r="V1577" s="3443"/>
      <c r="W1577" s="3443"/>
      <c r="X1577" s="3892"/>
    </row>
    <row r="1578" spans="1:24" ht="28.5" hidden="1">
      <c r="A1578" s="3857" t="s">
        <v>67</v>
      </c>
      <c r="B1578" s="3444">
        <v>45915</v>
      </c>
      <c r="C1578" s="3614">
        <v>38</v>
      </c>
      <c r="D1578" s="3511"/>
      <c r="E1578" s="3618" t="s">
        <v>204</v>
      </c>
      <c r="F1578" s="3618" t="s">
        <v>2106</v>
      </c>
      <c r="G1578" s="3802" t="s">
        <v>1206</v>
      </c>
      <c r="H1578" s="4081" t="s">
        <v>1206</v>
      </c>
      <c r="I1578" s="3443">
        <v>712</v>
      </c>
      <c r="J1578" s="3443" t="s">
        <v>3356</v>
      </c>
      <c r="K1578" s="3511" t="s">
        <v>84</v>
      </c>
      <c r="L1578" s="3443" t="s">
        <v>37</v>
      </c>
      <c r="M1578" s="3443"/>
      <c r="N1578" s="3443"/>
      <c r="O1578" s="3443"/>
      <c r="P1578" s="3443"/>
      <c r="Q1578" s="3443"/>
      <c r="R1578" s="3443"/>
      <c r="S1578" s="3443"/>
      <c r="T1578" s="3443"/>
      <c r="U1578" s="3443"/>
      <c r="V1578" s="3443"/>
      <c r="W1578" s="3443"/>
      <c r="X1578" s="3892"/>
    </row>
    <row r="1579" spans="1:24" ht="28.5" hidden="1">
      <c r="A1579" s="3857" t="s">
        <v>67</v>
      </c>
      <c r="B1579" s="3444">
        <v>45915</v>
      </c>
      <c r="C1579" s="3614">
        <v>38</v>
      </c>
      <c r="D1579" s="3511"/>
      <c r="E1579" s="3618" t="s">
        <v>89</v>
      </c>
      <c r="F1579" s="3618" t="s">
        <v>3357</v>
      </c>
      <c r="G1579" s="3802" t="s">
        <v>1206</v>
      </c>
      <c r="H1579" s="4081" t="s">
        <v>1206</v>
      </c>
      <c r="I1579" s="3443">
        <v>712</v>
      </c>
      <c r="J1579" s="3443" t="s">
        <v>3356</v>
      </c>
      <c r="K1579" s="3511" t="s">
        <v>84</v>
      </c>
      <c r="L1579" s="3443" t="s">
        <v>37</v>
      </c>
      <c r="M1579" s="3443"/>
      <c r="N1579" s="3443"/>
      <c r="O1579" s="3443"/>
      <c r="P1579" s="3443"/>
      <c r="Q1579" s="3443"/>
      <c r="R1579" s="3443"/>
      <c r="S1579" s="3443"/>
      <c r="T1579" s="3443"/>
      <c r="U1579" s="3443"/>
      <c r="V1579" s="3443"/>
      <c r="W1579" s="3443"/>
      <c r="X1579" s="3892"/>
    </row>
    <row r="1580" spans="1:24" ht="28.5" hidden="1">
      <c r="A1580" s="3857" t="s">
        <v>67</v>
      </c>
      <c r="B1580" s="3444">
        <v>45916</v>
      </c>
      <c r="C1580" s="3614">
        <v>38</v>
      </c>
      <c r="D1580" s="4135">
        <v>1016</v>
      </c>
      <c r="E1580" s="3695" t="s">
        <v>169</v>
      </c>
      <c r="F1580" s="3695" t="s">
        <v>1571</v>
      </c>
      <c r="G1580" s="4675" t="s">
        <v>1206</v>
      </c>
      <c r="H1580" s="4675" t="s">
        <v>1206</v>
      </c>
      <c r="I1580" s="3443">
        <v>712</v>
      </c>
      <c r="J1580" s="3443" t="s">
        <v>2974</v>
      </c>
      <c r="K1580" s="4051" t="s">
        <v>174</v>
      </c>
      <c r="L1580" s="3443" t="s">
        <v>37</v>
      </c>
      <c r="M1580" s="3443"/>
      <c r="N1580" s="3443"/>
      <c r="O1580" s="3443"/>
      <c r="P1580" s="3443"/>
      <c r="Q1580" s="3443"/>
      <c r="R1580" s="3443"/>
      <c r="S1580" s="3443"/>
      <c r="T1580" s="3443"/>
      <c r="U1580" s="3443"/>
      <c r="V1580" s="3443"/>
      <c r="W1580" s="3443"/>
      <c r="X1580" s="3895"/>
    </row>
    <row r="1581" spans="1:24" ht="28.5" hidden="1">
      <c r="A1581" s="3857" t="s">
        <v>67</v>
      </c>
      <c r="B1581" s="3444">
        <v>45916</v>
      </c>
      <c r="C1581" s="3614">
        <v>38</v>
      </c>
      <c r="D1581" s="4135"/>
      <c r="E1581" s="3695" t="s">
        <v>1571</v>
      </c>
      <c r="F1581" s="3695" t="s">
        <v>169</v>
      </c>
      <c r="G1581" s="4675" t="s">
        <v>1206</v>
      </c>
      <c r="H1581" s="4675" t="s">
        <v>1206</v>
      </c>
      <c r="I1581" s="3443">
        <v>712</v>
      </c>
      <c r="J1581" s="3443" t="s">
        <v>3267</v>
      </c>
      <c r="K1581" s="4051" t="s">
        <v>174</v>
      </c>
      <c r="L1581" s="3443" t="s">
        <v>37</v>
      </c>
      <c r="M1581" s="3443"/>
      <c r="N1581" s="3443"/>
      <c r="O1581" s="3443"/>
      <c r="P1581" s="3443"/>
      <c r="Q1581" s="3443"/>
      <c r="R1581" s="3443"/>
      <c r="S1581" s="3443"/>
      <c r="T1581" s="3443"/>
      <c r="U1581" s="3443"/>
      <c r="V1581" s="3443"/>
      <c r="W1581" s="3443"/>
      <c r="X1581" s="3895"/>
    </row>
    <row r="1582" spans="1:24" ht="28.5" hidden="1">
      <c r="A1582" s="3857" t="s">
        <v>67</v>
      </c>
      <c r="B1582" s="3444">
        <v>45916</v>
      </c>
      <c r="C1582" s="3614">
        <v>38</v>
      </c>
      <c r="D1582" s="4130">
        <v>1017</v>
      </c>
      <c r="E1582" s="3878" t="s">
        <v>1464</v>
      </c>
      <c r="F1582" s="3878" t="s">
        <v>3225</v>
      </c>
      <c r="G1582" s="3811" t="s">
        <v>1199</v>
      </c>
      <c r="H1582" s="4081" t="s">
        <v>1199</v>
      </c>
      <c r="I1582" s="3443">
        <v>701</v>
      </c>
      <c r="J1582" s="3443" t="s">
        <v>2705</v>
      </c>
      <c r="K1582" s="2369"/>
      <c r="L1582" s="3443" t="s">
        <v>3358</v>
      </c>
      <c r="M1582" s="3443"/>
      <c r="N1582" s="3443"/>
      <c r="O1582" s="3443"/>
      <c r="P1582" s="3443"/>
      <c r="Q1582" s="3443"/>
      <c r="R1582" s="3443"/>
      <c r="S1582" s="3443"/>
      <c r="T1582" s="3443"/>
      <c r="U1582" s="3443"/>
      <c r="V1582" s="3443"/>
      <c r="W1582" s="3443"/>
      <c r="X1582" s="3895"/>
    </row>
    <row r="1583" spans="1:24" ht="28.5" hidden="1">
      <c r="A1583" s="3857" t="s">
        <v>67</v>
      </c>
      <c r="B1583" s="3444">
        <v>45916</v>
      </c>
      <c r="C1583" s="3614">
        <v>38</v>
      </c>
      <c r="D1583" s="4130"/>
      <c r="E1583" s="3937" t="s">
        <v>1465</v>
      </c>
      <c r="F1583" s="3937" t="s">
        <v>3228</v>
      </c>
      <c r="G1583" s="3808" t="s">
        <v>1199</v>
      </c>
      <c r="H1583" s="4096" t="s">
        <v>1199</v>
      </c>
      <c r="I1583" s="3462">
        <v>701</v>
      </c>
      <c r="J1583" s="3462" t="s">
        <v>2839</v>
      </c>
      <c r="K1583" s="2371"/>
      <c r="L1583" s="3462" t="s">
        <v>37</v>
      </c>
      <c r="M1583" s="3462"/>
      <c r="N1583" s="3462"/>
      <c r="O1583" s="3462"/>
      <c r="P1583" s="3462"/>
      <c r="Q1583" s="3462"/>
      <c r="R1583" s="3462"/>
      <c r="S1583" s="3462"/>
      <c r="T1583" s="3462"/>
      <c r="U1583" s="3462"/>
      <c r="V1583" s="3462"/>
      <c r="W1583" s="3462"/>
      <c r="X1583" s="3902"/>
    </row>
    <row r="1584" spans="1:24" ht="29.25" hidden="1" thickBot="1">
      <c r="A1584" s="3494" t="s">
        <v>67</v>
      </c>
      <c r="B1584" s="3448">
        <v>45916</v>
      </c>
      <c r="C1584" s="3614">
        <v>38</v>
      </c>
      <c r="D1584" s="4130"/>
      <c r="E1584" s="4835" t="s">
        <v>68</v>
      </c>
      <c r="F1584" s="4835" t="s">
        <v>3359</v>
      </c>
      <c r="G1584" s="3771" t="s">
        <v>1206</v>
      </c>
      <c r="H1584" s="3771" t="s">
        <v>1206</v>
      </c>
      <c r="I1584" s="3447">
        <v>705</v>
      </c>
      <c r="J1584" s="3447" t="s">
        <v>157</v>
      </c>
      <c r="K1584" s="3875"/>
      <c r="L1584" s="3447" t="s">
        <v>37</v>
      </c>
      <c r="M1584" s="3447"/>
      <c r="N1584" s="3447"/>
      <c r="O1584" s="3447"/>
      <c r="P1584" s="3447"/>
      <c r="Q1584" s="3447"/>
      <c r="R1584" s="3447"/>
      <c r="S1584" s="3447"/>
      <c r="T1584" s="3447"/>
      <c r="U1584" s="3447"/>
      <c r="V1584" s="3447"/>
      <c r="W1584" s="3447"/>
      <c r="X1584" s="3547"/>
    </row>
    <row r="1585" spans="1:24" ht="28.5" hidden="1">
      <c r="A1585" s="3870" t="s">
        <v>67</v>
      </c>
      <c r="B1585" s="3457">
        <v>45916</v>
      </c>
      <c r="C1585" s="3614">
        <v>38</v>
      </c>
      <c r="D1585" s="4509">
        <v>1018</v>
      </c>
      <c r="E1585" s="3456" t="s">
        <v>258</v>
      </c>
      <c r="F1585" s="3456" t="s">
        <v>48</v>
      </c>
      <c r="G1585" s="3826" t="s">
        <v>1206</v>
      </c>
      <c r="H1585" s="4698" t="s">
        <v>1199</v>
      </c>
      <c r="I1585" s="3456">
        <v>705</v>
      </c>
      <c r="J1585" s="3456" t="s">
        <v>522</v>
      </c>
      <c r="K1585" s="3873"/>
      <c r="L1585" s="3456" t="s">
        <v>37</v>
      </c>
      <c r="M1585" s="3456"/>
      <c r="N1585" s="3456"/>
      <c r="O1585" s="3456"/>
      <c r="P1585" s="3456"/>
      <c r="Q1585" s="3456"/>
      <c r="R1585" s="3456"/>
      <c r="S1585" s="3456"/>
      <c r="T1585" s="3456"/>
      <c r="U1585" s="3456"/>
      <c r="V1585" s="3456"/>
      <c r="W1585" s="3456"/>
      <c r="X1585" s="3895"/>
    </row>
    <row r="1586" spans="1:24" ht="28.5" hidden="1">
      <c r="A1586" s="3857" t="s">
        <v>67</v>
      </c>
      <c r="B1586" s="3444">
        <v>45916</v>
      </c>
      <c r="C1586" s="3614">
        <v>38</v>
      </c>
      <c r="D1586" s="4142">
        <v>1019</v>
      </c>
      <c r="E1586" s="3443" t="s">
        <v>267</v>
      </c>
      <c r="F1586" s="3443" t="s">
        <v>454</v>
      </c>
      <c r="G1586" s="3811" t="s">
        <v>1199</v>
      </c>
      <c r="H1586" s="4049" t="s">
        <v>1199</v>
      </c>
      <c r="I1586" s="3443">
        <v>707</v>
      </c>
      <c r="J1586" s="3443">
        <v>60072</v>
      </c>
      <c r="K1586" s="2369"/>
      <c r="L1586" s="3443" t="s">
        <v>37</v>
      </c>
      <c r="M1586" s="3443"/>
      <c r="N1586" s="3443"/>
      <c r="O1586" s="3443"/>
      <c r="P1586" s="3443"/>
      <c r="Q1586" s="3443"/>
      <c r="R1586" s="3443"/>
      <c r="S1586" s="3443"/>
      <c r="T1586" s="3443"/>
      <c r="U1586" s="3443"/>
      <c r="V1586" s="3443"/>
      <c r="W1586" s="3443"/>
      <c r="X1586" s="3892"/>
    </row>
    <row r="1587" spans="1:24" ht="28.5" hidden="1">
      <c r="A1587" s="3857" t="s">
        <v>85</v>
      </c>
      <c r="B1587" s="3444">
        <v>45917</v>
      </c>
      <c r="C1587" s="3614">
        <v>38</v>
      </c>
      <c r="D1587" s="3511">
        <v>1020</v>
      </c>
      <c r="E1587" s="3695" t="s">
        <v>169</v>
      </c>
      <c r="F1587" s="3695" t="s">
        <v>1571</v>
      </c>
      <c r="G1587" s="3533" t="s">
        <v>1199</v>
      </c>
      <c r="H1587" s="4697" t="s">
        <v>1206</v>
      </c>
      <c r="I1587" s="3443">
        <v>712</v>
      </c>
      <c r="J1587" s="3443" t="s">
        <v>2974</v>
      </c>
      <c r="K1587" s="3511" t="s">
        <v>174</v>
      </c>
      <c r="L1587" s="3443" t="s">
        <v>30</v>
      </c>
      <c r="M1587" s="3443"/>
      <c r="N1587" s="3443"/>
      <c r="O1587" s="3443"/>
      <c r="P1587" s="4722"/>
      <c r="Q1587" s="3443"/>
      <c r="R1587" s="4722"/>
      <c r="S1587" s="3443"/>
      <c r="T1587" s="3443"/>
      <c r="U1587" s="3443"/>
      <c r="V1587" s="3443"/>
      <c r="W1587" s="3980"/>
      <c r="X1587" s="3892"/>
    </row>
    <row r="1588" spans="1:24" ht="28.5" hidden="1">
      <c r="A1588" s="3857" t="s">
        <v>85</v>
      </c>
      <c r="B1588" s="3444">
        <v>45917</v>
      </c>
      <c r="C1588" s="3614">
        <v>38</v>
      </c>
      <c r="D1588" s="3511"/>
      <c r="E1588" s="3695" t="s">
        <v>1571</v>
      </c>
      <c r="F1588" s="3695" t="s">
        <v>169</v>
      </c>
      <c r="G1588" s="3533" t="s">
        <v>1199</v>
      </c>
      <c r="H1588" s="4697" t="s">
        <v>1206</v>
      </c>
      <c r="I1588" s="3443">
        <v>712</v>
      </c>
      <c r="J1588" s="3443" t="s">
        <v>3267</v>
      </c>
      <c r="K1588" s="3511" t="s">
        <v>174</v>
      </c>
      <c r="L1588" s="3443" t="s">
        <v>30</v>
      </c>
      <c r="M1588" s="3443"/>
      <c r="N1588" s="3443"/>
      <c r="O1588" s="3443"/>
      <c r="P1588" s="3443"/>
      <c r="Q1588" s="3443"/>
      <c r="R1588" s="3443"/>
      <c r="S1588" s="3443"/>
      <c r="T1588" s="3443"/>
      <c r="U1588" s="3443"/>
      <c r="V1588" s="3443"/>
      <c r="W1588" s="3980"/>
      <c r="X1588" s="3892"/>
    </row>
    <row r="1589" spans="1:24" ht="28.5" hidden="1">
      <c r="A1589" s="3857" t="s">
        <v>85</v>
      </c>
      <c r="B1589" s="3444">
        <v>45917</v>
      </c>
      <c r="C1589" s="3614">
        <v>38</v>
      </c>
      <c r="D1589" s="4130">
        <v>1021</v>
      </c>
      <c r="E1589" s="3878" t="s">
        <v>1464</v>
      </c>
      <c r="F1589" s="3878" t="s">
        <v>3225</v>
      </c>
      <c r="G1589" s="3811" t="s">
        <v>1199</v>
      </c>
      <c r="H1589" s="4081" t="s">
        <v>1199</v>
      </c>
      <c r="I1589" s="3443">
        <v>701</v>
      </c>
      <c r="J1589" s="3443" t="s">
        <v>2705</v>
      </c>
      <c r="K1589" s="2369"/>
      <c r="L1589" s="3443"/>
      <c r="M1589" s="3443" t="s">
        <v>37</v>
      </c>
      <c r="N1589" s="3443"/>
      <c r="O1589" s="3443"/>
      <c r="P1589" s="21" t="s">
        <v>0</v>
      </c>
      <c r="Q1589" s="21" t="s">
        <v>31</v>
      </c>
      <c r="R1589" s="21" t="s">
        <v>38</v>
      </c>
      <c r="S1589" s="3443" t="s">
        <v>37</v>
      </c>
      <c r="T1589" s="3443"/>
      <c r="U1589" s="3443"/>
      <c r="V1589" s="3443"/>
      <c r="W1589" s="3895" t="s">
        <v>3360</v>
      </c>
      <c r="X1589" s="3895"/>
    </row>
    <row r="1590" spans="1:24" ht="28.5" hidden="1">
      <c r="A1590" s="3857" t="s">
        <v>85</v>
      </c>
      <c r="B1590" s="3444">
        <v>45917</v>
      </c>
      <c r="C1590" s="3614">
        <v>38</v>
      </c>
      <c r="D1590" s="4129"/>
      <c r="E1590" s="3878" t="s">
        <v>1465</v>
      </c>
      <c r="F1590" s="3878" t="s">
        <v>3228</v>
      </c>
      <c r="G1590" s="4097"/>
      <c r="H1590" s="4098"/>
      <c r="I1590" s="3443">
        <v>701</v>
      </c>
      <c r="J1590" s="3443" t="s">
        <v>2839</v>
      </c>
      <c r="K1590" s="2369"/>
      <c r="L1590" s="3443"/>
      <c r="M1590" s="3443"/>
      <c r="N1590" s="3443"/>
      <c r="O1590" s="3443"/>
      <c r="P1590" s="3443"/>
      <c r="Q1590" s="3443" t="s">
        <v>37</v>
      </c>
      <c r="R1590" s="3443"/>
      <c r="S1590" s="3443"/>
      <c r="T1590" s="3443"/>
      <c r="U1590" s="3443"/>
      <c r="V1590" s="3443"/>
      <c r="W1590" s="3895"/>
      <c r="X1590" s="3895"/>
    </row>
    <row r="1591" spans="1:24" ht="28.5" hidden="1">
      <c r="A1591" s="3857" t="s">
        <v>85</v>
      </c>
      <c r="B1591" s="3444">
        <v>45917</v>
      </c>
      <c r="C1591" s="3614">
        <v>38</v>
      </c>
      <c r="D1591" s="4130">
        <v>1022</v>
      </c>
      <c r="E1591" s="3443" t="s">
        <v>537</v>
      </c>
      <c r="F1591" s="3443" t="s">
        <v>599</v>
      </c>
      <c r="G1591" s="3811" t="s">
        <v>1199</v>
      </c>
      <c r="H1591" s="3802" t="s">
        <v>1199</v>
      </c>
      <c r="I1591" s="3443">
        <v>707</v>
      </c>
      <c r="J1591" s="3443" t="s">
        <v>3361</v>
      </c>
      <c r="K1591" s="2369"/>
      <c r="L1591" s="3443" t="s">
        <v>30</v>
      </c>
      <c r="M1591" s="3443"/>
      <c r="N1591" s="3443"/>
      <c r="O1591" s="3443"/>
      <c r="P1591" s="3443"/>
      <c r="Q1591" s="3443"/>
      <c r="R1591" s="3443"/>
      <c r="S1591" s="3443"/>
      <c r="T1591" s="3443"/>
      <c r="U1591" s="3443"/>
      <c r="V1591" s="3443"/>
      <c r="W1591" s="3895"/>
      <c r="X1591" s="3895"/>
    </row>
    <row r="1592" spans="1:24" ht="28.5" hidden="1">
      <c r="A1592" s="3857" t="s">
        <v>85</v>
      </c>
      <c r="B1592" s="3444">
        <v>45917</v>
      </c>
      <c r="C1592" s="3614">
        <v>38</v>
      </c>
      <c r="D1592" s="4130">
        <v>1023</v>
      </c>
      <c r="E1592" s="4099" t="s">
        <v>840</v>
      </c>
      <c r="F1592" s="4099" t="s">
        <v>209</v>
      </c>
      <c r="G1592" s="3811" t="s">
        <v>1206</v>
      </c>
      <c r="H1592" s="4081" t="s">
        <v>1199</v>
      </c>
      <c r="I1592" s="3443">
        <v>707</v>
      </c>
      <c r="J1592" s="3443">
        <v>60093</v>
      </c>
      <c r="K1592" s="2369"/>
      <c r="L1592" s="3443" t="s">
        <v>30</v>
      </c>
      <c r="M1592" s="3443"/>
      <c r="N1592" s="3443"/>
      <c r="O1592" s="3443"/>
      <c r="P1592" s="4722"/>
      <c r="Q1592" s="3443"/>
      <c r="R1592" s="4722"/>
      <c r="S1592" s="3443"/>
      <c r="T1592" s="3443"/>
      <c r="U1592" s="3443"/>
      <c r="V1592" s="3443"/>
      <c r="W1592" s="3895"/>
      <c r="X1592" s="3895"/>
    </row>
    <row r="1593" spans="1:24" ht="28.5" hidden="1">
      <c r="A1593" s="3857" t="s">
        <v>85</v>
      </c>
      <c r="B1593" s="3444">
        <v>45917</v>
      </c>
      <c r="C1593" s="3614">
        <v>38</v>
      </c>
      <c r="D1593" s="4130"/>
      <c r="E1593" s="4099" t="s">
        <v>169</v>
      </c>
      <c r="F1593" s="4099" t="s">
        <v>220</v>
      </c>
      <c r="G1593" s="3811" t="s">
        <v>3331</v>
      </c>
      <c r="H1593" s="4048" t="s">
        <v>3331</v>
      </c>
      <c r="I1593" s="3443">
        <v>707</v>
      </c>
      <c r="J1593" s="3443" t="s">
        <v>3362</v>
      </c>
      <c r="K1593" s="2369"/>
      <c r="L1593" s="3443" t="s">
        <v>30</v>
      </c>
      <c r="M1593" s="3443"/>
      <c r="N1593" s="3443"/>
      <c r="O1593" s="3443"/>
      <c r="P1593" s="4722"/>
      <c r="Q1593" s="3443"/>
      <c r="R1593" s="4722"/>
      <c r="S1593" s="3443"/>
      <c r="T1593" s="3443"/>
      <c r="U1593" s="3443"/>
      <c r="V1593" s="3443"/>
      <c r="W1593" s="3895"/>
      <c r="X1593" s="3895"/>
    </row>
    <row r="1594" spans="1:24" ht="29.25" hidden="1" thickBot="1">
      <c r="A1594" s="3494" t="s">
        <v>85</v>
      </c>
      <c r="B1594" s="3448">
        <v>45917</v>
      </c>
      <c r="C1594" s="3614">
        <v>38</v>
      </c>
      <c r="D1594" s="4131">
        <v>1024</v>
      </c>
      <c r="E1594" s="3631" t="s">
        <v>3046</v>
      </c>
      <c r="F1594" s="3631" t="s">
        <v>106</v>
      </c>
      <c r="G1594" s="4900" t="s">
        <v>3363</v>
      </c>
      <c r="H1594" s="4900" t="s">
        <v>3364</v>
      </c>
      <c r="I1594" s="3447">
        <v>705</v>
      </c>
      <c r="J1594" s="3447" t="s">
        <v>3365</v>
      </c>
      <c r="K1594" s="3875"/>
      <c r="L1594" s="3447" t="s">
        <v>37</v>
      </c>
      <c r="M1594" s="3447"/>
      <c r="N1594" s="3447"/>
      <c r="O1594" s="3447"/>
      <c r="P1594" s="20"/>
      <c r="Q1594" s="21"/>
      <c r="R1594" s="20"/>
      <c r="S1594" s="3447"/>
      <c r="T1594" s="3447"/>
      <c r="U1594" s="3447"/>
      <c r="V1594" s="3447"/>
      <c r="W1594" s="3547" t="s">
        <v>3366</v>
      </c>
      <c r="X1594" s="3547"/>
    </row>
    <row r="1595" spans="1:24" ht="28.5" hidden="1">
      <c r="A1595" s="3870" t="s">
        <v>85</v>
      </c>
      <c r="B1595" s="3457">
        <v>45917</v>
      </c>
      <c r="C1595" s="3614">
        <v>38</v>
      </c>
      <c r="D1595" s="4147">
        <v>1025</v>
      </c>
      <c r="E1595" s="4836" t="s">
        <v>3367</v>
      </c>
      <c r="F1595" s="4836" t="s">
        <v>2276</v>
      </c>
      <c r="G1595" s="4687"/>
      <c r="H1595" s="4709"/>
      <c r="I1595" s="3456">
        <v>705</v>
      </c>
      <c r="J1595" s="3456" t="s">
        <v>1084</v>
      </c>
      <c r="K1595" s="3873"/>
      <c r="L1595" s="3456"/>
      <c r="M1595" s="3456" t="s">
        <v>37</v>
      </c>
      <c r="N1595" s="3456"/>
      <c r="O1595" s="3456"/>
      <c r="P1595" s="20" t="s">
        <v>109</v>
      </c>
      <c r="Q1595" s="21" t="s">
        <v>1367</v>
      </c>
      <c r="R1595" s="20" t="s">
        <v>160</v>
      </c>
      <c r="S1595" s="3456"/>
      <c r="T1595" s="3456"/>
      <c r="U1595" s="3456"/>
      <c r="V1595" s="3456"/>
      <c r="W1595" s="3895" t="s">
        <v>1767</v>
      </c>
      <c r="X1595" s="3895"/>
    </row>
    <row r="1596" spans="1:24" ht="28.5" hidden="1">
      <c r="A1596" s="3857" t="s">
        <v>85</v>
      </c>
      <c r="B1596" s="3444">
        <v>45917</v>
      </c>
      <c r="C1596" s="3614">
        <v>38</v>
      </c>
      <c r="D1596" s="4140"/>
      <c r="E1596" s="3620" t="s">
        <v>339</v>
      </c>
      <c r="F1596" s="3620" t="s">
        <v>48</v>
      </c>
      <c r="G1596" s="4687"/>
      <c r="H1596" s="4709"/>
      <c r="I1596" s="3443">
        <v>705</v>
      </c>
      <c r="J1596" s="3443" t="s">
        <v>3355</v>
      </c>
      <c r="K1596" s="2369"/>
      <c r="L1596" s="3443"/>
      <c r="M1596" s="3443" t="s">
        <v>37</v>
      </c>
      <c r="N1596" s="3443"/>
      <c r="O1596" s="3443"/>
      <c r="P1596" s="20" t="s">
        <v>109</v>
      </c>
      <c r="Q1596" s="21" t="s">
        <v>1367</v>
      </c>
      <c r="R1596" s="20" t="s">
        <v>160</v>
      </c>
      <c r="S1596" s="3443"/>
      <c r="T1596" s="3443"/>
      <c r="U1596" s="3443"/>
      <c r="V1596" s="3443"/>
      <c r="W1596" s="3895"/>
      <c r="X1596" s="3895"/>
    </row>
    <row r="1597" spans="1:24" ht="28.5" hidden="1">
      <c r="A1597" s="3857" t="s">
        <v>105</v>
      </c>
      <c r="B1597" s="3444">
        <v>45918</v>
      </c>
      <c r="C1597" s="3614">
        <v>38</v>
      </c>
      <c r="D1597" s="4129">
        <v>1026</v>
      </c>
      <c r="E1597" s="3695" t="s">
        <v>169</v>
      </c>
      <c r="F1597" s="3695" t="s">
        <v>1571</v>
      </c>
      <c r="G1597" s="3884" t="s">
        <v>1206</v>
      </c>
      <c r="H1597" s="4661" t="s">
        <v>1206</v>
      </c>
      <c r="I1597" s="3443">
        <v>712</v>
      </c>
      <c r="J1597" s="3443" t="s">
        <v>2974</v>
      </c>
      <c r="K1597" s="3511" t="s">
        <v>174</v>
      </c>
      <c r="L1597" s="3443"/>
      <c r="M1597" s="3443" t="s">
        <v>37</v>
      </c>
      <c r="N1597" s="3443"/>
      <c r="O1597" s="3443"/>
      <c r="P1597" s="21" t="s">
        <v>109</v>
      </c>
      <c r="Q1597" s="21" t="s">
        <v>1367</v>
      </c>
      <c r="R1597" s="21" t="s">
        <v>32</v>
      </c>
      <c r="S1597" s="3443"/>
      <c r="T1597" s="3443"/>
      <c r="U1597" s="3443"/>
      <c r="V1597" s="3443"/>
      <c r="W1597" s="3892" t="s">
        <v>3368</v>
      </c>
      <c r="X1597" s="3892"/>
    </row>
    <row r="1598" spans="1:24" ht="28.5" hidden="1">
      <c r="A1598" s="3857" t="s">
        <v>105</v>
      </c>
      <c r="B1598" s="3444">
        <v>45918</v>
      </c>
      <c r="C1598" s="3614">
        <v>38</v>
      </c>
      <c r="D1598" s="4129"/>
      <c r="E1598" s="3695" t="s">
        <v>1571</v>
      </c>
      <c r="F1598" s="3695" t="s">
        <v>169</v>
      </c>
      <c r="G1598" s="4661" t="s">
        <v>1206</v>
      </c>
      <c r="H1598" s="4661" t="s">
        <v>1206</v>
      </c>
      <c r="I1598" s="3443">
        <v>712</v>
      </c>
      <c r="J1598" s="3443" t="s">
        <v>3267</v>
      </c>
      <c r="K1598" s="3511" t="s">
        <v>174</v>
      </c>
      <c r="L1598" s="3443"/>
      <c r="M1598" s="3443" t="s">
        <v>37</v>
      </c>
      <c r="N1598" s="3443"/>
      <c r="O1598" s="3443"/>
      <c r="P1598" s="21" t="s">
        <v>109</v>
      </c>
      <c r="Q1598" s="21" t="s">
        <v>1367</v>
      </c>
      <c r="R1598" s="21" t="s">
        <v>32</v>
      </c>
      <c r="S1598" s="3443"/>
      <c r="T1598" s="3443"/>
      <c r="U1598" s="3443"/>
      <c r="V1598" s="3443"/>
      <c r="W1598" s="3892" t="s">
        <v>3368</v>
      </c>
      <c r="X1598" s="3892"/>
    </row>
    <row r="1599" spans="1:24" ht="28.5" hidden="1">
      <c r="A1599" s="3857" t="s">
        <v>105</v>
      </c>
      <c r="B1599" s="3444">
        <v>45918</v>
      </c>
      <c r="C1599" s="3614">
        <v>38</v>
      </c>
      <c r="D1599" s="4130">
        <v>1027</v>
      </c>
      <c r="E1599" s="3878" t="s">
        <v>3369</v>
      </c>
      <c r="F1599" s="3878" t="s">
        <v>3225</v>
      </c>
      <c r="G1599" s="4041" t="s">
        <v>1206</v>
      </c>
      <c r="H1599" s="4041" t="s">
        <v>1206</v>
      </c>
      <c r="I1599" s="3443">
        <v>701</v>
      </c>
      <c r="J1599" s="3443" t="s">
        <v>2705</v>
      </c>
      <c r="K1599" s="2369"/>
      <c r="L1599" s="3443" t="s">
        <v>37</v>
      </c>
      <c r="M1599" s="3443"/>
      <c r="N1599" s="3443"/>
      <c r="O1599" s="3443"/>
      <c r="P1599" s="3443"/>
      <c r="Q1599" s="3443"/>
      <c r="R1599" s="3443"/>
      <c r="S1599" s="3443"/>
      <c r="T1599" s="3443"/>
      <c r="U1599" s="3443"/>
      <c r="V1599" s="3443"/>
      <c r="W1599" s="3895"/>
      <c r="X1599" s="3895"/>
    </row>
    <row r="1600" spans="1:24" ht="28.5" hidden="1">
      <c r="A1600" s="3857" t="s">
        <v>105</v>
      </c>
      <c r="B1600" s="3444">
        <v>45918</v>
      </c>
      <c r="C1600" s="3614">
        <v>38</v>
      </c>
      <c r="D1600" s="4130"/>
      <c r="E1600" s="3937" t="s">
        <v>1465</v>
      </c>
      <c r="F1600" s="3937" t="s">
        <v>3228</v>
      </c>
      <c r="G1600" s="3801" t="s">
        <v>1199</v>
      </c>
      <c r="H1600" s="3801" t="s">
        <v>1199</v>
      </c>
      <c r="I1600" s="3462">
        <v>701</v>
      </c>
      <c r="J1600" s="3462" t="s">
        <v>2839</v>
      </c>
      <c r="K1600" s="2371"/>
      <c r="L1600" s="3462" t="s">
        <v>37</v>
      </c>
      <c r="M1600" s="3462"/>
      <c r="N1600" s="3462"/>
      <c r="O1600" s="3462"/>
      <c r="P1600" s="3462"/>
      <c r="Q1600" s="3462"/>
      <c r="R1600" s="3462"/>
      <c r="S1600" s="3462"/>
      <c r="T1600" s="3462"/>
      <c r="U1600" s="3462"/>
      <c r="V1600" s="3462"/>
      <c r="W1600" s="3507"/>
      <c r="X1600" s="3507"/>
    </row>
    <row r="1601" spans="1:24" ht="28.5" hidden="1">
      <c r="A1601" s="3857" t="s">
        <v>105</v>
      </c>
      <c r="B1601" s="3444">
        <v>45918</v>
      </c>
      <c r="C1601" s="3614">
        <v>38</v>
      </c>
      <c r="D1601" s="4134"/>
      <c r="E1601" s="4583" t="s">
        <v>169</v>
      </c>
      <c r="F1601" s="4583" t="s">
        <v>3370</v>
      </c>
      <c r="G1601" s="3801" t="s">
        <v>1199</v>
      </c>
      <c r="H1601" s="4096" t="s">
        <v>1199</v>
      </c>
      <c r="I1601" s="3462">
        <v>707</v>
      </c>
      <c r="J1601" s="3462" t="s">
        <v>3362</v>
      </c>
      <c r="K1601" s="4055"/>
      <c r="L1601" s="3462" t="s">
        <v>37</v>
      </c>
      <c r="M1601" s="3462"/>
      <c r="N1601" s="3462"/>
      <c r="O1601" s="3462"/>
      <c r="P1601" s="4722"/>
      <c r="Q1601" s="3443"/>
      <c r="R1601" s="4722"/>
      <c r="S1601" s="3462"/>
      <c r="T1601" s="3462"/>
      <c r="U1601" s="3462"/>
      <c r="V1601" s="3462"/>
      <c r="W1601" s="3507"/>
      <c r="X1601" s="3507"/>
    </row>
    <row r="1602" spans="1:24" ht="28.5" hidden="1">
      <c r="A1602" s="3857" t="s">
        <v>105</v>
      </c>
      <c r="B1602" s="3444">
        <v>45918</v>
      </c>
      <c r="C1602" s="3614">
        <v>38</v>
      </c>
      <c r="D1602" s="4134">
        <v>1028</v>
      </c>
      <c r="E1602" s="3833" t="s">
        <v>48</v>
      </c>
      <c r="F1602" s="3833" t="s">
        <v>263</v>
      </c>
      <c r="G1602" s="4100" t="s">
        <v>1206</v>
      </c>
      <c r="H1602" s="4043" t="s">
        <v>1206</v>
      </c>
      <c r="I1602" s="3462">
        <v>705</v>
      </c>
      <c r="J1602" s="3462" t="s">
        <v>3371</v>
      </c>
      <c r="K1602" s="4055"/>
      <c r="L1602" s="3462" t="s">
        <v>37</v>
      </c>
      <c r="M1602" s="3462"/>
      <c r="N1602" s="3462"/>
      <c r="O1602" s="3462"/>
      <c r="P1602" s="4722"/>
      <c r="Q1602" s="3443"/>
      <c r="R1602" s="4722"/>
      <c r="S1602" s="3462"/>
      <c r="T1602" s="3462"/>
      <c r="U1602" s="3462"/>
      <c r="V1602" s="3462"/>
      <c r="W1602" s="3507"/>
      <c r="X1602" s="3507"/>
    </row>
    <row r="1603" spans="1:24" ht="28.5" hidden="1">
      <c r="A1603" s="3857" t="s">
        <v>105</v>
      </c>
      <c r="B1603" s="3444">
        <v>45918</v>
      </c>
      <c r="C1603" s="3614">
        <v>38</v>
      </c>
      <c r="D1603" s="4148">
        <v>1029</v>
      </c>
      <c r="E1603" s="4062" t="s">
        <v>48</v>
      </c>
      <c r="F1603" s="4062" t="s">
        <v>1239</v>
      </c>
      <c r="G1603" s="4101"/>
      <c r="H1603" s="4102"/>
      <c r="I1603" s="3462">
        <v>705</v>
      </c>
      <c r="J1603" s="3462" t="s">
        <v>3372</v>
      </c>
      <c r="K1603" s="3511" t="s">
        <v>84</v>
      </c>
      <c r="L1603" s="3462"/>
      <c r="M1603" s="3462"/>
      <c r="N1603" s="3462" t="s">
        <v>37</v>
      </c>
      <c r="O1603" s="3462"/>
      <c r="P1603" s="24"/>
      <c r="Q1603" s="24"/>
      <c r="R1603" s="24"/>
      <c r="S1603" s="3462"/>
      <c r="T1603" s="3462"/>
      <c r="U1603" s="3462"/>
      <c r="V1603" s="3462"/>
      <c r="W1603" s="3507"/>
      <c r="X1603" s="3507"/>
    </row>
    <row r="1604" spans="1:24" ht="28.5" hidden="1">
      <c r="A1604" s="3857" t="s">
        <v>105</v>
      </c>
      <c r="B1604" s="3444">
        <v>45918</v>
      </c>
      <c r="C1604" s="3614">
        <v>38</v>
      </c>
      <c r="D1604" s="4140"/>
      <c r="E1604" s="4062" t="s">
        <v>1239</v>
      </c>
      <c r="F1604" s="4062" t="s">
        <v>537</v>
      </c>
      <c r="G1604" s="4101"/>
      <c r="H1604" s="4102"/>
      <c r="I1604" s="3462">
        <v>705</v>
      </c>
      <c r="J1604" s="3462" t="s">
        <v>3372</v>
      </c>
      <c r="K1604" s="3511" t="s">
        <v>84</v>
      </c>
      <c r="L1604" s="3462"/>
      <c r="M1604" s="3462"/>
      <c r="N1604" s="3462" t="s">
        <v>37</v>
      </c>
      <c r="O1604" s="3462"/>
      <c r="P1604" s="24"/>
      <c r="Q1604" s="24"/>
      <c r="R1604" s="24"/>
      <c r="S1604" s="3462"/>
      <c r="T1604" s="3462"/>
      <c r="U1604" s="3462"/>
      <c r="V1604" s="3462"/>
      <c r="W1604" s="3507"/>
      <c r="X1604" s="3507"/>
    </row>
    <row r="1605" spans="1:24" ht="28.5" hidden="1">
      <c r="A1605" s="3857" t="s">
        <v>105</v>
      </c>
      <c r="B1605" s="3444">
        <v>45918</v>
      </c>
      <c r="C1605" s="3614">
        <v>38</v>
      </c>
      <c r="D1605" s="4148"/>
      <c r="E1605" s="4062" t="s">
        <v>537</v>
      </c>
      <c r="F1605" s="4062" t="s">
        <v>48</v>
      </c>
      <c r="G1605" s="4101"/>
      <c r="H1605" s="4102"/>
      <c r="I1605" s="3462">
        <v>705</v>
      </c>
      <c r="J1605" s="3462" t="s">
        <v>3372</v>
      </c>
      <c r="K1605" s="3511" t="s">
        <v>84</v>
      </c>
      <c r="L1605" s="3462"/>
      <c r="M1605" s="3462"/>
      <c r="N1605" s="3462" t="s">
        <v>37</v>
      </c>
      <c r="O1605" s="3462"/>
      <c r="P1605" s="3462"/>
      <c r="Q1605" s="3462"/>
      <c r="R1605" s="3462"/>
      <c r="S1605" s="3462"/>
      <c r="T1605" s="3462"/>
      <c r="U1605" s="3462"/>
      <c r="V1605" s="3462"/>
      <c r="W1605" s="3507"/>
      <c r="X1605" s="3507"/>
    </row>
    <row r="1606" spans="1:24" ht="28.5" hidden="1">
      <c r="A1606" s="3857" t="s">
        <v>105</v>
      </c>
      <c r="B1606" s="3444">
        <v>45918</v>
      </c>
      <c r="C1606" s="3614">
        <v>38</v>
      </c>
      <c r="D1606" s="3632">
        <v>1030</v>
      </c>
      <c r="E1606" s="3462" t="s">
        <v>3373</v>
      </c>
      <c r="F1606" s="3462" t="s">
        <v>3374</v>
      </c>
      <c r="G1606" s="4103" t="s">
        <v>3348</v>
      </c>
      <c r="H1606" s="4104" t="s">
        <v>1764</v>
      </c>
      <c r="I1606" s="3462">
        <v>707</v>
      </c>
      <c r="J1606" s="3462">
        <v>60072</v>
      </c>
      <c r="K1606" s="3511" t="s">
        <v>84</v>
      </c>
      <c r="L1606" s="3462" t="s">
        <v>37</v>
      </c>
      <c r="M1606" s="3462"/>
      <c r="N1606" s="3462"/>
      <c r="O1606" s="3462"/>
      <c r="P1606" s="3462"/>
      <c r="Q1606" s="3462"/>
      <c r="R1606" s="3462"/>
      <c r="S1606" s="3462"/>
      <c r="T1606" s="3462"/>
      <c r="U1606" s="3462" t="s">
        <v>37</v>
      </c>
      <c r="V1606" s="3462"/>
      <c r="W1606" s="4106"/>
      <c r="X1606" s="4106"/>
    </row>
    <row r="1607" spans="1:24" ht="29.25" hidden="1" thickBot="1">
      <c r="A1607" s="3494" t="s">
        <v>105</v>
      </c>
      <c r="B1607" s="3448">
        <v>45918</v>
      </c>
      <c r="C1607" s="3614">
        <v>38</v>
      </c>
      <c r="D1607" s="4131">
        <v>1031</v>
      </c>
      <c r="E1607" s="4534" t="s">
        <v>48</v>
      </c>
      <c r="F1607" s="4534" t="s">
        <v>3375</v>
      </c>
      <c r="G1607" s="4039" t="s">
        <v>1199</v>
      </c>
      <c r="H1607" s="4039" t="s">
        <v>1199</v>
      </c>
      <c r="I1607" s="3447">
        <v>705</v>
      </c>
      <c r="J1607" s="3447" t="s">
        <v>157</v>
      </c>
      <c r="K1607" s="3875"/>
      <c r="L1607" s="3447" t="s">
        <v>37</v>
      </c>
      <c r="M1607" s="3447"/>
      <c r="N1607" s="3447"/>
      <c r="O1607" s="3447"/>
      <c r="P1607" s="3447"/>
      <c r="Q1607" s="3447"/>
      <c r="R1607" s="3447"/>
      <c r="S1607" s="3447"/>
      <c r="T1607" s="3447"/>
      <c r="U1607" s="3447"/>
      <c r="V1607" s="3447"/>
      <c r="W1607" s="3547"/>
      <c r="X1607" s="3547"/>
    </row>
    <row r="1608" spans="1:24" ht="28.5" hidden="1">
      <c r="A1608" s="3857" t="s">
        <v>105</v>
      </c>
      <c r="B1608" s="3444">
        <v>45918</v>
      </c>
      <c r="C1608" s="3614">
        <v>38</v>
      </c>
      <c r="D1608" s="4130"/>
      <c r="E1608" s="3787" t="s">
        <v>392</v>
      </c>
      <c r="F1608" s="3787" t="s">
        <v>3376</v>
      </c>
      <c r="G1608" s="4662" t="s">
        <v>1199</v>
      </c>
      <c r="H1608" s="4698" t="s">
        <v>1199</v>
      </c>
      <c r="I1608" s="3443">
        <v>705</v>
      </c>
      <c r="J1608" s="3443" t="s">
        <v>3377</v>
      </c>
      <c r="K1608" s="2369"/>
      <c r="L1608" s="3443" t="s">
        <v>37</v>
      </c>
      <c r="M1608" s="3443"/>
      <c r="N1608" s="3443"/>
      <c r="O1608" s="3443"/>
      <c r="P1608" s="3443"/>
      <c r="Q1608" s="3443"/>
      <c r="R1608" s="3443"/>
      <c r="S1608" s="3443"/>
      <c r="T1608" s="3443"/>
      <c r="U1608" s="3443"/>
      <c r="V1608" s="3443"/>
      <c r="W1608" s="3507"/>
      <c r="X1608" s="3892"/>
    </row>
    <row r="1609" spans="1:24" ht="28.5" hidden="1">
      <c r="A1609" s="3857" t="s">
        <v>105</v>
      </c>
      <c r="B1609" s="3444">
        <v>45918</v>
      </c>
      <c r="C1609" s="3614">
        <v>38</v>
      </c>
      <c r="D1609" s="4130"/>
      <c r="E1609" s="3541" t="s">
        <v>106</v>
      </c>
      <c r="F1609" s="3541" t="s">
        <v>389</v>
      </c>
      <c r="G1609" s="3802" t="s">
        <v>1199</v>
      </c>
      <c r="H1609" s="4081" t="s">
        <v>1199</v>
      </c>
      <c r="I1609" s="3443">
        <v>705</v>
      </c>
      <c r="J1609" s="3443" t="s">
        <v>3365</v>
      </c>
      <c r="K1609" s="2369"/>
      <c r="L1609" s="3443" t="s">
        <v>37</v>
      </c>
      <c r="M1609" s="3443"/>
      <c r="N1609" s="3443"/>
      <c r="O1609" s="3443"/>
      <c r="P1609" s="3443"/>
      <c r="Q1609" s="3443"/>
      <c r="R1609" s="3443"/>
      <c r="S1609" s="3443"/>
      <c r="T1609" s="3443"/>
      <c r="U1609" s="3443"/>
      <c r="V1609" s="3443"/>
      <c r="W1609" s="3507" t="s">
        <v>3378</v>
      </c>
      <c r="X1609" s="3892"/>
    </row>
    <row r="1610" spans="1:24" ht="28.5" hidden="1">
      <c r="A1610" s="3857" t="s">
        <v>132</v>
      </c>
      <c r="B1610" s="3444">
        <v>45919</v>
      </c>
      <c r="C1610" s="3614">
        <v>38</v>
      </c>
      <c r="D1610" s="4130">
        <v>1032</v>
      </c>
      <c r="E1610" s="3616" t="s">
        <v>1258</v>
      </c>
      <c r="F1610" s="3616" t="s">
        <v>3379</v>
      </c>
      <c r="G1610" s="78" t="s">
        <v>1199</v>
      </c>
      <c r="H1610" s="4922" t="s">
        <v>1199</v>
      </c>
      <c r="I1610" s="3443">
        <v>712</v>
      </c>
      <c r="J1610" s="3443" t="s">
        <v>3356</v>
      </c>
      <c r="K1610" s="2369"/>
      <c r="L1610" s="3443" t="s">
        <v>37</v>
      </c>
      <c r="M1610" s="3443"/>
      <c r="N1610" s="3443"/>
      <c r="O1610" s="3443"/>
      <c r="P1610" s="3443"/>
      <c r="Q1610" s="3443"/>
      <c r="R1610" s="3443"/>
      <c r="S1610" s="3443"/>
      <c r="T1610" s="3443"/>
      <c r="U1610" s="3443"/>
      <c r="V1610" s="3443"/>
      <c r="W1610" s="3462"/>
      <c r="X1610" s="3902"/>
    </row>
    <row r="1611" spans="1:24" ht="28.5" hidden="1">
      <c r="A1611" s="3857" t="s">
        <v>132</v>
      </c>
      <c r="B1611" s="3444">
        <v>45919</v>
      </c>
      <c r="C1611" s="3614">
        <v>38</v>
      </c>
      <c r="D1611" s="4142">
        <v>1033</v>
      </c>
      <c r="E1611" s="3937" t="s">
        <v>1464</v>
      </c>
      <c r="F1611" s="3937" t="s">
        <v>3225</v>
      </c>
      <c r="G1611" s="4049" t="s">
        <v>1206</v>
      </c>
      <c r="H1611" s="4698" t="s">
        <v>1199</v>
      </c>
      <c r="I1611" s="3462">
        <v>701</v>
      </c>
      <c r="J1611" s="3462" t="s">
        <v>2705</v>
      </c>
      <c r="K1611" s="2371"/>
      <c r="L1611" s="3462" t="s">
        <v>37</v>
      </c>
      <c r="M1611" s="3462"/>
      <c r="N1611" s="3462"/>
      <c r="O1611" s="3462"/>
      <c r="P1611" s="3462"/>
      <c r="Q1611" s="3462"/>
      <c r="R1611" s="3462"/>
      <c r="S1611" s="3462"/>
      <c r="T1611" s="3462"/>
      <c r="U1611" s="3462"/>
      <c r="V1611" s="3600"/>
      <c r="W1611" s="3443"/>
      <c r="X1611" s="3507"/>
    </row>
    <row r="1612" spans="1:24" ht="28.5" hidden="1">
      <c r="A1612" s="3857" t="s">
        <v>132</v>
      </c>
      <c r="B1612" s="3444">
        <v>45919</v>
      </c>
      <c r="C1612" s="3614">
        <v>38</v>
      </c>
      <c r="D1612" s="4130"/>
      <c r="E1612" s="3937" t="s">
        <v>1465</v>
      </c>
      <c r="F1612" s="3937" t="s">
        <v>3228</v>
      </c>
      <c r="G1612" s="3808" t="s">
        <v>1206</v>
      </c>
      <c r="H1612" s="3801" t="s">
        <v>1199</v>
      </c>
      <c r="I1612" s="3462">
        <v>701</v>
      </c>
      <c r="J1612" s="3462" t="s">
        <v>2839</v>
      </c>
      <c r="K1612" s="2371"/>
      <c r="L1612" s="3462" t="s">
        <v>37</v>
      </c>
      <c r="M1612" s="3462"/>
      <c r="N1612" s="3462"/>
      <c r="O1612" s="3462"/>
      <c r="P1612" s="3462"/>
      <c r="Q1612" s="3462"/>
      <c r="R1612" s="3462"/>
      <c r="S1612" s="3462"/>
      <c r="T1612" s="3462"/>
      <c r="U1612" s="3462"/>
      <c r="V1612" s="3600"/>
      <c r="W1612" s="3443"/>
      <c r="X1612" s="3507"/>
    </row>
    <row r="1613" spans="1:24" ht="28.5" hidden="1">
      <c r="A1613" s="3857" t="s">
        <v>132</v>
      </c>
      <c r="B1613" s="3444">
        <v>45919</v>
      </c>
      <c r="C1613" s="3614">
        <v>38</v>
      </c>
      <c r="D1613" s="4135">
        <v>1034</v>
      </c>
      <c r="E1613" s="3462" t="s">
        <v>68</v>
      </c>
      <c r="F1613" s="3462" t="s">
        <v>3380</v>
      </c>
      <c r="G1613" s="4686" t="s">
        <v>1206</v>
      </c>
      <c r="H1613" s="4686" t="s">
        <v>1206</v>
      </c>
      <c r="I1613" s="3462">
        <v>712</v>
      </c>
      <c r="J1613" s="3462" t="s">
        <v>3381</v>
      </c>
      <c r="K1613" s="2371"/>
      <c r="L1613" s="3462" t="s">
        <v>37</v>
      </c>
      <c r="M1613" s="3462"/>
      <c r="N1613" s="3462"/>
      <c r="O1613" s="3462"/>
      <c r="P1613" s="4722"/>
      <c r="Q1613" s="3443"/>
      <c r="R1613" s="4722"/>
      <c r="S1613" s="3462"/>
      <c r="T1613" s="3462"/>
      <c r="U1613" s="3462"/>
      <c r="V1613" s="3600"/>
      <c r="W1613" s="3443"/>
      <c r="X1613" s="3507"/>
    </row>
    <row r="1614" spans="1:24" ht="28.5" hidden="1">
      <c r="A1614" s="3857" t="s">
        <v>132</v>
      </c>
      <c r="B1614" s="3444">
        <v>45919</v>
      </c>
      <c r="C1614" s="3614">
        <v>38</v>
      </c>
      <c r="D1614" s="4134"/>
      <c r="E1614" s="3833" t="s">
        <v>148</v>
      </c>
      <c r="F1614" s="3833" t="s">
        <v>3382</v>
      </c>
      <c r="G1614" s="3765" t="s">
        <v>1199</v>
      </c>
      <c r="H1614" s="3765" t="s">
        <v>1199</v>
      </c>
      <c r="I1614" s="3462">
        <v>705</v>
      </c>
      <c r="J1614" s="3462" t="s">
        <v>3371</v>
      </c>
      <c r="K1614" s="2371"/>
      <c r="L1614" s="3462" t="s">
        <v>37</v>
      </c>
      <c r="M1614" s="3462"/>
      <c r="N1614" s="3462"/>
      <c r="O1614" s="3462"/>
      <c r="P1614" s="3462"/>
      <c r="Q1614" s="3462"/>
      <c r="R1614" s="3462"/>
      <c r="S1614" s="3462"/>
      <c r="T1614" s="3462"/>
      <c r="U1614" s="3462"/>
      <c r="V1614" s="3600"/>
      <c r="W1614" s="3443"/>
      <c r="X1614" s="3507"/>
    </row>
    <row r="1615" spans="1:24" ht="57" hidden="1">
      <c r="A1615" s="3857" t="s">
        <v>132</v>
      </c>
      <c r="B1615" s="3444">
        <v>45919</v>
      </c>
      <c r="C1615" s="3614">
        <v>38</v>
      </c>
      <c r="D1615" s="3632"/>
      <c r="E1615" s="3833" t="s">
        <v>3382</v>
      </c>
      <c r="F1615" s="3833" t="s">
        <v>931</v>
      </c>
      <c r="G1615" s="4107" t="s">
        <v>3383</v>
      </c>
      <c r="H1615" s="4107" t="s">
        <v>3384</v>
      </c>
      <c r="I1615" s="3462">
        <v>705</v>
      </c>
      <c r="J1615" s="3462" t="s">
        <v>3371</v>
      </c>
      <c r="K1615" s="2371"/>
      <c r="L1615" s="3462"/>
      <c r="M1615" s="3462" t="s">
        <v>37</v>
      </c>
      <c r="N1615" s="3462"/>
      <c r="O1615" s="3462"/>
      <c r="P1615" s="24" t="s">
        <v>109</v>
      </c>
      <c r="Q1615" s="24" t="s">
        <v>1847</v>
      </c>
      <c r="R1615" s="24" t="s">
        <v>160</v>
      </c>
      <c r="S1615" s="3462"/>
      <c r="T1615" s="3462"/>
      <c r="U1615" s="3462"/>
      <c r="V1615" s="3600"/>
      <c r="W1615" s="3507" t="s">
        <v>3385</v>
      </c>
      <c r="X1615" s="3507"/>
    </row>
    <row r="1616" spans="1:24" ht="28.5" hidden="1">
      <c r="A1616" s="3857" t="s">
        <v>132</v>
      </c>
      <c r="B1616" s="3463">
        <v>45919</v>
      </c>
      <c r="C1616" s="3614">
        <v>38</v>
      </c>
      <c r="D1616" s="4134"/>
      <c r="E1616" s="4105" t="s">
        <v>80</v>
      </c>
      <c r="F1616" s="4105" t="s">
        <v>3386</v>
      </c>
      <c r="G1616" s="3801" t="s">
        <v>1199</v>
      </c>
      <c r="H1616" s="4096" t="s">
        <v>1199</v>
      </c>
      <c r="I1616" s="3462">
        <v>705</v>
      </c>
      <c r="J1616" s="3462" t="s">
        <v>3377</v>
      </c>
      <c r="K1616" s="2371"/>
      <c r="L1616" s="3462" t="s">
        <v>37</v>
      </c>
      <c r="M1616" s="3462"/>
      <c r="N1616" s="3462"/>
      <c r="O1616" s="3462"/>
      <c r="P1616" s="3462"/>
      <c r="Q1616" s="3462"/>
      <c r="R1616" s="3462"/>
      <c r="S1616" s="3462"/>
      <c r="T1616" s="3462"/>
      <c r="U1616" s="3462"/>
      <c r="V1616" s="3600"/>
      <c r="W1616" s="3443"/>
      <c r="X1616" s="3507"/>
    </row>
    <row r="1617" spans="1:25" ht="29.25" hidden="1" thickBot="1">
      <c r="A1617" s="3593" t="s">
        <v>132</v>
      </c>
      <c r="B1617" s="3448">
        <v>45919</v>
      </c>
      <c r="C1617" s="3614">
        <v>38</v>
      </c>
      <c r="D1617" s="4131"/>
      <c r="E1617" s="4534" t="s">
        <v>943</v>
      </c>
      <c r="F1617" s="4534" t="s">
        <v>3185</v>
      </c>
      <c r="G1617" s="4039" t="s">
        <v>1199</v>
      </c>
      <c r="H1617" s="4039" t="s">
        <v>1199</v>
      </c>
      <c r="I1617" s="3447">
        <v>705</v>
      </c>
      <c r="J1617" s="3447" t="s">
        <v>157</v>
      </c>
      <c r="K1617" s="3875"/>
      <c r="L1617" s="3447" t="s">
        <v>37</v>
      </c>
      <c r="M1617" s="3447"/>
      <c r="N1617" s="3447"/>
      <c r="O1617" s="3447"/>
      <c r="P1617" s="3447"/>
      <c r="Q1617" s="3447"/>
      <c r="R1617" s="3447"/>
      <c r="S1617" s="3447"/>
      <c r="T1617" s="3447"/>
      <c r="U1617" s="3447"/>
      <c r="V1617" s="3447"/>
      <c r="W1617" s="3447"/>
      <c r="X1617" s="3893"/>
    </row>
    <row r="1618" spans="1:25" ht="28.5" hidden="1">
      <c r="A1618" s="3668" t="s">
        <v>132</v>
      </c>
      <c r="B1618" s="4111">
        <v>45919</v>
      </c>
      <c r="C1618" s="3689">
        <v>38</v>
      </c>
      <c r="D1618" s="4511">
        <v>1035</v>
      </c>
      <c r="E1618" s="3668" t="s">
        <v>1091</v>
      </c>
      <c r="F1618" s="3668" t="s">
        <v>1806</v>
      </c>
      <c r="G1618" s="4901" t="s">
        <v>1206</v>
      </c>
      <c r="H1618" s="4901" t="s">
        <v>1199</v>
      </c>
      <c r="I1618" s="3668">
        <v>707</v>
      </c>
      <c r="J1618" s="3668" t="s">
        <v>318</v>
      </c>
      <c r="K1618" s="4739"/>
      <c r="L1618" s="3668" t="s">
        <v>37</v>
      </c>
      <c r="M1618" s="3668"/>
      <c r="N1618" s="3668"/>
      <c r="O1618" s="3668"/>
      <c r="P1618" s="3668"/>
      <c r="Q1618" s="3668"/>
      <c r="R1618" s="3668"/>
      <c r="S1618" s="3668"/>
      <c r="T1618" s="3668"/>
      <c r="U1618" s="3668"/>
      <c r="V1618" s="3668"/>
      <c r="W1618" s="3668"/>
      <c r="X1618" s="3763"/>
    </row>
    <row r="1619" spans="1:25" ht="28.5" hidden="1">
      <c r="A1619" s="3477" t="s">
        <v>132</v>
      </c>
      <c r="B1619" s="3478">
        <v>45919</v>
      </c>
      <c r="C1619" s="3708">
        <v>38</v>
      </c>
      <c r="D1619" s="4149">
        <v>1036</v>
      </c>
      <c r="E1619" s="3503" t="s">
        <v>599</v>
      </c>
      <c r="F1619" s="3503" t="s">
        <v>454</v>
      </c>
      <c r="G1619" s="3954" t="s">
        <v>1199</v>
      </c>
      <c r="H1619" s="3954" t="s">
        <v>1199</v>
      </c>
      <c r="I1619" s="3503">
        <v>707</v>
      </c>
      <c r="J1619" s="3503" t="s">
        <v>3361</v>
      </c>
      <c r="K1619" s="3871"/>
      <c r="L1619" s="3503" t="s">
        <v>37</v>
      </c>
      <c r="M1619" s="3503"/>
      <c r="N1619" s="3503"/>
      <c r="O1619" s="3503"/>
      <c r="P1619" s="3503"/>
      <c r="Q1619" s="3503"/>
      <c r="R1619" s="3503"/>
      <c r="S1619" s="3503"/>
      <c r="T1619" s="3503"/>
      <c r="U1619" s="3503"/>
      <c r="V1619" s="3503"/>
      <c r="W1619" s="3503"/>
      <c r="X1619" s="3521"/>
      <c r="Y1619" s="1457"/>
    </row>
    <row r="1620" spans="1:25" ht="28.5" hidden="1">
      <c r="A1620" s="3480" t="s">
        <v>143</v>
      </c>
      <c r="B1620" s="3444">
        <v>45920</v>
      </c>
      <c r="C1620" s="3614">
        <v>38</v>
      </c>
      <c r="D1620" s="3511">
        <v>1037</v>
      </c>
      <c r="E1620" s="3443" t="s">
        <v>3374</v>
      </c>
      <c r="F1620" s="3443" t="s">
        <v>3373</v>
      </c>
      <c r="G1620" s="4674" t="s">
        <v>3348</v>
      </c>
      <c r="H1620" s="4702" t="s">
        <v>1764</v>
      </c>
      <c r="I1620" s="3443">
        <v>707</v>
      </c>
      <c r="J1620" s="3443">
        <v>60072</v>
      </c>
      <c r="K1620" s="3511" t="s">
        <v>84</v>
      </c>
      <c r="L1620" s="3443" t="s">
        <v>37</v>
      </c>
      <c r="M1620" s="3443"/>
      <c r="N1620" s="3443"/>
      <c r="O1620" s="3443"/>
      <c r="P1620" s="3443"/>
      <c r="Q1620" s="3443"/>
      <c r="R1620" s="3443"/>
      <c r="S1620" s="3443"/>
      <c r="T1620" s="3443"/>
      <c r="U1620" s="3443" t="s">
        <v>37</v>
      </c>
      <c r="V1620" s="3443"/>
      <c r="W1620" s="3443"/>
      <c r="X1620" s="3522"/>
      <c r="Y1620" s="1457"/>
    </row>
    <row r="1621" spans="1:25" ht="28.5" hidden="1">
      <c r="A1621" s="3480" t="s">
        <v>25</v>
      </c>
      <c r="B1621" s="3444">
        <v>45922</v>
      </c>
      <c r="C1621" s="3614">
        <v>39</v>
      </c>
      <c r="D1621" s="3511">
        <v>1038</v>
      </c>
      <c r="E1621" s="3695" t="s">
        <v>169</v>
      </c>
      <c r="F1621" s="3695" t="s">
        <v>1571</v>
      </c>
      <c r="I1621" s="3443">
        <v>712</v>
      </c>
      <c r="J1621" s="3443" t="s">
        <v>2974</v>
      </c>
      <c r="K1621" s="3511" t="s">
        <v>174</v>
      </c>
      <c r="L1621" s="3443" t="s">
        <v>30</v>
      </c>
      <c r="M1621" s="3443"/>
      <c r="N1621" s="3443"/>
      <c r="O1621" s="3443"/>
      <c r="P1621" s="3443"/>
      <c r="Q1621" s="3443"/>
      <c r="R1621" s="3443"/>
      <c r="S1621" s="3443"/>
      <c r="T1621" s="3443"/>
      <c r="U1621" s="3443"/>
      <c r="V1621" s="3443"/>
      <c r="W1621" s="3507"/>
      <c r="X1621" s="3793"/>
      <c r="Y1621" s="1457"/>
    </row>
    <row r="1622" spans="1:25" ht="28.5" hidden="1">
      <c r="A1622" s="3480" t="s">
        <v>25</v>
      </c>
      <c r="B1622" s="3444">
        <v>45922</v>
      </c>
      <c r="C1622" s="3614">
        <v>39</v>
      </c>
      <c r="D1622" s="3511"/>
      <c r="E1622" s="3695" t="s">
        <v>1571</v>
      </c>
      <c r="F1622" s="3695" t="s">
        <v>169</v>
      </c>
      <c r="I1622" s="3443">
        <v>712</v>
      </c>
      <c r="J1622" s="3443" t="s">
        <v>3267</v>
      </c>
      <c r="K1622" s="3511" t="s">
        <v>174</v>
      </c>
      <c r="L1622" s="3443" t="s">
        <v>37</v>
      </c>
      <c r="M1622" s="3443"/>
      <c r="N1622" s="3443"/>
      <c r="O1622" s="3443"/>
      <c r="P1622" s="3443"/>
      <c r="Q1622" s="3443"/>
      <c r="R1622" s="3443"/>
      <c r="S1622" s="3443"/>
      <c r="T1622" s="3443"/>
      <c r="U1622" s="3443"/>
      <c r="V1622" s="3443"/>
      <c r="W1622" s="3507"/>
      <c r="X1622" s="3793"/>
      <c r="Y1622" s="1457"/>
    </row>
    <row r="1623" spans="1:25" ht="28.5" hidden="1">
      <c r="A1623" s="3480" t="s">
        <v>25</v>
      </c>
      <c r="B1623" s="3444">
        <v>45922</v>
      </c>
      <c r="C1623" s="3614">
        <v>39</v>
      </c>
      <c r="D1623" s="4130">
        <v>1039</v>
      </c>
      <c r="E1623" s="3878" t="s">
        <v>1464</v>
      </c>
      <c r="F1623" s="3878" t="s">
        <v>3225</v>
      </c>
      <c r="I1623" s="3443">
        <v>701</v>
      </c>
      <c r="J1623" s="3443" t="s">
        <v>2705</v>
      </c>
      <c r="K1623" s="2369"/>
      <c r="L1623" s="3443" t="s">
        <v>30</v>
      </c>
      <c r="M1623" s="3443"/>
      <c r="N1623" s="3443"/>
      <c r="O1623" s="3443"/>
      <c r="P1623" s="3443"/>
      <c r="Q1623" s="3443"/>
      <c r="R1623" s="3443"/>
      <c r="S1623" s="3443"/>
      <c r="T1623" s="3443"/>
      <c r="U1623" s="3443"/>
      <c r="V1623" s="3443"/>
      <c r="W1623" s="3507"/>
      <c r="X1623" s="3793"/>
      <c r="Y1623" s="1457"/>
    </row>
    <row r="1624" spans="1:25" ht="28.5" hidden="1">
      <c r="A1624" s="3480" t="s">
        <v>25</v>
      </c>
      <c r="B1624" s="3444">
        <v>45922</v>
      </c>
      <c r="C1624" s="3614">
        <v>39</v>
      </c>
      <c r="D1624" s="4130"/>
      <c r="E1624" s="3878" t="s">
        <v>1465</v>
      </c>
      <c r="F1624" s="3878" t="s">
        <v>3228</v>
      </c>
      <c r="I1624" s="3443">
        <v>701</v>
      </c>
      <c r="J1624" s="3443" t="s">
        <v>2839</v>
      </c>
      <c r="K1624" s="2369"/>
      <c r="L1624" s="3443" t="s">
        <v>37</v>
      </c>
      <c r="M1624" s="3443"/>
      <c r="N1624" s="3443"/>
      <c r="O1624" s="3443"/>
      <c r="P1624" s="3443"/>
      <c r="Q1624" s="3443"/>
      <c r="R1624" s="3443"/>
      <c r="S1624" s="3443"/>
      <c r="T1624" s="3443"/>
      <c r="U1624" s="3443"/>
      <c r="V1624" s="3443"/>
      <c r="W1624" s="3507"/>
      <c r="X1624" s="3793"/>
      <c r="Y1624" s="1457"/>
    </row>
    <row r="1625" spans="1:25" ht="28.5" hidden="1">
      <c r="A1625" s="3480" t="s">
        <v>25</v>
      </c>
      <c r="B1625" s="3444">
        <v>45922</v>
      </c>
      <c r="C1625" s="3614">
        <v>39</v>
      </c>
      <c r="D1625" s="4130">
        <v>1040</v>
      </c>
      <c r="E1625" s="3616" t="s">
        <v>273</v>
      </c>
      <c r="F1625" s="3616" t="s">
        <v>3387</v>
      </c>
      <c r="I1625" s="3443">
        <v>707</v>
      </c>
      <c r="J1625" s="3443" t="s">
        <v>1245</v>
      </c>
      <c r="K1625" s="2369"/>
      <c r="L1625" s="3443" t="s">
        <v>37</v>
      </c>
      <c r="M1625" s="3443"/>
      <c r="N1625" s="3443"/>
      <c r="O1625" s="3443"/>
      <c r="P1625" s="3443"/>
      <c r="Q1625" s="3443"/>
      <c r="R1625" s="3443"/>
      <c r="S1625" s="3443"/>
      <c r="T1625" s="3443"/>
      <c r="U1625" s="3443"/>
      <c r="V1625" s="3443"/>
      <c r="W1625" s="3507" t="s">
        <v>3388</v>
      </c>
      <c r="X1625" s="3793"/>
      <c r="Y1625" s="1457"/>
    </row>
    <row r="1626" spans="1:25" ht="28.5" hidden="1">
      <c r="A1626" s="3480" t="s">
        <v>25</v>
      </c>
      <c r="B1626" s="3444">
        <v>45922</v>
      </c>
      <c r="C1626" s="3614">
        <v>39</v>
      </c>
      <c r="D1626" s="4130">
        <v>1041</v>
      </c>
      <c r="E1626" s="3614" t="s">
        <v>1484</v>
      </c>
      <c r="F1626" s="3614" t="s">
        <v>3389</v>
      </c>
      <c r="I1626" s="3443">
        <v>707</v>
      </c>
      <c r="J1626" s="3443" t="s">
        <v>94</v>
      </c>
      <c r="K1626" s="2369"/>
      <c r="L1626" s="3443" t="s">
        <v>37</v>
      </c>
      <c r="M1626" s="3443"/>
      <c r="N1626" s="3443"/>
      <c r="O1626" s="3443"/>
      <c r="P1626" s="3443"/>
      <c r="Q1626" s="3443"/>
      <c r="R1626" s="3443"/>
      <c r="S1626" s="3443"/>
      <c r="T1626" s="3443"/>
      <c r="U1626" s="3443"/>
      <c r="V1626" s="3443"/>
      <c r="W1626" s="3507" t="s">
        <v>3390</v>
      </c>
      <c r="X1626" s="3793"/>
      <c r="Y1626" s="1457"/>
    </row>
    <row r="1627" spans="1:25" ht="28.5" hidden="1">
      <c r="A1627" s="3480" t="s">
        <v>25</v>
      </c>
      <c r="B1627" s="3444">
        <v>45922</v>
      </c>
      <c r="C1627" s="3614">
        <v>39</v>
      </c>
      <c r="D1627" s="4129">
        <v>1042</v>
      </c>
      <c r="E1627" s="3851" t="s">
        <v>48</v>
      </c>
      <c r="F1627" s="3851" t="s">
        <v>3391</v>
      </c>
      <c r="I1627" s="3443">
        <v>705</v>
      </c>
      <c r="J1627" s="3443" t="s">
        <v>3392</v>
      </c>
      <c r="K1627" s="2369"/>
      <c r="L1627" s="3443"/>
      <c r="M1627" s="3443" t="s">
        <v>37</v>
      </c>
      <c r="N1627" s="3443"/>
      <c r="O1627" s="3443"/>
      <c r="P1627" s="21" t="s">
        <v>122</v>
      </c>
      <c r="Q1627" s="21" t="s">
        <v>122</v>
      </c>
      <c r="R1627" s="21" t="s">
        <v>2422</v>
      </c>
      <c r="S1627" s="3443"/>
      <c r="T1627" s="3443"/>
      <c r="U1627" s="3443"/>
      <c r="V1627" s="3443"/>
      <c r="W1627" s="3507" t="s">
        <v>3390</v>
      </c>
      <c r="X1627" s="3793" t="s">
        <v>3393</v>
      </c>
      <c r="Y1627" s="1457"/>
    </row>
    <row r="1628" spans="1:25" ht="28.5" hidden="1">
      <c r="A1628" s="3480" t="s">
        <v>25</v>
      </c>
      <c r="B1628" s="3444">
        <v>45922</v>
      </c>
      <c r="C1628" s="3614">
        <v>39</v>
      </c>
      <c r="D1628" s="4129"/>
      <c r="E1628" s="3851" t="s">
        <v>857</v>
      </c>
      <c r="F1628" s="3851" t="s">
        <v>3394</v>
      </c>
      <c r="I1628" s="3443">
        <v>705</v>
      </c>
      <c r="J1628" s="3443" t="s">
        <v>3395</v>
      </c>
      <c r="K1628" s="2369"/>
      <c r="L1628" s="3443"/>
      <c r="M1628" s="3443"/>
      <c r="N1628" s="3443" t="s">
        <v>37</v>
      </c>
      <c r="O1628" s="3443"/>
      <c r="P1628" s="21" t="s">
        <v>122</v>
      </c>
      <c r="Q1628" s="21" t="s">
        <v>122</v>
      </c>
      <c r="R1628" s="21" t="s">
        <v>2422</v>
      </c>
      <c r="S1628" s="3443"/>
      <c r="T1628" s="3443"/>
      <c r="U1628" s="3443"/>
      <c r="V1628" s="3443"/>
      <c r="W1628" s="3507"/>
      <c r="X1628" s="3793"/>
      <c r="Y1628" s="1457"/>
    </row>
    <row r="1629" spans="1:25" ht="28.5" hidden="1">
      <c r="A1629" s="3480" t="s">
        <v>25</v>
      </c>
      <c r="B1629" s="3444">
        <v>45922</v>
      </c>
      <c r="C1629" s="3614">
        <v>39</v>
      </c>
      <c r="D1629" s="4130">
        <v>1043</v>
      </c>
      <c r="E1629" s="3614" t="s">
        <v>48</v>
      </c>
      <c r="F1629" s="3614" t="s">
        <v>1698</v>
      </c>
      <c r="I1629" s="3443">
        <v>705</v>
      </c>
      <c r="J1629" s="3443" t="s">
        <v>3396</v>
      </c>
      <c r="K1629" s="2369"/>
      <c r="L1629" s="3443" t="s">
        <v>37</v>
      </c>
      <c r="M1629" s="3443"/>
      <c r="N1629" s="3443"/>
      <c r="O1629" s="3443"/>
      <c r="P1629" s="3443"/>
      <c r="Q1629" s="3443"/>
      <c r="R1629" s="3443"/>
      <c r="S1629" s="3443"/>
      <c r="T1629" s="3443"/>
      <c r="U1629" s="3443"/>
      <c r="V1629" s="3443"/>
      <c r="W1629" s="3507"/>
      <c r="X1629" s="3793"/>
      <c r="Y1629" s="1457"/>
    </row>
    <row r="1630" spans="1:25" ht="57" hidden="1">
      <c r="A1630" s="3480" t="s">
        <v>25</v>
      </c>
      <c r="B1630" s="3444">
        <v>45922</v>
      </c>
      <c r="C1630" s="3614">
        <v>39</v>
      </c>
      <c r="D1630" s="3511"/>
      <c r="E1630" s="3614" t="s">
        <v>1698</v>
      </c>
      <c r="F1630" s="3614" t="s">
        <v>48</v>
      </c>
      <c r="I1630" s="3443">
        <v>705</v>
      </c>
      <c r="J1630" s="3443" t="s">
        <v>3397</v>
      </c>
      <c r="K1630" s="3511" t="s">
        <v>3270</v>
      </c>
      <c r="L1630" s="3443"/>
      <c r="M1630" s="3443" t="s">
        <v>37</v>
      </c>
      <c r="N1630" s="3443"/>
      <c r="O1630" s="3443"/>
      <c r="P1630" s="21" t="s">
        <v>122</v>
      </c>
      <c r="Q1630" s="21" t="s">
        <v>123</v>
      </c>
      <c r="R1630" s="21" t="s">
        <v>160</v>
      </c>
      <c r="S1630" s="3443"/>
      <c r="T1630" s="3443"/>
      <c r="U1630" s="3443"/>
      <c r="V1630" s="3443"/>
      <c r="W1630" s="3507" t="s">
        <v>3398</v>
      </c>
      <c r="X1630" s="3371" t="s">
        <v>3399</v>
      </c>
      <c r="Y1630" s="1457"/>
    </row>
    <row r="1631" spans="1:25" ht="28.5" hidden="1">
      <c r="A1631" s="3480" t="s">
        <v>25</v>
      </c>
      <c r="B1631" s="3444">
        <v>45922</v>
      </c>
      <c r="C1631" s="3614">
        <v>39</v>
      </c>
      <c r="D1631" s="4130">
        <v>1044</v>
      </c>
      <c r="E1631" s="4110" t="s">
        <v>48</v>
      </c>
      <c r="F1631" s="4110" t="s">
        <v>3140</v>
      </c>
      <c r="I1631" s="3443">
        <v>701</v>
      </c>
      <c r="J1631" s="3443" t="s">
        <v>2705</v>
      </c>
      <c r="K1631" s="2369"/>
      <c r="L1631" s="3443" t="s">
        <v>37</v>
      </c>
      <c r="M1631" s="3443"/>
      <c r="N1631" s="3443"/>
      <c r="O1631" s="3443"/>
      <c r="P1631" s="3443"/>
      <c r="Q1631" s="3443"/>
      <c r="R1631" s="3443"/>
      <c r="S1631" s="3443"/>
      <c r="T1631" s="3443"/>
      <c r="U1631" s="3443"/>
      <c r="V1631" s="3443"/>
      <c r="W1631" s="3507"/>
      <c r="X1631" s="3793"/>
      <c r="Y1631" s="1457"/>
    </row>
    <row r="1632" spans="1:25" ht="28.5" hidden="1">
      <c r="A1632" s="3480" t="s">
        <v>25</v>
      </c>
      <c r="B1632" s="3444">
        <v>45922</v>
      </c>
      <c r="C1632" s="3614">
        <v>39</v>
      </c>
      <c r="D1632" s="4130"/>
      <c r="E1632" s="4110" t="s">
        <v>3006</v>
      </c>
      <c r="F1632" s="4110" t="s">
        <v>142</v>
      </c>
      <c r="I1632" s="3443">
        <v>701</v>
      </c>
      <c r="J1632" s="3443" t="s">
        <v>2839</v>
      </c>
      <c r="K1632" s="2369"/>
      <c r="L1632" s="3443" t="s">
        <v>37</v>
      </c>
      <c r="M1632" s="3443"/>
      <c r="N1632" s="3443"/>
      <c r="O1632" s="3443"/>
      <c r="P1632" s="3443"/>
      <c r="Q1632" s="3443"/>
      <c r="R1632" s="3443"/>
      <c r="S1632" s="3443"/>
      <c r="T1632" s="3443"/>
      <c r="U1632" s="3443"/>
      <c r="V1632" s="3443"/>
      <c r="W1632" s="3507"/>
      <c r="X1632" s="3793"/>
      <c r="Y1632" s="1457"/>
    </row>
    <row r="1633" spans="1:25" ht="57" hidden="1">
      <c r="A1633" s="3480" t="s">
        <v>25</v>
      </c>
      <c r="B1633" s="3444">
        <v>45922</v>
      </c>
      <c r="C1633" s="3614">
        <v>39</v>
      </c>
      <c r="D1633" s="4130">
        <v>1045</v>
      </c>
      <c r="E1633" s="3614" t="s">
        <v>243</v>
      </c>
      <c r="F1633" s="3614" t="s">
        <v>3400</v>
      </c>
      <c r="I1633" s="3443">
        <v>707</v>
      </c>
      <c r="J1633" s="3443" t="s">
        <v>1289</v>
      </c>
      <c r="K1633" s="2369"/>
      <c r="L1633" s="3443"/>
      <c r="M1633" s="3443" t="s">
        <v>37</v>
      </c>
      <c r="N1633" s="3443"/>
      <c r="O1633" s="3443"/>
      <c r="P1633" s="21" t="s">
        <v>71</v>
      </c>
      <c r="Q1633" s="21" t="s">
        <v>178</v>
      </c>
      <c r="R1633" s="21" t="s">
        <v>38</v>
      </c>
      <c r="S1633" s="3443"/>
      <c r="T1633" s="3443"/>
      <c r="U1633" s="3443"/>
      <c r="V1633" s="3443"/>
      <c r="W1633" s="3507" t="s">
        <v>3401</v>
      </c>
      <c r="X1633" s="3793"/>
      <c r="Y1633" s="1457"/>
    </row>
    <row r="1634" spans="1:25" ht="28.5" hidden="1">
      <c r="A1634" s="3500" t="s">
        <v>25</v>
      </c>
      <c r="B1634" s="3463">
        <v>45922</v>
      </c>
      <c r="C1634" s="3689">
        <v>39</v>
      </c>
      <c r="D1634" s="3632">
        <v>1046</v>
      </c>
      <c r="E1634" s="3689" t="s">
        <v>68</v>
      </c>
      <c r="F1634" s="3689" t="s">
        <v>3402</v>
      </c>
      <c r="G1634" s="3273"/>
      <c r="H1634" s="3273"/>
      <c r="I1634" s="3462">
        <v>707</v>
      </c>
      <c r="J1634" s="3462" t="s">
        <v>3371</v>
      </c>
      <c r="K1634" s="3632" t="s">
        <v>29</v>
      </c>
      <c r="L1634" s="3462" t="s">
        <v>37</v>
      </c>
      <c r="M1634" s="3462"/>
      <c r="N1634" s="3462"/>
      <c r="O1634" s="3462"/>
      <c r="P1634" s="3462"/>
      <c r="Q1634" s="3462"/>
      <c r="R1634" s="3462"/>
      <c r="S1634" s="3462"/>
      <c r="T1634" s="3462"/>
      <c r="U1634" s="3462"/>
      <c r="V1634" s="3462"/>
      <c r="W1634" s="3636"/>
      <c r="X1634" s="4112"/>
      <c r="Y1634" s="4113"/>
    </row>
    <row r="1635" spans="1:25" ht="28.5" hidden="1">
      <c r="A1635" s="3477" t="s">
        <v>25</v>
      </c>
      <c r="B1635" s="3478">
        <v>45922</v>
      </c>
      <c r="C1635" s="3708">
        <v>39</v>
      </c>
      <c r="D1635" s="4149">
        <v>1047</v>
      </c>
      <c r="E1635" s="4074" t="s">
        <v>48</v>
      </c>
      <c r="F1635" s="4611" t="s">
        <v>165</v>
      </c>
      <c r="G1635" s="3365"/>
      <c r="H1635" s="4114"/>
      <c r="I1635" s="3477">
        <v>701</v>
      </c>
      <c r="J1635" s="3503" t="s">
        <v>2705</v>
      </c>
      <c r="K1635" s="3871"/>
      <c r="L1635" s="3503" t="s">
        <v>37</v>
      </c>
      <c r="M1635" s="3503"/>
      <c r="N1635" s="3503"/>
      <c r="O1635" s="3503"/>
      <c r="P1635" s="3503"/>
      <c r="Q1635" s="3503"/>
      <c r="R1635" s="3503"/>
      <c r="S1635" s="3503"/>
      <c r="T1635" s="3503"/>
      <c r="U1635" s="3503"/>
      <c r="V1635" s="3503"/>
      <c r="W1635" s="3519"/>
      <c r="X1635" s="3281"/>
      <c r="Y1635" s="3282"/>
    </row>
    <row r="1636" spans="1:25" ht="28.5" hidden="1">
      <c r="A1636" s="3480" t="s">
        <v>25</v>
      </c>
      <c r="B1636" s="3444">
        <v>45922</v>
      </c>
      <c r="C1636" s="3614">
        <v>39</v>
      </c>
      <c r="D1636" s="4130"/>
      <c r="E1636" s="3541" t="s">
        <v>168</v>
      </c>
      <c r="F1636" s="3659" t="s">
        <v>142</v>
      </c>
      <c r="G1636" s="3254"/>
      <c r="H1636" s="3253"/>
      <c r="I1636" s="3480">
        <v>701</v>
      </c>
      <c r="J1636" s="3443" t="s">
        <v>2839</v>
      </c>
      <c r="K1636" s="2369"/>
      <c r="L1636" s="3443" t="s">
        <v>37</v>
      </c>
      <c r="M1636" s="3443"/>
      <c r="N1636" s="3443"/>
      <c r="O1636" s="3443"/>
      <c r="P1636" s="3443"/>
      <c r="Q1636" s="3443"/>
      <c r="R1636" s="3443"/>
      <c r="S1636" s="3443"/>
      <c r="T1636" s="3443"/>
      <c r="U1636" s="3443"/>
      <c r="V1636" s="3443"/>
      <c r="W1636" s="3507"/>
      <c r="Y1636" s="3283"/>
    </row>
    <row r="1637" spans="1:25" ht="28.5" hidden="1">
      <c r="A1637" s="3480" t="s">
        <v>67</v>
      </c>
      <c r="B1637" s="3444">
        <v>45923</v>
      </c>
      <c r="C1637" s="3614">
        <v>39</v>
      </c>
      <c r="D1637" s="4130"/>
      <c r="E1637" s="3616" t="s">
        <v>1733</v>
      </c>
      <c r="F1637" s="3642" t="s">
        <v>3403</v>
      </c>
      <c r="G1637" s="3254"/>
      <c r="H1637" s="3253"/>
      <c r="I1637" s="3480">
        <v>707</v>
      </c>
      <c r="J1637" s="3443" t="s">
        <v>1245</v>
      </c>
      <c r="K1637" s="2369"/>
      <c r="L1637" s="3443" t="s">
        <v>37</v>
      </c>
      <c r="M1637" s="3443"/>
      <c r="N1637" s="3443"/>
      <c r="O1637" s="3443"/>
      <c r="P1637" s="3443"/>
      <c r="Q1637" s="3443"/>
      <c r="R1637" s="3443"/>
      <c r="S1637" s="3443"/>
      <c r="T1637" s="3443"/>
      <c r="U1637" s="3443"/>
      <c r="V1637" s="3443"/>
      <c r="W1637" s="3507"/>
      <c r="Y1637" s="3283"/>
    </row>
    <row r="1638" spans="1:25" ht="28.5" hidden="1">
      <c r="A1638" s="3480" t="s">
        <v>67</v>
      </c>
      <c r="B1638" s="3444">
        <v>45923</v>
      </c>
      <c r="C1638" s="3614">
        <v>39</v>
      </c>
      <c r="D1638" s="4129"/>
      <c r="E1638" s="3851" t="s">
        <v>436</v>
      </c>
      <c r="F1638" s="3860" t="s">
        <v>3404</v>
      </c>
      <c r="G1638" s="3254"/>
      <c r="H1638" s="3253"/>
      <c r="I1638" s="3480">
        <v>705</v>
      </c>
      <c r="J1638" s="3443" t="s">
        <v>3392</v>
      </c>
      <c r="K1638" s="2369"/>
      <c r="L1638" s="3443"/>
      <c r="M1638" s="3443"/>
      <c r="N1638" s="3443" t="s">
        <v>37</v>
      </c>
      <c r="O1638" s="3443"/>
      <c r="P1638" s="21" t="s">
        <v>71</v>
      </c>
      <c r="Q1638" s="21" t="s">
        <v>178</v>
      </c>
      <c r="R1638" s="21" t="s">
        <v>38</v>
      </c>
      <c r="S1638" s="3443"/>
      <c r="T1638" s="3443"/>
      <c r="U1638" s="3443"/>
      <c r="V1638" s="3443"/>
      <c r="W1638" s="3507"/>
      <c r="Y1638" s="3283"/>
    </row>
    <row r="1639" spans="1:25" ht="28.5" hidden="1">
      <c r="A1639" s="3480" t="s">
        <v>67</v>
      </c>
      <c r="B1639" s="3444">
        <v>45923</v>
      </c>
      <c r="C1639" s="3614">
        <v>39</v>
      </c>
      <c r="D1639" s="4130">
        <v>1048</v>
      </c>
      <c r="E1639" s="3878" t="s">
        <v>1464</v>
      </c>
      <c r="F1639" s="3896" t="s">
        <v>3225</v>
      </c>
      <c r="G1639" s="3254"/>
      <c r="H1639" s="3253"/>
      <c r="I1639" s="3480">
        <v>701</v>
      </c>
      <c r="J1639" s="3443" t="s">
        <v>2839</v>
      </c>
      <c r="K1639" s="2369"/>
      <c r="L1639" s="3443" t="s">
        <v>37</v>
      </c>
      <c r="M1639" s="3443"/>
      <c r="N1639" s="3443"/>
      <c r="O1639" s="3443"/>
      <c r="P1639" s="3443"/>
      <c r="Q1639" s="3443"/>
      <c r="R1639" s="3443"/>
      <c r="S1639" s="3443"/>
      <c r="T1639" s="3443"/>
      <c r="U1639" s="3443"/>
      <c r="V1639" s="3443"/>
      <c r="W1639" s="3507"/>
      <c r="Y1639" s="3283"/>
    </row>
    <row r="1640" spans="1:25" ht="28.5" hidden="1">
      <c r="A1640" s="3480" t="s">
        <v>67</v>
      </c>
      <c r="B1640" s="3444">
        <v>45923</v>
      </c>
      <c r="C1640" s="3614">
        <v>39</v>
      </c>
      <c r="D1640" s="4130"/>
      <c r="E1640" s="3878" t="s">
        <v>1465</v>
      </c>
      <c r="F1640" s="3896" t="s">
        <v>3228</v>
      </c>
      <c r="G1640" s="3254"/>
      <c r="H1640" s="3253"/>
      <c r="I1640" s="3480">
        <v>701</v>
      </c>
      <c r="J1640" s="3443" t="s">
        <v>2839</v>
      </c>
      <c r="K1640" s="2369"/>
      <c r="L1640" s="3443" t="s">
        <v>37</v>
      </c>
      <c r="M1640" s="3443"/>
      <c r="N1640" s="3443"/>
      <c r="O1640" s="3443"/>
      <c r="P1640" s="3443"/>
      <c r="Q1640" s="3443"/>
      <c r="R1640" s="3443"/>
      <c r="S1640" s="3443"/>
      <c r="T1640" s="3443"/>
      <c r="U1640" s="3443"/>
      <c r="V1640" s="3443"/>
      <c r="W1640" s="3507"/>
      <c r="Y1640" s="3283"/>
    </row>
    <row r="1641" spans="1:25" ht="28.5" hidden="1">
      <c r="A1641" s="3480" t="s">
        <v>67</v>
      </c>
      <c r="B1641" s="3444">
        <v>45923</v>
      </c>
      <c r="C1641" s="3614">
        <v>39</v>
      </c>
      <c r="D1641" s="4130">
        <v>1049</v>
      </c>
      <c r="E1641" s="3846" t="s">
        <v>273</v>
      </c>
      <c r="F1641" s="4115" t="s">
        <v>3405</v>
      </c>
      <c r="G1641" s="3254"/>
      <c r="H1641" s="3253"/>
      <c r="I1641" s="3480">
        <v>707</v>
      </c>
      <c r="J1641" s="3443" t="s">
        <v>3406</v>
      </c>
      <c r="K1641" s="2369"/>
      <c r="L1641" s="3443" t="s">
        <v>37</v>
      </c>
      <c r="M1641" s="3443"/>
      <c r="N1641" s="3443"/>
      <c r="O1641" s="3443"/>
      <c r="P1641" s="3443"/>
      <c r="Q1641" s="3443"/>
      <c r="R1641" s="3443"/>
      <c r="S1641" s="3443"/>
      <c r="T1641" s="3443"/>
      <c r="U1641" s="3443"/>
      <c r="V1641" s="3443"/>
      <c r="W1641" s="3507"/>
      <c r="Y1641" s="3283"/>
    </row>
    <row r="1642" spans="1:25" ht="28.5" hidden="1">
      <c r="A1642" s="3480" t="s">
        <v>67</v>
      </c>
      <c r="B1642" s="3444">
        <v>45923</v>
      </c>
      <c r="C1642" s="3614">
        <v>39</v>
      </c>
      <c r="D1642" s="4130"/>
      <c r="E1642" s="3846" t="s">
        <v>1598</v>
      </c>
      <c r="F1642" s="4115" t="s">
        <v>61</v>
      </c>
      <c r="G1642" s="3254"/>
      <c r="H1642" s="3253"/>
      <c r="I1642" s="3480">
        <v>707</v>
      </c>
      <c r="J1642" s="3443" t="s">
        <v>226</v>
      </c>
      <c r="K1642" s="2369"/>
      <c r="L1642" s="3443" t="s">
        <v>37</v>
      </c>
      <c r="M1642" s="3443"/>
      <c r="N1642" s="3443"/>
      <c r="O1642" s="3443"/>
      <c r="P1642" s="3443"/>
      <c r="Q1642" s="3443"/>
      <c r="R1642" s="3443"/>
      <c r="S1642" s="3443"/>
      <c r="T1642" s="3443"/>
      <c r="U1642" s="3443"/>
      <c r="V1642" s="3443"/>
      <c r="W1642" s="3507"/>
      <c r="Y1642" s="3283"/>
    </row>
    <row r="1643" spans="1:25" ht="57" hidden="1">
      <c r="A1643" s="3480" t="s">
        <v>67</v>
      </c>
      <c r="B1643" s="3444">
        <v>45923</v>
      </c>
      <c r="C1643" s="3614">
        <v>39</v>
      </c>
      <c r="D1643" s="4129"/>
      <c r="E1643" s="3846" t="s">
        <v>80</v>
      </c>
      <c r="F1643" s="4115" t="s">
        <v>3404</v>
      </c>
      <c r="G1643" s="3254"/>
      <c r="H1643" s="3253"/>
      <c r="I1643" s="3480">
        <v>707</v>
      </c>
      <c r="J1643" s="3443" t="s">
        <v>226</v>
      </c>
      <c r="K1643" s="2369"/>
      <c r="L1643" s="3443"/>
      <c r="M1643" s="3443" t="s">
        <v>30</v>
      </c>
      <c r="N1643" s="3443"/>
      <c r="O1643" s="3443"/>
      <c r="P1643" s="21" t="s">
        <v>71</v>
      </c>
      <c r="Q1643" s="21" t="s">
        <v>3109</v>
      </c>
      <c r="R1643" s="21" t="s">
        <v>38</v>
      </c>
      <c r="S1643" s="3443"/>
      <c r="T1643" s="3443"/>
      <c r="U1643" s="3443"/>
      <c r="V1643" s="3443"/>
      <c r="W1643" s="3507" t="s">
        <v>3407</v>
      </c>
      <c r="Y1643" s="3283"/>
    </row>
    <row r="1644" spans="1:25" ht="28.5" hidden="1">
      <c r="A1644" s="3480" t="s">
        <v>67</v>
      </c>
      <c r="B1644" s="3444">
        <v>45923</v>
      </c>
      <c r="C1644" s="3614">
        <v>39</v>
      </c>
      <c r="D1644" s="4130">
        <v>1050</v>
      </c>
      <c r="E1644" s="3569" t="s">
        <v>48</v>
      </c>
      <c r="F1644" s="3644" t="s">
        <v>2276</v>
      </c>
      <c r="G1644" s="3254"/>
      <c r="H1644" s="3253"/>
      <c r="I1644" s="3480">
        <v>707</v>
      </c>
      <c r="J1644" s="3443" t="s">
        <v>226</v>
      </c>
      <c r="K1644" s="2369"/>
      <c r="L1644" s="3443" t="s">
        <v>37</v>
      </c>
      <c r="M1644" s="3443"/>
      <c r="N1644" s="3443"/>
      <c r="O1644" s="3443"/>
      <c r="P1644" s="3443"/>
      <c r="Q1644" s="3443"/>
      <c r="R1644" s="3443"/>
      <c r="S1644" s="3443"/>
      <c r="T1644" s="3443"/>
      <c r="U1644" s="3443"/>
      <c r="V1644" s="3443"/>
      <c r="W1644" s="3507"/>
      <c r="Y1644" s="3283"/>
    </row>
    <row r="1645" spans="1:25" ht="28.5" hidden="1">
      <c r="A1645" s="3480" t="s">
        <v>67</v>
      </c>
      <c r="B1645" s="3444">
        <v>45923</v>
      </c>
      <c r="C1645" s="3614">
        <v>39</v>
      </c>
      <c r="D1645" s="4130"/>
      <c r="E1645" s="3569" t="s">
        <v>339</v>
      </c>
      <c r="F1645" s="3644" t="s">
        <v>142</v>
      </c>
      <c r="G1645" s="3254"/>
      <c r="H1645" s="3253"/>
      <c r="I1645" s="3480">
        <v>707</v>
      </c>
      <c r="J1645" s="3443" t="s">
        <v>3408</v>
      </c>
      <c r="K1645" s="2369"/>
      <c r="L1645" s="3443" t="s">
        <v>37</v>
      </c>
      <c r="M1645" s="3443"/>
      <c r="N1645" s="3443"/>
      <c r="O1645" s="3443"/>
      <c r="P1645" s="3443"/>
      <c r="Q1645" s="3443"/>
      <c r="R1645" s="3443"/>
      <c r="S1645" s="3443"/>
      <c r="T1645" s="3443"/>
      <c r="U1645" s="3443"/>
      <c r="V1645" s="3443"/>
      <c r="W1645" s="3507"/>
      <c r="Y1645" s="3283"/>
    </row>
    <row r="1646" spans="1:25" ht="28.5" hidden="1">
      <c r="A1646" s="3480" t="s">
        <v>67</v>
      </c>
      <c r="B1646" s="3444">
        <v>45923</v>
      </c>
      <c r="C1646" s="3614">
        <v>39</v>
      </c>
      <c r="D1646" s="4130">
        <v>1051</v>
      </c>
      <c r="E1646" s="3618" t="s">
        <v>169</v>
      </c>
      <c r="F1646" s="3646" t="s">
        <v>368</v>
      </c>
      <c r="G1646" s="3254"/>
      <c r="H1646" s="3253"/>
      <c r="I1646" s="3480">
        <v>707</v>
      </c>
      <c r="J1646" s="3443" t="s">
        <v>3409</v>
      </c>
      <c r="K1646" s="2369"/>
      <c r="L1646" s="3443"/>
      <c r="M1646" s="3443"/>
      <c r="N1646" s="3443" t="s">
        <v>37</v>
      </c>
      <c r="O1646" s="3443"/>
      <c r="P1646" s="21" t="s">
        <v>71</v>
      </c>
      <c r="Q1646" s="21" t="s">
        <v>3109</v>
      </c>
      <c r="R1646" s="21" t="s">
        <v>38</v>
      </c>
      <c r="S1646" s="3443" t="s">
        <v>37</v>
      </c>
      <c r="T1646" s="3443"/>
      <c r="U1646" s="3443"/>
      <c r="V1646" s="3443"/>
      <c r="W1646" s="3507" t="s">
        <v>3410</v>
      </c>
      <c r="Y1646" s="3283"/>
    </row>
    <row r="1647" spans="1:25" ht="28.5" hidden="1">
      <c r="A1647" s="3480" t="s">
        <v>67</v>
      </c>
      <c r="B1647" s="3444">
        <v>45923</v>
      </c>
      <c r="C1647" s="3614">
        <v>39</v>
      </c>
      <c r="D1647" s="4150"/>
      <c r="E1647" s="3618" t="s">
        <v>264</v>
      </c>
      <c r="F1647" s="3646" t="s">
        <v>488</v>
      </c>
      <c r="G1647" s="3254"/>
      <c r="H1647" s="3253"/>
      <c r="I1647" s="3480">
        <v>707</v>
      </c>
      <c r="J1647" s="3443" t="s">
        <v>3411</v>
      </c>
      <c r="K1647" s="2369"/>
      <c r="L1647" s="3443"/>
      <c r="M1647" s="3443"/>
      <c r="N1647" s="3443" t="s">
        <v>37</v>
      </c>
      <c r="O1647" s="3443"/>
      <c r="P1647" s="21" t="s">
        <v>71</v>
      </c>
      <c r="Q1647" s="21" t="s">
        <v>3109</v>
      </c>
      <c r="R1647" s="21" t="s">
        <v>38</v>
      </c>
      <c r="S1647" s="3443"/>
      <c r="T1647" s="3443"/>
      <c r="U1647" s="3443"/>
      <c r="V1647" s="3443"/>
      <c r="W1647" s="3507"/>
      <c r="Y1647" s="3283"/>
    </row>
    <row r="1648" spans="1:25" ht="28.5" hidden="1">
      <c r="A1648" s="3480" t="s">
        <v>67</v>
      </c>
      <c r="B1648" s="3444">
        <v>45923</v>
      </c>
      <c r="C1648" s="3614">
        <v>39</v>
      </c>
      <c r="D1648" s="4130">
        <v>1052</v>
      </c>
      <c r="E1648" s="4092" t="s">
        <v>48</v>
      </c>
      <c r="F1648" s="4116" t="s">
        <v>3140</v>
      </c>
      <c r="G1648" s="3254"/>
      <c r="H1648" s="3253"/>
      <c r="I1648" s="3480">
        <v>705</v>
      </c>
      <c r="J1648" s="3443" t="s">
        <v>3412</v>
      </c>
      <c r="K1648" s="2369"/>
      <c r="L1648" s="3443" t="s">
        <v>37</v>
      </c>
      <c r="M1648" s="3443"/>
      <c r="N1648" s="3443"/>
      <c r="O1648" s="3443"/>
      <c r="P1648" s="3443"/>
      <c r="Q1648" s="3443"/>
      <c r="R1648" s="3443"/>
      <c r="S1648" s="3443"/>
      <c r="T1648" s="3443"/>
      <c r="U1648" s="3443"/>
      <c r="V1648" s="3443"/>
      <c r="W1648" s="3507"/>
      <c r="Y1648" s="3283"/>
    </row>
    <row r="1649" spans="1:25" ht="29.25" hidden="1" thickBot="1">
      <c r="A1649" s="3494" t="s">
        <v>67</v>
      </c>
      <c r="B1649" s="3448">
        <v>45923</v>
      </c>
      <c r="C1649" s="3690">
        <v>39</v>
      </c>
      <c r="D1649" s="4131"/>
      <c r="E1649" s="4530" t="s">
        <v>3006</v>
      </c>
      <c r="F1649" s="4606" t="s">
        <v>48</v>
      </c>
      <c r="G1649" s="3364"/>
      <c r="H1649" s="3876"/>
      <c r="I1649" s="3494">
        <v>705</v>
      </c>
      <c r="J1649" s="3447" t="s">
        <v>3412</v>
      </c>
      <c r="K1649" s="3875"/>
      <c r="L1649" s="3447" t="s">
        <v>37</v>
      </c>
      <c r="M1649" s="3447"/>
      <c r="N1649" s="3447"/>
      <c r="O1649" s="3447"/>
      <c r="P1649" s="4766"/>
      <c r="Q1649" s="4019"/>
      <c r="R1649" s="4766"/>
      <c r="S1649" s="3447"/>
      <c r="T1649" s="3447"/>
      <c r="U1649" s="3447"/>
      <c r="V1649" s="3447"/>
      <c r="W1649" s="3707"/>
      <c r="X1649" s="3284"/>
      <c r="Y1649" s="3285"/>
    </row>
    <row r="1650" spans="1:25" ht="28.5" hidden="1">
      <c r="A1650" s="3493" t="s">
        <v>67</v>
      </c>
      <c r="B1650" s="3457">
        <v>45923</v>
      </c>
      <c r="C1650" s="3685">
        <v>39</v>
      </c>
      <c r="D1650" s="4138">
        <v>1053</v>
      </c>
      <c r="E1650" s="3685" t="s">
        <v>168</v>
      </c>
      <c r="F1650" s="3685" t="s">
        <v>48</v>
      </c>
      <c r="G1650" s="3281"/>
      <c r="H1650" s="3281"/>
      <c r="I1650" s="3456">
        <v>705</v>
      </c>
      <c r="J1650" s="3456" t="s">
        <v>902</v>
      </c>
      <c r="K1650" s="3873"/>
      <c r="L1650" s="3456" t="s">
        <v>37</v>
      </c>
      <c r="M1650" s="3456"/>
      <c r="N1650" s="3456"/>
      <c r="O1650" s="3456"/>
      <c r="P1650" s="3456"/>
      <c r="Q1650" s="3456"/>
      <c r="R1650" s="3456"/>
      <c r="S1650" s="3456"/>
      <c r="T1650" s="3456"/>
      <c r="U1650" s="3456"/>
      <c r="V1650" s="3456"/>
      <c r="W1650" s="3512"/>
      <c r="X1650" s="3276"/>
      <c r="Y1650" s="3795"/>
    </row>
    <row r="1651" spans="1:25" ht="78.75" hidden="1">
      <c r="A1651" s="3480" t="s">
        <v>67</v>
      </c>
      <c r="B1651" s="3444">
        <v>45923</v>
      </c>
      <c r="C1651" s="3614">
        <v>39</v>
      </c>
      <c r="D1651" s="4130">
        <v>1054</v>
      </c>
      <c r="E1651" s="3614" t="s">
        <v>1571</v>
      </c>
      <c r="F1651" s="3614" t="s">
        <v>169</v>
      </c>
      <c r="I1651" s="3443">
        <v>712</v>
      </c>
      <c r="J1651" s="3443" t="s">
        <v>3413</v>
      </c>
      <c r="K1651" s="3511" t="s">
        <v>174</v>
      </c>
      <c r="L1651" s="3443"/>
      <c r="M1651" s="3443" t="s">
        <v>37</v>
      </c>
      <c r="N1651" s="3443"/>
      <c r="O1651" s="3443"/>
      <c r="P1651" s="21" t="s">
        <v>231</v>
      </c>
      <c r="Q1651" s="21" t="s">
        <v>1048</v>
      </c>
      <c r="R1651" s="21" t="s">
        <v>38</v>
      </c>
      <c r="S1651" s="3443"/>
      <c r="T1651" s="3443"/>
      <c r="U1651" s="3443"/>
      <c r="V1651" s="3443"/>
      <c r="W1651" s="3507" t="s">
        <v>3414</v>
      </c>
      <c r="X1651" s="3166" t="s">
        <v>3415</v>
      </c>
      <c r="Y1651" s="3283"/>
    </row>
    <row r="1652" spans="1:25" ht="28.5" hidden="1">
      <c r="A1652" s="3480" t="s">
        <v>105</v>
      </c>
      <c r="B1652" s="3444">
        <v>45923</v>
      </c>
      <c r="C1652" s="3614">
        <v>39</v>
      </c>
      <c r="D1652" s="4130">
        <v>1060</v>
      </c>
      <c r="E1652" s="3618" t="s">
        <v>169</v>
      </c>
      <c r="F1652" s="3618" t="s">
        <v>368</v>
      </c>
      <c r="I1652" s="3443">
        <v>707</v>
      </c>
      <c r="J1652" s="3443" t="s">
        <v>3409</v>
      </c>
      <c r="K1652" s="2369"/>
      <c r="L1652" s="3443" t="s">
        <v>30</v>
      </c>
      <c r="M1652" s="3443"/>
      <c r="N1652" s="3443"/>
      <c r="O1652" s="3443" t="s">
        <v>30</v>
      </c>
      <c r="P1652" s="3443"/>
      <c r="Q1652" s="3443"/>
      <c r="R1652" s="3443"/>
      <c r="S1652" s="3443"/>
      <c r="T1652" s="3443"/>
      <c r="U1652" s="3443"/>
      <c r="V1652" s="3443"/>
      <c r="W1652" s="3507" t="s">
        <v>3416</v>
      </c>
      <c r="Y1652" s="3283"/>
    </row>
    <row r="1653" spans="1:25" ht="28.5" hidden="1">
      <c r="A1653" s="3480" t="s">
        <v>105</v>
      </c>
      <c r="B1653" s="3444">
        <v>45923</v>
      </c>
      <c r="C1653" s="3614">
        <v>39</v>
      </c>
      <c r="D1653" s="4130"/>
      <c r="E1653" s="3618" t="s">
        <v>264</v>
      </c>
      <c r="F1653" s="3618" t="s">
        <v>488</v>
      </c>
      <c r="I1653" s="3443">
        <v>707</v>
      </c>
      <c r="J1653" s="3443" t="s">
        <v>3417</v>
      </c>
      <c r="K1653" s="2369"/>
      <c r="L1653" s="3443" t="s">
        <v>37</v>
      </c>
      <c r="M1653" s="3443"/>
      <c r="N1653" s="3443"/>
      <c r="O1653" s="3443"/>
      <c r="P1653" s="3443"/>
      <c r="Q1653" s="3443"/>
      <c r="R1653" s="3443"/>
      <c r="S1653" s="3443"/>
      <c r="T1653" s="3443"/>
      <c r="U1653" s="3443"/>
      <c r="V1653" s="3443"/>
      <c r="W1653" s="3507"/>
      <c r="Y1653" s="3283"/>
    </row>
    <row r="1654" spans="1:25" ht="28.5" hidden="1">
      <c r="A1654" s="3480" t="s">
        <v>85</v>
      </c>
      <c r="B1654" s="3444">
        <v>45924</v>
      </c>
      <c r="C1654" s="3614">
        <v>39</v>
      </c>
      <c r="D1654" s="4130">
        <v>1055</v>
      </c>
      <c r="E1654" s="3878" t="s">
        <v>1464</v>
      </c>
      <c r="F1654" s="3878" t="s">
        <v>3225</v>
      </c>
      <c r="I1654" s="3443">
        <v>701</v>
      </c>
      <c r="J1654" s="3443" t="s">
        <v>2705</v>
      </c>
      <c r="K1654" s="2369"/>
      <c r="L1654" s="3443" t="s">
        <v>37</v>
      </c>
      <c r="M1654" s="3443"/>
      <c r="N1654" s="3443"/>
      <c r="O1654" s="3443"/>
      <c r="P1654" s="3443"/>
      <c r="Q1654" s="3443"/>
      <c r="R1654" s="3443"/>
      <c r="S1654" s="3443"/>
      <c r="T1654" s="3443"/>
      <c r="U1654" s="3443"/>
      <c r="V1654" s="3443"/>
      <c r="W1654" s="3507"/>
      <c r="Y1654" s="3283"/>
    </row>
    <row r="1655" spans="1:25" ht="28.5" hidden="1">
      <c r="A1655" s="3480" t="s">
        <v>85</v>
      </c>
      <c r="B1655" s="3444">
        <v>45924</v>
      </c>
      <c r="C1655" s="3614">
        <v>39</v>
      </c>
      <c r="D1655" s="4130"/>
      <c r="E1655" s="3878" t="s">
        <v>1465</v>
      </c>
      <c r="F1655" s="3878" t="s">
        <v>3228</v>
      </c>
      <c r="I1655" s="3443">
        <v>701</v>
      </c>
      <c r="J1655" s="3443" t="s">
        <v>2839</v>
      </c>
      <c r="K1655" s="2369"/>
      <c r="L1655" s="3443" t="s">
        <v>37</v>
      </c>
      <c r="M1655" s="3443"/>
      <c r="N1655" s="3443"/>
      <c r="O1655" s="3443"/>
      <c r="P1655" s="3443"/>
      <c r="Q1655" s="3443"/>
      <c r="R1655" s="3443"/>
      <c r="S1655" s="3443"/>
      <c r="T1655" s="3443"/>
      <c r="U1655" s="3443"/>
      <c r="V1655" s="3443"/>
      <c r="W1655" s="3507"/>
      <c r="Y1655" s="3283"/>
    </row>
    <row r="1656" spans="1:25" ht="28.5" hidden="1">
      <c r="A1656" s="3480" t="s">
        <v>85</v>
      </c>
      <c r="B1656" s="3444">
        <v>45924</v>
      </c>
      <c r="C1656" s="3614">
        <v>39</v>
      </c>
      <c r="D1656" s="4130">
        <v>1056</v>
      </c>
      <c r="E1656" s="3846" t="s">
        <v>80</v>
      </c>
      <c r="F1656" s="3846" t="s">
        <v>3404</v>
      </c>
      <c r="I1656" s="3443">
        <v>707</v>
      </c>
      <c r="J1656" s="3443" t="s">
        <v>226</v>
      </c>
      <c r="K1656" s="2369"/>
      <c r="L1656" s="3443" t="s">
        <v>37</v>
      </c>
      <c r="M1656" s="3443"/>
      <c r="N1656" s="3443"/>
      <c r="O1656" s="3443"/>
      <c r="P1656" s="3443"/>
      <c r="Q1656" s="3443"/>
      <c r="R1656" s="3443"/>
      <c r="S1656" s="3443"/>
      <c r="T1656" s="3443" t="s">
        <v>30</v>
      </c>
      <c r="U1656" s="3443"/>
      <c r="V1656" s="3443"/>
      <c r="W1656" s="3507" t="s">
        <v>3418</v>
      </c>
      <c r="Y1656" s="3283"/>
    </row>
    <row r="1657" spans="1:25" ht="28.5" hidden="1">
      <c r="A1657" s="3480" t="s">
        <v>85</v>
      </c>
      <c r="B1657" s="3444">
        <v>45924</v>
      </c>
      <c r="C1657" s="3614">
        <v>39</v>
      </c>
      <c r="D1657" s="4130"/>
      <c r="E1657" s="3721" t="s">
        <v>48</v>
      </c>
      <c r="F1657" s="3721" t="s">
        <v>183</v>
      </c>
      <c r="I1657" s="3443">
        <v>707</v>
      </c>
      <c r="J1657" s="3443" t="s">
        <v>3419</v>
      </c>
      <c r="K1657" s="2369"/>
      <c r="L1657" s="3443"/>
      <c r="M1657" s="3443" t="s">
        <v>30</v>
      </c>
      <c r="N1657" s="3443"/>
      <c r="O1657" s="3443" t="s">
        <v>30</v>
      </c>
      <c r="P1657" s="21" t="s">
        <v>231</v>
      </c>
      <c r="Q1657" s="21" t="s">
        <v>1048</v>
      </c>
      <c r="R1657" s="21" t="s">
        <v>160</v>
      </c>
      <c r="S1657" s="3443"/>
      <c r="T1657" s="3443"/>
      <c r="U1657" s="3443"/>
      <c r="V1657" s="3443"/>
      <c r="W1657" s="3507" t="s">
        <v>3420</v>
      </c>
      <c r="X1657" s="3160" t="s">
        <v>3421</v>
      </c>
      <c r="Y1657" s="3283"/>
    </row>
    <row r="1658" spans="1:25" ht="28.5" hidden="1">
      <c r="A1658" s="3500" t="s">
        <v>85</v>
      </c>
      <c r="B1658" s="3463">
        <v>45924</v>
      </c>
      <c r="C1658" s="3689">
        <v>39</v>
      </c>
      <c r="D1658" s="3632">
        <v>1057</v>
      </c>
      <c r="E1658" s="4105" t="s">
        <v>169</v>
      </c>
      <c r="F1658" s="4105" t="s">
        <v>209</v>
      </c>
      <c r="G1658" s="3273"/>
      <c r="H1658" s="3273"/>
      <c r="I1658" s="3462">
        <v>701</v>
      </c>
      <c r="J1658" s="3462" t="s">
        <v>2705</v>
      </c>
      <c r="K1658" s="2371"/>
      <c r="L1658" s="3462" t="s">
        <v>37</v>
      </c>
      <c r="M1658" s="3462"/>
      <c r="N1658" s="3462"/>
      <c r="O1658" s="3462"/>
      <c r="P1658" s="3462"/>
      <c r="Q1658" s="3462"/>
      <c r="R1658" s="3462"/>
      <c r="S1658" s="3462"/>
      <c r="T1658" s="3462"/>
      <c r="U1658" s="3462"/>
      <c r="V1658" s="3462"/>
      <c r="W1658" s="3636"/>
      <c r="X1658" s="3273"/>
      <c r="Y1658" s="3300"/>
    </row>
    <row r="1659" spans="1:25" ht="28.5" hidden="1">
      <c r="A1659" s="3477" t="s">
        <v>85</v>
      </c>
      <c r="B1659" s="3478">
        <v>45924</v>
      </c>
      <c r="C1659" s="3708">
        <v>39</v>
      </c>
      <c r="D1659" s="4149"/>
      <c r="E1659" s="4529" t="s">
        <v>169</v>
      </c>
      <c r="F1659" s="4529" t="s">
        <v>2750</v>
      </c>
      <c r="G1659" s="3281"/>
      <c r="H1659" s="3281"/>
      <c r="I1659" s="3503">
        <v>701</v>
      </c>
      <c r="J1659" s="3503" t="s">
        <v>2839</v>
      </c>
      <c r="K1659" s="3871"/>
      <c r="L1659" s="3503" t="s">
        <v>37</v>
      </c>
      <c r="M1659" s="3503"/>
      <c r="N1659" s="3503"/>
      <c r="O1659" s="3503"/>
      <c r="P1659" s="3503"/>
      <c r="Q1659" s="3503"/>
      <c r="R1659" s="3503"/>
      <c r="S1659" s="3503"/>
      <c r="T1659" s="3503"/>
      <c r="U1659" s="3503"/>
      <c r="V1659" s="3503"/>
      <c r="W1659" s="3519"/>
      <c r="X1659" s="3281"/>
      <c r="Y1659" s="3282"/>
    </row>
    <row r="1660" spans="1:25" ht="28.5" hidden="1">
      <c r="A1660" s="3480" t="s">
        <v>85</v>
      </c>
      <c r="B1660" s="3444">
        <v>45924</v>
      </c>
      <c r="C1660" s="3614">
        <v>39</v>
      </c>
      <c r="D1660" s="4129"/>
      <c r="E1660" s="3787" t="s">
        <v>89</v>
      </c>
      <c r="F1660" s="3787" t="s">
        <v>3422</v>
      </c>
      <c r="I1660" s="3443">
        <v>701</v>
      </c>
      <c r="J1660" s="3443" t="s">
        <v>2705</v>
      </c>
      <c r="K1660" s="2369"/>
      <c r="L1660" s="3443"/>
      <c r="M1660" s="3443"/>
      <c r="N1660" s="3443"/>
      <c r="O1660" s="3443"/>
      <c r="P1660" s="3443"/>
      <c r="Q1660" s="3443"/>
      <c r="R1660" s="3443"/>
      <c r="S1660" s="3443"/>
      <c r="T1660" s="3443"/>
      <c r="U1660" s="3443"/>
      <c r="V1660" s="3443"/>
      <c r="W1660" s="3507" t="s">
        <v>3423</v>
      </c>
      <c r="Y1660" s="3283"/>
    </row>
    <row r="1661" spans="1:25" ht="57" hidden="1">
      <c r="A1661" s="3480" t="s">
        <v>85</v>
      </c>
      <c r="B1661" s="3444">
        <v>45924</v>
      </c>
      <c r="C1661" s="3614">
        <v>39</v>
      </c>
      <c r="D1661" s="4130">
        <v>1058</v>
      </c>
      <c r="E1661" s="3623" t="s">
        <v>48</v>
      </c>
      <c r="F1661" s="3623" t="s">
        <v>3424</v>
      </c>
      <c r="I1661" s="3443">
        <v>701</v>
      </c>
      <c r="J1661" s="3443" t="s">
        <v>2705</v>
      </c>
      <c r="K1661" s="2369"/>
      <c r="L1661" s="3443"/>
      <c r="M1661" s="3443" t="s">
        <v>37</v>
      </c>
      <c r="N1661" s="3443"/>
      <c r="O1661" s="3443"/>
      <c r="P1661" s="21" t="s">
        <v>109</v>
      </c>
      <c r="Q1661" s="21" t="s">
        <v>1109</v>
      </c>
      <c r="R1661" s="21" t="s">
        <v>160</v>
      </c>
      <c r="S1661" s="3443"/>
      <c r="T1661" s="3443"/>
      <c r="U1661" s="3443"/>
      <c r="V1661" s="3443"/>
      <c r="W1661" s="3507" t="s">
        <v>3425</v>
      </c>
      <c r="X1661" s="3166" t="s">
        <v>3426</v>
      </c>
      <c r="Y1661" s="3283"/>
    </row>
    <row r="1662" spans="1:25" ht="28.5" hidden="1">
      <c r="A1662" s="3480" t="s">
        <v>85</v>
      </c>
      <c r="B1662" s="3444">
        <v>45924</v>
      </c>
      <c r="C1662" s="3614">
        <v>39</v>
      </c>
      <c r="D1662" s="4130"/>
      <c r="E1662" s="3623" t="s">
        <v>1239</v>
      </c>
      <c r="F1662" s="3623" t="s">
        <v>3427</v>
      </c>
      <c r="I1662" s="3443">
        <v>701</v>
      </c>
      <c r="J1662" s="3443" t="s">
        <v>2705</v>
      </c>
      <c r="K1662" s="2369"/>
      <c r="L1662" s="3443"/>
      <c r="M1662" s="3443"/>
      <c r="N1662" s="3443"/>
      <c r="O1662" s="3443"/>
      <c r="P1662" s="3443"/>
      <c r="Q1662" s="3443"/>
      <c r="R1662" s="3443"/>
      <c r="S1662" s="3443"/>
      <c r="T1662" s="3443"/>
      <c r="U1662" s="3443"/>
      <c r="V1662" s="3443"/>
      <c r="W1662" s="3507"/>
      <c r="Y1662" s="3283"/>
    </row>
    <row r="1663" spans="1:25" ht="28.5" hidden="1">
      <c r="A1663" s="3480" t="s">
        <v>105</v>
      </c>
      <c r="B1663" s="3444">
        <v>45925</v>
      </c>
      <c r="C1663" s="3614">
        <v>39</v>
      </c>
      <c r="D1663" s="4130"/>
      <c r="E1663" s="3721" t="s">
        <v>169</v>
      </c>
      <c r="F1663" s="3721" t="s">
        <v>1342</v>
      </c>
      <c r="I1663" s="3443">
        <v>707</v>
      </c>
      <c r="J1663" s="3443" t="s">
        <v>3428</v>
      </c>
      <c r="K1663" s="2369"/>
      <c r="L1663" s="3443" t="s">
        <v>37</v>
      </c>
      <c r="M1663" s="3443"/>
      <c r="N1663" s="3443"/>
      <c r="O1663" s="3443"/>
      <c r="P1663" s="3443"/>
      <c r="Q1663" s="3443"/>
      <c r="R1663" s="3443"/>
      <c r="S1663" s="3443"/>
      <c r="T1663" s="3443"/>
      <c r="U1663" s="3443"/>
      <c r="V1663" s="3443"/>
      <c r="W1663" s="3507"/>
      <c r="Y1663" s="3283"/>
    </row>
    <row r="1664" spans="1:25" ht="28.5" hidden="1">
      <c r="A1664" s="3480" t="s">
        <v>105</v>
      </c>
      <c r="B1664" s="3444">
        <v>45925</v>
      </c>
      <c r="C1664" s="3614">
        <v>39</v>
      </c>
      <c r="D1664" s="4130">
        <v>1059</v>
      </c>
      <c r="E1664" s="3878" t="s">
        <v>1464</v>
      </c>
      <c r="F1664" s="3878" t="s">
        <v>3225</v>
      </c>
      <c r="I1664" s="3443">
        <v>701</v>
      </c>
      <c r="J1664" s="3443" t="s">
        <v>2705</v>
      </c>
      <c r="K1664" s="2369"/>
      <c r="L1664" s="3443" t="s">
        <v>30</v>
      </c>
      <c r="M1664" s="3443"/>
      <c r="N1664" s="3443"/>
      <c r="O1664" s="3443"/>
      <c r="P1664" s="3443"/>
      <c r="Q1664" s="3443"/>
      <c r="R1664" s="3443"/>
      <c r="S1664" s="3443"/>
      <c r="T1664" s="3443"/>
      <c r="U1664" s="3443"/>
      <c r="V1664" s="3443"/>
      <c r="W1664" s="3507"/>
      <c r="Y1664" s="3283"/>
    </row>
    <row r="1665" spans="1:25" ht="28.5" hidden="1">
      <c r="A1665" s="3480" t="s">
        <v>105</v>
      </c>
      <c r="B1665" s="3444">
        <v>45925</v>
      </c>
      <c r="C1665" s="3614">
        <v>39</v>
      </c>
      <c r="D1665" s="4130"/>
      <c r="E1665" s="3878" t="s">
        <v>1465</v>
      </c>
      <c r="F1665" s="3878" t="s">
        <v>3228</v>
      </c>
      <c r="I1665" s="3443">
        <v>701</v>
      </c>
      <c r="J1665" s="3443" t="s">
        <v>2839</v>
      </c>
      <c r="K1665" s="2369"/>
      <c r="L1665" s="3443" t="s">
        <v>30</v>
      </c>
      <c r="M1665" s="3443"/>
      <c r="N1665" s="3443"/>
      <c r="O1665" s="3443"/>
      <c r="P1665" s="3443"/>
      <c r="Q1665" s="3443"/>
      <c r="R1665" s="3443"/>
      <c r="S1665" s="3443"/>
      <c r="T1665" s="3443"/>
      <c r="U1665" s="3443"/>
      <c r="V1665" s="3443"/>
      <c r="W1665" s="3507"/>
      <c r="Y1665" s="3283"/>
    </row>
    <row r="1666" spans="1:25" ht="29.25" hidden="1" thickBot="1">
      <c r="A1666" s="3494" t="s">
        <v>105</v>
      </c>
      <c r="B1666" s="3448">
        <v>45925</v>
      </c>
      <c r="C1666" s="3690">
        <v>39</v>
      </c>
      <c r="D1666" s="4131"/>
      <c r="E1666" s="4534" t="s">
        <v>204</v>
      </c>
      <c r="F1666" s="4534" t="s">
        <v>3429</v>
      </c>
      <c r="G1666" s="3284"/>
      <c r="H1666" s="3284"/>
      <c r="I1666" s="3447">
        <v>707</v>
      </c>
      <c r="J1666" s="3447" t="s">
        <v>2705</v>
      </c>
      <c r="K1666" s="3875"/>
      <c r="L1666" s="3447" t="s">
        <v>37</v>
      </c>
      <c r="M1666" s="3447"/>
      <c r="N1666" s="3447"/>
      <c r="O1666" s="3447"/>
      <c r="P1666" s="3447"/>
      <c r="Q1666" s="3447"/>
      <c r="R1666" s="3447"/>
      <c r="S1666" s="3447"/>
      <c r="T1666" s="3447"/>
      <c r="U1666" s="3447"/>
      <c r="V1666" s="3447"/>
      <c r="W1666" s="3707"/>
      <c r="X1666" s="3284"/>
      <c r="Y1666" s="3285"/>
    </row>
    <row r="1667" spans="1:25" ht="114" hidden="1">
      <c r="A1667" s="3868" t="s">
        <v>105</v>
      </c>
      <c r="B1667" s="3478">
        <v>45925</v>
      </c>
      <c r="C1667" s="3708">
        <v>39</v>
      </c>
      <c r="D1667" s="4149"/>
      <c r="E1667" s="4584" t="s">
        <v>537</v>
      </c>
      <c r="F1667" s="4584" t="s">
        <v>3185</v>
      </c>
      <c r="G1667" s="3281"/>
      <c r="H1667" s="3281"/>
      <c r="I1667" s="3503">
        <v>701</v>
      </c>
      <c r="J1667" s="3503" t="s">
        <v>2705</v>
      </c>
      <c r="K1667" s="3871"/>
      <c r="L1667" s="3503" t="s">
        <v>30</v>
      </c>
      <c r="M1667" s="3503"/>
      <c r="N1667" s="3503"/>
      <c r="O1667" s="3503"/>
      <c r="P1667" s="3503"/>
      <c r="Q1667" s="3503"/>
      <c r="R1667" s="3503"/>
      <c r="S1667" s="3503"/>
      <c r="T1667" s="3503"/>
      <c r="U1667" s="3503"/>
      <c r="V1667" s="3503"/>
      <c r="W1667" s="3891" t="s">
        <v>3430</v>
      </c>
      <c r="X1667" s="3365" t="s">
        <v>3431</v>
      </c>
      <c r="Y1667" s="3282"/>
    </row>
    <row r="1668" spans="1:25" ht="28.5" hidden="1">
      <c r="A1668" s="3590" t="s">
        <v>105</v>
      </c>
      <c r="B1668" s="3444">
        <v>45925</v>
      </c>
      <c r="C1668" s="3614">
        <v>39</v>
      </c>
      <c r="D1668" s="4130">
        <v>1061</v>
      </c>
      <c r="E1668" s="3614" t="s">
        <v>3389</v>
      </c>
      <c r="F1668" s="3614" t="s">
        <v>48</v>
      </c>
      <c r="I1668" s="3443">
        <v>701</v>
      </c>
      <c r="J1668" s="3443" t="s">
        <v>3432</v>
      </c>
      <c r="K1668" s="2369"/>
      <c r="L1668" s="3443" t="s">
        <v>37</v>
      </c>
      <c r="M1668" s="3443"/>
      <c r="N1668" s="3443"/>
      <c r="O1668" s="3443"/>
      <c r="P1668" s="3443"/>
      <c r="Q1668" s="3443"/>
      <c r="R1668" s="3443"/>
      <c r="S1668" s="3443"/>
      <c r="T1668" s="3443"/>
      <c r="U1668" s="3443"/>
      <c r="V1668" s="3443"/>
      <c r="W1668" s="3892"/>
      <c r="X1668" s="3254"/>
      <c r="Y1668" s="3283"/>
    </row>
    <row r="1669" spans="1:25" ht="28.5" hidden="1">
      <c r="A1669" s="3590" t="s">
        <v>3433</v>
      </c>
      <c r="B1669" s="3444">
        <v>45926</v>
      </c>
      <c r="C1669" s="3614">
        <v>39</v>
      </c>
      <c r="D1669" s="4130">
        <v>1062</v>
      </c>
      <c r="E1669" s="3878" t="s">
        <v>1464</v>
      </c>
      <c r="F1669" s="3878" t="s">
        <v>3225</v>
      </c>
      <c r="I1669" s="3443">
        <v>701</v>
      </c>
      <c r="J1669" s="3443" t="s">
        <v>2705</v>
      </c>
      <c r="K1669" s="2369"/>
      <c r="L1669" s="3443" t="s">
        <v>37</v>
      </c>
      <c r="M1669" s="3443"/>
      <c r="N1669" s="3443"/>
      <c r="O1669" s="3443"/>
      <c r="P1669" s="3443"/>
      <c r="Q1669" s="3443"/>
      <c r="R1669" s="3443"/>
      <c r="S1669" s="3443"/>
      <c r="T1669" s="3443"/>
      <c r="U1669" s="3443"/>
      <c r="V1669" s="3443"/>
      <c r="W1669" s="3522"/>
      <c r="X1669" s="3254"/>
      <c r="Y1669" s="3283"/>
    </row>
    <row r="1670" spans="1:25" ht="29.25" hidden="1" thickBot="1">
      <c r="A1670" s="3590" t="s">
        <v>3433</v>
      </c>
      <c r="B1670" s="3444">
        <v>45926</v>
      </c>
      <c r="C1670" s="3614">
        <v>39</v>
      </c>
      <c r="D1670" s="4130"/>
      <c r="E1670" s="3878" t="s">
        <v>1465</v>
      </c>
      <c r="F1670" s="3878" t="s">
        <v>3228</v>
      </c>
      <c r="I1670" s="3443">
        <v>701</v>
      </c>
      <c r="J1670" s="3443" t="s">
        <v>2839</v>
      </c>
      <c r="K1670" s="3875"/>
      <c r="L1670" s="3443" t="s">
        <v>37</v>
      </c>
      <c r="M1670" s="3443"/>
      <c r="N1670" s="3443"/>
      <c r="O1670" s="3443"/>
      <c r="P1670" s="3443"/>
      <c r="Q1670" s="3443"/>
      <c r="R1670" s="3443"/>
      <c r="S1670" s="3443"/>
      <c r="T1670" s="3443"/>
      <c r="U1670" s="3443"/>
      <c r="V1670" s="3443"/>
      <c r="W1670" s="3522"/>
      <c r="X1670" s="3254"/>
      <c r="Y1670" s="3283"/>
    </row>
    <row r="1671" spans="1:25" ht="106.35" hidden="1" customHeight="1">
      <c r="A1671" s="3590" t="s">
        <v>3433</v>
      </c>
      <c r="B1671" s="3444">
        <v>45926</v>
      </c>
      <c r="C1671" s="3614">
        <v>39</v>
      </c>
      <c r="D1671" s="4130">
        <v>1063</v>
      </c>
      <c r="E1671" s="3614" t="s">
        <v>840</v>
      </c>
      <c r="F1671" s="3614" t="s">
        <v>3434</v>
      </c>
      <c r="I1671" s="3443">
        <v>707</v>
      </c>
      <c r="J1671" s="3443" t="s">
        <v>3435</v>
      </c>
      <c r="K1671" s="2369"/>
      <c r="L1671" s="3443" t="s">
        <v>37</v>
      </c>
      <c r="M1671" s="3443"/>
      <c r="N1671" s="3443"/>
      <c r="O1671" s="3443"/>
      <c r="P1671" s="3443"/>
      <c r="Q1671" s="3443"/>
      <c r="R1671" s="3443"/>
      <c r="S1671" s="3443"/>
      <c r="T1671" s="3443"/>
      <c r="U1671" s="3443"/>
      <c r="V1671" s="3443"/>
      <c r="W1671" s="3522"/>
      <c r="X1671" s="3254"/>
      <c r="Y1671" s="3283"/>
    </row>
    <row r="1672" spans="1:25" ht="28.5" hidden="1">
      <c r="A1672" s="3590" t="s">
        <v>3433</v>
      </c>
      <c r="B1672" s="3444">
        <v>45926</v>
      </c>
      <c r="C1672" s="3614">
        <v>39</v>
      </c>
      <c r="D1672" s="3511">
        <v>1064</v>
      </c>
      <c r="E1672" s="3443" t="s">
        <v>3436</v>
      </c>
      <c r="F1672" s="3443" t="s">
        <v>3380</v>
      </c>
      <c r="I1672" s="3443">
        <v>712</v>
      </c>
      <c r="J1672" s="3443" t="s">
        <v>3437</v>
      </c>
      <c r="K1672" s="3632" t="s">
        <v>627</v>
      </c>
      <c r="L1672" s="3443"/>
      <c r="M1672" s="3443" t="s">
        <v>37</v>
      </c>
      <c r="N1672" s="3443"/>
      <c r="O1672" s="3443"/>
      <c r="P1672" s="21" t="s">
        <v>122</v>
      </c>
      <c r="Q1672" s="21" t="s">
        <v>123</v>
      </c>
      <c r="R1672" s="21" t="s">
        <v>32</v>
      </c>
      <c r="S1672" s="3443"/>
      <c r="T1672" s="3443"/>
      <c r="U1672" s="3443"/>
      <c r="V1672" s="3443"/>
      <c r="W1672" s="3522" t="s">
        <v>3438</v>
      </c>
      <c r="X1672" s="3254" t="s">
        <v>3439</v>
      </c>
      <c r="Y1672" s="3283"/>
    </row>
    <row r="1673" spans="1:25" ht="79.5" hidden="1" thickBot="1">
      <c r="A1673" s="3593" t="s">
        <v>3433</v>
      </c>
      <c r="B1673" s="3448">
        <v>45926</v>
      </c>
      <c r="C1673" s="3690">
        <v>39</v>
      </c>
      <c r="D1673" s="4131">
        <v>1065</v>
      </c>
      <c r="E1673" s="3447" t="s">
        <v>89</v>
      </c>
      <c r="F1673" s="3447" t="s">
        <v>183</v>
      </c>
      <c r="G1673" s="3284"/>
      <c r="H1673" s="3284"/>
      <c r="I1673" s="3447">
        <v>707</v>
      </c>
      <c r="J1673" s="3447" t="s">
        <v>3440</v>
      </c>
      <c r="K1673" s="3875"/>
      <c r="L1673" s="3447"/>
      <c r="M1673" s="3447" t="s">
        <v>30</v>
      </c>
      <c r="N1673" s="3447"/>
      <c r="O1673" s="3447"/>
      <c r="P1673" s="35" t="s">
        <v>109</v>
      </c>
      <c r="Q1673" s="35" t="s">
        <v>300</v>
      </c>
      <c r="R1673" s="35" t="s">
        <v>38</v>
      </c>
      <c r="S1673" s="3447" t="s">
        <v>37</v>
      </c>
      <c r="T1673" s="3447"/>
      <c r="U1673" s="3447"/>
      <c r="V1673" s="3447"/>
      <c r="W1673" s="4959" t="s">
        <v>3441</v>
      </c>
      <c r="X1673" s="4963" t="s">
        <v>3442</v>
      </c>
      <c r="Y1673" s="3285"/>
    </row>
    <row r="1674" spans="1:25" ht="28.5" hidden="1">
      <c r="A1674" s="3443" t="s">
        <v>3433</v>
      </c>
      <c r="B1674" s="3444">
        <v>45926</v>
      </c>
      <c r="C1674" s="3685">
        <v>39</v>
      </c>
      <c r="D1674" s="4130"/>
      <c r="E1674" s="3443" t="s">
        <v>169</v>
      </c>
      <c r="F1674" s="3443" t="s">
        <v>3443</v>
      </c>
      <c r="G1674" s="3276"/>
      <c r="H1674" s="3276"/>
      <c r="I1674" s="3443">
        <v>707</v>
      </c>
      <c r="J1674" s="3443" t="s">
        <v>3440</v>
      </c>
      <c r="K1674" s="2369"/>
      <c r="L1674" s="3462"/>
      <c r="M1674" s="3443"/>
      <c r="N1674" s="3443" t="s">
        <v>37</v>
      </c>
      <c r="O1674" s="3462"/>
      <c r="P1674" s="119" t="s">
        <v>109</v>
      </c>
      <c r="Q1674" s="119" t="s">
        <v>300</v>
      </c>
      <c r="R1674" s="119" t="s">
        <v>38</v>
      </c>
      <c r="S1674" s="3443"/>
      <c r="T1674" s="3456"/>
      <c r="U1674" s="3456"/>
      <c r="V1674" s="3456"/>
      <c r="W1674" s="3892"/>
      <c r="X1674" s="3276"/>
      <c r="Y1674" s="3277"/>
    </row>
    <row r="1675" spans="1:25" ht="28.5" hidden="1">
      <c r="A1675" s="3443" t="s">
        <v>3433</v>
      </c>
      <c r="B1675" s="3444">
        <v>45926</v>
      </c>
      <c r="C1675" s="3685">
        <v>39</v>
      </c>
      <c r="D1675" s="4130">
        <v>1066</v>
      </c>
      <c r="E1675" s="3443" t="s">
        <v>312</v>
      </c>
      <c r="F1675" s="3443" t="s">
        <v>97</v>
      </c>
      <c r="I1675" s="3443">
        <v>707</v>
      </c>
      <c r="J1675" s="3443" t="s">
        <v>3444</v>
      </c>
      <c r="K1675" s="3511" t="s">
        <v>1119</v>
      </c>
      <c r="L1675" s="3462" t="s">
        <v>37</v>
      </c>
      <c r="M1675" s="3443"/>
      <c r="N1675" s="3443"/>
      <c r="O1675" s="3462"/>
      <c r="P1675" s="3443"/>
      <c r="Q1675" s="3443"/>
      <c r="R1675" s="3443"/>
      <c r="S1675" s="3443"/>
      <c r="T1675" s="3443"/>
      <c r="U1675" s="3443"/>
      <c r="V1675" s="3443"/>
      <c r="W1675" s="3892"/>
    </row>
    <row r="1676" spans="1:25" ht="28.5" hidden="1">
      <c r="A1676" s="3443" t="s">
        <v>25</v>
      </c>
      <c r="B1676" s="3444">
        <v>45929</v>
      </c>
      <c r="C1676" s="3355" t="s">
        <v>3445</v>
      </c>
      <c r="D1676" s="4130">
        <v>1067</v>
      </c>
      <c r="E1676" s="3878" t="s">
        <v>1464</v>
      </c>
      <c r="F1676" s="3878" t="s">
        <v>3225</v>
      </c>
      <c r="I1676" s="3443">
        <v>701</v>
      </c>
      <c r="J1676" s="3462" t="s">
        <v>3446</v>
      </c>
      <c r="K1676" s="2371"/>
      <c r="L1676" s="3462" t="s">
        <v>37</v>
      </c>
      <c r="M1676" s="3443"/>
      <c r="N1676" s="3443"/>
      <c r="O1676" s="3443" t="s">
        <v>37</v>
      </c>
      <c r="S1676" s="3443"/>
      <c r="W1676" s="4125"/>
    </row>
    <row r="1677" spans="1:25" ht="28.5" hidden="1">
      <c r="A1677" s="3443" t="s">
        <v>25</v>
      </c>
      <c r="B1677" s="3444">
        <v>45929</v>
      </c>
      <c r="C1677" s="3355" t="s">
        <v>3445</v>
      </c>
      <c r="D1677" s="4134"/>
      <c r="E1677" s="3878" t="s">
        <v>1465</v>
      </c>
      <c r="F1677" s="3878" t="s">
        <v>3228</v>
      </c>
      <c r="I1677" s="3531">
        <v>701</v>
      </c>
      <c r="J1677" s="3443" t="s">
        <v>3447</v>
      </c>
      <c r="K1677" s="2369"/>
      <c r="L1677" s="3462" t="s">
        <v>37</v>
      </c>
      <c r="M1677" s="3534"/>
      <c r="N1677" s="3443"/>
      <c r="O1677" s="3443" t="s">
        <v>37</v>
      </c>
      <c r="S1677" s="3443"/>
      <c r="W1677" s="3507"/>
    </row>
    <row r="1678" spans="1:25" ht="28.5" hidden="1">
      <c r="A1678" s="3443" t="s">
        <v>25</v>
      </c>
      <c r="B1678" s="3444">
        <v>45929</v>
      </c>
      <c r="C1678" s="3355" t="s">
        <v>3445</v>
      </c>
      <c r="D1678" s="3511">
        <v>1068</v>
      </c>
      <c r="E1678" s="3583" t="s">
        <v>183</v>
      </c>
      <c r="F1678" s="3583" t="s">
        <v>183</v>
      </c>
      <c r="I1678" s="3531">
        <v>707</v>
      </c>
      <c r="J1678" s="3443" t="s">
        <v>3448</v>
      </c>
      <c r="K1678" s="2369"/>
      <c r="L1678" s="3443" t="s">
        <v>37</v>
      </c>
      <c r="M1678" s="3534"/>
      <c r="N1678" s="3443"/>
      <c r="O1678" s="3443"/>
      <c r="P1678" s="3161"/>
      <c r="Q1678" s="3161"/>
      <c r="R1678" s="3161"/>
      <c r="S1678" s="3534"/>
      <c r="W1678" s="3507"/>
    </row>
    <row r="1679" spans="1:25" ht="28.5" hidden="1">
      <c r="A1679" s="3462" t="s">
        <v>25</v>
      </c>
      <c r="B1679" s="3463">
        <v>45929</v>
      </c>
      <c r="C1679" s="3355" t="s">
        <v>3445</v>
      </c>
      <c r="D1679" s="4134"/>
      <c r="E1679" s="4126" t="s">
        <v>488</v>
      </c>
      <c r="F1679" s="4126" t="s">
        <v>3449</v>
      </c>
      <c r="I1679" s="3600">
        <v>707</v>
      </c>
      <c r="J1679" s="3443" t="s">
        <v>3448</v>
      </c>
      <c r="K1679" s="3443"/>
      <c r="L1679" s="3462" t="s">
        <v>37</v>
      </c>
      <c r="M1679" s="3534"/>
      <c r="N1679" s="3443"/>
      <c r="O1679" s="3462"/>
      <c r="S1679" s="3443"/>
      <c r="W1679" s="3892"/>
    </row>
    <row r="1680" spans="1:25" ht="28.5" hidden="1">
      <c r="A1680" s="3462" t="s">
        <v>25</v>
      </c>
      <c r="B1680" s="3463">
        <v>45929</v>
      </c>
      <c r="C1680" s="3355" t="s">
        <v>3445</v>
      </c>
      <c r="D1680" s="4148">
        <v>1069</v>
      </c>
      <c r="E1680" s="4517" t="s">
        <v>48</v>
      </c>
      <c r="F1680" s="4517" t="s">
        <v>3450</v>
      </c>
      <c r="I1680" s="3600">
        <v>707</v>
      </c>
      <c r="J1680" s="3443" t="s">
        <v>3451</v>
      </c>
      <c r="K1680" s="3511" t="s">
        <v>84</v>
      </c>
      <c r="L1680" s="3462"/>
      <c r="M1680" s="3545" t="s">
        <v>37</v>
      </c>
      <c r="N1680" s="3462"/>
      <c r="O1680" s="3462"/>
      <c r="P1680" s="21" t="s">
        <v>0</v>
      </c>
      <c r="Q1680" s="21" t="s">
        <v>782</v>
      </c>
      <c r="R1680" s="21" t="s">
        <v>160</v>
      </c>
      <c r="S1680" s="3462" t="s">
        <v>37</v>
      </c>
      <c r="W1680" s="3892" t="s">
        <v>3452</v>
      </c>
    </row>
    <row r="1681" spans="1:23" ht="28.5" hidden="1">
      <c r="A1681" s="3443" t="s">
        <v>25</v>
      </c>
      <c r="B1681" s="3444">
        <v>45929</v>
      </c>
      <c r="C1681" s="3355" t="s">
        <v>3445</v>
      </c>
      <c r="D1681" s="4130">
        <v>1070</v>
      </c>
      <c r="E1681" s="3624" t="s">
        <v>3380</v>
      </c>
      <c r="F1681" s="3624" t="s">
        <v>3453</v>
      </c>
      <c r="I1681" s="3531">
        <v>701</v>
      </c>
      <c r="J1681" s="3443" t="s">
        <v>3454</v>
      </c>
      <c r="K1681" s="2369"/>
      <c r="L1681" s="3462" t="s">
        <v>37</v>
      </c>
      <c r="M1681" s="3534"/>
      <c r="N1681" s="3443"/>
      <c r="O1681" s="3443" t="s">
        <v>37</v>
      </c>
      <c r="S1681" s="3443"/>
      <c r="W1681" s="3892"/>
    </row>
    <row r="1682" spans="1:23" ht="28.5" hidden="1">
      <c r="A1682" s="3443" t="s">
        <v>25</v>
      </c>
      <c r="B1682" s="3444">
        <v>45929</v>
      </c>
      <c r="C1682" s="3355" t="s">
        <v>3445</v>
      </c>
      <c r="D1682" s="4130"/>
      <c r="E1682" s="3624" t="s">
        <v>306</v>
      </c>
      <c r="F1682" s="3624" t="s">
        <v>3455</v>
      </c>
      <c r="I1682" s="3443">
        <v>701</v>
      </c>
      <c r="J1682" s="3456" t="s">
        <v>3456</v>
      </c>
      <c r="K1682" s="3873"/>
      <c r="L1682" s="3456" t="s">
        <v>37</v>
      </c>
      <c r="M1682" s="3462"/>
      <c r="N1682" s="3443"/>
      <c r="O1682" s="3443"/>
      <c r="S1682" s="3443"/>
      <c r="W1682" s="3892"/>
    </row>
    <row r="1683" spans="1:23" ht="29.25" hidden="1" thickBot="1">
      <c r="A1683" s="3447" t="s">
        <v>25</v>
      </c>
      <c r="B1683" s="3448">
        <v>45929</v>
      </c>
      <c r="C1683" s="3355" t="s">
        <v>3445</v>
      </c>
      <c r="D1683" s="3608">
        <v>1071</v>
      </c>
      <c r="E1683" s="4118" t="s">
        <v>89</v>
      </c>
      <c r="F1683" s="3850" t="s">
        <v>2264</v>
      </c>
      <c r="I1683" s="3447">
        <v>707</v>
      </c>
      <c r="J1683" s="3447" t="s">
        <v>3457</v>
      </c>
      <c r="K1683" s="3920"/>
      <c r="L1683" s="3443" t="s">
        <v>37</v>
      </c>
      <c r="M1683" s="3447"/>
      <c r="N1683" s="3443"/>
      <c r="O1683" s="3443"/>
      <c r="S1683" s="3443"/>
      <c r="W1683" s="3892"/>
    </row>
    <row r="1684" spans="1:23" ht="28.5" hidden="1">
      <c r="A1684" s="3456" t="s">
        <v>25</v>
      </c>
      <c r="B1684" s="3457">
        <v>45929</v>
      </c>
      <c r="C1684" s="3355" t="s">
        <v>3445</v>
      </c>
      <c r="D1684" s="4130"/>
      <c r="E1684" s="4119" t="s">
        <v>89</v>
      </c>
      <c r="F1684" s="3845" t="s">
        <v>1586</v>
      </c>
      <c r="I1684" s="3505">
        <v>707</v>
      </c>
      <c r="J1684" s="3505" t="s">
        <v>3457</v>
      </c>
      <c r="K1684" s="3873"/>
      <c r="L1684" s="3456" t="s">
        <v>37</v>
      </c>
      <c r="M1684" s="3456"/>
      <c r="N1684" s="3443"/>
      <c r="O1684" s="3443"/>
      <c r="S1684" s="3443"/>
      <c r="W1684" s="3892" t="s">
        <v>3458</v>
      </c>
    </row>
    <row r="1685" spans="1:23" ht="28.5" hidden="1">
      <c r="A1685" s="3456" t="s">
        <v>25</v>
      </c>
      <c r="B1685" s="3457">
        <v>45929</v>
      </c>
      <c r="C1685" s="3355" t="s">
        <v>3445</v>
      </c>
      <c r="D1685" s="3511"/>
      <c r="E1685" s="3554" t="s">
        <v>169</v>
      </c>
      <c r="F1685" s="3553" t="s">
        <v>3459</v>
      </c>
      <c r="I1685" s="3443">
        <v>707</v>
      </c>
      <c r="J1685" s="3443" t="s">
        <v>3457</v>
      </c>
      <c r="K1685" s="3511" t="s">
        <v>84</v>
      </c>
      <c r="L1685" s="3443" t="s">
        <v>37</v>
      </c>
      <c r="M1685" s="3534"/>
      <c r="N1685" s="3443"/>
      <c r="O1685" s="3443"/>
      <c r="P1685" s="3161"/>
      <c r="Q1685" s="3161"/>
      <c r="R1685" s="3161"/>
      <c r="S1685" s="3443"/>
      <c r="W1685" s="3507"/>
    </row>
    <row r="1686" spans="1:23" ht="28.5" hidden="1">
      <c r="A1686" s="3443" t="s">
        <v>105</v>
      </c>
      <c r="B1686" s="3444">
        <v>45929</v>
      </c>
      <c r="C1686" s="3355" t="s">
        <v>3445</v>
      </c>
      <c r="D1686" s="4129"/>
      <c r="E1686" s="3584" t="s">
        <v>2662</v>
      </c>
      <c r="F1686" s="3583" t="s">
        <v>142</v>
      </c>
      <c r="I1686" s="3443">
        <v>707</v>
      </c>
      <c r="J1686" s="3443" t="s">
        <v>1706</v>
      </c>
      <c r="K1686" s="3443"/>
      <c r="L1686" s="3443"/>
      <c r="M1686" s="3443"/>
      <c r="N1686" s="3443" t="s">
        <v>37</v>
      </c>
      <c r="O1686" s="3443"/>
      <c r="P1686" s="21" t="s">
        <v>0</v>
      </c>
      <c r="Q1686" s="21" t="s">
        <v>110</v>
      </c>
      <c r="R1686" s="21"/>
      <c r="W1686" s="3892"/>
    </row>
    <row r="1687" spans="1:23" ht="29.25" hidden="1" thickBot="1">
      <c r="A1687" s="3447" t="s">
        <v>67</v>
      </c>
      <c r="B1687" s="3460">
        <v>45930</v>
      </c>
      <c r="C1687" s="3355" t="s">
        <v>3445</v>
      </c>
      <c r="D1687" s="4151"/>
      <c r="E1687" s="3850" t="s">
        <v>491</v>
      </c>
      <c r="F1687" s="3850" t="s">
        <v>3460</v>
      </c>
      <c r="I1687" s="3447">
        <v>707</v>
      </c>
      <c r="J1687" s="3447" t="s">
        <v>3457</v>
      </c>
      <c r="K1687" s="3875"/>
      <c r="L1687" s="3443" t="s">
        <v>37</v>
      </c>
      <c r="M1687" s="3447"/>
      <c r="N1687" s="3447"/>
      <c r="O1687" s="3443"/>
      <c r="S1687" s="3443"/>
      <c r="W1687" s="3892"/>
    </row>
    <row r="1688" spans="1:23" ht="28.5" hidden="1">
      <c r="A1688" s="3456" t="s">
        <v>67</v>
      </c>
      <c r="B1688" s="3759">
        <v>45930</v>
      </c>
      <c r="C1688" s="3355" t="s">
        <v>3445</v>
      </c>
      <c r="D1688" s="4154"/>
      <c r="E1688" s="4837" t="s">
        <v>3461</v>
      </c>
      <c r="F1688" s="4837" t="s">
        <v>3462</v>
      </c>
      <c r="I1688" s="3456">
        <v>707</v>
      </c>
      <c r="J1688" s="3456" t="s">
        <v>3451</v>
      </c>
      <c r="K1688" s="3673" t="s">
        <v>84</v>
      </c>
      <c r="L1688" s="3443"/>
      <c r="M1688" s="3456"/>
      <c r="N1688" s="3456" t="s">
        <v>37</v>
      </c>
      <c r="O1688" s="3456"/>
      <c r="P1688" s="21" t="s">
        <v>0</v>
      </c>
      <c r="Q1688" s="21" t="s">
        <v>782</v>
      </c>
      <c r="R1688" s="21" t="s">
        <v>160</v>
      </c>
      <c r="S1688" s="3443"/>
      <c r="W1688" s="3892"/>
    </row>
    <row r="1689" spans="1:23" ht="28.5" hidden="1">
      <c r="A1689" s="3443" t="s">
        <v>67</v>
      </c>
      <c r="B1689" s="3840">
        <v>45930</v>
      </c>
      <c r="C1689" s="3355" t="s">
        <v>3445</v>
      </c>
      <c r="D1689" s="4152">
        <v>1072</v>
      </c>
      <c r="E1689" s="3878" t="s">
        <v>1464</v>
      </c>
      <c r="F1689" s="3878" t="s">
        <v>3225</v>
      </c>
      <c r="I1689" s="3443">
        <v>701</v>
      </c>
      <c r="J1689" s="3443" t="s">
        <v>3446</v>
      </c>
      <c r="K1689" s="2369"/>
      <c r="L1689" s="3443" t="s">
        <v>37</v>
      </c>
      <c r="M1689" s="3443"/>
      <c r="N1689" s="3443"/>
      <c r="O1689" s="3443" t="s">
        <v>37</v>
      </c>
      <c r="W1689" s="3892"/>
    </row>
    <row r="1690" spans="1:23" ht="28.5" hidden="1">
      <c r="A1690" s="3443" t="s">
        <v>67</v>
      </c>
      <c r="B1690" s="3840">
        <v>45930</v>
      </c>
      <c r="C1690" s="3355" t="s">
        <v>3445</v>
      </c>
      <c r="D1690" s="4152"/>
      <c r="E1690" s="3878" t="s">
        <v>1465</v>
      </c>
      <c r="F1690" s="3878" t="s">
        <v>3228</v>
      </c>
      <c r="I1690" s="3443">
        <v>701</v>
      </c>
      <c r="J1690" s="3443" t="s">
        <v>3447</v>
      </c>
      <c r="K1690" s="2371"/>
      <c r="L1690" s="3443" t="s">
        <v>37</v>
      </c>
      <c r="M1690" s="3443"/>
      <c r="N1690" s="3443"/>
      <c r="O1690" s="3443" t="s">
        <v>37</v>
      </c>
      <c r="W1690" s="3507"/>
    </row>
    <row r="1691" spans="1:23" ht="28.5" hidden="1">
      <c r="A1691" s="3443" t="s">
        <v>85</v>
      </c>
      <c r="B1691" s="3840">
        <v>45931</v>
      </c>
      <c r="C1691" s="3355" t="s">
        <v>3445</v>
      </c>
      <c r="D1691" s="4152">
        <v>1073</v>
      </c>
      <c r="E1691" s="3878" t="s">
        <v>1464</v>
      </c>
      <c r="F1691" s="3878" t="s">
        <v>3225</v>
      </c>
      <c r="I1691" s="3443">
        <v>701</v>
      </c>
      <c r="J1691" s="3443" t="s">
        <v>3463</v>
      </c>
      <c r="K1691" s="2369"/>
      <c r="L1691" s="3443" t="s">
        <v>37</v>
      </c>
      <c r="M1691" s="3534"/>
      <c r="N1691" s="3443"/>
      <c r="O1691" s="3443"/>
      <c r="W1691" s="3507"/>
    </row>
    <row r="1692" spans="1:23" ht="29.25" hidden="1" thickBot="1">
      <c r="A1692" s="3586" t="s">
        <v>85</v>
      </c>
      <c r="B1692" s="3460">
        <v>45931</v>
      </c>
      <c r="C1692" s="3355" t="s">
        <v>3445</v>
      </c>
      <c r="D1692" s="4151"/>
      <c r="E1692" s="3958" t="s">
        <v>1465</v>
      </c>
      <c r="F1692" s="3958" t="s">
        <v>3228</v>
      </c>
      <c r="I1692" s="3447">
        <v>701</v>
      </c>
      <c r="J1692" s="3447" t="s">
        <v>3464</v>
      </c>
      <c r="K1692" s="3875"/>
      <c r="L1692" s="3546" t="s">
        <v>37</v>
      </c>
      <c r="M1692" s="3546"/>
      <c r="N1692" s="3447"/>
      <c r="O1692" s="3447"/>
      <c r="P1692" s="3161"/>
      <c r="Q1692" s="3161"/>
      <c r="R1692" s="3161"/>
      <c r="W1692" s="3707"/>
    </row>
    <row r="1693" spans="1:23" ht="28.5" hidden="1">
      <c r="A1693" s="3443" t="s">
        <v>85</v>
      </c>
      <c r="B1693" s="3444">
        <v>45931</v>
      </c>
      <c r="C1693" s="3355" t="s">
        <v>3445</v>
      </c>
      <c r="D1693" s="4508">
        <v>1074</v>
      </c>
      <c r="E1693" s="3505" t="s">
        <v>1464</v>
      </c>
      <c r="F1693" s="3505" t="s">
        <v>840</v>
      </c>
      <c r="I1693" s="3505">
        <v>707</v>
      </c>
      <c r="J1693" s="3505" t="s">
        <v>489</v>
      </c>
      <c r="K1693" s="3505"/>
      <c r="L1693" s="3607" t="s">
        <v>37</v>
      </c>
      <c r="M1693" s="3607"/>
      <c r="N1693" s="3505"/>
      <c r="O1693" s="3505"/>
      <c r="P1693" s="3161"/>
      <c r="Q1693" s="3161"/>
      <c r="R1693" s="3161"/>
      <c r="W1693" s="3764"/>
    </row>
    <row r="1694" spans="1:23" ht="28.5" hidden="1">
      <c r="A1694" s="3443" t="s">
        <v>85</v>
      </c>
      <c r="B1694" s="3444">
        <v>45931</v>
      </c>
      <c r="C1694" s="3355" t="s">
        <v>3445</v>
      </c>
      <c r="D1694" s="3511">
        <v>1075</v>
      </c>
      <c r="E1694" s="3569" t="s">
        <v>3465</v>
      </c>
      <c r="F1694" s="3569" t="s">
        <v>263</v>
      </c>
      <c r="I1694" s="3443">
        <v>707</v>
      </c>
      <c r="J1694" s="3443" t="s">
        <v>260</v>
      </c>
      <c r="K1694" s="3511" t="s">
        <v>84</v>
      </c>
      <c r="L1694" s="3443"/>
      <c r="M1694" s="3443"/>
      <c r="N1694" s="3443"/>
      <c r="O1694" s="3443"/>
      <c r="P1694" s="3161"/>
      <c r="Q1694" s="3161"/>
      <c r="R1694" s="3161"/>
      <c r="W1694" s="3507"/>
    </row>
    <row r="1695" spans="1:23" ht="57" hidden="1">
      <c r="A1695" s="3456" t="s">
        <v>85</v>
      </c>
      <c r="B1695" s="3759">
        <v>45931</v>
      </c>
      <c r="C1695" s="3355" t="s">
        <v>3445</v>
      </c>
      <c r="D1695" s="4154">
        <v>1076</v>
      </c>
      <c r="E1695" s="3831" t="s">
        <v>48</v>
      </c>
      <c r="F1695" s="3831" t="s">
        <v>3466</v>
      </c>
      <c r="I1695" s="3456">
        <v>707</v>
      </c>
      <c r="J1695" s="3512" t="s">
        <v>3467</v>
      </c>
      <c r="K1695" s="3673" t="s">
        <v>84</v>
      </c>
      <c r="L1695" s="3456"/>
      <c r="M1695" s="3605" t="s">
        <v>37</v>
      </c>
      <c r="N1695" s="3456"/>
      <c r="O1695" s="3456"/>
      <c r="P1695" s="20" t="s">
        <v>109</v>
      </c>
      <c r="Q1695" s="20" t="s">
        <v>159</v>
      </c>
      <c r="R1695" s="20" t="s">
        <v>160</v>
      </c>
      <c r="W1695" s="3507" t="s">
        <v>3468</v>
      </c>
    </row>
    <row r="1696" spans="1:23" ht="57" hidden="1">
      <c r="A1696" s="3443" t="s">
        <v>105</v>
      </c>
      <c r="B1696" s="3840">
        <v>45932</v>
      </c>
      <c r="C1696" s="3355" t="s">
        <v>3445</v>
      </c>
      <c r="D1696" s="4507"/>
      <c r="E1696" s="3616" t="s">
        <v>442</v>
      </c>
      <c r="F1696" s="3616" t="s">
        <v>3469</v>
      </c>
      <c r="I1696" s="3443">
        <v>707</v>
      </c>
      <c r="J1696" s="3507" t="s">
        <v>3467</v>
      </c>
      <c r="K1696" s="3511" t="s">
        <v>84</v>
      </c>
      <c r="L1696" s="3456"/>
      <c r="M1696" s="3534"/>
      <c r="N1696" s="3443" t="s">
        <v>37</v>
      </c>
      <c r="O1696" s="3443"/>
      <c r="P1696" s="21" t="s">
        <v>109</v>
      </c>
      <c r="Q1696" s="21" t="s">
        <v>159</v>
      </c>
      <c r="R1696" s="21" t="s">
        <v>160</v>
      </c>
      <c r="W1696" s="3507"/>
    </row>
    <row r="1697" spans="1:24" ht="57" hidden="1">
      <c r="A1697" s="3443" t="s">
        <v>105</v>
      </c>
      <c r="B1697" s="3840">
        <v>45932</v>
      </c>
      <c r="C1697" s="3355" t="s">
        <v>3445</v>
      </c>
      <c r="D1697" s="4507"/>
      <c r="E1697" s="3616" t="s">
        <v>68</v>
      </c>
      <c r="F1697" s="3616" t="s">
        <v>3470</v>
      </c>
      <c r="I1697" s="3443">
        <v>707</v>
      </c>
      <c r="J1697" s="3507" t="s">
        <v>3467</v>
      </c>
      <c r="K1697" s="3511" t="s">
        <v>84</v>
      </c>
      <c r="L1697" s="3456"/>
      <c r="M1697" s="3534"/>
      <c r="N1697" s="3443" t="s">
        <v>37</v>
      </c>
      <c r="O1697" s="3443"/>
      <c r="P1697" s="21" t="s">
        <v>109</v>
      </c>
      <c r="Q1697" s="21" t="s">
        <v>159</v>
      </c>
      <c r="R1697" s="21" t="s">
        <v>160</v>
      </c>
      <c r="W1697" s="4125"/>
    </row>
    <row r="1698" spans="1:24" ht="28.5" hidden="1">
      <c r="A1698" s="3443" t="s">
        <v>105</v>
      </c>
      <c r="B1698" s="3840">
        <v>45932</v>
      </c>
      <c r="C1698" s="3355" t="s">
        <v>3445</v>
      </c>
      <c r="D1698" s="4507"/>
      <c r="E1698" s="3616" t="s">
        <v>63</v>
      </c>
      <c r="F1698" s="3616" t="s">
        <v>3471</v>
      </c>
      <c r="I1698" s="3443">
        <v>707</v>
      </c>
      <c r="J1698" s="3507" t="s">
        <v>3472</v>
      </c>
      <c r="K1698" s="3511" t="s">
        <v>84</v>
      </c>
      <c r="L1698" s="3443"/>
      <c r="M1698" s="3534"/>
      <c r="N1698" s="3443" t="s">
        <v>37</v>
      </c>
      <c r="O1698" s="3443"/>
      <c r="P1698" s="21" t="s">
        <v>109</v>
      </c>
      <c r="Q1698" s="21" t="s">
        <v>159</v>
      </c>
      <c r="R1698" s="21" t="s">
        <v>160</v>
      </c>
      <c r="W1698" s="4125"/>
    </row>
    <row r="1699" spans="1:24" ht="28.5" hidden="1">
      <c r="A1699" s="3462" t="s">
        <v>105</v>
      </c>
      <c r="B1699" s="4117">
        <v>45932</v>
      </c>
      <c r="C1699" s="3355" t="s">
        <v>3445</v>
      </c>
      <c r="D1699" s="3856"/>
      <c r="E1699" s="4537" t="s">
        <v>148</v>
      </c>
      <c r="F1699" s="4537" t="s">
        <v>3473</v>
      </c>
      <c r="I1699" s="3443">
        <v>707</v>
      </c>
      <c r="J1699" s="3443" t="s">
        <v>260</v>
      </c>
      <c r="K1699" s="3511" t="s">
        <v>84</v>
      </c>
      <c r="L1699" s="3443" t="s">
        <v>37</v>
      </c>
      <c r="M1699" s="3534"/>
      <c r="N1699" s="3443"/>
      <c r="O1699" s="3443"/>
      <c r="W1699" s="4125"/>
    </row>
    <row r="1700" spans="1:24" ht="28.5" hidden="1">
      <c r="A1700" s="3443" t="s">
        <v>105</v>
      </c>
      <c r="B1700" s="3444">
        <v>45932</v>
      </c>
      <c r="C1700" s="3355" t="s">
        <v>3445</v>
      </c>
      <c r="D1700" s="4130">
        <v>1077</v>
      </c>
      <c r="E1700" s="3623" t="s">
        <v>3434</v>
      </c>
      <c r="F1700" s="3623" t="s">
        <v>35</v>
      </c>
      <c r="I1700" s="3534">
        <v>707</v>
      </c>
      <c r="J1700" s="3443" t="s">
        <v>3474</v>
      </c>
      <c r="K1700" s="3635"/>
      <c r="L1700" s="3456" t="s">
        <v>37</v>
      </c>
      <c r="M1700" s="3534"/>
      <c r="N1700" s="3443"/>
      <c r="O1700" s="3443"/>
      <c r="W1700" s="3892"/>
    </row>
    <row r="1701" spans="1:24" ht="28.5" hidden="1">
      <c r="A1701" s="3462" t="s">
        <v>105</v>
      </c>
      <c r="B1701" s="3463">
        <v>45932</v>
      </c>
      <c r="C1701" s="3355" t="s">
        <v>3445</v>
      </c>
      <c r="D1701" s="4134">
        <v>1078</v>
      </c>
      <c r="E1701" s="4838" t="s">
        <v>3475</v>
      </c>
      <c r="F1701" s="4838" t="s">
        <v>3476</v>
      </c>
      <c r="I1701" s="3545">
        <v>712</v>
      </c>
      <c r="J1701" s="3462" t="s">
        <v>3477</v>
      </c>
      <c r="K1701" s="4726"/>
      <c r="L1701" s="3456" t="s">
        <v>37</v>
      </c>
      <c r="M1701" s="3545"/>
      <c r="N1701" s="3462"/>
      <c r="O1701" s="3443"/>
      <c r="W1701" s="3892"/>
    </row>
    <row r="1702" spans="1:24" ht="28.5" hidden="1">
      <c r="A1702" s="3443" t="s">
        <v>105</v>
      </c>
      <c r="B1702" s="3444">
        <v>45932</v>
      </c>
      <c r="C1702" s="3355" t="s">
        <v>3445</v>
      </c>
      <c r="D1702" s="3511">
        <v>1079</v>
      </c>
      <c r="E1702" s="4123" t="s">
        <v>3478</v>
      </c>
      <c r="F1702" s="4123" t="s">
        <v>3479</v>
      </c>
      <c r="I1702" s="3534">
        <v>705</v>
      </c>
      <c r="J1702" s="3443" t="s">
        <v>1704</v>
      </c>
      <c r="K1702" s="3511" t="s">
        <v>627</v>
      </c>
      <c r="L1702" s="3443" t="s">
        <v>37</v>
      </c>
      <c r="M1702" s="3443"/>
      <c r="N1702" s="3443"/>
      <c r="O1702" s="3443"/>
      <c r="P1702" s="3161"/>
      <c r="Q1702" s="3161"/>
      <c r="R1702" s="3161"/>
      <c r="W1702" s="4125"/>
    </row>
    <row r="1703" spans="1:24" ht="28.5" hidden="1">
      <c r="A1703" s="3462" t="s">
        <v>105</v>
      </c>
      <c r="B1703" s="3463">
        <v>45932</v>
      </c>
      <c r="C1703" s="3368" t="s">
        <v>3445</v>
      </c>
      <c r="D1703" s="4134">
        <v>1080</v>
      </c>
      <c r="E1703" s="3937" t="s">
        <v>1464</v>
      </c>
      <c r="F1703" s="3937" t="s">
        <v>3225</v>
      </c>
      <c r="I1703" s="3545">
        <v>701</v>
      </c>
      <c r="J1703" s="3462" t="s">
        <v>3463</v>
      </c>
      <c r="K1703" s="2371"/>
      <c r="L1703" s="3600" t="s">
        <v>37</v>
      </c>
      <c r="M1703" s="3462"/>
      <c r="N1703" s="3462"/>
      <c r="O1703" s="3462"/>
      <c r="P1703" s="3161"/>
      <c r="Q1703" s="3161"/>
      <c r="R1703" s="3161"/>
      <c r="S1703" s="3273"/>
      <c r="T1703" s="3273"/>
      <c r="U1703" s="3273"/>
      <c r="V1703" s="3273"/>
      <c r="W1703" s="3636"/>
    </row>
    <row r="1704" spans="1:24" ht="28.5" hidden="1">
      <c r="A1704" s="3477" t="s">
        <v>105</v>
      </c>
      <c r="B1704" s="3478">
        <v>45932</v>
      </c>
      <c r="C1704" s="3356" t="s">
        <v>3445</v>
      </c>
      <c r="D1704" s="4149"/>
      <c r="E1704" s="3917" t="s">
        <v>1465</v>
      </c>
      <c r="F1704" s="3918" t="s">
        <v>3228</v>
      </c>
      <c r="G1704" s="3254"/>
      <c r="H1704" s="3253"/>
      <c r="I1704" s="3477">
        <v>701</v>
      </c>
      <c r="J1704" s="3503" t="s">
        <v>3464</v>
      </c>
      <c r="K1704" s="3871"/>
      <c r="L1704" s="3503" t="s">
        <v>37</v>
      </c>
      <c r="M1704" s="3530"/>
      <c r="N1704" s="3503"/>
      <c r="O1704" s="3503"/>
      <c r="P1704" s="3281"/>
      <c r="Q1704" s="3281"/>
      <c r="R1704" s="3281"/>
      <c r="S1704" s="3281"/>
      <c r="T1704" s="3281"/>
      <c r="U1704" s="3281"/>
      <c r="V1704" s="3281"/>
      <c r="W1704" s="3891"/>
      <c r="X1704" s="3254"/>
    </row>
    <row r="1705" spans="1:24" ht="57" hidden="1">
      <c r="A1705" s="3480" t="s">
        <v>105</v>
      </c>
      <c r="B1705" s="3444">
        <v>45932</v>
      </c>
      <c r="C1705" s="3355" t="s">
        <v>3445</v>
      </c>
      <c r="D1705" s="4129">
        <v>1081</v>
      </c>
      <c r="E1705" s="3583" t="s">
        <v>48</v>
      </c>
      <c r="F1705" s="4645" t="s">
        <v>2660</v>
      </c>
      <c r="G1705" s="3254"/>
      <c r="H1705" s="3253"/>
      <c r="I1705" s="3480">
        <v>707</v>
      </c>
      <c r="J1705" s="3443" t="s">
        <v>1706</v>
      </c>
      <c r="K1705" s="3873"/>
      <c r="L1705" s="3456"/>
      <c r="M1705" s="3456" t="s">
        <v>37</v>
      </c>
      <c r="N1705" s="3443"/>
      <c r="O1705" s="3443"/>
      <c r="P1705" s="21" t="s">
        <v>0</v>
      </c>
      <c r="Q1705" s="21" t="s">
        <v>110</v>
      </c>
      <c r="R1705" s="21"/>
      <c r="W1705" s="3892" t="s">
        <v>3480</v>
      </c>
      <c r="X1705" s="3254"/>
    </row>
    <row r="1706" spans="1:24" ht="28.5" hidden="1">
      <c r="A1706" s="3480" t="s">
        <v>132</v>
      </c>
      <c r="B1706" s="3444">
        <v>45933</v>
      </c>
      <c r="C1706" s="3355" t="s">
        <v>3445</v>
      </c>
      <c r="D1706" s="4130">
        <v>1082</v>
      </c>
      <c r="E1706" s="3878" t="s">
        <v>1464</v>
      </c>
      <c r="F1706" s="3896" t="s">
        <v>3225</v>
      </c>
      <c r="G1706" s="3254"/>
      <c r="H1706" s="3253"/>
      <c r="I1706" s="3480">
        <v>701</v>
      </c>
      <c r="J1706" s="3443" t="s">
        <v>3463</v>
      </c>
      <c r="K1706" s="2369"/>
      <c r="L1706" s="3443" t="s">
        <v>37</v>
      </c>
      <c r="M1706" s="3443"/>
      <c r="N1706" s="3443"/>
      <c r="O1706" s="3443"/>
      <c r="W1706" s="3522"/>
      <c r="X1706" s="3254"/>
    </row>
    <row r="1707" spans="1:24" ht="28.5" hidden="1">
      <c r="A1707" s="3480" t="s">
        <v>132</v>
      </c>
      <c r="B1707" s="3444">
        <v>45933</v>
      </c>
      <c r="C1707" s="3355" t="s">
        <v>3445</v>
      </c>
      <c r="D1707" s="4130"/>
      <c r="E1707" s="3878" t="s">
        <v>1465</v>
      </c>
      <c r="F1707" s="3896" t="s">
        <v>3228</v>
      </c>
      <c r="G1707" s="3254"/>
      <c r="H1707" s="3253"/>
      <c r="I1707" s="3480">
        <v>701</v>
      </c>
      <c r="J1707" s="3443" t="s">
        <v>3464</v>
      </c>
      <c r="K1707" s="2369"/>
      <c r="L1707" s="3443" t="s">
        <v>37</v>
      </c>
      <c r="M1707" s="3443"/>
      <c r="N1707" s="3443"/>
      <c r="O1707" s="3443"/>
      <c r="W1707" s="3522" t="s">
        <v>3481</v>
      </c>
      <c r="X1707" s="3254"/>
    </row>
    <row r="1708" spans="1:24" ht="28.5" hidden="1">
      <c r="A1708" s="3480" t="s">
        <v>132</v>
      </c>
      <c r="B1708" s="3444">
        <v>45933</v>
      </c>
      <c r="C1708" s="3355" t="s">
        <v>3445</v>
      </c>
      <c r="D1708" s="4130">
        <v>1083</v>
      </c>
      <c r="E1708" s="3623" t="s">
        <v>40</v>
      </c>
      <c r="F1708" s="3652" t="s">
        <v>70</v>
      </c>
      <c r="G1708" s="3254"/>
      <c r="H1708" s="3253"/>
      <c r="I1708" s="3480">
        <v>707</v>
      </c>
      <c r="J1708" s="3443" t="s">
        <v>3482</v>
      </c>
      <c r="K1708" s="2369"/>
      <c r="L1708" s="3443" t="s">
        <v>37</v>
      </c>
      <c r="M1708" s="3443"/>
      <c r="N1708" s="3443"/>
      <c r="O1708" s="3443"/>
      <c r="W1708" s="3892"/>
      <c r="X1708" s="3254"/>
    </row>
    <row r="1709" spans="1:24" ht="28.5" hidden="1">
      <c r="A1709" s="3480" t="s">
        <v>132</v>
      </c>
      <c r="B1709" s="3444">
        <v>45933</v>
      </c>
      <c r="C1709" s="3355" t="s">
        <v>3445</v>
      </c>
      <c r="D1709" s="4129"/>
      <c r="E1709" s="4123" t="s">
        <v>442</v>
      </c>
      <c r="F1709" s="4127" t="s">
        <v>3483</v>
      </c>
      <c r="G1709" s="3254"/>
      <c r="H1709" s="3253"/>
      <c r="I1709" s="3480">
        <v>705</v>
      </c>
      <c r="J1709" s="3443" t="s">
        <v>1704</v>
      </c>
      <c r="K1709" s="3511" t="s">
        <v>627</v>
      </c>
      <c r="L1709" s="4108"/>
      <c r="M1709" s="4170"/>
      <c r="N1709" s="4108"/>
      <c r="O1709" s="4108"/>
      <c r="W1709" s="3892" t="s">
        <v>3484</v>
      </c>
      <c r="X1709" s="3254"/>
    </row>
    <row r="1710" spans="1:24" ht="28.5" hidden="1">
      <c r="A1710" s="3480" t="s">
        <v>132</v>
      </c>
      <c r="B1710" s="3444">
        <v>45933</v>
      </c>
      <c r="C1710" s="3355" t="s">
        <v>3445</v>
      </c>
      <c r="D1710" s="3511">
        <v>1084</v>
      </c>
      <c r="E1710" s="3443" t="s">
        <v>3031</v>
      </c>
      <c r="F1710" s="3516" t="s">
        <v>3485</v>
      </c>
      <c r="G1710" s="3254"/>
      <c r="H1710" s="3253"/>
      <c r="I1710" s="3480">
        <v>707</v>
      </c>
      <c r="J1710" s="3443" t="s">
        <v>1485</v>
      </c>
      <c r="K1710" s="3511" t="s">
        <v>84</v>
      </c>
      <c r="L1710" s="3443" t="s">
        <v>37</v>
      </c>
      <c r="M1710" s="3534"/>
      <c r="N1710" s="3443"/>
      <c r="O1710" s="3443"/>
      <c r="W1710" s="3892"/>
      <c r="X1710" s="3254"/>
    </row>
    <row r="1711" spans="1:24" ht="28.5" hidden="1">
      <c r="A1711" s="3480" t="s">
        <v>132</v>
      </c>
      <c r="B1711" s="3444">
        <v>45933</v>
      </c>
      <c r="C1711" s="3355" t="s">
        <v>3445</v>
      </c>
      <c r="D1711" s="3511">
        <v>1085</v>
      </c>
      <c r="E1711" s="3443" t="s">
        <v>3046</v>
      </c>
      <c r="F1711" s="3516" t="s">
        <v>216</v>
      </c>
      <c r="G1711" s="3254"/>
      <c r="H1711" s="3253"/>
      <c r="I1711" s="3480">
        <v>705</v>
      </c>
      <c r="J1711" s="3443" t="s">
        <v>3486</v>
      </c>
      <c r="K1711" s="3511" t="s">
        <v>84</v>
      </c>
      <c r="L1711" s="3443" t="s">
        <v>37</v>
      </c>
      <c r="M1711" s="3534"/>
      <c r="N1711" s="3443"/>
      <c r="O1711" s="3443"/>
      <c r="W1711" s="3892"/>
      <c r="X1711" s="3254"/>
    </row>
    <row r="1712" spans="1:24" ht="28.5" hidden="1">
      <c r="A1712" s="3480" t="s">
        <v>132</v>
      </c>
      <c r="B1712" s="3444">
        <v>45933</v>
      </c>
      <c r="C1712" s="3355" t="s">
        <v>3445</v>
      </c>
      <c r="D1712" s="4130">
        <v>1086</v>
      </c>
      <c r="E1712" s="3443" t="s">
        <v>169</v>
      </c>
      <c r="F1712" s="3516" t="s">
        <v>669</v>
      </c>
      <c r="G1712" s="3254"/>
      <c r="H1712" s="3253"/>
      <c r="I1712" s="3480">
        <v>707</v>
      </c>
      <c r="J1712" s="3443" t="s">
        <v>3487</v>
      </c>
      <c r="K1712" s="3443"/>
      <c r="L1712" s="3443" t="s">
        <v>37</v>
      </c>
      <c r="M1712" s="3534"/>
      <c r="N1712" s="3443"/>
      <c r="O1712" s="3443"/>
      <c r="W1712" s="3892"/>
      <c r="X1712" s="3254"/>
    </row>
    <row r="1713" spans="1:24" ht="28.5" hidden="1">
      <c r="A1713" s="3480" t="s">
        <v>132</v>
      </c>
      <c r="B1713" s="3444">
        <v>45933</v>
      </c>
      <c r="C1713" s="3355" t="s">
        <v>3445</v>
      </c>
      <c r="D1713" s="4130"/>
      <c r="E1713" s="3443" t="s">
        <v>669</v>
      </c>
      <c r="F1713" s="3516" t="s">
        <v>3488</v>
      </c>
      <c r="G1713" s="3254"/>
      <c r="H1713" s="3253"/>
      <c r="I1713" s="3480">
        <v>707</v>
      </c>
      <c r="J1713" s="3443" t="s">
        <v>922</v>
      </c>
      <c r="K1713" s="3443"/>
      <c r="L1713" s="3456" t="s">
        <v>37</v>
      </c>
      <c r="M1713" s="3534"/>
      <c r="N1713" s="3443"/>
      <c r="O1713" s="3443"/>
      <c r="W1713" s="3892"/>
      <c r="X1713" s="3254"/>
    </row>
    <row r="1714" spans="1:24" ht="28.5" hidden="1">
      <c r="A1714" s="3480" t="s">
        <v>132</v>
      </c>
      <c r="B1714" s="3444">
        <v>45933</v>
      </c>
      <c r="C1714" s="3355" t="s">
        <v>3445</v>
      </c>
      <c r="D1714" s="4155"/>
      <c r="E1714" s="3443" t="s">
        <v>3489</v>
      </c>
      <c r="F1714" s="3516" t="s">
        <v>3490</v>
      </c>
      <c r="G1714" s="3254"/>
      <c r="H1714" s="3253"/>
      <c r="I1714" s="3480">
        <v>707</v>
      </c>
      <c r="J1714" s="3443" t="s">
        <v>3491</v>
      </c>
      <c r="K1714" s="3443"/>
      <c r="L1714" s="3456" t="s">
        <v>37</v>
      </c>
      <c r="M1714" s="3443"/>
      <c r="N1714" s="3443"/>
      <c r="O1714" s="3443"/>
      <c r="W1714" s="3522"/>
      <c r="X1714" s="3254"/>
    </row>
    <row r="1715" spans="1:24" ht="57" hidden="1">
      <c r="A1715" s="3480" t="s">
        <v>132</v>
      </c>
      <c r="B1715" s="3444">
        <v>45933</v>
      </c>
      <c r="C1715" s="3355" t="s">
        <v>3445</v>
      </c>
      <c r="D1715" s="4130">
        <v>1087</v>
      </c>
      <c r="E1715" s="3616" t="s">
        <v>48</v>
      </c>
      <c r="F1715" s="3642" t="s">
        <v>3492</v>
      </c>
      <c r="G1715" s="3254"/>
      <c r="H1715" s="3253"/>
      <c r="I1715" s="3480">
        <v>707</v>
      </c>
      <c r="J1715" s="3507" t="s">
        <v>3467</v>
      </c>
      <c r="K1715" s="3635"/>
      <c r="L1715" s="3443" t="s">
        <v>37</v>
      </c>
      <c r="M1715" s="3443"/>
      <c r="N1715" s="3443"/>
      <c r="O1715" s="3443"/>
      <c r="W1715" s="3522"/>
      <c r="X1715" s="3254"/>
    </row>
    <row r="1716" spans="1:24" ht="57.75" hidden="1" thickBot="1">
      <c r="A1716" s="3494" t="s">
        <v>132</v>
      </c>
      <c r="B1716" s="3448">
        <v>45933</v>
      </c>
      <c r="C1716" s="3372" t="s">
        <v>3445</v>
      </c>
      <c r="D1716" s="4131"/>
      <c r="E1716" s="4033" t="s">
        <v>3493</v>
      </c>
      <c r="F1716" s="4034" t="s">
        <v>3494</v>
      </c>
      <c r="G1716" s="3254"/>
      <c r="H1716" s="3253"/>
      <c r="I1716" s="3494">
        <v>707</v>
      </c>
      <c r="J1716" s="3707" t="s">
        <v>3467</v>
      </c>
      <c r="K1716" s="3634"/>
      <c r="L1716" s="3447" t="s">
        <v>37</v>
      </c>
      <c r="M1716" s="3546"/>
      <c r="N1716" s="3447"/>
      <c r="O1716" s="3508"/>
      <c r="P1716" s="3284"/>
      <c r="Q1716" s="3284"/>
      <c r="R1716" s="3284"/>
      <c r="S1716" s="3284"/>
      <c r="T1716" s="3284"/>
      <c r="U1716" s="3284"/>
      <c r="V1716" s="3284"/>
      <c r="W1716" s="3893"/>
      <c r="X1716" s="3254"/>
    </row>
    <row r="1717" spans="1:24" ht="57" hidden="1">
      <c r="A1717" s="3456" t="s">
        <v>132</v>
      </c>
      <c r="B1717" s="3457">
        <v>45933</v>
      </c>
      <c r="C1717" s="3355" t="s">
        <v>3445</v>
      </c>
      <c r="D1717" s="3673">
        <v>1088</v>
      </c>
      <c r="E1717" s="4119" t="s">
        <v>3495</v>
      </c>
      <c r="F1717" s="4119" t="s">
        <v>659</v>
      </c>
      <c r="I1717" s="3605">
        <v>712</v>
      </c>
      <c r="J1717" s="3456" t="s">
        <v>3496</v>
      </c>
      <c r="K1717" s="4937" t="s">
        <v>3270</v>
      </c>
      <c r="L1717" s="3456" t="s">
        <v>37</v>
      </c>
      <c r="M1717" s="3605"/>
      <c r="N1717" s="3456"/>
      <c r="O1717" s="3456" t="s">
        <v>37</v>
      </c>
      <c r="W1717" s="4125" t="s">
        <v>3497</v>
      </c>
    </row>
    <row r="1718" spans="1:24" ht="28.5" hidden="1">
      <c r="A1718" s="3477" t="s">
        <v>143</v>
      </c>
      <c r="B1718" s="3478">
        <v>45934</v>
      </c>
      <c r="C1718" s="3355" t="s">
        <v>3445</v>
      </c>
      <c r="D1718" s="3889"/>
      <c r="E1718" s="4027" t="s">
        <v>3461</v>
      </c>
      <c r="F1718" s="4605" t="s">
        <v>3462</v>
      </c>
      <c r="G1718" s="3990"/>
      <c r="H1718" s="3792"/>
      <c r="I1718" s="3868">
        <v>712</v>
      </c>
      <c r="J1718" s="3977" t="s">
        <v>3496</v>
      </c>
      <c r="K1718" s="3889" t="s">
        <v>84</v>
      </c>
      <c r="L1718" s="3530" t="s">
        <v>37</v>
      </c>
      <c r="M1718" s="3503"/>
      <c r="N1718" s="3503"/>
      <c r="O1718" s="3503"/>
      <c r="P1718" s="3281"/>
      <c r="Q1718" s="3281"/>
      <c r="R1718" s="3281"/>
      <c r="S1718" s="3281"/>
      <c r="T1718" s="3281"/>
      <c r="U1718" s="3281"/>
      <c r="W1718" s="3521"/>
    </row>
    <row r="1719" spans="1:24" ht="31.5" hidden="1">
      <c r="A1719" s="3480" t="s">
        <v>25</v>
      </c>
      <c r="B1719" s="3444">
        <v>45936</v>
      </c>
      <c r="C1719" s="3355" t="s">
        <v>3498</v>
      </c>
      <c r="D1719" s="4121"/>
      <c r="E1719" s="4159" t="s">
        <v>1464</v>
      </c>
      <c r="F1719" s="4160" t="s">
        <v>3499</v>
      </c>
      <c r="G1719" s="4161" t="s">
        <v>1199</v>
      </c>
      <c r="H1719" s="3927" t="s">
        <v>1199</v>
      </c>
      <c r="I1719" s="3590">
        <v>701</v>
      </c>
      <c r="J1719" s="3984" t="s">
        <v>3500</v>
      </c>
      <c r="K1719" s="3890"/>
      <c r="L1719" s="3534" t="s">
        <v>37</v>
      </c>
      <c r="M1719" s="3443"/>
      <c r="N1719" s="3443"/>
      <c r="O1719" s="3443"/>
      <c r="P1719" s="3443"/>
      <c r="Q1719" s="3443"/>
      <c r="R1719" s="3443"/>
      <c r="S1719" s="3443"/>
      <c r="T1719" s="3443"/>
      <c r="U1719" s="3443"/>
      <c r="W1719" s="3522"/>
    </row>
    <row r="1720" spans="1:24" ht="31.5" hidden="1">
      <c r="A1720" s="3480" t="s">
        <v>25</v>
      </c>
      <c r="B1720" s="3444">
        <v>45936</v>
      </c>
      <c r="C1720" s="3355" t="s">
        <v>3498</v>
      </c>
      <c r="D1720" s="4121"/>
      <c r="E1720" s="4159" t="s">
        <v>1465</v>
      </c>
      <c r="F1720" s="4160" t="s">
        <v>3228</v>
      </c>
      <c r="G1720" s="4161" t="s">
        <v>1199</v>
      </c>
      <c r="H1720" s="3927" t="s">
        <v>1199</v>
      </c>
      <c r="I1720" s="3590">
        <v>701</v>
      </c>
      <c r="J1720" s="3984" t="s">
        <v>3501</v>
      </c>
      <c r="K1720" s="3890"/>
      <c r="L1720" s="3534" t="s">
        <v>37</v>
      </c>
      <c r="M1720" s="3443"/>
      <c r="N1720" s="3443"/>
      <c r="O1720" s="3443"/>
      <c r="P1720" s="3443"/>
      <c r="Q1720" s="3443"/>
      <c r="R1720" s="3443"/>
      <c r="S1720" s="3443"/>
      <c r="T1720" s="3443"/>
      <c r="U1720" s="3443"/>
      <c r="W1720" s="3522"/>
    </row>
    <row r="1721" spans="1:24" ht="57" hidden="1">
      <c r="A1721" s="3480" t="s">
        <v>25</v>
      </c>
      <c r="B1721" s="3444">
        <v>45936</v>
      </c>
      <c r="C1721" s="3355" t="s">
        <v>3498</v>
      </c>
      <c r="D1721" s="4121"/>
      <c r="E1721" s="4162" t="s">
        <v>3502</v>
      </c>
      <c r="F1721" s="4163" t="s">
        <v>1571</v>
      </c>
      <c r="G1721" s="4161" t="s">
        <v>1199</v>
      </c>
      <c r="H1721" s="3927" t="s">
        <v>1199</v>
      </c>
      <c r="I1721" s="3590">
        <v>707</v>
      </c>
      <c r="J1721" s="3670" t="s">
        <v>3503</v>
      </c>
      <c r="K1721" s="3890"/>
      <c r="L1721" s="3534" t="s">
        <v>37</v>
      </c>
      <c r="M1721" s="3443"/>
      <c r="N1721" s="3443"/>
      <c r="O1721" s="3443"/>
      <c r="P1721" s="3443"/>
      <c r="Q1721" s="3443"/>
      <c r="R1721" s="3443"/>
      <c r="S1721" s="3443"/>
      <c r="T1721" s="3443"/>
      <c r="U1721" s="3443"/>
      <c r="W1721" s="3522" t="s">
        <v>3504</v>
      </c>
    </row>
    <row r="1722" spans="1:24" ht="57" hidden="1">
      <c r="A1722" s="3480" t="s">
        <v>25</v>
      </c>
      <c r="B1722" s="3444">
        <v>45936</v>
      </c>
      <c r="C1722" s="3355" t="s">
        <v>3498</v>
      </c>
      <c r="D1722" s="4121"/>
      <c r="E1722" s="4162" t="s">
        <v>1239</v>
      </c>
      <c r="F1722" s="4163" t="s">
        <v>3505</v>
      </c>
      <c r="G1722" s="3931" t="s">
        <v>1199</v>
      </c>
      <c r="H1722" s="3932" t="s">
        <v>1199</v>
      </c>
      <c r="I1722" s="4164">
        <v>705</v>
      </c>
      <c r="J1722" s="3984" t="s">
        <v>3506</v>
      </c>
      <c r="K1722" s="3890"/>
      <c r="L1722" s="3534" t="s">
        <v>37</v>
      </c>
      <c r="M1722" s="3443"/>
      <c r="N1722" s="3443"/>
      <c r="O1722" s="3443"/>
      <c r="P1722" s="3443"/>
      <c r="Q1722" s="3443"/>
      <c r="R1722" s="3443"/>
      <c r="S1722" s="3443"/>
      <c r="T1722" s="3443"/>
      <c r="U1722" s="3443"/>
      <c r="W1722" s="3522" t="s">
        <v>3507</v>
      </c>
    </row>
    <row r="1723" spans="1:24" ht="31.5" hidden="1">
      <c r="A1723" s="3480" t="s">
        <v>25</v>
      </c>
      <c r="B1723" s="3444">
        <v>45936</v>
      </c>
      <c r="C1723" s="3355" t="s">
        <v>3498</v>
      </c>
      <c r="D1723" s="4121"/>
      <c r="E1723" s="4165" t="s">
        <v>43</v>
      </c>
      <c r="F1723" s="4166" t="s">
        <v>44</v>
      </c>
      <c r="G1723" s="4161" t="s">
        <v>1199</v>
      </c>
      <c r="H1723" s="3927" t="s">
        <v>1199</v>
      </c>
      <c r="I1723" s="4164">
        <v>705</v>
      </c>
      <c r="J1723" s="3984" t="s">
        <v>3508</v>
      </c>
      <c r="K1723" s="3890"/>
      <c r="L1723" s="3534" t="s">
        <v>37</v>
      </c>
      <c r="M1723" s="3443"/>
      <c r="N1723" s="3443"/>
      <c r="O1723" s="3443"/>
      <c r="P1723" s="3443"/>
      <c r="Q1723" s="3443"/>
      <c r="R1723" s="3443"/>
      <c r="S1723" s="3443"/>
      <c r="T1723" s="3443"/>
      <c r="U1723" s="3443"/>
      <c r="W1723" s="3522"/>
    </row>
    <row r="1724" spans="1:24" ht="31.5" hidden="1">
      <c r="A1724" s="3480" t="s">
        <v>25</v>
      </c>
      <c r="B1724" s="3444">
        <v>45936</v>
      </c>
      <c r="C1724" s="3355" t="s">
        <v>3498</v>
      </c>
      <c r="D1724" s="4121"/>
      <c r="E1724" s="4165" t="s">
        <v>48</v>
      </c>
      <c r="F1724" s="4166" t="s">
        <v>1461</v>
      </c>
      <c r="G1724" s="4161" t="s">
        <v>1199</v>
      </c>
      <c r="H1724" s="3927" t="s">
        <v>1199</v>
      </c>
      <c r="I1724" s="4164">
        <v>705</v>
      </c>
      <c r="J1724" s="3984" t="s">
        <v>3509</v>
      </c>
      <c r="K1724" s="3890"/>
      <c r="L1724" s="3534" t="s">
        <v>37</v>
      </c>
      <c r="M1724" s="3443"/>
      <c r="N1724" s="3443"/>
      <c r="O1724" s="3443"/>
      <c r="P1724" s="3443"/>
      <c r="Q1724" s="3443"/>
      <c r="R1724" s="3443"/>
      <c r="S1724" s="3443"/>
      <c r="T1724" s="3443"/>
      <c r="U1724" s="3443"/>
      <c r="W1724" s="3522"/>
    </row>
    <row r="1725" spans="1:24" ht="31.5" hidden="1">
      <c r="A1725" s="3480" t="s">
        <v>25</v>
      </c>
      <c r="B1725" s="3444">
        <v>45936</v>
      </c>
      <c r="C1725" s="3355" t="s">
        <v>3498</v>
      </c>
      <c r="D1725" s="4121"/>
      <c r="E1725" s="4167" t="s">
        <v>3031</v>
      </c>
      <c r="F1725" s="4168" t="s">
        <v>3510</v>
      </c>
      <c r="G1725" s="3931" t="s">
        <v>3511</v>
      </c>
      <c r="H1725" s="3932" t="s">
        <v>1199</v>
      </c>
      <c r="I1725" s="4164">
        <v>701</v>
      </c>
      <c r="J1725" s="3984" t="s">
        <v>3512</v>
      </c>
      <c r="K1725" s="4169"/>
      <c r="L1725" s="3534" t="s">
        <v>37</v>
      </c>
      <c r="M1725" s="3443"/>
      <c r="N1725" s="3443"/>
      <c r="O1725" s="3443"/>
      <c r="P1725" s="3443"/>
      <c r="Q1725" s="3443"/>
      <c r="R1725" s="3443"/>
      <c r="S1725" s="3443"/>
      <c r="T1725" s="3443"/>
      <c r="U1725" s="3443"/>
      <c r="W1725" s="3522"/>
    </row>
    <row r="1726" spans="1:24" ht="31.5" hidden="1">
      <c r="A1726" s="3480" t="s">
        <v>25</v>
      </c>
      <c r="B1726" s="3444">
        <v>45936</v>
      </c>
      <c r="C1726" s="3355" t="s">
        <v>3498</v>
      </c>
      <c r="D1726" s="4121"/>
      <c r="E1726" s="4171" t="s">
        <v>840</v>
      </c>
      <c r="F1726" s="4172" t="s">
        <v>183</v>
      </c>
      <c r="G1726" s="3940" t="s">
        <v>1206</v>
      </c>
      <c r="H1726" s="3941" t="s">
        <v>1206</v>
      </c>
      <c r="I1726" s="3590">
        <v>707</v>
      </c>
      <c r="J1726" s="3670" t="s">
        <v>3513</v>
      </c>
      <c r="K1726" s="3890"/>
      <c r="L1726" s="3534" t="s">
        <v>37</v>
      </c>
      <c r="M1726" s="3443"/>
      <c r="N1726" s="3443"/>
      <c r="O1726" s="3443"/>
      <c r="P1726" s="4722"/>
      <c r="Q1726" s="4722"/>
      <c r="R1726" s="4722"/>
      <c r="S1726" s="3443"/>
      <c r="T1726" s="3443"/>
      <c r="U1726" s="3443"/>
      <c r="W1726" s="3522"/>
    </row>
    <row r="1727" spans="1:24" ht="57" hidden="1">
      <c r="A1727" s="3480" t="s">
        <v>25</v>
      </c>
      <c r="B1727" s="3444">
        <v>45936</v>
      </c>
      <c r="C1727" s="3355" t="s">
        <v>3498</v>
      </c>
      <c r="D1727" s="4121"/>
      <c r="E1727" s="4171" t="s">
        <v>3514</v>
      </c>
      <c r="F1727" s="4172" t="s">
        <v>3515</v>
      </c>
      <c r="G1727" s="4173" t="s">
        <v>1202</v>
      </c>
      <c r="H1727" s="4158" t="s">
        <v>1202</v>
      </c>
      <c r="I1727" s="3590">
        <v>707</v>
      </c>
      <c r="J1727" s="3670" t="s">
        <v>3516</v>
      </c>
      <c r="K1727" s="3890"/>
      <c r="L1727" s="3534"/>
      <c r="M1727" s="3443" t="s">
        <v>37</v>
      </c>
      <c r="N1727" s="3443"/>
      <c r="O1727" s="3443"/>
      <c r="P1727" s="21" t="s">
        <v>109</v>
      </c>
      <c r="Q1727" s="21" t="s">
        <v>323</v>
      </c>
      <c r="R1727" s="21" t="s">
        <v>38</v>
      </c>
      <c r="S1727" s="3443"/>
      <c r="T1727" s="3443"/>
      <c r="U1727" s="3443"/>
      <c r="W1727" s="3522" t="s">
        <v>3517</v>
      </c>
      <c r="X1727" s="3160" t="s">
        <v>3518</v>
      </c>
    </row>
    <row r="1728" spans="1:24" ht="31.5" hidden="1">
      <c r="A1728" s="3480" t="s">
        <v>25</v>
      </c>
      <c r="B1728" s="3444">
        <v>45936</v>
      </c>
      <c r="C1728" s="3355" t="s">
        <v>3498</v>
      </c>
      <c r="D1728" s="4121"/>
      <c r="E1728" s="4174" t="s">
        <v>3380</v>
      </c>
      <c r="F1728" s="4175" t="s">
        <v>3453</v>
      </c>
      <c r="G1728" s="3931" t="s">
        <v>1199</v>
      </c>
      <c r="H1728" s="3932" t="s">
        <v>1199</v>
      </c>
      <c r="I1728" s="3590">
        <v>712</v>
      </c>
      <c r="J1728" s="3670" t="s">
        <v>3519</v>
      </c>
      <c r="K1728" s="3890"/>
      <c r="L1728" s="3534" t="s">
        <v>37</v>
      </c>
      <c r="M1728" s="3443"/>
      <c r="N1728" s="3443"/>
      <c r="O1728" s="3443"/>
      <c r="P1728" s="3443"/>
      <c r="Q1728" s="3443"/>
      <c r="R1728" s="3443"/>
      <c r="S1728" s="3443"/>
      <c r="T1728" s="3443"/>
      <c r="U1728" s="3443"/>
      <c r="W1728" s="3522"/>
    </row>
    <row r="1729" spans="1:24" ht="31.5" hidden="1">
      <c r="A1729" s="3480" t="s">
        <v>25</v>
      </c>
      <c r="B1729" s="3444">
        <v>45936</v>
      </c>
      <c r="C1729" s="3355" t="s">
        <v>3498</v>
      </c>
      <c r="D1729" s="4121"/>
      <c r="E1729" s="4174" t="s">
        <v>306</v>
      </c>
      <c r="F1729" s="4175" t="s">
        <v>3455</v>
      </c>
      <c r="G1729" s="3931" t="s">
        <v>1199</v>
      </c>
      <c r="H1729" s="3932" t="s">
        <v>1199</v>
      </c>
      <c r="I1729" s="3590">
        <v>712</v>
      </c>
      <c r="J1729" s="3670" t="s">
        <v>3520</v>
      </c>
      <c r="K1729" s="3890"/>
      <c r="L1729" s="3534" t="s">
        <v>37</v>
      </c>
      <c r="M1729" s="3443"/>
      <c r="N1729" s="3443"/>
      <c r="O1729" s="3443"/>
      <c r="P1729" s="3443"/>
      <c r="Q1729" s="3443"/>
      <c r="R1729" s="3443"/>
      <c r="S1729" s="3443"/>
      <c r="T1729" s="3443"/>
      <c r="U1729" s="3443"/>
      <c r="W1729" s="3522"/>
    </row>
    <row r="1730" spans="1:24" ht="31.5" hidden="1">
      <c r="A1730" s="3500" t="s">
        <v>25</v>
      </c>
      <c r="B1730" s="3463">
        <v>45936</v>
      </c>
      <c r="C1730" s="3368" t="s">
        <v>3498</v>
      </c>
      <c r="D1730" s="4213"/>
      <c r="E1730" s="4227" t="s">
        <v>68</v>
      </c>
      <c r="F1730" s="4228" t="s">
        <v>3521</v>
      </c>
      <c r="G1730" s="3931" t="s">
        <v>1199</v>
      </c>
      <c r="H1730" s="3931" t="s">
        <v>1199</v>
      </c>
      <c r="I1730" s="3857">
        <v>712</v>
      </c>
      <c r="J1730" s="3978" t="s">
        <v>3522</v>
      </c>
      <c r="K1730" s="3903"/>
      <c r="L1730" s="3545" t="s">
        <v>37</v>
      </c>
      <c r="M1730" s="3462"/>
      <c r="N1730" s="3462"/>
      <c r="O1730" s="3462"/>
      <c r="P1730" s="3462"/>
      <c r="Q1730" s="3462"/>
      <c r="R1730" s="3462"/>
      <c r="S1730" s="3462"/>
      <c r="T1730" s="3462"/>
      <c r="U1730" s="3462"/>
      <c r="V1730" s="3273"/>
      <c r="W1730" s="3544"/>
    </row>
    <row r="1731" spans="1:24" ht="31.5" hidden="1">
      <c r="A1731" s="3477" t="s">
        <v>25</v>
      </c>
      <c r="B1731" s="3478">
        <v>45936</v>
      </c>
      <c r="C1731" s="3356" t="s">
        <v>3498</v>
      </c>
      <c r="D1731" s="4156"/>
      <c r="E1731" s="4580" t="s">
        <v>3523</v>
      </c>
      <c r="F1731" s="4642" t="s">
        <v>3359</v>
      </c>
      <c r="G1731" s="4212" t="s">
        <v>1199</v>
      </c>
      <c r="H1731" s="4210" t="s">
        <v>1199</v>
      </c>
      <c r="I1731" s="3868">
        <v>712</v>
      </c>
      <c r="J1731" s="3977" t="s">
        <v>3524</v>
      </c>
      <c r="K1731" s="3919"/>
      <c r="L1731" s="3530" t="s">
        <v>37</v>
      </c>
      <c r="M1731" s="3530"/>
      <c r="N1731" s="3503"/>
      <c r="O1731" s="3530"/>
      <c r="P1731" s="4765"/>
      <c r="Q1731" s="4765"/>
      <c r="R1731" s="4765"/>
      <c r="S1731" s="3530"/>
      <c r="T1731" s="3503"/>
      <c r="U1731" s="3503"/>
      <c r="V1731" s="3281"/>
      <c r="W1731" s="3521"/>
      <c r="X1731" s="3254"/>
    </row>
    <row r="1732" spans="1:24" ht="85.5" hidden="1">
      <c r="A1732" s="3480" t="s">
        <v>67</v>
      </c>
      <c r="B1732" s="3444">
        <v>45937</v>
      </c>
      <c r="C1732" s="3355" t="s">
        <v>3498</v>
      </c>
      <c r="D1732" s="4121"/>
      <c r="E1732" s="4159" t="s">
        <v>1464</v>
      </c>
      <c r="F1732" s="4219" t="s">
        <v>3225</v>
      </c>
      <c r="G1732" s="4023" t="s">
        <v>1206</v>
      </c>
      <c r="H1732" s="4048" t="s">
        <v>1206</v>
      </c>
      <c r="I1732" s="3590">
        <v>701</v>
      </c>
      <c r="J1732" s="3984" t="s">
        <v>3500</v>
      </c>
      <c r="K1732" s="3534"/>
      <c r="L1732" s="3534"/>
      <c r="M1732" s="3443" t="s">
        <v>37</v>
      </c>
      <c r="N1732" s="3443"/>
      <c r="O1732" s="3443" t="s">
        <v>37</v>
      </c>
      <c r="P1732" s="120" t="s">
        <v>0</v>
      </c>
      <c r="Q1732" s="120" t="s">
        <v>31</v>
      </c>
      <c r="R1732" s="120" t="s">
        <v>790</v>
      </c>
      <c r="S1732" s="3443" t="s">
        <v>37</v>
      </c>
      <c r="T1732" s="3443"/>
      <c r="U1732" s="3443"/>
      <c r="W1732" s="3522" t="s">
        <v>3525</v>
      </c>
      <c r="X1732" s="3254"/>
    </row>
    <row r="1733" spans="1:24" ht="31.5" hidden="1">
      <c r="A1733" s="3480" t="s">
        <v>67</v>
      </c>
      <c r="B1733" s="3444">
        <v>45937</v>
      </c>
      <c r="C1733" s="3355" t="s">
        <v>3498</v>
      </c>
      <c r="D1733" s="4121"/>
      <c r="E1733" s="4159" t="s">
        <v>1465</v>
      </c>
      <c r="F1733" s="4219" t="s">
        <v>3228</v>
      </c>
      <c r="G1733" s="4023" t="s">
        <v>1206</v>
      </c>
      <c r="H1733" s="4048" t="s">
        <v>1206</v>
      </c>
      <c r="I1733" s="3590">
        <v>701</v>
      </c>
      <c r="J1733" s="3984" t="s">
        <v>3501</v>
      </c>
      <c r="K1733" s="3890"/>
      <c r="L1733" s="3534"/>
      <c r="M1733" s="3443"/>
      <c r="N1733" s="3443" t="s">
        <v>37</v>
      </c>
      <c r="O1733" s="3443"/>
      <c r="P1733" s="21" t="s">
        <v>0</v>
      </c>
      <c r="Q1733" s="21" t="s">
        <v>31</v>
      </c>
      <c r="R1733" s="21" t="s">
        <v>790</v>
      </c>
      <c r="S1733" s="3443"/>
      <c r="T1733" s="3443"/>
      <c r="U1733" s="3443"/>
      <c r="W1733" s="3522"/>
      <c r="X1733" s="3254"/>
    </row>
    <row r="1734" spans="1:24" ht="31.5" hidden="1">
      <c r="A1734" s="3480" t="s">
        <v>67</v>
      </c>
      <c r="B1734" s="3444">
        <v>45937</v>
      </c>
      <c r="C1734" s="3355" t="s">
        <v>3498</v>
      </c>
      <c r="D1734" s="4121"/>
      <c r="E1734" s="4179" t="s">
        <v>3526</v>
      </c>
      <c r="F1734" s="4233" t="s">
        <v>3527</v>
      </c>
      <c r="G1734" s="4023" t="s">
        <v>1206</v>
      </c>
      <c r="H1734" s="4048" t="s">
        <v>1206</v>
      </c>
      <c r="I1734" s="4164">
        <v>705</v>
      </c>
      <c r="J1734" s="3984" t="s">
        <v>3528</v>
      </c>
      <c r="K1734" s="3890"/>
      <c r="L1734" s="3534" t="s">
        <v>37</v>
      </c>
      <c r="M1734" s="3443"/>
      <c r="N1734" s="3443"/>
      <c r="O1734" s="3443"/>
      <c r="P1734" s="4722"/>
      <c r="Q1734" s="4722"/>
      <c r="R1734" s="4722"/>
      <c r="S1734" s="3443"/>
      <c r="T1734" s="3443"/>
      <c r="U1734" s="3443"/>
      <c r="W1734" s="3522"/>
      <c r="X1734" s="3254"/>
    </row>
    <row r="1735" spans="1:24" ht="31.5" hidden="1">
      <c r="A1735" s="3480" t="s">
        <v>67</v>
      </c>
      <c r="B1735" s="3444">
        <v>45937</v>
      </c>
      <c r="C1735" s="3355" t="s">
        <v>3498</v>
      </c>
      <c r="D1735" s="4121"/>
      <c r="E1735" s="4179" t="s">
        <v>3529</v>
      </c>
      <c r="F1735" s="4233" t="s">
        <v>3530</v>
      </c>
      <c r="G1735" s="4023" t="s">
        <v>1206</v>
      </c>
      <c r="H1735" s="4048" t="s">
        <v>1206</v>
      </c>
      <c r="I1735" s="4164">
        <v>705</v>
      </c>
      <c r="J1735" s="3984" t="s">
        <v>3528</v>
      </c>
      <c r="K1735" s="4169"/>
      <c r="L1735" s="3534" t="s">
        <v>37</v>
      </c>
      <c r="M1735" s="3443"/>
      <c r="N1735" s="3443"/>
      <c r="O1735" s="3982"/>
      <c r="P1735" s="21"/>
      <c r="Q1735" s="21"/>
      <c r="R1735" s="21"/>
      <c r="S1735" s="3534"/>
      <c r="T1735" s="3443"/>
      <c r="U1735" s="3443"/>
      <c r="W1735" s="3522"/>
      <c r="X1735" s="3254"/>
    </row>
    <row r="1736" spans="1:24" ht="57.75" hidden="1" thickBot="1">
      <c r="A1736" s="3494" t="s">
        <v>67</v>
      </c>
      <c r="B1736" s="3448">
        <v>45937</v>
      </c>
      <c r="C1736" s="3372" t="s">
        <v>3498</v>
      </c>
      <c r="D1736" s="4183"/>
      <c r="E1736" s="4184" t="s">
        <v>169</v>
      </c>
      <c r="F1736" s="4234" t="s">
        <v>3531</v>
      </c>
      <c r="G1736" s="4035" t="s">
        <v>1206</v>
      </c>
      <c r="H1736" s="4047" t="s">
        <v>1206</v>
      </c>
      <c r="I1736" s="3593">
        <v>712</v>
      </c>
      <c r="J1736" s="3979" t="s">
        <v>3532</v>
      </c>
      <c r="K1736" s="4124" t="s">
        <v>174</v>
      </c>
      <c r="L1736" s="3546" t="s">
        <v>37</v>
      </c>
      <c r="M1736" s="3447"/>
      <c r="N1736" s="3447"/>
      <c r="O1736" s="3447" t="s">
        <v>37</v>
      </c>
      <c r="P1736" s="3735"/>
      <c r="Q1736" s="3735"/>
      <c r="R1736" s="3735"/>
      <c r="S1736" s="3447"/>
      <c r="T1736" s="3447"/>
      <c r="U1736" s="3447"/>
      <c r="V1736" s="3284"/>
      <c r="W1736" s="3547" t="s">
        <v>3533</v>
      </c>
      <c r="X1736" s="3254"/>
    </row>
    <row r="1737" spans="1:24" ht="31.5" hidden="1">
      <c r="A1737" s="3493" t="s">
        <v>67</v>
      </c>
      <c r="B1737" s="3457">
        <v>45937</v>
      </c>
      <c r="C1737" s="3355" t="s">
        <v>3498</v>
      </c>
      <c r="D1737" s="4209"/>
      <c r="E1737" s="4229" t="s">
        <v>1571</v>
      </c>
      <c r="F1737" s="4230" t="s">
        <v>1586</v>
      </c>
      <c r="G1737" s="3960" t="s">
        <v>1206</v>
      </c>
      <c r="H1737" s="3961" t="s">
        <v>1206</v>
      </c>
      <c r="I1737" s="4186">
        <v>712</v>
      </c>
      <c r="J1737" s="3660" t="s">
        <v>3534</v>
      </c>
      <c r="K1737" s="4231" t="s">
        <v>174</v>
      </c>
      <c r="L1737" s="3605" t="s">
        <v>37</v>
      </c>
      <c r="M1737" s="3456"/>
      <c r="N1737" s="3456"/>
      <c r="O1737" s="3456"/>
      <c r="P1737" s="3456"/>
      <c r="Q1737" s="3456"/>
      <c r="R1737" s="3456"/>
      <c r="S1737" s="3456"/>
      <c r="T1737" s="3456"/>
      <c r="U1737" s="3456"/>
      <c r="V1737" s="3276"/>
      <c r="W1737" s="3609"/>
    </row>
    <row r="1738" spans="1:24" ht="31.5" hidden="1">
      <c r="A1738" s="3480" t="s">
        <v>85</v>
      </c>
      <c r="B1738" s="3444">
        <v>45938</v>
      </c>
      <c r="C1738" s="3355" t="s">
        <v>3498</v>
      </c>
      <c r="D1738" s="4122"/>
      <c r="E1738" s="4181" t="s">
        <v>169</v>
      </c>
      <c r="F1738" s="4182" t="s">
        <v>3535</v>
      </c>
      <c r="G1738" s="3940" t="s">
        <v>1206</v>
      </c>
      <c r="H1738" s="3941" t="s">
        <v>1199</v>
      </c>
      <c r="I1738" s="3982">
        <v>712</v>
      </c>
      <c r="J1738" s="3670" t="s">
        <v>3534</v>
      </c>
      <c r="K1738" s="4153" t="s">
        <v>174</v>
      </c>
      <c r="L1738" s="3534" t="s">
        <v>37</v>
      </c>
      <c r="M1738" s="3443"/>
      <c r="N1738" s="3443"/>
      <c r="O1738" s="3443"/>
      <c r="P1738" s="3443"/>
      <c r="Q1738" s="3443"/>
      <c r="R1738" s="3443"/>
      <c r="S1738" s="3443"/>
      <c r="T1738" s="3443"/>
      <c r="U1738" s="3443"/>
      <c r="W1738" s="3522"/>
    </row>
    <row r="1739" spans="1:24" ht="31.5" hidden="1">
      <c r="A1739" s="3480" t="s">
        <v>85</v>
      </c>
      <c r="B1739" s="3444">
        <v>45938</v>
      </c>
      <c r="C1739" s="3355" t="s">
        <v>3498</v>
      </c>
      <c r="D1739" s="4122"/>
      <c r="E1739" s="4181" t="s">
        <v>1571</v>
      </c>
      <c r="F1739" s="4182" t="s">
        <v>878</v>
      </c>
      <c r="G1739" s="3940" t="s">
        <v>1206</v>
      </c>
      <c r="H1739" s="3941" t="s">
        <v>1199</v>
      </c>
      <c r="I1739" s="3982">
        <v>712</v>
      </c>
      <c r="J1739" s="3670" t="s">
        <v>3532</v>
      </c>
      <c r="K1739" s="4153" t="s">
        <v>174</v>
      </c>
      <c r="L1739" s="3534" t="s">
        <v>37</v>
      </c>
      <c r="M1739" s="3443"/>
      <c r="N1739" s="3443"/>
      <c r="O1739" s="3443"/>
      <c r="P1739" s="4765"/>
      <c r="Q1739" s="4765"/>
      <c r="R1739" s="4765"/>
      <c r="S1739" s="3443"/>
      <c r="T1739" s="3443"/>
      <c r="U1739" s="3443"/>
      <c r="W1739" s="3522"/>
    </row>
    <row r="1740" spans="1:24" ht="31.5" hidden="1">
      <c r="A1740" s="3480" t="s">
        <v>85</v>
      </c>
      <c r="B1740" s="3444">
        <v>45938</v>
      </c>
      <c r="C1740" s="3355" t="s">
        <v>3498</v>
      </c>
      <c r="D1740" s="4121"/>
      <c r="E1740" s="4159" t="s">
        <v>1464</v>
      </c>
      <c r="F1740" s="4160" t="s">
        <v>3225</v>
      </c>
      <c r="G1740" s="4187" t="s">
        <v>1206</v>
      </c>
      <c r="H1740" s="4022" t="s">
        <v>1199</v>
      </c>
      <c r="I1740" s="3982">
        <v>701</v>
      </c>
      <c r="J1740" s="3984" t="s">
        <v>3536</v>
      </c>
      <c r="K1740" s="3890"/>
      <c r="L1740" s="3534"/>
      <c r="M1740" s="3443"/>
      <c r="N1740" s="3443" t="s">
        <v>37</v>
      </c>
      <c r="O1740" s="3443"/>
      <c r="P1740" s="120" t="s">
        <v>0</v>
      </c>
      <c r="Q1740" s="120" t="s">
        <v>31</v>
      </c>
      <c r="R1740" s="120" t="s">
        <v>790</v>
      </c>
      <c r="S1740" s="3443"/>
      <c r="T1740" s="3443"/>
      <c r="U1740" s="3443"/>
      <c r="W1740" s="3522" t="s">
        <v>3537</v>
      </c>
    </row>
    <row r="1741" spans="1:24" ht="31.5" hidden="1">
      <c r="A1741" s="3480" t="s">
        <v>85</v>
      </c>
      <c r="B1741" s="3444">
        <v>45938</v>
      </c>
      <c r="C1741" s="3355" t="s">
        <v>3498</v>
      </c>
      <c r="D1741" s="4121"/>
      <c r="E1741" s="4159" t="s">
        <v>1465</v>
      </c>
      <c r="F1741" s="4160" t="s">
        <v>3228</v>
      </c>
      <c r="G1741" s="4187" t="s">
        <v>1206</v>
      </c>
      <c r="H1741" s="4022" t="s">
        <v>1199</v>
      </c>
      <c r="I1741" s="3982">
        <v>701</v>
      </c>
      <c r="J1741" s="3984" t="s">
        <v>3501</v>
      </c>
      <c r="K1741" s="3890"/>
      <c r="L1741" s="3534"/>
      <c r="M1741" s="3443"/>
      <c r="N1741" s="3443" t="s">
        <v>37</v>
      </c>
      <c r="O1741" s="3443"/>
      <c r="P1741" s="21" t="s">
        <v>0</v>
      </c>
      <c r="Q1741" s="21" t="s">
        <v>31</v>
      </c>
      <c r="R1741" s="21" t="s">
        <v>790</v>
      </c>
      <c r="S1741" s="3443"/>
      <c r="T1741" s="3443"/>
      <c r="U1741" s="3443"/>
      <c r="W1741" s="3522"/>
    </row>
    <row r="1742" spans="1:24" ht="31.5" hidden="1">
      <c r="A1742" s="3480" t="s">
        <v>85</v>
      </c>
      <c r="B1742" s="3444">
        <v>45938</v>
      </c>
      <c r="C1742" s="3355" t="s">
        <v>3498</v>
      </c>
      <c r="D1742" s="4121"/>
      <c r="E1742" s="4179" t="s">
        <v>3538</v>
      </c>
      <c r="F1742" s="4180" t="s">
        <v>3539</v>
      </c>
      <c r="G1742" s="3940" t="s">
        <v>1199</v>
      </c>
      <c r="H1742" s="3941" t="s">
        <v>1199</v>
      </c>
      <c r="I1742" s="4188">
        <v>705</v>
      </c>
      <c r="J1742" s="3984" t="s">
        <v>3528</v>
      </c>
      <c r="K1742" s="4169"/>
      <c r="L1742" s="3534" t="s">
        <v>37</v>
      </c>
      <c r="M1742" s="3443"/>
      <c r="N1742" s="3443"/>
      <c r="O1742" s="3443"/>
      <c r="P1742" s="3443"/>
      <c r="Q1742" s="3443"/>
      <c r="R1742" s="3443"/>
      <c r="S1742" s="3443"/>
      <c r="T1742" s="3443"/>
      <c r="U1742" s="3443"/>
      <c r="W1742" s="3522"/>
    </row>
    <row r="1743" spans="1:24" ht="31.5" hidden="1">
      <c r="A1743" s="3480" t="s">
        <v>85</v>
      </c>
      <c r="B1743" s="3444">
        <v>45938</v>
      </c>
      <c r="C1743" s="3355" t="s">
        <v>3498</v>
      </c>
      <c r="D1743" s="4122"/>
      <c r="E1743" s="4181" t="s">
        <v>97</v>
      </c>
      <c r="F1743" s="4182" t="s">
        <v>3540</v>
      </c>
      <c r="G1743" s="4161" t="s">
        <v>1199</v>
      </c>
      <c r="H1743" s="3927" t="s">
        <v>1199</v>
      </c>
      <c r="I1743" s="4188">
        <v>712</v>
      </c>
      <c r="J1743" s="3984" t="s">
        <v>3541</v>
      </c>
      <c r="K1743" s="4153" t="s">
        <v>2469</v>
      </c>
      <c r="L1743" s="3534" t="s">
        <v>37</v>
      </c>
      <c r="M1743" s="3443"/>
      <c r="N1743" s="3443"/>
      <c r="O1743" s="3443"/>
      <c r="P1743" s="3443"/>
      <c r="Q1743" s="3443"/>
      <c r="R1743" s="3443"/>
      <c r="S1743" s="3443"/>
      <c r="T1743" s="3443"/>
      <c r="U1743" s="3443"/>
      <c r="W1743" s="3522"/>
    </row>
    <row r="1744" spans="1:24" ht="31.5" hidden="1">
      <c r="A1744" s="3480" t="s">
        <v>85</v>
      </c>
      <c r="B1744" s="3444">
        <v>45938</v>
      </c>
      <c r="C1744" s="3355" t="s">
        <v>3498</v>
      </c>
      <c r="D1744" s="4121"/>
      <c r="E1744" s="4181" t="s">
        <v>48</v>
      </c>
      <c r="F1744" s="4182" t="s">
        <v>3542</v>
      </c>
      <c r="G1744" s="4189" t="s">
        <v>1206</v>
      </c>
      <c r="H1744" s="4190" t="s">
        <v>1206</v>
      </c>
      <c r="I1744" s="4188">
        <v>705</v>
      </c>
      <c r="J1744" s="3984" t="s">
        <v>3543</v>
      </c>
      <c r="K1744" s="4169"/>
      <c r="L1744" s="3534" t="s">
        <v>37</v>
      </c>
      <c r="M1744" s="3443"/>
      <c r="N1744" s="3443"/>
      <c r="O1744" s="3443"/>
      <c r="P1744" s="3443"/>
      <c r="Q1744" s="3443"/>
      <c r="R1744" s="3443"/>
      <c r="S1744" s="3443"/>
      <c r="T1744" s="3443"/>
      <c r="U1744" s="3443" t="s">
        <v>37</v>
      </c>
      <c r="W1744" s="3522"/>
    </row>
    <row r="1745" spans="1:24" ht="31.5" hidden="1">
      <c r="A1745" s="3480" t="s">
        <v>85</v>
      </c>
      <c r="B1745" s="3444">
        <v>45938</v>
      </c>
      <c r="C1745" s="3355" t="s">
        <v>3498</v>
      </c>
      <c r="D1745" s="4121"/>
      <c r="E1745" s="4162" t="s">
        <v>48</v>
      </c>
      <c r="F1745" s="4163" t="s">
        <v>2196</v>
      </c>
      <c r="G1745" s="3940" t="s">
        <v>1206</v>
      </c>
      <c r="H1745" s="3941" t="s">
        <v>1199</v>
      </c>
      <c r="I1745" s="4188">
        <v>707</v>
      </c>
      <c r="J1745" s="3984" t="s">
        <v>3544</v>
      </c>
      <c r="K1745" s="4169"/>
      <c r="L1745" s="3534" t="s">
        <v>37</v>
      </c>
      <c r="M1745" s="3443"/>
      <c r="N1745" s="3443"/>
      <c r="O1745" s="3443"/>
      <c r="P1745" s="3443"/>
      <c r="Q1745" s="3443"/>
      <c r="R1745" s="3443"/>
      <c r="S1745" s="3443"/>
      <c r="T1745" s="3443"/>
      <c r="U1745" s="3443"/>
      <c r="W1745" s="3522"/>
    </row>
    <row r="1746" spans="1:24" ht="31.5" hidden="1">
      <c r="A1746" s="3500" t="s">
        <v>85</v>
      </c>
      <c r="B1746" s="3463">
        <v>45938</v>
      </c>
      <c r="C1746" s="3368" t="s">
        <v>3498</v>
      </c>
      <c r="D1746" s="4213"/>
      <c r="E1746" s="4214" t="s">
        <v>182</v>
      </c>
      <c r="F1746" s="4215" t="s">
        <v>3545</v>
      </c>
      <c r="G1746" s="4192" t="s">
        <v>1199</v>
      </c>
      <c r="H1746" s="4193" t="s">
        <v>1199</v>
      </c>
      <c r="I1746" s="4200">
        <v>703</v>
      </c>
      <c r="J1746" s="4216" t="s">
        <v>3546</v>
      </c>
      <c r="K1746" s="4201"/>
      <c r="L1746" s="3545" t="s">
        <v>37</v>
      </c>
      <c r="M1746" s="3462"/>
      <c r="N1746" s="3462"/>
      <c r="O1746" s="3462"/>
      <c r="P1746" s="3462"/>
      <c r="Q1746" s="3462"/>
      <c r="R1746" s="3462"/>
      <c r="S1746" s="3462"/>
      <c r="T1746" s="3462"/>
      <c r="U1746" s="3462"/>
      <c r="V1746" s="3273"/>
      <c r="W1746" s="3544" t="s">
        <v>3547</v>
      </c>
    </row>
    <row r="1747" spans="1:24" ht="31.5" hidden="1">
      <c r="A1747" s="3477" t="s">
        <v>85</v>
      </c>
      <c r="B1747" s="3478">
        <v>45938</v>
      </c>
      <c r="C1747" s="3356" t="s">
        <v>3498</v>
      </c>
      <c r="D1747" s="4156"/>
      <c r="E1747" s="4582" t="s">
        <v>655</v>
      </c>
      <c r="F1747" s="4644" t="s">
        <v>3548</v>
      </c>
      <c r="G1747" s="4232" t="s">
        <v>1199</v>
      </c>
      <c r="H1747" s="4178" t="s">
        <v>1199</v>
      </c>
      <c r="I1747" s="4204">
        <v>703</v>
      </c>
      <c r="J1747" s="4157"/>
      <c r="K1747" s="4746"/>
      <c r="L1747" s="3530" t="s">
        <v>37</v>
      </c>
      <c r="M1747" s="3503"/>
      <c r="N1747" s="3503"/>
      <c r="O1747" s="3503"/>
      <c r="P1747" s="3503"/>
      <c r="Q1747" s="3503"/>
      <c r="R1747" s="3503"/>
      <c r="S1747" s="3503"/>
      <c r="T1747" s="3503"/>
      <c r="U1747" s="3503"/>
      <c r="V1747" s="3281"/>
      <c r="W1747" s="3521"/>
      <c r="X1747" s="3254"/>
    </row>
    <row r="1748" spans="1:24" ht="31.5" hidden="1">
      <c r="A1748" s="3480" t="s">
        <v>105</v>
      </c>
      <c r="B1748" s="3444">
        <v>45939</v>
      </c>
      <c r="C1748" s="3355" t="s">
        <v>3498</v>
      </c>
      <c r="D1748" s="4122"/>
      <c r="E1748" s="4181" t="s">
        <v>1811</v>
      </c>
      <c r="F1748" s="4220" t="s">
        <v>3549</v>
      </c>
      <c r="G1748" s="4024" t="s">
        <v>1199</v>
      </c>
      <c r="H1748" s="4708" t="s">
        <v>1199</v>
      </c>
      <c r="I1748" s="4164">
        <v>712</v>
      </c>
      <c r="J1748" s="3984" t="s">
        <v>3541</v>
      </c>
      <c r="K1748" s="4153" t="s">
        <v>2469</v>
      </c>
      <c r="L1748" s="3534" t="s">
        <v>37</v>
      </c>
      <c r="M1748" s="3443"/>
      <c r="N1748" s="3443"/>
      <c r="O1748" s="3443"/>
      <c r="P1748" s="3443"/>
      <c r="Q1748" s="3443"/>
      <c r="R1748" s="3443"/>
      <c r="S1748" s="3443"/>
      <c r="T1748" s="3443"/>
      <c r="U1748" s="3443"/>
      <c r="W1748" s="3522"/>
      <c r="X1748" s="3254"/>
    </row>
    <row r="1749" spans="1:24" ht="31.5" hidden="1">
      <c r="A1749" s="3480" t="s">
        <v>105</v>
      </c>
      <c r="B1749" s="3444">
        <v>45939</v>
      </c>
      <c r="C1749" s="3355" t="s">
        <v>3498</v>
      </c>
      <c r="D1749" s="4121"/>
      <c r="E1749" s="4159" t="s">
        <v>1464</v>
      </c>
      <c r="F1749" s="4219" t="s">
        <v>3225</v>
      </c>
      <c r="G1749" s="4023" t="s">
        <v>1206</v>
      </c>
      <c r="H1749" s="4211" t="s">
        <v>1206</v>
      </c>
      <c r="I1749" s="3590">
        <v>701</v>
      </c>
      <c r="J1749" s="3984" t="s">
        <v>3550</v>
      </c>
      <c r="K1749" s="3890"/>
      <c r="L1749" s="3534" t="s">
        <v>37</v>
      </c>
      <c r="M1749" s="3443"/>
      <c r="N1749" s="3443"/>
      <c r="O1749" s="3443"/>
      <c r="P1749" s="3443"/>
      <c r="Q1749" s="3443"/>
      <c r="R1749" s="3443"/>
      <c r="S1749" s="3443"/>
      <c r="T1749" s="3443"/>
      <c r="U1749" s="3443"/>
      <c r="W1749" s="3522"/>
      <c r="X1749" s="3254"/>
    </row>
    <row r="1750" spans="1:24" ht="31.5" hidden="1">
      <c r="A1750" s="3480" t="s">
        <v>105</v>
      </c>
      <c r="B1750" s="3444">
        <v>45939</v>
      </c>
      <c r="C1750" s="3355" t="s">
        <v>3498</v>
      </c>
      <c r="D1750" s="4121"/>
      <c r="E1750" s="4159" t="s">
        <v>1465</v>
      </c>
      <c r="F1750" s="4219" t="s">
        <v>3228</v>
      </c>
      <c r="G1750" s="4023" t="s">
        <v>1206</v>
      </c>
      <c r="H1750" s="4211" t="s">
        <v>1206</v>
      </c>
      <c r="I1750" s="3590">
        <v>701</v>
      </c>
      <c r="J1750" s="3984" t="s">
        <v>3551</v>
      </c>
      <c r="K1750" s="3890"/>
      <c r="L1750" s="3534" t="s">
        <v>37</v>
      </c>
      <c r="M1750" s="3443"/>
      <c r="N1750" s="3443"/>
      <c r="O1750" s="3443"/>
      <c r="P1750" s="3443"/>
      <c r="Q1750" s="3443"/>
      <c r="R1750" s="3443"/>
      <c r="S1750" s="3443"/>
      <c r="T1750" s="3443"/>
      <c r="U1750" s="3443"/>
      <c r="W1750" s="3522"/>
      <c r="X1750" s="3254"/>
    </row>
    <row r="1751" spans="1:24" ht="31.5" hidden="1">
      <c r="A1751" s="3480" t="s">
        <v>105</v>
      </c>
      <c r="B1751" s="3444">
        <v>45939</v>
      </c>
      <c r="C1751" s="3355" t="s">
        <v>3498</v>
      </c>
      <c r="D1751" s="4122"/>
      <c r="E1751" s="4181" t="s">
        <v>169</v>
      </c>
      <c r="F1751" s="4220" t="s">
        <v>3552</v>
      </c>
      <c r="G1751" s="4023" t="s">
        <v>1206</v>
      </c>
      <c r="H1751" s="4211" t="s">
        <v>1206</v>
      </c>
      <c r="I1751" s="4164">
        <v>712</v>
      </c>
      <c r="J1751" s="3670" t="s">
        <v>3532</v>
      </c>
      <c r="K1751" s="4153" t="s">
        <v>174</v>
      </c>
      <c r="L1751" s="3534" t="s">
        <v>37</v>
      </c>
      <c r="M1751" s="3443"/>
      <c r="N1751" s="3443"/>
      <c r="O1751" s="3443"/>
      <c r="P1751" s="3443"/>
      <c r="Q1751" s="3443"/>
      <c r="R1751" s="3443"/>
      <c r="S1751" s="3443"/>
      <c r="T1751" s="3443"/>
      <c r="U1751" s="3443"/>
      <c r="W1751" s="3522"/>
      <c r="X1751" s="3254"/>
    </row>
    <row r="1752" spans="1:24" ht="31.5" hidden="1">
      <c r="A1752" s="3480" t="s">
        <v>105</v>
      </c>
      <c r="B1752" s="3444">
        <v>45939</v>
      </c>
      <c r="C1752" s="3355" t="s">
        <v>3498</v>
      </c>
      <c r="D1752" s="4122"/>
      <c r="E1752" s="4181" t="s">
        <v>1571</v>
      </c>
      <c r="F1752" s="4220" t="s">
        <v>3553</v>
      </c>
      <c r="G1752" s="4023" t="s">
        <v>1206</v>
      </c>
      <c r="H1752" s="4211" t="s">
        <v>1206</v>
      </c>
      <c r="I1752" s="4164">
        <v>712</v>
      </c>
      <c r="J1752" s="3670" t="s">
        <v>3554</v>
      </c>
      <c r="K1752" s="4153" t="s">
        <v>174</v>
      </c>
      <c r="L1752" s="3534" t="s">
        <v>37</v>
      </c>
      <c r="M1752" s="3443"/>
      <c r="N1752" s="3443"/>
      <c r="O1752" s="3443"/>
      <c r="P1752" s="3443"/>
      <c r="Q1752" s="3443"/>
      <c r="R1752" s="3443"/>
      <c r="S1752" s="3443"/>
      <c r="T1752" s="3443"/>
      <c r="U1752" s="3443"/>
      <c r="W1752" s="3522"/>
      <c r="X1752" s="3254"/>
    </row>
    <row r="1753" spans="1:24" ht="31.5" hidden="1">
      <c r="A1753" s="3480" t="s">
        <v>105</v>
      </c>
      <c r="B1753" s="3444">
        <v>45939</v>
      </c>
      <c r="C1753" s="3355" t="s">
        <v>3498</v>
      </c>
      <c r="D1753" s="4122"/>
      <c r="E1753" s="4181" t="s">
        <v>3555</v>
      </c>
      <c r="F1753" s="4220" t="s">
        <v>3556</v>
      </c>
      <c r="G1753" s="4685" t="s">
        <v>1206</v>
      </c>
      <c r="H1753" s="4049" t="s">
        <v>1206</v>
      </c>
      <c r="I1753" s="4164">
        <v>702</v>
      </c>
      <c r="J1753" s="3670" t="s">
        <v>3557</v>
      </c>
      <c r="K1753" s="4153" t="s">
        <v>1076</v>
      </c>
      <c r="L1753" s="3534"/>
      <c r="M1753" s="3443"/>
      <c r="N1753" s="3443"/>
      <c r="O1753" s="3443"/>
      <c r="P1753" s="3462"/>
      <c r="Q1753" s="3462"/>
      <c r="R1753" s="3462"/>
      <c r="S1753" s="3443"/>
      <c r="T1753" s="3443"/>
      <c r="U1753" s="3443"/>
      <c r="W1753" s="3522"/>
      <c r="X1753" s="3254"/>
    </row>
    <row r="1754" spans="1:24" ht="31.5" hidden="1">
      <c r="A1754" s="3480" t="s">
        <v>105</v>
      </c>
      <c r="B1754" s="3444">
        <v>45939</v>
      </c>
      <c r="C1754" s="3355" t="s">
        <v>3498</v>
      </c>
      <c r="D1754" s="4121"/>
      <c r="E1754" s="4195" t="s">
        <v>3558</v>
      </c>
      <c r="F1754" s="4221" t="s">
        <v>863</v>
      </c>
      <c r="G1754" s="4024" t="s">
        <v>1199</v>
      </c>
      <c r="H1754" s="4037"/>
      <c r="I1754" s="3590">
        <v>703</v>
      </c>
      <c r="J1754" s="3670" t="s">
        <v>3559</v>
      </c>
      <c r="K1754" s="3890"/>
      <c r="L1754" s="3534" t="s">
        <v>37</v>
      </c>
      <c r="M1754" s="3443"/>
      <c r="N1754" s="3443"/>
      <c r="O1754" s="3531"/>
      <c r="P1754" s="3443"/>
      <c r="Q1754" s="3443"/>
      <c r="R1754" s="3443"/>
      <c r="S1754" s="3534"/>
      <c r="T1754" s="3443"/>
      <c r="U1754" s="3443"/>
      <c r="W1754" s="3522"/>
      <c r="X1754" s="3254"/>
    </row>
    <row r="1755" spans="1:24" ht="52.5" hidden="1">
      <c r="A1755" s="3480" t="s">
        <v>105</v>
      </c>
      <c r="B1755" s="3444">
        <v>45939</v>
      </c>
      <c r="C1755" s="3355" t="s">
        <v>3498</v>
      </c>
      <c r="D1755" s="4170"/>
      <c r="E1755" s="4195" t="s">
        <v>3558</v>
      </c>
      <c r="F1755" s="4221" t="s">
        <v>830</v>
      </c>
      <c r="G1755" s="4902"/>
      <c r="H1755" s="4098"/>
      <c r="I1755" s="3590">
        <v>703</v>
      </c>
      <c r="J1755" s="3670" t="s">
        <v>3560</v>
      </c>
      <c r="K1755" s="3890"/>
      <c r="L1755" s="3534"/>
      <c r="M1755" s="3443" t="s">
        <v>37</v>
      </c>
      <c r="N1755" s="3443"/>
      <c r="O1755" s="3443"/>
      <c r="P1755" s="119" t="s">
        <v>0</v>
      </c>
      <c r="Q1755" s="119" t="s">
        <v>187</v>
      </c>
      <c r="R1755" s="119" t="s">
        <v>46</v>
      </c>
      <c r="S1755" s="3443"/>
      <c r="T1755" s="3443"/>
      <c r="U1755" s="3443"/>
      <c r="W1755" s="3522" t="s">
        <v>3561</v>
      </c>
      <c r="X1755" s="3254"/>
    </row>
    <row r="1756" spans="1:24" ht="31.5" hidden="1">
      <c r="A1756" s="3480" t="s">
        <v>105</v>
      </c>
      <c r="B1756" s="3444">
        <v>45939</v>
      </c>
      <c r="C1756" s="3355" t="s">
        <v>3498</v>
      </c>
      <c r="D1756" s="4109"/>
      <c r="E1756" s="4181" t="s">
        <v>3380</v>
      </c>
      <c r="F1756" s="4220" t="s">
        <v>3562</v>
      </c>
      <c r="G1756" s="4903"/>
      <c r="H1756" s="227"/>
      <c r="I1756" s="4164">
        <v>712</v>
      </c>
      <c r="J1756" s="3670" t="s">
        <v>3437</v>
      </c>
      <c r="K1756" s="4153" t="s">
        <v>3563</v>
      </c>
      <c r="L1756" s="3534" t="s">
        <v>37</v>
      </c>
      <c r="M1756" s="3443"/>
      <c r="N1756" s="3443"/>
      <c r="O1756" s="3443"/>
      <c r="P1756" s="3443"/>
      <c r="Q1756" s="3443"/>
      <c r="R1756" s="3443"/>
      <c r="S1756" s="3443"/>
      <c r="T1756" s="3443"/>
      <c r="U1756" s="3443"/>
      <c r="W1756" s="3522"/>
      <c r="X1756" s="3254"/>
    </row>
    <row r="1757" spans="1:24" ht="31.5" hidden="1">
      <c r="A1757" s="3480" t="s">
        <v>105</v>
      </c>
      <c r="B1757" s="3444">
        <v>45939</v>
      </c>
      <c r="C1757" s="3355" t="s">
        <v>3498</v>
      </c>
      <c r="D1757" s="4121"/>
      <c r="E1757" s="4162" t="s">
        <v>169</v>
      </c>
      <c r="F1757" s="4222" t="s">
        <v>68</v>
      </c>
      <c r="G1757" s="4904" t="s">
        <v>1206</v>
      </c>
      <c r="H1757" s="4923" t="s">
        <v>1206</v>
      </c>
      <c r="I1757" s="4164">
        <v>712</v>
      </c>
      <c r="J1757" s="3984" t="s">
        <v>3477</v>
      </c>
      <c r="K1757" s="4169"/>
      <c r="L1757" s="3534"/>
      <c r="M1757" s="3443"/>
      <c r="N1757" s="3443"/>
      <c r="O1757" s="3443"/>
      <c r="P1757" s="3443"/>
      <c r="Q1757" s="3443"/>
      <c r="R1757" s="3443"/>
      <c r="S1757" s="3443"/>
      <c r="T1757" s="3443"/>
      <c r="U1757" s="3443"/>
      <c r="W1757" s="3522"/>
      <c r="X1757" s="3254"/>
    </row>
    <row r="1758" spans="1:24" ht="31.5" hidden="1">
      <c r="A1758" s="3480" t="s">
        <v>105</v>
      </c>
      <c r="B1758" s="3444">
        <v>45939</v>
      </c>
      <c r="C1758" s="3355" t="s">
        <v>3498</v>
      </c>
      <c r="D1758" s="4121"/>
      <c r="E1758" s="4196" t="s">
        <v>3564</v>
      </c>
      <c r="F1758" s="4223" t="s">
        <v>3565</v>
      </c>
      <c r="G1758" s="4905" t="s">
        <v>1199</v>
      </c>
      <c r="H1758" s="4924" t="s">
        <v>1199</v>
      </c>
      <c r="I1758" s="4164">
        <v>707</v>
      </c>
      <c r="J1758" s="3984">
        <v>60072</v>
      </c>
      <c r="K1758" s="4169"/>
      <c r="L1758" s="3534" t="s">
        <v>37</v>
      </c>
      <c r="M1758" s="3443"/>
      <c r="N1758" s="3443"/>
      <c r="O1758" s="3443"/>
      <c r="P1758" s="3443"/>
      <c r="Q1758" s="3443"/>
      <c r="R1758" s="3443"/>
      <c r="S1758" s="3443"/>
      <c r="T1758" s="3443"/>
      <c r="U1758" s="3443"/>
      <c r="W1758" s="3522"/>
      <c r="X1758" s="3254"/>
    </row>
    <row r="1759" spans="1:24" ht="31.5" hidden="1">
      <c r="A1759" s="3480" t="s">
        <v>105</v>
      </c>
      <c r="B1759" s="3444">
        <v>45939</v>
      </c>
      <c r="C1759" s="3355" t="s">
        <v>3498</v>
      </c>
      <c r="D1759" s="4121"/>
      <c r="E1759" s="4196" t="s">
        <v>3566</v>
      </c>
      <c r="F1759" s="4223" t="s">
        <v>3567</v>
      </c>
      <c r="G1759" s="4685" t="s">
        <v>1202</v>
      </c>
      <c r="H1759" s="4178" t="s">
        <v>1202</v>
      </c>
      <c r="I1759" s="4164">
        <v>707</v>
      </c>
      <c r="J1759" s="3984">
        <v>60072</v>
      </c>
      <c r="K1759" s="4169"/>
      <c r="L1759" s="3534" t="s">
        <v>37</v>
      </c>
      <c r="M1759" s="3443"/>
      <c r="N1759" s="3443"/>
      <c r="O1759" s="3443"/>
      <c r="P1759" s="3443"/>
      <c r="Q1759" s="3443"/>
      <c r="R1759" s="3443"/>
      <c r="S1759" s="3443"/>
      <c r="T1759" s="3443"/>
      <c r="U1759" s="3443"/>
      <c r="W1759" s="3522"/>
      <c r="X1759" s="3254"/>
    </row>
    <row r="1760" spans="1:24" ht="31.5" hidden="1">
      <c r="A1760" s="3480" t="s">
        <v>105</v>
      </c>
      <c r="B1760" s="3444">
        <v>45939</v>
      </c>
      <c r="C1760" s="3355" t="s">
        <v>3498</v>
      </c>
      <c r="D1760" s="4122"/>
      <c r="E1760" s="4196" t="s">
        <v>3568</v>
      </c>
      <c r="F1760" s="4223" t="s">
        <v>3569</v>
      </c>
      <c r="G1760" s="4024" t="s">
        <v>1199</v>
      </c>
      <c r="H1760" s="4037" t="s">
        <v>1199</v>
      </c>
      <c r="I1760" s="4164">
        <v>707</v>
      </c>
      <c r="J1760" s="3984">
        <v>60072</v>
      </c>
      <c r="K1760" s="4153" t="s">
        <v>174</v>
      </c>
      <c r="L1760" s="3534" t="s">
        <v>37</v>
      </c>
      <c r="M1760" s="3443"/>
      <c r="N1760" s="3443"/>
      <c r="O1760" s="3443"/>
      <c r="P1760" s="3443"/>
      <c r="Q1760" s="3443"/>
      <c r="R1760" s="3443"/>
      <c r="S1760" s="3443"/>
      <c r="T1760" s="3443"/>
      <c r="U1760" s="3443"/>
      <c r="W1760" s="3522"/>
      <c r="X1760" s="3254"/>
    </row>
    <row r="1761" spans="1:24" ht="32.25" hidden="1" thickBot="1">
      <c r="A1761" s="3494" t="s">
        <v>105</v>
      </c>
      <c r="B1761" s="3448">
        <v>45939</v>
      </c>
      <c r="C1761" s="3372" t="s">
        <v>3498</v>
      </c>
      <c r="D1761" s="4506"/>
      <c r="E1761" s="4199" t="s">
        <v>3526</v>
      </c>
      <c r="F1761" s="4225" t="s">
        <v>3570</v>
      </c>
      <c r="G1761" s="4035" t="s">
        <v>1199</v>
      </c>
      <c r="H1761" s="4925" t="s">
        <v>1199</v>
      </c>
      <c r="I1761" s="4226">
        <v>712</v>
      </c>
      <c r="J1761" s="4721" t="s">
        <v>3571</v>
      </c>
      <c r="K1761" s="4194"/>
      <c r="L1761" s="3546" t="s">
        <v>37</v>
      </c>
      <c r="M1761" s="3447"/>
      <c r="N1761" s="3447"/>
      <c r="O1761" s="3447" t="s">
        <v>30</v>
      </c>
      <c r="P1761" s="3447"/>
      <c r="Q1761" s="3447"/>
      <c r="R1761" s="3284"/>
      <c r="S1761" s="3447"/>
      <c r="T1761" s="3447"/>
      <c r="U1761" s="3447"/>
      <c r="V1761" s="3284"/>
      <c r="W1761" s="3547" t="s">
        <v>3572</v>
      </c>
      <c r="X1761" s="3254"/>
    </row>
    <row r="1762" spans="1:24" ht="31.5" hidden="1">
      <c r="A1762" s="3493" t="s">
        <v>105</v>
      </c>
      <c r="B1762" s="3457">
        <v>45939</v>
      </c>
      <c r="C1762" s="3355" t="s">
        <v>3498</v>
      </c>
      <c r="D1762" s="4801"/>
      <c r="E1762" s="4202" t="s">
        <v>3573</v>
      </c>
      <c r="F1762" s="4203" t="s">
        <v>3574</v>
      </c>
      <c r="G1762" s="4660" t="s">
        <v>1202</v>
      </c>
      <c r="H1762" s="4926" t="s">
        <v>1202</v>
      </c>
      <c r="I1762" s="4217">
        <v>712</v>
      </c>
      <c r="J1762" s="3660" t="s">
        <v>3575</v>
      </c>
      <c r="K1762" s="4218"/>
      <c r="L1762" s="3605" t="s">
        <v>37</v>
      </c>
      <c r="M1762" s="3456"/>
      <c r="N1762" s="3456"/>
      <c r="O1762" s="3456"/>
      <c r="P1762" s="4722"/>
      <c r="Q1762" s="4722"/>
      <c r="R1762" s="4722"/>
      <c r="S1762" s="3456"/>
      <c r="T1762" s="3456"/>
      <c r="U1762" s="3456"/>
      <c r="V1762" s="3276"/>
      <c r="W1762" s="3609"/>
    </row>
    <row r="1763" spans="1:24" ht="31.5" hidden="1">
      <c r="A1763" s="3480" t="s">
        <v>132</v>
      </c>
      <c r="B1763" s="3444">
        <v>45939</v>
      </c>
      <c r="C1763" s="3355" t="s">
        <v>3498</v>
      </c>
      <c r="D1763" s="4109"/>
      <c r="E1763" s="4181" t="s">
        <v>169</v>
      </c>
      <c r="F1763" s="4181" t="s">
        <v>3552</v>
      </c>
      <c r="G1763" s="3533" t="s">
        <v>3576</v>
      </c>
      <c r="H1763" s="3811" t="s">
        <v>3577</v>
      </c>
      <c r="I1763" s="3982">
        <v>712</v>
      </c>
      <c r="J1763" s="3670" t="s">
        <v>3532</v>
      </c>
      <c r="K1763" s="4153" t="s">
        <v>174</v>
      </c>
      <c r="L1763" s="3534" t="s">
        <v>37</v>
      </c>
      <c r="M1763" s="3443"/>
      <c r="N1763" s="3443"/>
      <c r="O1763" s="3443"/>
      <c r="P1763" s="3443"/>
      <c r="Q1763" s="3443"/>
      <c r="R1763" s="3443"/>
      <c r="S1763" s="3443"/>
      <c r="T1763" s="3443"/>
      <c r="U1763" s="3443"/>
      <c r="W1763" s="3522"/>
    </row>
    <row r="1764" spans="1:24" ht="31.5" hidden="1">
      <c r="A1764" s="3480" t="s">
        <v>132</v>
      </c>
      <c r="B1764" s="3444">
        <v>45939</v>
      </c>
      <c r="C1764" s="3355" t="s">
        <v>3498</v>
      </c>
      <c r="D1764" s="4109"/>
      <c r="E1764" s="4181" t="s">
        <v>1571</v>
      </c>
      <c r="F1764" s="4181" t="s">
        <v>3553</v>
      </c>
      <c r="G1764" s="3811"/>
      <c r="H1764" s="3811"/>
      <c r="I1764" s="3982">
        <v>712</v>
      </c>
      <c r="J1764" s="3670" t="s">
        <v>3554</v>
      </c>
      <c r="K1764" s="4153" t="s">
        <v>174</v>
      </c>
      <c r="L1764" s="3534" t="s">
        <v>37</v>
      </c>
      <c r="M1764" s="3443"/>
      <c r="N1764" s="3443"/>
      <c r="O1764" s="3443"/>
      <c r="P1764" s="3443"/>
      <c r="Q1764" s="3443"/>
      <c r="R1764" s="3443"/>
      <c r="S1764" s="3443"/>
      <c r="T1764" s="3443"/>
      <c r="U1764" s="3443"/>
      <c r="W1764" s="3522"/>
    </row>
    <row r="1765" spans="1:24" ht="31.5" hidden="1">
      <c r="A1765" s="3480" t="s">
        <v>132</v>
      </c>
      <c r="B1765" s="3444">
        <v>45940</v>
      </c>
      <c r="C1765" s="3355" t="s">
        <v>3498</v>
      </c>
      <c r="D1765" s="4108"/>
      <c r="E1765" s="4198" t="s">
        <v>3578</v>
      </c>
      <c r="F1765" s="4198" t="s">
        <v>590</v>
      </c>
      <c r="G1765" s="4659"/>
      <c r="H1765" s="226"/>
      <c r="I1765" s="4188">
        <v>712</v>
      </c>
      <c r="J1765" s="3984" t="s">
        <v>3579</v>
      </c>
      <c r="K1765" s="4169"/>
      <c r="L1765" s="3534"/>
      <c r="M1765" s="3443" t="s">
        <v>37</v>
      </c>
      <c r="N1765" s="3443"/>
      <c r="O1765" s="3443"/>
      <c r="P1765" s="21" t="s">
        <v>71</v>
      </c>
      <c r="Q1765" s="24" t="s">
        <v>2932</v>
      </c>
      <c r="R1765" s="21" t="s">
        <v>32</v>
      </c>
      <c r="S1765" s="3443"/>
      <c r="T1765" s="3443"/>
      <c r="U1765" s="3443"/>
      <c r="W1765" s="3522" t="s">
        <v>3580</v>
      </c>
    </row>
    <row r="1766" spans="1:24" ht="31.5" hidden="1">
      <c r="A1766" s="3480" t="s">
        <v>132</v>
      </c>
      <c r="B1766" s="3444">
        <v>45940</v>
      </c>
      <c r="C1766" s="3355" t="s">
        <v>3498</v>
      </c>
      <c r="D1766" s="4128"/>
      <c r="E1766" s="4159" t="s">
        <v>1464</v>
      </c>
      <c r="F1766" s="4159" t="s">
        <v>3225</v>
      </c>
      <c r="G1766" s="4197" t="s">
        <v>1199</v>
      </c>
      <c r="H1766" s="3802" t="s">
        <v>1199</v>
      </c>
      <c r="I1766" s="3982">
        <v>701</v>
      </c>
      <c r="J1766" s="3984" t="s">
        <v>3550</v>
      </c>
      <c r="K1766" s="3534"/>
      <c r="L1766" s="3443" t="s">
        <v>37</v>
      </c>
      <c r="M1766" s="3443"/>
      <c r="N1766" s="3443"/>
      <c r="O1766" s="3443"/>
      <c r="P1766" s="4722"/>
      <c r="Q1766" s="3443"/>
      <c r="R1766" s="4722"/>
      <c r="S1766" s="3443"/>
      <c r="T1766" s="3443"/>
      <c r="U1766" s="3443"/>
      <c r="W1766" s="3522"/>
    </row>
    <row r="1767" spans="1:24" ht="28.5" hidden="1">
      <c r="A1767" s="3480" t="s">
        <v>132</v>
      </c>
      <c r="B1767" s="3444">
        <v>45940</v>
      </c>
      <c r="C1767" s="3355" t="s">
        <v>3498</v>
      </c>
      <c r="D1767" s="4128"/>
      <c r="E1767" s="3878" t="s">
        <v>1465</v>
      </c>
      <c r="F1767" s="3878" t="s">
        <v>3228</v>
      </c>
      <c r="G1767" s="4197" t="s">
        <v>1199</v>
      </c>
      <c r="H1767" s="3802" t="s">
        <v>1199</v>
      </c>
      <c r="I1767" s="3982">
        <v>701</v>
      </c>
      <c r="J1767" s="3984" t="s">
        <v>3551</v>
      </c>
      <c r="K1767" s="3890"/>
      <c r="L1767" s="3534" t="s">
        <v>37</v>
      </c>
      <c r="M1767" s="3443"/>
      <c r="N1767" s="3443"/>
      <c r="O1767" s="3443"/>
      <c r="P1767" s="3443"/>
      <c r="Q1767" s="3456"/>
      <c r="R1767" s="3443"/>
      <c r="S1767" s="3443"/>
      <c r="T1767" s="3443"/>
      <c r="U1767" s="3443"/>
      <c r="W1767" s="3522"/>
    </row>
    <row r="1768" spans="1:24" ht="31.5" hidden="1">
      <c r="A1768" s="3480" t="s">
        <v>132</v>
      </c>
      <c r="B1768" s="3444">
        <v>45940</v>
      </c>
      <c r="C1768" s="3355" t="s">
        <v>3498</v>
      </c>
      <c r="D1768" s="4109"/>
      <c r="E1768" s="4162" t="s">
        <v>169</v>
      </c>
      <c r="F1768" s="4162" t="s">
        <v>68</v>
      </c>
      <c r="G1768" s="4205" t="s">
        <v>1199</v>
      </c>
      <c r="H1768" s="1839" t="s">
        <v>1199</v>
      </c>
      <c r="I1768" s="4188">
        <v>712</v>
      </c>
      <c r="J1768" s="3984" t="s">
        <v>3581</v>
      </c>
      <c r="K1768" s="4153" t="s">
        <v>3582</v>
      </c>
      <c r="L1768" s="3534" t="s">
        <v>37</v>
      </c>
      <c r="M1768" s="3443"/>
      <c r="N1768" s="3443"/>
      <c r="O1768" s="3443"/>
      <c r="P1768" s="3443"/>
      <c r="Q1768" s="3443"/>
      <c r="R1768" s="3443"/>
      <c r="S1768" s="3443"/>
      <c r="T1768" s="3443"/>
      <c r="U1768" s="3443" t="s">
        <v>37</v>
      </c>
      <c r="W1768" s="3522"/>
    </row>
    <row r="1769" spans="1:24" ht="57" hidden="1">
      <c r="A1769" s="3480" t="s">
        <v>132</v>
      </c>
      <c r="B1769" s="3444">
        <v>45940</v>
      </c>
      <c r="C1769" s="3355" t="s">
        <v>3498</v>
      </c>
      <c r="D1769" s="4128"/>
      <c r="E1769" s="3614" t="s">
        <v>3485</v>
      </c>
      <c r="F1769" s="3614" t="s">
        <v>52</v>
      </c>
      <c r="G1769" s="4206" t="s">
        <v>1199</v>
      </c>
      <c r="H1769" s="3802" t="s">
        <v>1199</v>
      </c>
      <c r="I1769" s="3982">
        <v>707</v>
      </c>
      <c r="J1769" s="3984" t="s">
        <v>260</v>
      </c>
      <c r="K1769" s="3890"/>
      <c r="L1769" s="3534"/>
      <c r="M1769" s="3443" t="s">
        <v>37</v>
      </c>
      <c r="N1769" s="3443"/>
      <c r="O1769" s="3443" t="s">
        <v>30</v>
      </c>
      <c r="P1769" s="21" t="s">
        <v>109</v>
      </c>
      <c r="Q1769" s="21" t="s">
        <v>1847</v>
      </c>
      <c r="R1769" s="21" t="s">
        <v>38</v>
      </c>
      <c r="S1769" s="3443"/>
      <c r="T1769" s="3443"/>
      <c r="U1769" s="3534" t="s">
        <v>30</v>
      </c>
      <c r="W1769" s="3522" t="s">
        <v>3583</v>
      </c>
    </row>
    <row r="1770" spans="1:24" ht="28.5" hidden="1">
      <c r="A1770" s="3480" t="s">
        <v>132</v>
      </c>
      <c r="B1770" s="3444">
        <v>45940</v>
      </c>
      <c r="C1770" s="3355" t="s">
        <v>3498</v>
      </c>
      <c r="D1770" s="4128"/>
      <c r="E1770" s="3878" t="s">
        <v>273</v>
      </c>
      <c r="F1770" s="3878" t="s">
        <v>48</v>
      </c>
      <c r="G1770" s="3811" t="s">
        <v>1199</v>
      </c>
      <c r="H1770" s="3811" t="s">
        <v>1199</v>
      </c>
      <c r="I1770" s="3982">
        <v>705</v>
      </c>
      <c r="J1770" s="3984" t="s">
        <v>3584</v>
      </c>
      <c r="K1770" s="3890"/>
      <c r="L1770" s="3534" t="s">
        <v>37</v>
      </c>
      <c r="M1770" s="3443"/>
      <c r="N1770" s="3443"/>
      <c r="O1770" s="3443"/>
      <c r="P1770" s="3443"/>
      <c r="Q1770" s="3443"/>
      <c r="R1770" s="3443"/>
      <c r="S1770" s="3443"/>
      <c r="T1770" s="3443"/>
      <c r="U1770" s="3443" t="s">
        <v>30</v>
      </c>
      <c r="W1770" s="3522"/>
    </row>
    <row r="1771" spans="1:24" ht="28.5" hidden="1">
      <c r="A1771" s="3480" t="s">
        <v>132</v>
      </c>
      <c r="B1771" s="3444">
        <v>45940</v>
      </c>
      <c r="C1771" s="3355" t="s">
        <v>3498</v>
      </c>
      <c r="D1771" s="4128"/>
      <c r="E1771" s="3614" t="s">
        <v>48</v>
      </c>
      <c r="F1771" s="3614" t="s">
        <v>3542</v>
      </c>
      <c r="G1771" s="4197" t="s">
        <v>1199</v>
      </c>
      <c r="H1771" s="4197" t="s">
        <v>1199</v>
      </c>
      <c r="I1771" s="3982">
        <v>705</v>
      </c>
      <c r="J1771" s="4207">
        <v>1082617</v>
      </c>
      <c r="K1771" s="3890"/>
      <c r="L1771" s="3534" t="s">
        <v>37</v>
      </c>
      <c r="M1771" s="3443"/>
      <c r="N1771" s="3443"/>
      <c r="O1771" s="3443"/>
      <c r="P1771" s="3443"/>
      <c r="Q1771" s="3443"/>
      <c r="R1771" s="3443"/>
      <c r="S1771" s="3443"/>
      <c r="T1771" s="3443"/>
      <c r="U1771" s="3443"/>
      <c r="W1771" s="3522" t="s">
        <v>3585</v>
      </c>
    </row>
    <row r="1772" spans="1:24" ht="28.5" hidden="1">
      <c r="A1772" s="3480" t="s">
        <v>132</v>
      </c>
      <c r="B1772" s="3444">
        <v>45940</v>
      </c>
      <c r="C1772" s="3355" t="s">
        <v>3498</v>
      </c>
      <c r="D1772" s="4128"/>
      <c r="E1772" s="3614" t="s">
        <v>48</v>
      </c>
      <c r="F1772" s="3614" t="s">
        <v>3586</v>
      </c>
      <c r="G1772" s="4197" t="s">
        <v>1199</v>
      </c>
      <c r="H1772" s="4197" t="s">
        <v>1199</v>
      </c>
      <c r="I1772" s="3982">
        <v>705</v>
      </c>
      <c r="J1772" s="4207" t="s">
        <v>3587</v>
      </c>
      <c r="K1772" s="3890"/>
      <c r="L1772" s="3534" t="s">
        <v>37</v>
      </c>
      <c r="M1772" s="3443"/>
      <c r="N1772" s="3443"/>
      <c r="O1772" s="3443"/>
      <c r="P1772" s="3443"/>
      <c r="Q1772" s="3443"/>
      <c r="R1772" s="3443"/>
      <c r="S1772" s="3443"/>
      <c r="T1772" s="3443"/>
      <c r="U1772" s="3443" t="s">
        <v>37</v>
      </c>
      <c r="W1772" s="3522"/>
    </row>
    <row r="1773" spans="1:24" ht="32.25" hidden="1" thickBot="1">
      <c r="A1773" s="3494" t="s">
        <v>132</v>
      </c>
      <c r="B1773" s="3460">
        <v>45940</v>
      </c>
      <c r="C1773" s="3355" t="s">
        <v>3498</v>
      </c>
      <c r="D1773" s="4183"/>
      <c r="E1773" s="4184" t="s">
        <v>1014</v>
      </c>
      <c r="F1773" s="4185" t="s">
        <v>3588</v>
      </c>
      <c r="G1773" s="4681" t="s">
        <v>1199</v>
      </c>
      <c r="H1773" s="4208" t="s">
        <v>1199</v>
      </c>
      <c r="I1773" s="3593">
        <v>712</v>
      </c>
      <c r="J1773" s="3979" t="s">
        <v>3589</v>
      </c>
      <c r="K1773" s="4124" t="s">
        <v>2469</v>
      </c>
      <c r="L1773" s="3546" t="s">
        <v>37</v>
      </c>
      <c r="M1773" s="3447"/>
      <c r="N1773" s="3447"/>
      <c r="O1773" s="3447"/>
      <c r="P1773" s="3447"/>
      <c r="Q1773" s="3447"/>
      <c r="R1773" s="3447"/>
      <c r="S1773" s="3447"/>
      <c r="T1773" s="3447"/>
      <c r="U1773" s="3447"/>
      <c r="W1773" s="3547"/>
    </row>
    <row r="1774" spans="1:24" ht="31.5" hidden="1">
      <c r="A1774" s="3505" t="s">
        <v>132</v>
      </c>
      <c r="B1774" s="3506">
        <v>45940</v>
      </c>
      <c r="C1774" s="3368" t="s">
        <v>3498</v>
      </c>
      <c r="D1774" s="4264"/>
      <c r="E1774" s="4527" t="s">
        <v>97</v>
      </c>
      <c r="F1774" s="4527" t="s">
        <v>1014</v>
      </c>
      <c r="G1774" s="3880" t="s">
        <v>1199</v>
      </c>
      <c r="H1774" s="3880" t="s">
        <v>1199</v>
      </c>
      <c r="I1774" s="3505">
        <v>712</v>
      </c>
      <c r="J1774" s="3505" t="s">
        <v>121</v>
      </c>
      <c r="K1774" s="3856"/>
      <c r="L1774" s="3607" t="s">
        <v>37</v>
      </c>
      <c r="M1774" s="3505"/>
      <c r="N1774" s="3505"/>
      <c r="O1774" s="3505"/>
      <c r="P1774" s="3456"/>
      <c r="Q1774" s="3456"/>
      <c r="R1774" s="3456"/>
      <c r="S1774" s="3456"/>
      <c r="T1774" s="3456"/>
      <c r="U1774" s="3456"/>
      <c r="W1774" s="3512"/>
    </row>
    <row r="1775" spans="1:24" ht="28.5" hidden="1">
      <c r="A1775" s="3614" t="s">
        <v>1519</v>
      </c>
      <c r="B1775" s="3444">
        <v>45940</v>
      </c>
      <c r="C1775" s="3165" t="s">
        <v>3498</v>
      </c>
      <c r="D1775" s="4109"/>
      <c r="E1775" s="3614" t="s">
        <v>168</v>
      </c>
      <c r="F1775" s="3614" t="s">
        <v>3590</v>
      </c>
      <c r="G1775" s="3811" t="s">
        <v>1199</v>
      </c>
      <c r="H1775" s="3811" t="s">
        <v>1199</v>
      </c>
      <c r="I1775" s="3443">
        <v>705</v>
      </c>
      <c r="J1775" s="3443" t="s">
        <v>3591</v>
      </c>
      <c r="K1775" s="3511" t="s">
        <v>174</v>
      </c>
      <c r="L1775" s="3443" t="s">
        <v>30</v>
      </c>
      <c r="M1775" s="3443"/>
      <c r="N1775" s="3443"/>
      <c r="O1775" s="3443"/>
      <c r="P1775" s="3443"/>
      <c r="Q1775" s="3443"/>
      <c r="R1775" s="3443"/>
      <c r="S1775" s="3503"/>
      <c r="T1775" s="3443"/>
      <c r="U1775" s="3503" t="s">
        <v>37</v>
      </c>
      <c r="W1775" s="3521"/>
    </row>
    <row r="1776" spans="1:24" ht="31.5" hidden="1">
      <c r="A1776" s="3443" t="s">
        <v>25</v>
      </c>
      <c r="B1776" s="3444">
        <v>45943</v>
      </c>
      <c r="C1776" s="3165" t="s">
        <v>3592</v>
      </c>
      <c r="D1776" s="4128"/>
      <c r="E1776" s="4159" t="s">
        <v>1464</v>
      </c>
      <c r="F1776" s="4159" t="s">
        <v>3225</v>
      </c>
      <c r="G1776" s="4206"/>
      <c r="H1776" s="3802"/>
      <c r="I1776" s="3443">
        <v>701</v>
      </c>
      <c r="J1776" s="3614" t="s">
        <v>3500</v>
      </c>
      <c r="K1776" s="2369"/>
      <c r="L1776" s="3443" t="s">
        <v>30</v>
      </c>
      <c r="M1776" s="3443"/>
      <c r="N1776" s="3443"/>
      <c r="O1776" s="3443"/>
      <c r="P1776" s="3443"/>
      <c r="Q1776" s="3443"/>
      <c r="R1776" s="3443"/>
      <c r="S1776" s="3443"/>
      <c r="T1776" s="3443"/>
      <c r="U1776" s="3443"/>
      <c r="W1776" s="3522"/>
    </row>
    <row r="1777" spans="1:24" ht="31.5" hidden="1">
      <c r="A1777" s="3443" t="s">
        <v>25</v>
      </c>
      <c r="B1777" s="3444">
        <v>45943</v>
      </c>
      <c r="C1777" s="3165" t="s">
        <v>3592</v>
      </c>
      <c r="D1777" s="4128"/>
      <c r="E1777" s="4159" t="s">
        <v>1465</v>
      </c>
      <c r="F1777" s="4159" t="s">
        <v>3228</v>
      </c>
      <c r="I1777" s="3443">
        <v>701</v>
      </c>
      <c r="J1777" s="3614" t="s">
        <v>3501</v>
      </c>
      <c r="K1777" s="2369"/>
      <c r="L1777" s="3443" t="s">
        <v>30</v>
      </c>
      <c r="M1777" s="3443"/>
      <c r="N1777" s="3443"/>
      <c r="O1777" s="3443"/>
      <c r="S1777" s="3456"/>
      <c r="U1777" s="3456"/>
      <c r="W1777" s="3609"/>
    </row>
    <row r="1778" spans="1:24" ht="31.5" hidden="1">
      <c r="A1778" s="3443" t="s">
        <v>25</v>
      </c>
      <c r="B1778" s="3444">
        <v>45943</v>
      </c>
      <c r="C1778" s="3165" t="s">
        <v>3592</v>
      </c>
      <c r="D1778" s="4128"/>
      <c r="E1778" s="3377" t="s">
        <v>68</v>
      </c>
      <c r="F1778" s="3377" t="s">
        <v>3593</v>
      </c>
      <c r="I1778" s="3443">
        <v>712</v>
      </c>
      <c r="J1778" s="3614" t="s">
        <v>3477</v>
      </c>
      <c r="K1778" s="2369"/>
      <c r="L1778" s="3443" t="s">
        <v>37</v>
      </c>
      <c r="M1778" s="3443"/>
      <c r="N1778" s="3443"/>
      <c r="O1778" s="3443"/>
      <c r="S1778" s="3456"/>
      <c r="U1778" s="3456"/>
      <c r="W1778" s="3609"/>
    </row>
    <row r="1779" spans="1:24" ht="31.5" hidden="1">
      <c r="A1779" s="3443" t="s">
        <v>25</v>
      </c>
      <c r="B1779" s="3444">
        <v>45943</v>
      </c>
      <c r="C1779" s="3165" t="s">
        <v>3592</v>
      </c>
      <c r="D1779" s="4128"/>
      <c r="E1779" s="3377" t="s">
        <v>169</v>
      </c>
      <c r="F1779" s="3377" t="s">
        <v>1598</v>
      </c>
      <c r="I1779" s="3443">
        <v>707</v>
      </c>
      <c r="J1779" s="3614" t="s">
        <v>1263</v>
      </c>
      <c r="K1779" s="2369"/>
      <c r="L1779" s="3443" t="s">
        <v>37</v>
      </c>
      <c r="M1779" s="3443"/>
      <c r="N1779" s="3443"/>
      <c r="O1779" s="3443"/>
      <c r="S1779" s="3456"/>
      <c r="U1779" s="3456"/>
      <c r="W1779" s="3609"/>
    </row>
    <row r="1780" spans="1:24" ht="31.5" hidden="1">
      <c r="A1780" s="3480" t="s">
        <v>25</v>
      </c>
      <c r="B1780" s="3444">
        <v>45943</v>
      </c>
      <c r="C1780" s="3355" t="s">
        <v>3592</v>
      </c>
      <c r="D1780" s="4248"/>
      <c r="E1780" s="3385" t="s">
        <v>1571</v>
      </c>
      <c r="F1780" s="4235" t="s">
        <v>3485</v>
      </c>
      <c r="H1780" s="3253"/>
      <c r="I1780" s="3443">
        <v>707</v>
      </c>
      <c r="J1780" s="3614" t="s">
        <v>1485</v>
      </c>
      <c r="K1780" s="2369"/>
      <c r="L1780" s="3443" t="s">
        <v>37</v>
      </c>
      <c r="M1780" s="3456"/>
      <c r="N1780" s="3456"/>
      <c r="O1780" s="3456"/>
      <c r="S1780" s="3456"/>
      <c r="U1780" s="3456"/>
      <c r="W1780" s="3609"/>
    </row>
    <row r="1781" spans="1:24" ht="31.5" hidden="1">
      <c r="A1781" s="3480" t="s">
        <v>25</v>
      </c>
      <c r="B1781" s="3444">
        <v>45943</v>
      </c>
      <c r="C1781" s="3355" t="s">
        <v>3592</v>
      </c>
      <c r="D1781" s="4248"/>
      <c r="E1781" s="4229" t="s">
        <v>1071</v>
      </c>
      <c r="F1781" s="4230" t="s">
        <v>3594</v>
      </c>
      <c r="H1781" s="3253"/>
      <c r="I1781" s="3443">
        <v>712</v>
      </c>
      <c r="J1781" s="3614">
        <v>60072</v>
      </c>
      <c r="K1781" s="2369"/>
      <c r="L1781" s="3443" t="s">
        <v>37</v>
      </c>
      <c r="M1781" s="3456"/>
      <c r="N1781" s="3456"/>
      <c r="O1781" s="3456"/>
      <c r="S1781" s="3456"/>
      <c r="U1781" s="3456"/>
      <c r="W1781" s="3609"/>
    </row>
    <row r="1782" spans="1:24" ht="31.5" hidden="1">
      <c r="A1782" s="3480" t="s">
        <v>25</v>
      </c>
      <c r="B1782" s="3444">
        <v>45943</v>
      </c>
      <c r="C1782" s="3355" t="s">
        <v>3592</v>
      </c>
      <c r="D1782" s="4248"/>
      <c r="E1782" s="4229" t="s">
        <v>267</v>
      </c>
      <c r="F1782" s="4230" t="s">
        <v>3595</v>
      </c>
      <c r="H1782" s="3253"/>
      <c r="I1782" s="3443">
        <v>707</v>
      </c>
      <c r="J1782" s="3614" t="s">
        <v>3596</v>
      </c>
      <c r="K1782" s="2369"/>
      <c r="L1782" s="3443" t="s">
        <v>37</v>
      </c>
      <c r="M1782" s="3456"/>
      <c r="N1782" s="3456"/>
      <c r="O1782" s="3456"/>
      <c r="S1782" s="3456"/>
      <c r="U1782" s="3456"/>
      <c r="W1782" s="3609"/>
    </row>
    <row r="1783" spans="1:24" ht="31.5" hidden="1">
      <c r="A1783" s="3480" t="s">
        <v>25</v>
      </c>
      <c r="B1783" s="3444">
        <v>45943</v>
      </c>
      <c r="C1783" s="3355" t="s">
        <v>3592</v>
      </c>
      <c r="D1783" s="4248"/>
      <c r="E1783" s="3385" t="s">
        <v>3597</v>
      </c>
      <c r="F1783" s="4235" t="s">
        <v>48</v>
      </c>
      <c r="H1783" s="3253"/>
      <c r="I1783" s="3443"/>
      <c r="J1783" s="3614" t="s">
        <v>3598</v>
      </c>
      <c r="K1783" s="2369"/>
      <c r="L1783" s="3443" t="s">
        <v>37</v>
      </c>
      <c r="M1783" s="3456"/>
      <c r="N1783" s="3456"/>
      <c r="O1783" s="3456"/>
      <c r="S1783" s="3456"/>
      <c r="U1783" s="3456"/>
      <c r="W1783" s="3609"/>
    </row>
    <row r="1784" spans="1:24" ht="31.5" hidden="1">
      <c r="A1784" s="3480" t="s">
        <v>25</v>
      </c>
      <c r="B1784" s="3444">
        <v>45943</v>
      </c>
      <c r="C1784" s="3355" t="s">
        <v>3592</v>
      </c>
      <c r="D1784" s="4248"/>
      <c r="E1784" s="3385" t="s">
        <v>48</v>
      </c>
      <c r="F1784" s="4235" t="s">
        <v>273</v>
      </c>
      <c r="H1784" s="3253"/>
      <c r="I1784" s="3443"/>
      <c r="J1784" s="3614" t="s">
        <v>151</v>
      </c>
      <c r="K1784" s="4260"/>
      <c r="L1784" s="3443" t="s">
        <v>37</v>
      </c>
      <c r="M1784" s="3456"/>
      <c r="N1784" s="3456"/>
      <c r="O1784" s="3456"/>
      <c r="S1784" s="3456"/>
      <c r="U1784" s="3456"/>
      <c r="W1784" s="3609"/>
    </row>
    <row r="1785" spans="1:24" ht="31.5" hidden="1">
      <c r="A1785" s="3480" t="s">
        <v>25</v>
      </c>
      <c r="B1785" s="3444">
        <v>45943</v>
      </c>
      <c r="C1785" s="3355" t="s">
        <v>3592</v>
      </c>
      <c r="D1785" s="4209"/>
      <c r="E1785" s="3385" t="s">
        <v>360</v>
      </c>
      <c r="F1785" s="4235" t="s">
        <v>3599</v>
      </c>
      <c r="H1785" s="3253"/>
      <c r="I1785" s="3443">
        <v>712</v>
      </c>
      <c r="J1785" s="3614" t="s">
        <v>3600</v>
      </c>
      <c r="K1785" s="4259" t="s">
        <v>3346</v>
      </c>
      <c r="L1785" s="3443" t="s">
        <v>37</v>
      </c>
      <c r="M1785" s="3456"/>
      <c r="N1785" s="3456"/>
      <c r="O1785" s="3456"/>
      <c r="S1785" s="3456"/>
      <c r="U1785" s="3456"/>
      <c r="W1785" s="3609"/>
    </row>
    <row r="1786" spans="1:24" ht="31.5" hidden="1">
      <c r="A1786" s="3500" t="s">
        <v>25</v>
      </c>
      <c r="B1786" s="3463">
        <v>45943</v>
      </c>
      <c r="C1786" s="3355" t="s">
        <v>3592</v>
      </c>
      <c r="D1786" s="4249"/>
      <c r="E1786" s="4581" t="s">
        <v>68</v>
      </c>
      <c r="F1786" s="4643" t="s">
        <v>728</v>
      </c>
      <c r="I1786" s="3870">
        <v>712</v>
      </c>
      <c r="J1786" s="4255" t="s">
        <v>3601</v>
      </c>
      <c r="K1786" s="3511" t="s">
        <v>1481</v>
      </c>
      <c r="L1786" s="3456" t="s">
        <v>37</v>
      </c>
      <c r="M1786" s="3456"/>
      <c r="N1786" s="3456"/>
      <c r="O1786" s="3456"/>
      <c r="P1786" s="3161"/>
      <c r="Q1786" s="3161"/>
      <c r="R1786" s="3161"/>
      <c r="S1786" s="3456"/>
      <c r="U1786" s="3456"/>
      <c r="W1786" s="3609"/>
    </row>
    <row r="1787" spans="1:24" ht="31.5" hidden="1">
      <c r="A1787" s="3500" t="s">
        <v>25</v>
      </c>
      <c r="B1787" s="3463">
        <v>45943</v>
      </c>
      <c r="C1787" s="3368" t="s">
        <v>3592</v>
      </c>
      <c r="D1787" s="4249"/>
      <c r="E1787" s="3383" t="s">
        <v>48</v>
      </c>
      <c r="F1787" s="4238" t="s">
        <v>235</v>
      </c>
      <c r="G1787" s="3273"/>
      <c r="H1787" s="3273"/>
      <c r="I1787" s="3857">
        <v>705</v>
      </c>
      <c r="J1787" s="4216"/>
      <c r="K1787" s="4258" t="s">
        <v>174</v>
      </c>
      <c r="L1787" s="3505"/>
      <c r="M1787" s="3505" t="s">
        <v>37</v>
      </c>
      <c r="N1787" s="3505"/>
      <c r="O1787" s="3505"/>
      <c r="P1787" s="24" t="s">
        <v>109</v>
      </c>
      <c r="Q1787" s="24"/>
      <c r="R1787" s="24"/>
      <c r="S1787" s="3505"/>
      <c r="T1787" s="3273"/>
      <c r="U1787" s="3505"/>
      <c r="V1787" s="3273"/>
      <c r="W1787" s="3637" t="s">
        <v>3602</v>
      </c>
    </row>
    <row r="1788" spans="1:24" ht="31.5" hidden="1">
      <c r="A1788" s="3477" t="s">
        <v>25</v>
      </c>
      <c r="B1788" s="3478">
        <v>45943</v>
      </c>
      <c r="C1788" s="3356" t="s">
        <v>3592</v>
      </c>
      <c r="D1788" s="4505"/>
      <c r="E1788" s="4526" t="s">
        <v>1464</v>
      </c>
      <c r="F1788" s="4526" t="s">
        <v>1059</v>
      </c>
      <c r="G1788" s="3281"/>
      <c r="H1788" s="3281"/>
      <c r="I1788" s="3503">
        <v>705</v>
      </c>
      <c r="J1788" s="3708"/>
      <c r="K1788" s="4725" t="s">
        <v>627</v>
      </c>
      <c r="L1788" s="3668" t="s">
        <v>37</v>
      </c>
      <c r="M1788" s="3668"/>
      <c r="N1788" s="3503"/>
      <c r="O1788" s="3503"/>
      <c r="P1788" s="3281"/>
      <c r="Q1788" s="3281"/>
      <c r="R1788" s="3281"/>
      <c r="S1788" s="3503"/>
      <c r="T1788" s="3281"/>
      <c r="U1788" s="3503"/>
      <c r="V1788" s="3281"/>
      <c r="W1788" s="3521"/>
      <c r="X1788" s="3254"/>
    </row>
    <row r="1789" spans="1:24" ht="31.5" hidden="1">
      <c r="A1789" s="3480" t="s">
        <v>67</v>
      </c>
      <c r="B1789" s="3444">
        <v>45944</v>
      </c>
      <c r="C1789" s="3355" t="s">
        <v>3592</v>
      </c>
      <c r="D1789" s="4128"/>
      <c r="E1789" s="4181" t="s">
        <v>3603</v>
      </c>
      <c r="F1789" s="4181" t="s">
        <v>1659</v>
      </c>
      <c r="I1789" s="3443">
        <v>707</v>
      </c>
      <c r="J1789" s="3614" t="s">
        <v>3596</v>
      </c>
      <c r="K1789" s="4263"/>
      <c r="L1789" s="3443" t="s">
        <v>37</v>
      </c>
      <c r="M1789" s="3443"/>
      <c r="N1789" s="3534"/>
      <c r="O1789" s="3443"/>
      <c r="P1789" s="3161"/>
      <c r="Q1789" s="3161"/>
      <c r="R1789" s="3161"/>
      <c r="S1789" s="3443"/>
      <c r="U1789" s="3443"/>
      <c r="W1789" s="3522"/>
      <c r="X1789" s="3254"/>
    </row>
    <row r="1790" spans="1:24" ht="31.5" hidden="1">
      <c r="A1790" s="3480" t="s">
        <v>67</v>
      </c>
      <c r="B1790" s="3444">
        <v>45944</v>
      </c>
      <c r="C1790" s="3355" t="s">
        <v>3592</v>
      </c>
      <c r="D1790" s="4109"/>
      <c r="E1790" s="4179" t="s">
        <v>79</v>
      </c>
      <c r="F1790" s="4179" t="s">
        <v>3604</v>
      </c>
      <c r="I1790" s="3443">
        <v>712</v>
      </c>
      <c r="J1790" s="3614" t="s">
        <v>3601</v>
      </c>
      <c r="K1790" s="3511" t="s">
        <v>1481</v>
      </c>
      <c r="L1790" s="3443"/>
      <c r="M1790" s="3443" t="s">
        <v>37</v>
      </c>
      <c r="N1790" s="3534"/>
      <c r="O1790" s="3443"/>
      <c r="P1790" s="21" t="s">
        <v>122</v>
      </c>
      <c r="Q1790" s="21" t="s">
        <v>123</v>
      </c>
      <c r="R1790" s="21" t="s">
        <v>38</v>
      </c>
      <c r="S1790" s="3443"/>
      <c r="U1790" s="3443"/>
      <c r="W1790" s="3522" t="s">
        <v>3605</v>
      </c>
      <c r="X1790" s="3254"/>
    </row>
    <row r="1791" spans="1:24" ht="31.5" hidden="1">
      <c r="A1791" s="3480" t="s">
        <v>67</v>
      </c>
      <c r="B1791" s="3444">
        <v>45944</v>
      </c>
      <c r="C1791" s="3355" t="s">
        <v>3592</v>
      </c>
      <c r="D1791" s="4128"/>
      <c r="E1791" s="4159" t="s">
        <v>1464</v>
      </c>
      <c r="F1791" s="4159" t="s">
        <v>3225</v>
      </c>
      <c r="I1791" s="3443">
        <v>701</v>
      </c>
      <c r="J1791" s="3614" t="s">
        <v>3500</v>
      </c>
      <c r="K1791" s="4260"/>
      <c r="L1791" s="3456" t="s">
        <v>37</v>
      </c>
      <c r="M1791" s="3456"/>
      <c r="N1791" s="3443"/>
      <c r="O1791" s="3443"/>
      <c r="S1791" s="3443"/>
      <c r="U1791" s="3443"/>
      <c r="W1791" s="3522"/>
      <c r="X1791" s="3254"/>
    </row>
    <row r="1792" spans="1:24" ht="31.5" hidden="1">
      <c r="A1792" s="3480" t="s">
        <v>67</v>
      </c>
      <c r="B1792" s="3444">
        <v>45944</v>
      </c>
      <c r="C1792" s="3355" t="s">
        <v>3592</v>
      </c>
      <c r="D1792" s="4128"/>
      <c r="E1792" s="4159" t="s">
        <v>1465</v>
      </c>
      <c r="F1792" s="4159" t="s">
        <v>3228</v>
      </c>
      <c r="I1792" s="3443">
        <v>701</v>
      </c>
      <c r="J1792" s="3614" t="s">
        <v>3501</v>
      </c>
      <c r="K1792" s="4263"/>
      <c r="L1792" s="3443" t="s">
        <v>37</v>
      </c>
      <c r="M1792" s="3534"/>
      <c r="N1792" s="3443"/>
      <c r="O1792" s="3443"/>
      <c r="S1792" s="3443"/>
      <c r="U1792" s="3443"/>
      <c r="W1792" s="3522"/>
      <c r="X1792" s="3254"/>
    </row>
    <row r="1793" spans="1:24" ht="31.5" hidden="1">
      <c r="A1793" s="3480" t="s">
        <v>67</v>
      </c>
      <c r="B1793" s="3444">
        <v>45944</v>
      </c>
      <c r="C1793" s="3355" t="s">
        <v>3592</v>
      </c>
      <c r="D1793" s="4128"/>
      <c r="E1793" s="3377" t="s">
        <v>2977</v>
      </c>
      <c r="F1793" s="3377" t="s">
        <v>2790</v>
      </c>
      <c r="I1793" s="3443">
        <v>707</v>
      </c>
      <c r="J1793" s="3614">
        <v>60072</v>
      </c>
      <c r="K1793" s="4263"/>
      <c r="L1793" s="3443" t="s">
        <v>37</v>
      </c>
      <c r="M1793" s="3534"/>
      <c r="N1793" s="3443"/>
      <c r="O1793" s="3443"/>
      <c r="S1793" s="3443"/>
      <c r="U1793" s="3443"/>
      <c r="W1793" s="3522"/>
      <c r="X1793" s="3254"/>
    </row>
    <row r="1794" spans="1:24" ht="31.5" hidden="1">
      <c r="A1794" s="3480" t="s">
        <v>67</v>
      </c>
      <c r="B1794" s="3444">
        <v>45944</v>
      </c>
      <c r="C1794" s="3355" t="s">
        <v>3592</v>
      </c>
      <c r="D1794" s="4128"/>
      <c r="E1794" s="3377" t="s">
        <v>2790</v>
      </c>
      <c r="F1794" s="3377" t="s">
        <v>2790</v>
      </c>
      <c r="I1794" s="3443"/>
      <c r="J1794" s="3614" t="s">
        <v>3606</v>
      </c>
      <c r="K1794" s="4263"/>
      <c r="L1794" s="3443" t="s">
        <v>37</v>
      </c>
      <c r="M1794" s="3534"/>
      <c r="N1794" s="3443"/>
      <c r="O1794" s="3443"/>
      <c r="S1794" s="3443"/>
      <c r="U1794" s="3443"/>
      <c r="W1794" s="3522"/>
      <c r="X1794" s="3254"/>
    </row>
    <row r="1795" spans="1:24" ht="31.5" hidden="1">
      <c r="A1795" s="3480" t="s">
        <v>67</v>
      </c>
      <c r="B1795" s="3444">
        <v>45944</v>
      </c>
      <c r="C1795" s="3355" t="s">
        <v>3592</v>
      </c>
      <c r="D1795" s="4109"/>
      <c r="E1795" s="4239" t="s">
        <v>89</v>
      </c>
      <c r="F1795" s="4239" t="s">
        <v>850</v>
      </c>
      <c r="I1795" s="3443">
        <v>707</v>
      </c>
      <c r="J1795" s="3614" t="s">
        <v>3596</v>
      </c>
      <c r="K1795" s="4263"/>
      <c r="L1795" s="3443" t="s">
        <v>37</v>
      </c>
      <c r="M1795" s="3534"/>
      <c r="N1795" s="3443"/>
      <c r="O1795" s="3443"/>
      <c r="S1795" s="3443"/>
      <c r="U1795" s="3443"/>
      <c r="W1795" s="3522"/>
      <c r="X1795" s="3254"/>
    </row>
    <row r="1796" spans="1:24" ht="31.5" hidden="1">
      <c r="A1796" s="3480" t="s">
        <v>67</v>
      </c>
      <c r="B1796" s="3444">
        <v>45944</v>
      </c>
      <c r="C1796" s="3355" t="s">
        <v>3592</v>
      </c>
      <c r="D1796" s="4128"/>
      <c r="E1796" s="4240" t="s">
        <v>3593</v>
      </c>
      <c r="F1796" s="4240" t="s">
        <v>850</v>
      </c>
      <c r="I1796" s="3443">
        <v>707</v>
      </c>
      <c r="J1796" s="3614" t="s">
        <v>3477</v>
      </c>
      <c r="K1796" s="4263"/>
      <c r="L1796" s="3443" t="s">
        <v>37</v>
      </c>
      <c r="M1796" s="3534"/>
      <c r="N1796" s="3443"/>
      <c r="O1796" s="3443"/>
      <c r="S1796" s="3443"/>
      <c r="U1796" s="3443"/>
      <c r="W1796" s="3522"/>
      <c r="X1796" s="3254"/>
    </row>
    <row r="1797" spans="1:24" ht="31.5" hidden="1">
      <c r="A1797" s="3480" t="s">
        <v>67</v>
      </c>
      <c r="B1797" s="3444">
        <v>45944</v>
      </c>
      <c r="C1797" s="3355" t="s">
        <v>3592</v>
      </c>
      <c r="D1797" s="4128"/>
      <c r="E1797" s="3377" t="s">
        <v>48</v>
      </c>
      <c r="F1797" s="3377" t="s">
        <v>2674</v>
      </c>
      <c r="I1797" s="3443">
        <v>712</v>
      </c>
      <c r="J1797" s="3614" t="s">
        <v>1436</v>
      </c>
      <c r="K1797" s="4260"/>
      <c r="L1797" s="3456" t="s">
        <v>37</v>
      </c>
      <c r="M1797" s="3443"/>
      <c r="N1797" s="3443"/>
      <c r="O1797" s="3443"/>
      <c r="S1797" s="3443"/>
      <c r="U1797" s="3443"/>
      <c r="W1797" s="3522"/>
      <c r="X1797" s="3254"/>
    </row>
    <row r="1798" spans="1:24" ht="32.25" hidden="1" thickBot="1">
      <c r="A1798" s="3494" t="s">
        <v>67</v>
      </c>
      <c r="B1798" s="3448">
        <v>45944</v>
      </c>
      <c r="C1798" s="3372" t="s">
        <v>3592</v>
      </c>
      <c r="D1798" s="4209"/>
      <c r="E1798" s="4839" t="s">
        <v>3046</v>
      </c>
      <c r="F1798" s="4839" t="s">
        <v>2769</v>
      </c>
      <c r="G1798" s="3284"/>
      <c r="H1798" s="3284"/>
      <c r="I1798" s="3447">
        <v>705</v>
      </c>
      <c r="J1798" s="3690" t="s">
        <v>3607</v>
      </c>
      <c r="K1798" s="4938" t="s">
        <v>3608</v>
      </c>
      <c r="L1798" s="3447" t="s">
        <v>37</v>
      </c>
      <c r="M1798" s="3447"/>
      <c r="N1798" s="3447"/>
      <c r="O1798" s="3447"/>
      <c r="P1798" s="3284"/>
      <c r="Q1798" s="3284"/>
      <c r="R1798" s="3284"/>
      <c r="S1798" s="4000"/>
      <c r="T1798" s="3284"/>
      <c r="U1798" s="3447"/>
      <c r="V1798" s="3284"/>
      <c r="W1798" s="3547"/>
      <c r="X1798" s="3254"/>
    </row>
    <row r="1799" spans="1:24" ht="31.5" hidden="1">
      <c r="A1799" s="3493" t="s">
        <v>67</v>
      </c>
      <c r="B1799" s="3457">
        <v>45944</v>
      </c>
      <c r="C1799" s="3355" t="s">
        <v>3592</v>
      </c>
      <c r="D1799" s="4284"/>
      <c r="E1799" s="3385" t="s">
        <v>48</v>
      </c>
      <c r="F1799" s="3388" t="s">
        <v>235</v>
      </c>
      <c r="G1799" s="3276"/>
      <c r="H1799" s="3276"/>
      <c r="I1799" s="3505">
        <v>705</v>
      </c>
      <c r="J1799" s="3685" t="s">
        <v>3609</v>
      </c>
      <c r="K1799" s="4939"/>
      <c r="L1799" s="3456" t="s">
        <v>37</v>
      </c>
      <c r="M1799" s="3456"/>
      <c r="N1799" s="3456"/>
      <c r="O1799" s="3456"/>
      <c r="P1799" s="3161"/>
      <c r="R1799" s="3161"/>
      <c r="S1799" s="3456" t="s">
        <v>37</v>
      </c>
      <c r="T1799" s="3276"/>
      <c r="U1799" s="3456" t="s">
        <v>37</v>
      </c>
      <c r="V1799" s="3276"/>
      <c r="W1799" s="3609"/>
    </row>
    <row r="1800" spans="1:24" ht="31.5" hidden="1">
      <c r="A1800" s="3480" t="s">
        <v>85</v>
      </c>
      <c r="B1800" s="3444">
        <v>45945</v>
      </c>
      <c r="C1800" s="3355" t="s">
        <v>3592</v>
      </c>
      <c r="D1800" s="4109"/>
      <c r="E1800" s="4180" t="s">
        <v>3604</v>
      </c>
      <c r="F1800" s="4179" t="s">
        <v>3610</v>
      </c>
      <c r="I1800" s="3443">
        <v>712</v>
      </c>
      <c r="J1800" s="3614" t="s">
        <v>3601</v>
      </c>
      <c r="K1800" s="3511" t="s">
        <v>1481</v>
      </c>
      <c r="L1800" s="3443"/>
      <c r="M1800" s="3443" t="s">
        <v>37</v>
      </c>
      <c r="N1800" s="3443"/>
      <c r="O1800" s="3443"/>
      <c r="P1800" s="21" t="s">
        <v>122</v>
      </c>
      <c r="Q1800" s="21" t="s">
        <v>110</v>
      </c>
      <c r="R1800" s="21" t="s">
        <v>32</v>
      </c>
      <c r="S1800" s="3443"/>
      <c r="U1800" s="3443"/>
      <c r="W1800" s="3522" t="s">
        <v>3605</v>
      </c>
    </row>
    <row r="1801" spans="1:24" ht="31.5" hidden="1">
      <c r="A1801" s="3480" t="s">
        <v>85</v>
      </c>
      <c r="B1801" s="3444">
        <v>45945</v>
      </c>
      <c r="C1801" s="3355" t="s">
        <v>3592</v>
      </c>
      <c r="D1801" s="4253"/>
      <c r="E1801" s="4840" t="s">
        <v>68</v>
      </c>
      <c r="F1801" s="4239" t="s">
        <v>3462</v>
      </c>
      <c r="I1801" s="3443">
        <v>707</v>
      </c>
      <c r="J1801" s="3689" t="s">
        <v>3611</v>
      </c>
      <c r="K1801" s="4940" t="s">
        <v>3608</v>
      </c>
      <c r="L1801" s="3443" t="s">
        <v>37</v>
      </c>
      <c r="M1801" s="3545"/>
      <c r="N1801" s="3462"/>
      <c r="O1801" s="3462"/>
      <c r="S1801" s="3462"/>
      <c r="U1801" s="3462"/>
      <c r="W1801" s="3544"/>
    </row>
    <row r="1802" spans="1:24" ht="31.5" hidden="1">
      <c r="A1802" s="3480" t="s">
        <v>85</v>
      </c>
      <c r="B1802" s="3444">
        <v>45945</v>
      </c>
      <c r="C1802" s="3355" t="s">
        <v>3592</v>
      </c>
      <c r="D1802" s="4252"/>
      <c r="E1802" s="4323" t="s">
        <v>48</v>
      </c>
      <c r="F1802" s="3377" t="s">
        <v>235</v>
      </c>
      <c r="I1802" s="3443">
        <v>705</v>
      </c>
      <c r="J1802" s="3614" t="s">
        <v>3609</v>
      </c>
      <c r="K1802" s="4263"/>
      <c r="L1802" s="3443" t="s">
        <v>37</v>
      </c>
      <c r="M1802" s="3534"/>
      <c r="N1802" s="3443"/>
      <c r="O1802" s="3443"/>
      <c r="S1802" s="3443"/>
      <c r="U1802" s="3443" t="s">
        <v>37</v>
      </c>
      <c r="W1802" s="3522"/>
    </row>
    <row r="1803" spans="1:24" ht="31.5" hidden="1">
      <c r="A1803" s="3480" t="s">
        <v>85</v>
      </c>
      <c r="B1803" s="3444">
        <v>45945</v>
      </c>
      <c r="C1803" s="3355" t="s">
        <v>3592</v>
      </c>
      <c r="D1803" s="4128"/>
      <c r="E1803" s="4242" t="s">
        <v>68</v>
      </c>
      <c r="F1803" s="4240" t="s">
        <v>3455</v>
      </c>
      <c r="I1803" s="3443">
        <v>707</v>
      </c>
      <c r="J1803" s="3614" t="s">
        <v>3477</v>
      </c>
      <c r="K1803" s="4263"/>
      <c r="L1803" s="3443" t="s">
        <v>37</v>
      </c>
      <c r="M1803" s="3534"/>
      <c r="N1803" s="3443"/>
      <c r="O1803" s="3443"/>
      <c r="S1803" s="3443"/>
      <c r="U1803" s="3443"/>
      <c r="W1803" s="3522"/>
    </row>
    <row r="1804" spans="1:24" ht="31.5" hidden="1">
      <c r="A1804" s="3480" t="s">
        <v>85</v>
      </c>
      <c r="B1804" s="3444">
        <v>45945</v>
      </c>
      <c r="C1804" s="3355" t="s">
        <v>3592</v>
      </c>
      <c r="D1804" s="4109"/>
      <c r="E1804" s="4243" t="s">
        <v>68</v>
      </c>
      <c r="F1804" s="4241" t="s">
        <v>220</v>
      </c>
      <c r="I1804" s="3443">
        <v>705</v>
      </c>
      <c r="J1804" s="3614" t="s">
        <v>3607</v>
      </c>
      <c r="K1804" s="4266" t="s">
        <v>3608</v>
      </c>
      <c r="L1804" s="3443" t="s">
        <v>37</v>
      </c>
      <c r="M1804" s="3534"/>
      <c r="N1804" s="3443"/>
      <c r="O1804" s="3443"/>
      <c r="S1804" s="3443"/>
      <c r="U1804" s="3443"/>
      <c r="W1804" s="3522"/>
    </row>
    <row r="1805" spans="1:24" ht="31.5" hidden="1">
      <c r="A1805" s="3480" t="s">
        <v>85</v>
      </c>
      <c r="B1805" s="3444">
        <v>45945</v>
      </c>
      <c r="C1805" s="3355" t="s">
        <v>3592</v>
      </c>
      <c r="D1805" s="4128"/>
      <c r="E1805" s="4160" t="s">
        <v>1464</v>
      </c>
      <c r="F1805" s="4159" t="s">
        <v>3225</v>
      </c>
      <c r="I1805" s="3443">
        <v>701</v>
      </c>
      <c r="J1805" s="3614" t="s">
        <v>3500</v>
      </c>
      <c r="K1805" s="4260"/>
      <c r="L1805" s="3456" t="s">
        <v>37</v>
      </c>
      <c r="M1805" s="3443"/>
      <c r="N1805" s="3443"/>
      <c r="O1805" s="3443"/>
      <c r="S1805" s="3443"/>
      <c r="U1805" s="3443"/>
      <c r="W1805" s="3522"/>
    </row>
    <row r="1806" spans="1:24" ht="31.5" hidden="1">
      <c r="A1806" s="3480" t="s">
        <v>85</v>
      </c>
      <c r="B1806" s="3444">
        <v>45945</v>
      </c>
      <c r="C1806" s="3355" t="s">
        <v>3592</v>
      </c>
      <c r="D1806" s="4252"/>
      <c r="E1806" s="4160" t="s">
        <v>1465</v>
      </c>
      <c r="F1806" s="4159" t="s">
        <v>3228</v>
      </c>
      <c r="I1806" s="3443">
        <v>701</v>
      </c>
      <c r="J1806" s="3614" t="s">
        <v>3501</v>
      </c>
      <c r="K1806" s="4260"/>
      <c r="L1806" s="3443" t="s">
        <v>37</v>
      </c>
      <c r="M1806" s="3443"/>
      <c r="N1806" s="3443"/>
      <c r="O1806" s="3443"/>
      <c r="P1806" s="3161"/>
      <c r="R1806" s="3161"/>
      <c r="S1806" s="3443"/>
      <c r="U1806" s="3443"/>
      <c r="W1806" s="3522"/>
    </row>
    <row r="1807" spans="1:24" ht="31.5" hidden="1">
      <c r="A1807" s="3480" t="s">
        <v>85</v>
      </c>
      <c r="B1807" s="3444">
        <v>45945</v>
      </c>
      <c r="C1807" s="3355" t="s">
        <v>3592</v>
      </c>
      <c r="D1807" s="4251"/>
      <c r="E1807" s="4177" t="s">
        <v>1838</v>
      </c>
      <c r="F1807" s="4227" t="s">
        <v>263</v>
      </c>
      <c r="I1807" s="3462">
        <v>707</v>
      </c>
      <c r="J1807" s="3689" t="s">
        <v>384</v>
      </c>
      <c r="K1807" s="4261"/>
      <c r="L1807" s="3462"/>
      <c r="M1807" s="3462"/>
      <c r="N1807" s="3462" t="s">
        <v>37</v>
      </c>
      <c r="O1807" s="3462"/>
      <c r="P1807" s="20" t="s">
        <v>122</v>
      </c>
      <c r="Q1807" s="21" t="s">
        <v>110</v>
      </c>
      <c r="R1807" s="20" t="s">
        <v>32</v>
      </c>
      <c r="S1807" s="3443" t="s">
        <v>37</v>
      </c>
      <c r="U1807" s="3443"/>
      <c r="W1807" s="3522"/>
    </row>
    <row r="1808" spans="1:24" ht="31.5" hidden="1">
      <c r="A1808" s="3500" t="s">
        <v>85</v>
      </c>
      <c r="B1808" s="3463">
        <v>45945</v>
      </c>
      <c r="C1808" s="3368" t="s">
        <v>3592</v>
      </c>
      <c r="D1808" s="4251"/>
      <c r="E1808" s="4228" t="s">
        <v>148</v>
      </c>
      <c r="F1808" s="4227" t="s">
        <v>1834</v>
      </c>
      <c r="G1808" s="3254"/>
      <c r="H1808" s="3253"/>
      <c r="I1808" s="3462">
        <v>707</v>
      </c>
      <c r="J1808" s="3689" t="s">
        <v>3612</v>
      </c>
      <c r="K1808" s="4261"/>
      <c r="L1808" s="3462"/>
      <c r="M1808" s="3462"/>
      <c r="N1808" s="3462" t="s">
        <v>37</v>
      </c>
      <c r="O1808" s="3462"/>
      <c r="P1808" s="24" t="s">
        <v>122</v>
      </c>
      <c r="Q1808" s="24" t="s">
        <v>110</v>
      </c>
      <c r="R1808" s="24" t="s">
        <v>32</v>
      </c>
      <c r="S1808" s="3545"/>
      <c r="T1808" s="3273"/>
      <c r="U1808" s="3462"/>
      <c r="V1808" s="3273"/>
      <c r="W1808" s="3544"/>
    </row>
    <row r="1809" spans="1:24" ht="31.5" hidden="1">
      <c r="A1809" s="3477" t="s">
        <v>85</v>
      </c>
      <c r="B1809" s="3478">
        <v>45945</v>
      </c>
      <c r="C1809" s="3356" t="s">
        <v>3592</v>
      </c>
      <c r="D1809" s="4505"/>
      <c r="E1809" s="4526" t="s">
        <v>1059</v>
      </c>
      <c r="F1809" s="4876" t="s">
        <v>3285</v>
      </c>
      <c r="G1809" s="3254"/>
      <c r="H1809" s="3253"/>
      <c r="I1809" s="3477">
        <v>705</v>
      </c>
      <c r="J1809" s="3708">
        <v>1546</v>
      </c>
      <c r="K1809" s="4725" t="s">
        <v>627</v>
      </c>
      <c r="L1809" s="3503" t="s">
        <v>37</v>
      </c>
      <c r="M1809" s="3503"/>
      <c r="N1809" s="3503"/>
      <c r="O1809" s="3503"/>
      <c r="P1809" s="4769"/>
      <c r="Q1809" s="4769"/>
      <c r="R1809" s="4769"/>
      <c r="S1809" s="3503"/>
      <c r="T1809" s="3281"/>
      <c r="U1809" s="3503"/>
      <c r="V1809" s="3281"/>
      <c r="W1809" s="3521"/>
      <c r="X1809" s="3254"/>
    </row>
    <row r="1810" spans="1:24" ht="57" hidden="1">
      <c r="A1810" s="3480" t="s">
        <v>105</v>
      </c>
      <c r="B1810" s="3444">
        <v>45946</v>
      </c>
      <c r="C1810" s="3355" t="s">
        <v>3592</v>
      </c>
      <c r="D1810" s="4250"/>
      <c r="E1810" s="4241" t="s">
        <v>169</v>
      </c>
      <c r="F1810" s="4641" t="s">
        <v>3404</v>
      </c>
      <c r="G1810" s="3254"/>
      <c r="H1810" s="3253"/>
      <c r="I1810" s="3480">
        <v>705</v>
      </c>
      <c r="J1810" s="3614" t="s">
        <v>3607</v>
      </c>
      <c r="K1810" s="2369"/>
      <c r="L1810" s="3443" t="s">
        <v>37</v>
      </c>
      <c r="M1810" s="3443"/>
      <c r="N1810" s="3443"/>
      <c r="O1810" s="3531" t="s">
        <v>37</v>
      </c>
      <c r="P1810" s="21"/>
      <c r="Q1810" s="21"/>
      <c r="R1810" s="21"/>
      <c r="S1810" s="3534"/>
      <c r="U1810" s="3443"/>
      <c r="W1810" s="3522" t="s">
        <v>3613</v>
      </c>
      <c r="X1810" s="3254"/>
    </row>
    <row r="1811" spans="1:24" ht="31.5" hidden="1">
      <c r="A1811" s="3480" t="s">
        <v>105</v>
      </c>
      <c r="B1811" s="3444">
        <v>45946</v>
      </c>
      <c r="C1811" s="3355" t="s">
        <v>3592</v>
      </c>
      <c r="D1811" s="4250"/>
      <c r="E1811" s="4176" t="s">
        <v>1838</v>
      </c>
      <c r="F1811" s="4268" t="s">
        <v>263</v>
      </c>
      <c r="G1811" s="3254"/>
      <c r="H1811" s="3253"/>
      <c r="I1811" s="3480">
        <v>707</v>
      </c>
      <c r="J1811" s="3614" t="s">
        <v>384</v>
      </c>
      <c r="K1811" s="4260"/>
      <c r="L1811" s="3462" t="s">
        <v>37</v>
      </c>
      <c r="M1811" s="3443"/>
      <c r="N1811" s="3443"/>
      <c r="O1811" s="3443"/>
      <c r="P1811" s="20"/>
      <c r="Q1811" s="21"/>
      <c r="R1811" s="20"/>
      <c r="S1811" s="3443" t="s">
        <v>37</v>
      </c>
      <c r="U1811" s="3443"/>
      <c r="W1811" s="3522"/>
      <c r="X1811" s="3254"/>
    </row>
    <row r="1812" spans="1:24" ht="31.5" hidden="1">
      <c r="A1812" s="3480" t="s">
        <v>105</v>
      </c>
      <c r="B1812" s="3444">
        <v>45946</v>
      </c>
      <c r="C1812" s="3355" t="s">
        <v>3592</v>
      </c>
      <c r="D1812" s="4284"/>
      <c r="E1812" s="4176" t="s">
        <v>148</v>
      </c>
      <c r="F1812" s="4268" t="s">
        <v>3614</v>
      </c>
      <c r="G1812" s="3254"/>
      <c r="H1812" s="3253"/>
      <c r="I1812" s="3480">
        <v>707</v>
      </c>
      <c r="J1812" s="3614" t="s">
        <v>3612</v>
      </c>
      <c r="K1812" s="4263"/>
      <c r="L1812" s="3443"/>
      <c r="M1812" s="3534"/>
      <c r="N1812" s="3443" t="s">
        <v>37</v>
      </c>
      <c r="O1812" s="3443"/>
      <c r="P1812" s="21" t="s">
        <v>122</v>
      </c>
      <c r="Q1812" s="21" t="s">
        <v>110</v>
      </c>
      <c r="R1812" s="21" t="s">
        <v>32</v>
      </c>
      <c r="S1812" s="3443"/>
      <c r="U1812" s="3443"/>
      <c r="W1812" s="3522"/>
      <c r="X1812" s="3254"/>
    </row>
    <row r="1813" spans="1:24" ht="31.5" hidden="1">
      <c r="A1813" s="3480" t="s">
        <v>105</v>
      </c>
      <c r="B1813" s="3444">
        <v>45946</v>
      </c>
      <c r="C1813" s="3355" t="s">
        <v>3592</v>
      </c>
      <c r="D1813" s="4504"/>
      <c r="E1813" s="4176" t="s">
        <v>2750</v>
      </c>
      <c r="F1813" s="4268" t="s">
        <v>3615</v>
      </c>
      <c r="G1813" s="3254"/>
      <c r="H1813" s="3253"/>
      <c r="I1813" s="3480">
        <v>707</v>
      </c>
      <c r="J1813" s="3614" t="s">
        <v>3616</v>
      </c>
      <c r="K1813" s="3511" t="s">
        <v>3270</v>
      </c>
      <c r="L1813" s="3443" t="s">
        <v>37</v>
      </c>
      <c r="M1813" s="3534"/>
      <c r="N1813" s="3443"/>
      <c r="O1813" s="3443"/>
      <c r="S1813" s="3443"/>
      <c r="U1813" s="3443"/>
      <c r="W1813" s="3522"/>
      <c r="X1813" s="3254"/>
    </row>
    <row r="1814" spans="1:24" ht="31.5" hidden="1">
      <c r="A1814" s="3480" t="s">
        <v>105</v>
      </c>
      <c r="B1814" s="3444">
        <v>45946</v>
      </c>
      <c r="C1814" s="3355" t="s">
        <v>3592</v>
      </c>
      <c r="D1814" s="4128"/>
      <c r="E1814" s="4159" t="s">
        <v>1464</v>
      </c>
      <c r="F1814" s="4219" t="s">
        <v>3225</v>
      </c>
      <c r="G1814" s="3254"/>
      <c r="H1814" s="3253"/>
      <c r="I1814" s="3480">
        <v>701</v>
      </c>
      <c r="J1814" s="3614" t="s">
        <v>3500</v>
      </c>
      <c r="K1814" s="4265"/>
      <c r="L1814" s="3443" t="s">
        <v>37</v>
      </c>
      <c r="M1814" s="3534"/>
      <c r="N1814" s="3443"/>
      <c r="O1814" s="3443"/>
      <c r="S1814" s="3443"/>
      <c r="U1814" s="3443"/>
      <c r="W1814" s="3522"/>
      <c r="X1814" s="3254"/>
    </row>
    <row r="1815" spans="1:24" ht="31.5" hidden="1">
      <c r="A1815" s="3480" t="s">
        <v>105</v>
      </c>
      <c r="B1815" s="3444">
        <v>45946</v>
      </c>
      <c r="C1815" s="3355" t="s">
        <v>3592</v>
      </c>
      <c r="D1815" s="4128"/>
      <c r="E1815" s="4159" t="s">
        <v>1465</v>
      </c>
      <c r="F1815" s="4219" t="s">
        <v>3228</v>
      </c>
      <c r="G1815" s="3254"/>
      <c r="H1815" s="3253"/>
      <c r="I1815" s="3480">
        <v>701</v>
      </c>
      <c r="J1815" s="3614" t="s">
        <v>3501</v>
      </c>
      <c r="K1815" s="4265"/>
      <c r="L1815" s="3443" t="s">
        <v>37</v>
      </c>
      <c r="M1815" s="3534"/>
      <c r="N1815" s="3443"/>
      <c r="O1815" s="3443"/>
      <c r="S1815" s="3443"/>
      <c r="U1815" s="3443"/>
      <c r="W1815" s="3522"/>
      <c r="X1815" s="3254"/>
    </row>
    <row r="1816" spans="1:24" ht="31.5" hidden="1">
      <c r="A1816" s="3480" t="s">
        <v>105</v>
      </c>
      <c r="B1816" s="3444">
        <v>45946</v>
      </c>
      <c r="C1816" s="3355" t="s">
        <v>3592</v>
      </c>
      <c r="D1816" s="4128"/>
      <c r="E1816" s="4191" t="s">
        <v>3505</v>
      </c>
      <c r="F1816" s="4269" t="s">
        <v>497</v>
      </c>
      <c r="G1816" s="3254"/>
      <c r="H1816" s="3253"/>
      <c r="I1816" s="3480">
        <v>705</v>
      </c>
      <c r="J1816" s="3614" t="s">
        <v>3506</v>
      </c>
      <c r="K1816" s="4265"/>
      <c r="L1816" s="3443" t="s">
        <v>37</v>
      </c>
      <c r="M1816" s="3534"/>
      <c r="N1816" s="3443"/>
      <c r="O1816" s="3443"/>
      <c r="S1816" s="3443"/>
      <c r="U1816" s="3443"/>
      <c r="W1816" s="3522"/>
      <c r="X1816" s="3254"/>
    </row>
    <row r="1817" spans="1:24" ht="31.5" hidden="1">
      <c r="A1817" s="3480" t="s">
        <v>105</v>
      </c>
      <c r="B1817" s="3444">
        <v>45946</v>
      </c>
      <c r="C1817" s="3355" t="s">
        <v>3592</v>
      </c>
      <c r="D1817" s="4128"/>
      <c r="E1817" s="4191" t="s">
        <v>491</v>
      </c>
      <c r="F1817" s="4269" t="s">
        <v>116</v>
      </c>
      <c r="G1817" s="3254"/>
      <c r="H1817" s="3253"/>
      <c r="I1817" s="3480">
        <v>705</v>
      </c>
      <c r="J1817" s="3614" t="s">
        <v>3506</v>
      </c>
      <c r="K1817" s="4265"/>
      <c r="L1817" s="3443" t="s">
        <v>37</v>
      </c>
      <c r="M1817" s="3534"/>
      <c r="N1817" s="3443"/>
      <c r="O1817" s="3443"/>
      <c r="P1817" s="3273"/>
      <c r="Q1817" s="3273"/>
      <c r="R1817" s="3273"/>
      <c r="S1817" s="3443"/>
      <c r="U1817" s="3443"/>
      <c r="W1817" s="3522"/>
      <c r="X1817" s="3254"/>
    </row>
    <row r="1818" spans="1:24" ht="31.5" hidden="1">
      <c r="A1818" s="3480" t="s">
        <v>105</v>
      </c>
      <c r="B1818" s="3444">
        <v>45946</v>
      </c>
      <c r="C1818" s="3355" t="s">
        <v>3592</v>
      </c>
      <c r="D1818" s="4128"/>
      <c r="E1818" s="4239" t="s">
        <v>840</v>
      </c>
      <c r="F1818" s="4270" t="s">
        <v>436</v>
      </c>
      <c r="G1818" s="3254"/>
      <c r="H1818" s="3253"/>
      <c r="I1818" s="3480">
        <v>702</v>
      </c>
      <c r="J1818" s="3614">
        <v>60086</v>
      </c>
      <c r="K1818" s="4265"/>
      <c r="L1818" s="3443" t="s">
        <v>37</v>
      </c>
      <c r="M1818" s="3534"/>
      <c r="N1818" s="3443"/>
      <c r="O1818" s="3531"/>
      <c r="S1818" s="3534"/>
      <c r="U1818" s="3443"/>
      <c r="W1818" s="3522"/>
      <c r="X1818" s="3254"/>
    </row>
    <row r="1819" spans="1:24" ht="31.5" hidden="1">
      <c r="A1819" s="3480" t="s">
        <v>105</v>
      </c>
      <c r="B1819" s="3444">
        <v>45946</v>
      </c>
      <c r="C1819" s="3355" t="s">
        <v>3592</v>
      </c>
      <c r="D1819" s="4128"/>
      <c r="E1819" s="4239" t="s">
        <v>436</v>
      </c>
      <c r="F1819" s="4270" t="s">
        <v>857</v>
      </c>
      <c r="G1819" s="3254"/>
      <c r="H1819" s="3253"/>
      <c r="I1819" s="3480">
        <v>702</v>
      </c>
      <c r="J1819" s="3614" t="s">
        <v>3617</v>
      </c>
      <c r="K1819" s="4265"/>
      <c r="L1819" s="3443"/>
      <c r="M1819" s="3534" t="s">
        <v>37</v>
      </c>
      <c r="N1819" s="3443"/>
      <c r="O1819" s="3443"/>
      <c r="P1819" s="3276"/>
      <c r="Q1819" s="3276"/>
      <c r="R1819" s="3276"/>
      <c r="S1819" s="3443"/>
      <c r="U1819" s="3443"/>
      <c r="W1819" s="3522" t="s">
        <v>3618</v>
      </c>
      <c r="X1819" s="3254"/>
    </row>
    <row r="1820" spans="1:24" ht="32.25" hidden="1" thickBot="1">
      <c r="A1820" s="3494" t="s">
        <v>105</v>
      </c>
      <c r="B1820" s="3448">
        <v>45946</v>
      </c>
      <c r="C1820" s="3372" t="s">
        <v>3592</v>
      </c>
      <c r="D1820" s="4254"/>
      <c r="E1820" s="4245" t="s">
        <v>273</v>
      </c>
      <c r="F1820" s="4272" t="s">
        <v>1564</v>
      </c>
      <c r="G1820" s="3254"/>
      <c r="H1820" s="3253"/>
      <c r="I1820" s="3494">
        <v>703</v>
      </c>
      <c r="J1820" s="3690" t="s">
        <v>3619</v>
      </c>
      <c r="K1820" s="3875"/>
      <c r="L1820" s="3508" t="s">
        <v>37</v>
      </c>
      <c r="M1820" s="3447"/>
      <c r="N1820" s="3447"/>
      <c r="O1820" s="3447"/>
      <c r="P1820" s="3284"/>
      <c r="Q1820" s="3284"/>
      <c r="R1820" s="3284"/>
      <c r="S1820" s="3447"/>
      <c r="T1820" s="3284"/>
      <c r="U1820" s="3447"/>
      <c r="V1820" s="3284"/>
      <c r="W1820" s="3547"/>
      <c r="X1820" s="3254"/>
    </row>
    <row r="1821" spans="1:24" ht="31.5" hidden="1">
      <c r="A1821" s="3477" t="s">
        <v>105</v>
      </c>
      <c r="B1821" s="3478">
        <v>45946</v>
      </c>
      <c r="C1821" s="3356" t="s">
        <v>3592</v>
      </c>
      <c r="D1821" s="4156"/>
      <c r="E1821" s="4579" t="s">
        <v>3620</v>
      </c>
      <c r="F1821" s="4640" t="s">
        <v>447</v>
      </c>
      <c r="G1821" s="3254"/>
      <c r="H1821" s="3253"/>
      <c r="I1821" s="3477">
        <v>703</v>
      </c>
      <c r="J1821" s="3708" t="s">
        <v>3619</v>
      </c>
      <c r="K1821" s="3871"/>
      <c r="L1821" s="3668" t="s">
        <v>37</v>
      </c>
      <c r="M1821" s="3668"/>
      <c r="N1821" s="3668"/>
      <c r="O1821" s="3668"/>
      <c r="P1821" s="3281"/>
      <c r="Q1821" s="3281"/>
      <c r="R1821" s="3281"/>
      <c r="S1821" s="3503"/>
      <c r="T1821" s="3281"/>
      <c r="U1821" s="3503"/>
      <c r="V1821" s="3281"/>
      <c r="W1821" s="3521"/>
      <c r="X1821" s="3254"/>
    </row>
    <row r="1822" spans="1:24" ht="31.5" hidden="1">
      <c r="A1822" s="3480" t="s">
        <v>132</v>
      </c>
      <c r="B1822" s="3444">
        <v>45947</v>
      </c>
      <c r="C1822" s="3355" t="s">
        <v>3592</v>
      </c>
      <c r="D1822" s="4121"/>
      <c r="E1822" s="4159" t="s">
        <v>1464</v>
      </c>
      <c r="F1822" s="4219" t="s">
        <v>3225</v>
      </c>
      <c r="G1822" s="3254"/>
      <c r="H1822" s="3253"/>
      <c r="I1822" s="3480">
        <v>701</v>
      </c>
      <c r="J1822" s="3614" t="s">
        <v>3500</v>
      </c>
      <c r="K1822" s="3912"/>
      <c r="L1822" s="3443" t="s">
        <v>37</v>
      </c>
      <c r="M1822" s="3443"/>
      <c r="N1822" s="3443"/>
      <c r="O1822" s="3443"/>
      <c r="P1822" s="3254"/>
      <c r="S1822" s="3443"/>
      <c r="U1822" s="3443"/>
      <c r="W1822" s="3522"/>
      <c r="X1822" s="3254"/>
    </row>
    <row r="1823" spans="1:24" ht="57" hidden="1">
      <c r="A1823" s="3480" t="s">
        <v>132</v>
      </c>
      <c r="B1823" s="3444">
        <v>45947</v>
      </c>
      <c r="C1823" s="3355" t="s">
        <v>3592</v>
      </c>
      <c r="D1823" s="4248"/>
      <c r="E1823" s="4322" t="s">
        <v>1465</v>
      </c>
      <c r="F1823" s="4603" t="s">
        <v>3228</v>
      </c>
      <c r="G1823" s="3254"/>
      <c r="H1823" s="3253"/>
      <c r="I1823" s="3480">
        <v>701</v>
      </c>
      <c r="J1823" s="3614" t="s">
        <v>3501</v>
      </c>
      <c r="K1823" s="4267"/>
      <c r="L1823" s="3443" t="s">
        <v>37</v>
      </c>
      <c r="M1823" s="3443"/>
      <c r="N1823" s="3443"/>
      <c r="O1823" s="3443" t="s">
        <v>37</v>
      </c>
      <c r="P1823" s="3254"/>
      <c r="S1823" s="3456"/>
      <c r="U1823" s="3456"/>
      <c r="W1823" s="3609" t="s">
        <v>3621</v>
      </c>
      <c r="X1823" s="3254"/>
    </row>
    <row r="1824" spans="1:24" ht="31.5" hidden="1">
      <c r="A1824" s="3480" t="s">
        <v>132</v>
      </c>
      <c r="B1824" s="3444">
        <v>45947</v>
      </c>
      <c r="C1824" s="3355" t="s">
        <v>3592</v>
      </c>
      <c r="D1824" s="4248"/>
      <c r="E1824" s="4246" t="s">
        <v>857</v>
      </c>
      <c r="F1824" s="4273" t="s">
        <v>1653</v>
      </c>
      <c r="G1824" s="3254"/>
      <c r="H1824" s="3253"/>
      <c r="I1824" s="3480">
        <v>702</v>
      </c>
      <c r="J1824" s="3614" t="s">
        <v>3622</v>
      </c>
      <c r="K1824" s="4267"/>
      <c r="L1824" s="3443" t="s">
        <v>37</v>
      </c>
      <c r="M1824" s="3443"/>
      <c r="N1824" s="3443"/>
      <c r="O1824" s="3443"/>
      <c r="P1824" s="3254"/>
      <c r="S1824" s="3456"/>
      <c r="U1824" s="3456"/>
      <c r="W1824" s="3609" t="s">
        <v>3623</v>
      </c>
      <c r="X1824" s="3254"/>
    </row>
    <row r="1825" spans="1:24" ht="31.5" hidden="1">
      <c r="A1825" s="3493" t="s">
        <v>132</v>
      </c>
      <c r="B1825" s="3457">
        <v>45947</v>
      </c>
      <c r="C1825" s="3355" t="s">
        <v>3592</v>
      </c>
      <c r="D1825" s="4248"/>
      <c r="E1825" s="4246" t="s">
        <v>436</v>
      </c>
      <c r="F1825" s="4273" t="s">
        <v>3624</v>
      </c>
      <c r="G1825" s="3254"/>
      <c r="H1825" s="3253"/>
      <c r="I1825" s="3480">
        <v>702</v>
      </c>
      <c r="J1825" s="3614" t="s">
        <v>3622</v>
      </c>
      <c r="K1825" s="4267"/>
      <c r="L1825" s="3443" t="s">
        <v>37</v>
      </c>
      <c r="M1825" s="3443"/>
      <c r="N1825" s="3443"/>
      <c r="O1825" s="3443"/>
      <c r="P1825" s="3254"/>
      <c r="S1825" s="3456"/>
      <c r="U1825" s="3456"/>
      <c r="W1825" s="3609"/>
      <c r="X1825" s="3254"/>
    </row>
    <row r="1826" spans="1:24" ht="31.5" hidden="1">
      <c r="A1826" s="3493" t="s">
        <v>132</v>
      </c>
      <c r="B1826" s="3457">
        <v>45947</v>
      </c>
      <c r="C1826" s="3355" t="s">
        <v>3592</v>
      </c>
      <c r="D1826" s="4248"/>
      <c r="E1826" s="4247" t="s">
        <v>3625</v>
      </c>
      <c r="F1826" s="4274" t="s">
        <v>3626</v>
      </c>
      <c r="G1826" s="3254"/>
      <c r="H1826" s="3253"/>
      <c r="I1826" s="3480">
        <v>705</v>
      </c>
      <c r="J1826" s="3614" t="s">
        <v>3627</v>
      </c>
      <c r="K1826" s="4267"/>
      <c r="L1826" s="3443" t="s">
        <v>37</v>
      </c>
      <c r="M1826" s="3443"/>
      <c r="N1826" s="3443"/>
      <c r="O1826" s="3443"/>
      <c r="P1826" s="3254"/>
      <c r="S1826" s="3456"/>
      <c r="U1826" s="3456"/>
      <c r="W1826" s="3609" t="s">
        <v>3628</v>
      </c>
      <c r="X1826" s="3254"/>
    </row>
    <row r="1827" spans="1:24" ht="31.5" hidden="1">
      <c r="A1827" s="3493" t="s">
        <v>132</v>
      </c>
      <c r="B1827" s="3457">
        <v>45947</v>
      </c>
      <c r="C1827" s="3355" t="s">
        <v>3592</v>
      </c>
      <c r="D1827" s="4248"/>
      <c r="E1827" s="4247" t="s">
        <v>3629</v>
      </c>
      <c r="F1827" s="4274" t="s">
        <v>1145</v>
      </c>
      <c r="G1827" s="3254"/>
      <c r="H1827" s="3253"/>
      <c r="I1827" s="3480">
        <v>707</v>
      </c>
      <c r="J1827" s="3614" t="s">
        <v>3630</v>
      </c>
      <c r="K1827" s="4267"/>
      <c r="L1827" s="3443" t="s">
        <v>37</v>
      </c>
      <c r="M1827" s="3443"/>
      <c r="N1827" s="3443"/>
      <c r="O1827" s="3443"/>
      <c r="P1827" s="3254"/>
      <c r="S1827" s="3456"/>
      <c r="U1827" s="3456" t="s">
        <v>37</v>
      </c>
      <c r="W1827" s="3609"/>
      <c r="X1827" s="3254"/>
    </row>
    <row r="1828" spans="1:24" ht="31.5" hidden="1">
      <c r="A1828" s="3493" t="s">
        <v>132</v>
      </c>
      <c r="B1828" s="3457">
        <v>45947</v>
      </c>
      <c r="C1828" s="3355" t="s">
        <v>3592</v>
      </c>
      <c r="D1828" s="4248"/>
      <c r="E1828" s="4247" t="s">
        <v>3380</v>
      </c>
      <c r="F1828" s="4274" t="s">
        <v>68</v>
      </c>
      <c r="G1828" s="3254"/>
      <c r="H1828" s="3253"/>
      <c r="I1828" s="3480">
        <v>705</v>
      </c>
      <c r="J1828" s="3614" t="s">
        <v>3631</v>
      </c>
      <c r="K1828" s="4257"/>
      <c r="L1828" s="3456" t="s">
        <v>37</v>
      </c>
      <c r="M1828" s="3456"/>
      <c r="N1828" s="3456"/>
      <c r="O1828" s="3456"/>
      <c r="S1828" s="3456"/>
      <c r="U1828" s="3456"/>
      <c r="W1828" s="3609"/>
      <c r="X1828" s="3254"/>
    </row>
    <row r="1829" spans="1:24" ht="31.5" hidden="1">
      <c r="A1829" s="3493" t="s">
        <v>132</v>
      </c>
      <c r="B1829" s="3457">
        <v>45947</v>
      </c>
      <c r="C1829" s="3355" t="s">
        <v>3592</v>
      </c>
      <c r="D1829" s="4248"/>
      <c r="E1829" s="4247" t="s">
        <v>304</v>
      </c>
      <c r="F1829" s="4274" t="s">
        <v>3632</v>
      </c>
      <c r="G1829" s="3254"/>
      <c r="H1829" s="3253"/>
      <c r="I1829" s="3480">
        <v>705</v>
      </c>
      <c r="J1829" s="3614" t="s">
        <v>451</v>
      </c>
      <c r="K1829" s="4257"/>
      <c r="L1829" s="3503" t="s">
        <v>37</v>
      </c>
      <c r="M1829" s="3456"/>
      <c r="N1829" s="3456"/>
      <c r="O1829" s="3456"/>
      <c r="S1829" s="3456"/>
      <c r="U1829" s="3456"/>
      <c r="W1829" s="3609"/>
      <c r="X1829" s="3254"/>
    </row>
    <row r="1830" spans="1:24" ht="31.5" hidden="1">
      <c r="A1830" s="3493" t="s">
        <v>132</v>
      </c>
      <c r="B1830" s="3457">
        <v>45947</v>
      </c>
      <c r="C1830" s="3355" t="s">
        <v>3592</v>
      </c>
      <c r="D1830" s="4248"/>
      <c r="E1830" s="4247" t="s">
        <v>48</v>
      </c>
      <c r="F1830" s="4274" t="s">
        <v>1838</v>
      </c>
      <c r="G1830" s="3254"/>
      <c r="H1830" s="3253"/>
      <c r="I1830" s="3480">
        <v>705</v>
      </c>
      <c r="J1830" s="4256" t="s">
        <v>3619</v>
      </c>
      <c r="K1830" s="4257"/>
      <c r="L1830" s="3456" t="s">
        <v>37</v>
      </c>
      <c r="M1830" s="3456"/>
      <c r="N1830" s="3456"/>
      <c r="O1830" s="3456"/>
      <c r="S1830" s="3456"/>
      <c r="U1830" s="3456"/>
      <c r="W1830" s="3609"/>
      <c r="X1830" s="3254"/>
    </row>
    <row r="1831" spans="1:24" ht="32.25" hidden="1" thickBot="1">
      <c r="A1831" s="3481" t="s">
        <v>132</v>
      </c>
      <c r="B1831" s="3451">
        <v>45947</v>
      </c>
      <c r="C1831" s="3372" t="s">
        <v>3592</v>
      </c>
      <c r="D1831" s="4275"/>
      <c r="E1831" s="4276" t="s">
        <v>48</v>
      </c>
      <c r="F1831" s="4277" t="s">
        <v>48</v>
      </c>
      <c r="G1831" s="3254"/>
      <c r="H1831" s="3253"/>
      <c r="I1831" s="4063">
        <v>705</v>
      </c>
      <c r="J1831" s="4278" t="s">
        <v>3633</v>
      </c>
      <c r="K1831" s="4279"/>
      <c r="L1831" s="4000" t="s">
        <v>37</v>
      </c>
      <c r="M1831" s="3508"/>
      <c r="N1831" s="3508"/>
      <c r="O1831" s="3508"/>
      <c r="P1831" s="3284"/>
      <c r="Q1831" s="3284"/>
      <c r="R1831" s="3284"/>
      <c r="S1831" s="3508"/>
      <c r="T1831" s="3284"/>
      <c r="U1831" s="3508"/>
      <c r="V1831" s="3284"/>
      <c r="W1831" s="3610"/>
      <c r="X1831" s="3254"/>
    </row>
    <row r="1832" spans="1:24" ht="31.5" hidden="1">
      <c r="A1832" s="3477" t="s">
        <v>132</v>
      </c>
      <c r="B1832" s="3478">
        <v>45947</v>
      </c>
      <c r="C1832" s="3356" t="s">
        <v>3592</v>
      </c>
      <c r="D1832" s="4156"/>
      <c r="E1832" s="4524" t="s">
        <v>3485</v>
      </c>
      <c r="F1832" s="4602" t="s">
        <v>1838</v>
      </c>
      <c r="G1832" s="3254"/>
      <c r="I1832" s="3868">
        <v>705</v>
      </c>
      <c r="J1832" s="4157" t="s">
        <v>1670</v>
      </c>
      <c r="K1832" s="4724"/>
      <c r="L1832" s="3503" t="s">
        <v>37</v>
      </c>
      <c r="M1832" s="3503"/>
      <c r="N1832" s="3503"/>
      <c r="O1832" s="3503"/>
      <c r="P1832" s="3281"/>
      <c r="Q1832" s="3281"/>
      <c r="R1832" s="3281"/>
      <c r="S1832" s="3503"/>
      <c r="T1832" s="3281"/>
      <c r="U1832" s="3503"/>
      <c r="V1832" s="3281"/>
      <c r="W1832" s="3521"/>
      <c r="X1832" s="3254"/>
    </row>
    <row r="1833" spans="1:24" ht="31.5" hidden="1">
      <c r="A1833" s="3480" t="s">
        <v>25</v>
      </c>
      <c r="B1833" s="3444">
        <v>45950</v>
      </c>
      <c r="C1833" s="3355" t="s">
        <v>3634</v>
      </c>
      <c r="D1833" s="4121"/>
      <c r="E1833" s="4159" t="s">
        <v>1464</v>
      </c>
      <c r="F1833" s="4219" t="s">
        <v>3225</v>
      </c>
      <c r="G1833" s="3254"/>
      <c r="I1833" s="3590">
        <v>701</v>
      </c>
      <c r="J1833" s="3984" t="s">
        <v>3500</v>
      </c>
      <c r="K1833" s="3534"/>
      <c r="L1833" s="3443" t="s">
        <v>37</v>
      </c>
      <c r="M1833" s="3443"/>
      <c r="N1833" s="3443"/>
      <c r="O1833" s="3443"/>
      <c r="P1833" s="4722"/>
      <c r="Q1833" s="4722"/>
      <c r="R1833" s="4722"/>
      <c r="S1833" s="3443"/>
      <c r="T1833" s="3443"/>
      <c r="U1833" s="3443"/>
      <c r="W1833" s="3522"/>
      <c r="X1833" s="3254"/>
    </row>
    <row r="1834" spans="1:24" ht="57" hidden="1">
      <c r="A1834" s="3480" t="s">
        <v>25</v>
      </c>
      <c r="B1834" s="3444">
        <v>45950</v>
      </c>
      <c r="C1834" s="3355" t="s">
        <v>3634</v>
      </c>
      <c r="D1834" s="4108"/>
      <c r="E1834" s="4159" t="s">
        <v>1465</v>
      </c>
      <c r="F1834" s="4219" t="s">
        <v>3228</v>
      </c>
      <c r="G1834" s="3254"/>
      <c r="I1834" s="3480">
        <v>701</v>
      </c>
      <c r="J1834" s="3614" t="s">
        <v>3501</v>
      </c>
      <c r="K1834" s="2369"/>
      <c r="L1834" s="3443"/>
      <c r="M1834" s="3443" t="s">
        <v>37</v>
      </c>
      <c r="N1834" s="3443"/>
      <c r="O1834" s="3443"/>
      <c r="P1834" s="21"/>
      <c r="Q1834" s="21"/>
      <c r="R1834" s="21" t="s">
        <v>790</v>
      </c>
      <c r="S1834" s="3443" t="s">
        <v>37</v>
      </c>
      <c r="T1834" s="3443"/>
      <c r="U1834" s="3443"/>
      <c r="W1834" s="3522" t="s">
        <v>3635</v>
      </c>
      <c r="X1834" s="3254"/>
    </row>
    <row r="1835" spans="1:24" ht="31.5" hidden="1">
      <c r="A1835" s="3480" t="s">
        <v>25</v>
      </c>
      <c r="B1835" s="3444">
        <v>45950</v>
      </c>
      <c r="C1835" s="3355" t="s">
        <v>3634</v>
      </c>
      <c r="D1835" s="4128"/>
      <c r="E1835" s="4239" t="s">
        <v>3636</v>
      </c>
      <c r="F1835" s="4270" t="s">
        <v>183</v>
      </c>
      <c r="G1835" s="3254"/>
      <c r="I1835" s="3480">
        <v>703</v>
      </c>
      <c r="J1835" s="3614" t="s">
        <v>1383</v>
      </c>
      <c r="K1835" s="3443"/>
      <c r="L1835" s="3443" t="s">
        <v>37</v>
      </c>
      <c r="M1835" s="3443"/>
      <c r="N1835" s="3443"/>
      <c r="O1835" s="3443"/>
      <c r="Q1835" s="3443"/>
      <c r="R1835" s="3443"/>
      <c r="S1835" s="3443"/>
      <c r="T1835" s="3443"/>
      <c r="U1835" s="3443"/>
      <c r="W1835" s="3522"/>
      <c r="X1835" s="3254"/>
    </row>
    <row r="1836" spans="1:24" ht="31.5" hidden="1">
      <c r="A1836" s="3480" t="s">
        <v>25</v>
      </c>
      <c r="B1836" s="3444">
        <v>45950</v>
      </c>
      <c r="C1836" s="3355" t="s">
        <v>3634</v>
      </c>
      <c r="D1836" s="4128"/>
      <c r="E1836" s="4162" t="s">
        <v>169</v>
      </c>
      <c r="F1836" s="4222" t="s">
        <v>517</v>
      </c>
      <c r="G1836" s="3254"/>
      <c r="I1836" s="3480">
        <v>703</v>
      </c>
      <c r="J1836" s="3614" t="s">
        <v>3637</v>
      </c>
      <c r="K1836" s="3443"/>
      <c r="L1836" s="3443" t="s">
        <v>37</v>
      </c>
      <c r="M1836" s="3443"/>
      <c r="N1836" s="3443"/>
      <c r="O1836" s="3443"/>
      <c r="P1836" s="3443"/>
      <c r="Q1836" s="3443"/>
      <c r="R1836" s="3443"/>
      <c r="S1836" s="3443"/>
      <c r="T1836" s="3443"/>
      <c r="U1836" s="3443"/>
      <c r="W1836" s="3522"/>
      <c r="X1836" s="3254"/>
    </row>
    <row r="1837" spans="1:24" ht="31.5" hidden="1">
      <c r="A1837" s="3480" t="s">
        <v>25</v>
      </c>
      <c r="B1837" s="3444">
        <v>45950</v>
      </c>
      <c r="C1837" s="3355" t="s">
        <v>3634</v>
      </c>
      <c r="D1837" s="4128"/>
      <c r="E1837" s="4179" t="s">
        <v>48</v>
      </c>
      <c r="F1837" s="4233" t="s">
        <v>3638</v>
      </c>
      <c r="G1837" s="3254"/>
      <c r="I1837" s="3480">
        <v>702</v>
      </c>
      <c r="J1837" s="3614" t="s">
        <v>3639</v>
      </c>
      <c r="K1837" s="3443"/>
      <c r="L1837" s="3443" t="s">
        <v>37</v>
      </c>
      <c r="M1837" s="3443"/>
      <c r="N1837" s="3443"/>
      <c r="O1837" s="3443"/>
      <c r="P1837" s="3443"/>
      <c r="Q1837" s="3443"/>
      <c r="R1837" s="3443"/>
      <c r="S1837" s="3443"/>
      <c r="T1837" s="3443"/>
      <c r="U1837" s="3443"/>
      <c r="W1837" s="3522"/>
      <c r="X1837" s="3254"/>
    </row>
    <row r="1838" spans="1:24" ht="31.5" hidden="1">
      <c r="A1838" s="3500" t="s">
        <v>25</v>
      </c>
      <c r="B1838" s="3463">
        <v>45950</v>
      </c>
      <c r="C1838" s="3355" t="s">
        <v>3634</v>
      </c>
      <c r="D1838" s="4128"/>
      <c r="E1838" s="4179" t="s">
        <v>168</v>
      </c>
      <c r="F1838" s="4233" t="s">
        <v>2779</v>
      </c>
      <c r="G1838" s="3254"/>
      <c r="I1838" s="3480">
        <v>702</v>
      </c>
      <c r="J1838" s="3614" t="s">
        <v>3640</v>
      </c>
      <c r="K1838" s="3443"/>
      <c r="L1838" s="3443" t="s">
        <v>37</v>
      </c>
      <c r="M1838" s="3443"/>
      <c r="N1838" s="3443"/>
      <c r="O1838" s="3443"/>
      <c r="P1838" s="3443"/>
      <c r="Q1838" s="3443"/>
      <c r="R1838" s="3443"/>
      <c r="S1838" s="3462"/>
      <c r="T1838" s="3462"/>
      <c r="U1838" s="3462"/>
      <c r="W1838" s="3522"/>
      <c r="X1838" s="3254"/>
    </row>
    <row r="1839" spans="1:24" ht="63" hidden="1">
      <c r="A1839" s="3500" t="s">
        <v>25</v>
      </c>
      <c r="B1839" s="3463">
        <v>45950</v>
      </c>
      <c r="C1839" s="3355" t="s">
        <v>3634</v>
      </c>
      <c r="D1839" s="4108"/>
      <c r="E1839" s="4162" t="s">
        <v>48</v>
      </c>
      <c r="F1839" s="4293" t="s">
        <v>3542</v>
      </c>
      <c r="G1839" s="3254"/>
      <c r="I1839" s="3480">
        <v>702</v>
      </c>
      <c r="J1839" s="3614" t="s">
        <v>3641</v>
      </c>
      <c r="K1839" s="2369"/>
      <c r="L1839" s="3443"/>
      <c r="M1839" s="3443" t="s">
        <v>37</v>
      </c>
      <c r="N1839" s="3443"/>
      <c r="O1839" s="3443"/>
      <c r="P1839" s="360" t="s">
        <v>0</v>
      </c>
      <c r="Q1839" s="360" t="s">
        <v>187</v>
      </c>
      <c r="R1839" s="360" t="s">
        <v>160</v>
      </c>
      <c r="S1839" s="3462"/>
      <c r="T1839" s="3462"/>
      <c r="U1839" s="3462"/>
      <c r="W1839" s="3522" t="s">
        <v>3642</v>
      </c>
      <c r="X1839" s="3254"/>
    </row>
    <row r="1840" spans="1:24" ht="31.5" hidden="1">
      <c r="A1840" s="3500" t="s">
        <v>25</v>
      </c>
      <c r="B1840" s="3463">
        <v>45950</v>
      </c>
      <c r="C1840" s="3355" t="s">
        <v>3634</v>
      </c>
      <c r="D1840" s="4128"/>
      <c r="E1840" s="4162" t="s">
        <v>148</v>
      </c>
      <c r="F1840" s="4293" t="s">
        <v>3632</v>
      </c>
      <c r="G1840" s="3254"/>
      <c r="I1840" s="3480">
        <v>712</v>
      </c>
      <c r="J1840" s="3614" t="s">
        <v>3643</v>
      </c>
      <c r="K1840" s="3443"/>
      <c r="L1840" s="3443" t="s">
        <v>37</v>
      </c>
      <c r="M1840" s="3443"/>
      <c r="N1840" s="3443"/>
      <c r="O1840" s="3443"/>
      <c r="P1840" s="3443"/>
      <c r="Q1840" s="3443"/>
      <c r="R1840" s="3443"/>
      <c r="S1840" s="3462"/>
      <c r="T1840" s="3462"/>
      <c r="U1840" s="3462"/>
      <c r="W1840" s="3522"/>
      <c r="X1840" s="3254"/>
    </row>
    <row r="1841" spans="1:24" ht="31.5" hidden="1">
      <c r="A1841" s="3500" t="s">
        <v>25</v>
      </c>
      <c r="B1841" s="3463">
        <v>45950</v>
      </c>
      <c r="C1841" s="3355" t="s">
        <v>3634</v>
      </c>
      <c r="D1841" s="4128"/>
      <c r="E1841" s="4162" t="s">
        <v>169</v>
      </c>
      <c r="F1841" s="4293" t="s">
        <v>1838</v>
      </c>
      <c r="G1841" s="3254"/>
      <c r="I1841" s="3480">
        <v>702</v>
      </c>
      <c r="J1841" s="3614" t="s">
        <v>3644</v>
      </c>
      <c r="K1841" s="3443"/>
      <c r="L1841" s="3443" t="s">
        <v>37</v>
      </c>
      <c r="M1841" s="3443"/>
      <c r="N1841" s="3443"/>
      <c r="O1841" s="3443"/>
      <c r="P1841" s="3443"/>
      <c r="Q1841" s="3443"/>
      <c r="R1841" s="3443"/>
      <c r="S1841" s="3462"/>
      <c r="T1841" s="3462"/>
      <c r="U1841" s="3462"/>
      <c r="W1841" s="3522"/>
      <c r="X1841" s="3254"/>
    </row>
    <row r="1842" spans="1:24" ht="31.5" hidden="1">
      <c r="A1842" s="3500" t="s">
        <v>25</v>
      </c>
      <c r="B1842" s="3463">
        <v>45950</v>
      </c>
      <c r="C1842" s="3355" t="s">
        <v>3634</v>
      </c>
      <c r="D1842" s="4128"/>
      <c r="E1842" s="4162" t="s">
        <v>273</v>
      </c>
      <c r="F1842" s="4293" t="s">
        <v>584</v>
      </c>
      <c r="G1842" s="3254"/>
      <c r="I1842" s="3480">
        <v>702</v>
      </c>
      <c r="J1842" s="3614" t="s">
        <v>3354</v>
      </c>
      <c r="K1842" s="3443"/>
      <c r="L1842" s="3443" t="s">
        <v>37</v>
      </c>
      <c r="M1842" s="3443"/>
      <c r="N1842" s="3443"/>
      <c r="O1842" s="3443"/>
      <c r="P1842" s="3443"/>
      <c r="Q1842" s="3443"/>
      <c r="R1842" s="3443"/>
      <c r="S1842" s="3462"/>
      <c r="T1842" s="3462"/>
      <c r="U1842" s="3462"/>
      <c r="W1842" s="3522"/>
      <c r="X1842" s="3254"/>
    </row>
    <row r="1843" spans="1:24" ht="31.5" hidden="1">
      <c r="A1843" s="3500" t="s">
        <v>25</v>
      </c>
      <c r="B1843" s="3463">
        <v>45950</v>
      </c>
      <c r="C1843" s="3355" t="s">
        <v>3634</v>
      </c>
      <c r="D1843" s="4128"/>
      <c r="E1843" s="4162" t="s">
        <v>586</v>
      </c>
      <c r="F1843" s="4293" t="s">
        <v>389</v>
      </c>
      <c r="G1843" s="3254"/>
      <c r="I1843" s="3480">
        <v>702</v>
      </c>
      <c r="J1843" s="3614" t="s">
        <v>3354</v>
      </c>
      <c r="K1843" s="3443"/>
      <c r="L1843" s="3443" t="s">
        <v>37</v>
      </c>
      <c r="M1843" s="3443"/>
      <c r="N1843" s="3443"/>
      <c r="O1843" s="3443"/>
      <c r="P1843" s="3443"/>
      <c r="Q1843" s="3443"/>
      <c r="R1843" s="3443"/>
      <c r="S1843" s="3456"/>
      <c r="T1843" s="3456"/>
      <c r="U1843" s="3456"/>
      <c r="W1843" s="3609"/>
      <c r="X1843" s="3254"/>
    </row>
    <row r="1844" spans="1:24" ht="32.25" hidden="1" thickBot="1">
      <c r="A1844" s="3494" t="s">
        <v>25</v>
      </c>
      <c r="B1844" s="3448">
        <v>45950</v>
      </c>
      <c r="C1844" s="3372" t="s">
        <v>3634</v>
      </c>
      <c r="D1844" s="4802"/>
      <c r="E1844" s="4525" t="s">
        <v>169</v>
      </c>
      <c r="F1844" s="4604" t="s">
        <v>49</v>
      </c>
      <c r="G1844" s="3254"/>
      <c r="I1844" s="3494">
        <v>702</v>
      </c>
      <c r="J1844" s="3774" t="s">
        <v>1383</v>
      </c>
      <c r="K1844" s="3447"/>
      <c r="L1844" s="3447" t="s">
        <v>37</v>
      </c>
      <c r="M1844" s="3447"/>
      <c r="N1844" s="3447"/>
      <c r="O1844" s="3447"/>
      <c r="P1844" s="3447"/>
      <c r="Q1844" s="3447"/>
      <c r="R1844" s="3447"/>
      <c r="S1844" s="3447"/>
      <c r="T1844" s="3447"/>
      <c r="U1844" s="3447"/>
      <c r="V1844" s="3284"/>
      <c r="W1844" s="3547"/>
      <c r="X1844" s="3254"/>
    </row>
    <row r="1845" spans="1:24" ht="31.5" hidden="1">
      <c r="A1845" s="3456" t="s">
        <v>25</v>
      </c>
      <c r="B1845" s="3457">
        <v>45950</v>
      </c>
      <c r="C1845" s="3355" t="s">
        <v>3634</v>
      </c>
      <c r="D1845" s="4321"/>
      <c r="E1845" s="4247" t="s">
        <v>63</v>
      </c>
      <c r="F1845" s="4877" t="s">
        <v>68</v>
      </c>
      <c r="I1845" s="3456">
        <v>705</v>
      </c>
      <c r="J1845" s="3685" t="s">
        <v>3645</v>
      </c>
      <c r="K1845" s="3255"/>
      <c r="L1845" s="3456"/>
      <c r="M1845" s="3456" t="s">
        <v>37</v>
      </c>
      <c r="N1845" s="3456"/>
      <c r="O1845" s="3456"/>
      <c r="P1845" s="4764" t="s">
        <v>0</v>
      </c>
      <c r="Q1845" s="4764" t="s">
        <v>187</v>
      </c>
      <c r="R1845" s="4764" t="s">
        <v>32</v>
      </c>
      <c r="S1845" s="3456"/>
      <c r="T1845" s="3456"/>
      <c r="U1845" s="3456" t="s">
        <v>37</v>
      </c>
      <c r="V1845" s="3276"/>
      <c r="W1845" s="3512" t="s">
        <v>1235</v>
      </c>
    </row>
    <row r="1846" spans="1:24" ht="32.25" hidden="1" thickBot="1">
      <c r="A1846" s="3443" t="s">
        <v>67</v>
      </c>
      <c r="B1846" s="3444">
        <v>45950</v>
      </c>
      <c r="C1846" s="3355" t="s">
        <v>3634</v>
      </c>
      <c r="D1846" s="4502"/>
      <c r="E1846" s="4281" t="s">
        <v>63</v>
      </c>
      <c r="F1846" s="4281" t="s">
        <v>1369</v>
      </c>
      <c r="I1846" s="3443">
        <v>702</v>
      </c>
      <c r="J1846" s="3614" t="s">
        <v>3646</v>
      </c>
      <c r="K1846" s="2369"/>
      <c r="L1846" s="3443" t="s">
        <v>37</v>
      </c>
      <c r="M1846" s="3443"/>
      <c r="N1846" s="3443"/>
      <c r="O1846" s="3443"/>
      <c r="P1846" s="3447"/>
      <c r="Q1846" s="3447"/>
      <c r="R1846" s="3447"/>
      <c r="S1846" s="3443"/>
      <c r="T1846" s="3443"/>
      <c r="U1846" s="3443"/>
      <c r="W1846" s="3507"/>
    </row>
    <row r="1847" spans="1:24" ht="31.5" hidden="1">
      <c r="A1847" s="3443" t="s">
        <v>67</v>
      </c>
      <c r="B1847" s="3444">
        <v>45950</v>
      </c>
      <c r="C1847" s="3355" t="s">
        <v>3634</v>
      </c>
      <c r="D1847" s="4502"/>
      <c r="E1847" s="4281" t="s">
        <v>450</v>
      </c>
      <c r="F1847" s="4281" t="s">
        <v>3647</v>
      </c>
      <c r="I1847" s="3443">
        <v>702</v>
      </c>
      <c r="J1847" s="3614" t="s">
        <v>3646</v>
      </c>
      <c r="K1847" s="2371"/>
      <c r="L1847" s="3443" t="s">
        <v>37</v>
      </c>
      <c r="M1847" s="3443"/>
      <c r="N1847" s="3443"/>
      <c r="O1847" s="3443"/>
      <c r="P1847" s="3443"/>
      <c r="Q1847" s="3443"/>
      <c r="R1847" s="3443"/>
      <c r="S1847" s="3443"/>
      <c r="T1847" s="3443"/>
      <c r="U1847" s="3443"/>
      <c r="W1847" s="3507"/>
    </row>
    <row r="1848" spans="1:24" ht="31.5" hidden="1">
      <c r="A1848" s="3443" t="s">
        <v>67</v>
      </c>
      <c r="B1848" s="3444">
        <v>45951</v>
      </c>
      <c r="C1848" s="3355" t="s">
        <v>3634</v>
      </c>
      <c r="D1848" s="4128"/>
      <c r="E1848" s="4179" t="s">
        <v>264</v>
      </c>
      <c r="F1848" s="4179" t="s">
        <v>3404</v>
      </c>
      <c r="I1848" s="3443">
        <v>702</v>
      </c>
      <c r="J1848" s="3614" t="s">
        <v>3648</v>
      </c>
      <c r="K1848" s="3443"/>
      <c r="L1848" s="3443" t="s">
        <v>37</v>
      </c>
      <c r="M1848" s="3443"/>
      <c r="N1848" s="3443"/>
      <c r="O1848" s="3443"/>
      <c r="P1848" s="3443"/>
      <c r="Q1848" s="3443"/>
      <c r="R1848" s="3443"/>
      <c r="S1848" s="3443"/>
      <c r="T1848" s="3443"/>
      <c r="U1848" s="3443"/>
      <c r="W1848" s="4763"/>
    </row>
    <row r="1849" spans="1:24" ht="31.5" hidden="1">
      <c r="A1849" s="3443" t="s">
        <v>67</v>
      </c>
      <c r="B1849" s="3444">
        <v>45951</v>
      </c>
      <c r="C1849" s="3355" t="s">
        <v>3634</v>
      </c>
      <c r="D1849" s="4503"/>
      <c r="E1849" s="4159" t="s">
        <v>1464</v>
      </c>
      <c r="F1849" s="4159" t="s">
        <v>3225</v>
      </c>
      <c r="I1849" s="3443">
        <v>701</v>
      </c>
      <c r="J1849" s="3614" t="s">
        <v>3500</v>
      </c>
      <c r="K1849" s="2369"/>
      <c r="L1849" s="3443"/>
      <c r="M1849" s="3443"/>
      <c r="N1849" s="3443" t="s">
        <v>30</v>
      </c>
      <c r="O1849" s="3443"/>
      <c r="P1849" s="360" t="s">
        <v>0</v>
      </c>
      <c r="Q1849" s="360" t="s">
        <v>187</v>
      </c>
      <c r="R1849" s="360" t="s">
        <v>32</v>
      </c>
      <c r="S1849" s="3443"/>
      <c r="T1849" s="3443"/>
      <c r="U1849" s="3443"/>
      <c r="W1849" s="3507" t="s">
        <v>3649</v>
      </c>
    </row>
    <row r="1850" spans="1:24" ht="31.5" hidden="1">
      <c r="A1850" s="3443" t="s">
        <v>67</v>
      </c>
      <c r="B1850" s="3444">
        <v>45951</v>
      </c>
      <c r="C1850" s="3355" t="s">
        <v>3634</v>
      </c>
      <c r="D1850" s="4514"/>
      <c r="E1850" s="4159" t="s">
        <v>1465</v>
      </c>
      <c r="F1850" s="4159" t="s">
        <v>3228</v>
      </c>
      <c r="I1850" s="3443">
        <v>701</v>
      </c>
      <c r="J1850" s="3614" t="s">
        <v>3501</v>
      </c>
      <c r="K1850" s="3443"/>
      <c r="L1850" s="3443" t="s">
        <v>37</v>
      </c>
      <c r="M1850" s="3443"/>
      <c r="N1850" s="3443"/>
      <c r="O1850" s="3443"/>
      <c r="P1850" s="3443"/>
      <c r="Q1850" s="3443"/>
      <c r="R1850" s="3443"/>
      <c r="S1850" s="3443"/>
      <c r="T1850" s="3443" t="s">
        <v>37</v>
      </c>
      <c r="U1850" s="3443"/>
      <c r="W1850" s="3507"/>
    </row>
    <row r="1851" spans="1:24" ht="32.25" hidden="1" thickBot="1">
      <c r="A1851" s="3500" t="s">
        <v>67</v>
      </c>
      <c r="B1851" s="3463">
        <v>45951</v>
      </c>
      <c r="C1851" s="3355" t="s">
        <v>3634</v>
      </c>
      <c r="D1851" s="4109"/>
      <c r="E1851" s="4181" t="s">
        <v>450</v>
      </c>
      <c r="F1851" s="4878" t="s">
        <v>263</v>
      </c>
      <c r="I1851" s="3462">
        <v>702</v>
      </c>
      <c r="J1851" s="3689" t="s">
        <v>3650</v>
      </c>
      <c r="K1851" s="4249" t="s">
        <v>627</v>
      </c>
      <c r="L1851" s="3462" t="s">
        <v>37</v>
      </c>
      <c r="M1851" s="3462"/>
      <c r="N1851" s="3462"/>
      <c r="O1851" s="3462"/>
      <c r="P1851" s="3462"/>
      <c r="Q1851" s="3462"/>
      <c r="R1851" s="3462"/>
      <c r="S1851" s="3462"/>
      <c r="T1851" s="3462"/>
      <c r="U1851" s="3462"/>
      <c r="W1851" s="99"/>
    </row>
    <row r="1852" spans="1:24" ht="31.5" hidden="1">
      <c r="A1852" s="3462" t="s">
        <v>67</v>
      </c>
      <c r="B1852" s="3463">
        <v>45951</v>
      </c>
      <c r="C1852" s="3355" t="s">
        <v>3634</v>
      </c>
      <c r="D1852" s="4252"/>
      <c r="E1852" s="4280" t="s">
        <v>2590</v>
      </c>
      <c r="F1852" s="4280" t="s">
        <v>48</v>
      </c>
      <c r="I1852" s="3462">
        <v>705</v>
      </c>
      <c r="J1852" s="3689" t="s">
        <v>1436</v>
      </c>
      <c r="K1852" s="2371"/>
      <c r="L1852" s="3462" t="s">
        <v>37</v>
      </c>
      <c r="M1852" s="3462"/>
      <c r="N1852" s="3462"/>
      <c r="O1852" s="3462"/>
      <c r="P1852" s="3462"/>
      <c r="Q1852" s="3462"/>
      <c r="R1852" s="3462"/>
      <c r="S1852" s="3462"/>
      <c r="T1852" s="3462"/>
      <c r="U1852" s="3462"/>
      <c r="W1852" s="3507"/>
    </row>
    <row r="1853" spans="1:24" ht="32.25" hidden="1" thickBot="1">
      <c r="A1853" s="3494" t="s">
        <v>67</v>
      </c>
      <c r="B1853" s="3448">
        <v>45951</v>
      </c>
      <c r="C1853" s="3355" t="s">
        <v>3634</v>
      </c>
      <c r="D1853" s="4183"/>
      <c r="E1853" s="4841" t="s">
        <v>68</v>
      </c>
      <c r="F1853" s="4879" t="s">
        <v>3651</v>
      </c>
      <c r="I1853" s="3586">
        <v>701</v>
      </c>
      <c r="J1853" s="3690" t="s">
        <v>3500</v>
      </c>
      <c r="K1853" s="4305" t="s">
        <v>29</v>
      </c>
      <c r="L1853" s="3447" t="s">
        <v>37</v>
      </c>
      <c r="M1853" s="3546"/>
      <c r="N1853" s="3447"/>
      <c r="O1853" s="3447"/>
      <c r="P1853" s="3447"/>
      <c r="Q1853" s="3447"/>
      <c r="R1853" s="3447"/>
      <c r="S1853" s="3447"/>
      <c r="T1853" s="3447"/>
      <c r="U1853" s="3447"/>
      <c r="W1853" s="3547"/>
    </row>
    <row r="1854" spans="1:24" ht="31.5" hidden="1">
      <c r="A1854" s="3456" t="s">
        <v>67</v>
      </c>
      <c r="B1854" s="3457">
        <v>45951</v>
      </c>
      <c r="C1854" s="3355" t="s">
        <v>3634</v>
      </c>
      <c r="D1854" s="4803"/>
      <c r="E1854" s="4247" t="s">
        <v>1838</v>
      </c>
      <c r="F1854" s="4247" t="s">
        <v>3652</v>
      </c>
      <c r="I1854" s="3456">
        <v>705</v>
      </c>
      <c r="J1854" s="4929">
        <v>60086</v>
      </c>
      <c r="K1854" s="4941"/>
      <c r="L1854" s="4943" t="s">
        <v>37</v>
      </c>
      <c r="M1854" s="3456"/>
      <c r="N1854" s="3456"/>
      <c r="O1854" s="3456"/>
      <c r="P1854" s="3456"/>
      <c r="Q1854" s="3456"/>
      <c r="R1854" s="3456"/>
      <c r="S1854" s="3456"/>
      <c r="T1854" s="3456"/>
      <c r="U1854" s="3456"/>
      <c r="W1854" s="3512"/>
    </row>
    <row r="1855" spans="1:24" ht="31.5" hidden="1">
      <c r="A1855" s="3443" t="s">
        <v>85</v>
      </c>
      <c r="B1855" s="3444">
        <v>45952</v>
      </c>
      <c r="C1855" s="3355" t="s">
        <v>3634</v>
      </c>
      <c r="D1855" s="4128"/>
      <c r="E1855" s="4181" t="s">
        <v>148</v>
      </c>
      <c r="F1855" s="4181" t="s">
        <v>3653</v>
      </c>
      <c r="I1855" s="3443">
        <v>702</v>
      </c>
      <c r="J1855" s="3614" t="s">
        <v>3650</v>
      </c>
      <c r="K1855" s="2369"/>
      <c r="L1855" s="3443" t="s">
        <v>37</v>
      </c>
      <c r="M1855" s="3443"/>
      <c r="N1855" s="3443"/>
      <c r="O1855" s="3443"/>
      <c r="P1855" s="3443"/>
      <c r="Q1855" s="3443"/>
      <c r="R1855" s="3443"/>
      <c r="S1855" s="3443"/>
      <c r="T1855" s="3443"/>
      <c r="U1855" s="3443"/>
      <c r="W1855" s="3507"/>
    </row>
    <row r="1856" spans="1:24" ht="31.5" hidden="1">
      <c r="A1856" s="3443" t="s">
        <v>85</v>
      </c>
      <c r="B1856" s="3444">
        <v>45952</v>
      </c>
      <c r="C1856" s="3355" t="s">
        <v>3634</v>
      </c>
      <c r="D1856" s="4128"/>
      <c r="E1856" s="4281" t="s">
        <v>89</v>
      </c>
      <c r="F1856" s="4281" t="s">
        <v>3494</v>
      </c>
      <c r="I1856" s="3443">
        <v>702</v>
      </c>
      <c r="J1856" s="3614" t="s">
        <v>3654</v>
      </c>
      <c r="K1856" s="2369"/>
      <c r="L1856" s="3443" t="s">
        <v>37</v>
      </c>
      <c r="M1856" s="3443"/>
      <c r="N1856" s="3443"/>
      <c r="O1856" s="3443"/>
      <c r="P1856" s="3443"/>
      <c r="Q1856" s="3443"/>
      <c r="R1856" s="3443"/>
      <c r="S1856" s="3443"/>
      <c r="T1856" s="3443"/>
      <c r="U1856" s="3443" t="s">
        <v>37</v>
      </c>
      <c r="W1856" s="3507" t="s">
        <v>3655</v>
      </c>
    </row>
    <row r="1857" spans="1:24" ht="31.5" hidden="1">
      <c r="A1857" s="3443" t="s">
        <v>85</v>
      </c>
      <c r="B1857" s="3444">
        <v>45952</v>
      </c>
      <c r="C1857" s="3355" t="s">
        <v>3634</v>
      </c>
      <c r="D1857" s="4128"/>
      <c r="E1857" s="4281" t="s">
        <v>68</v>
      </c>
      <c r="F1857" s="4281" t="s">
        <v>3462</v>
      </c>
      <c r="I1857" s="3443">
        <v>702</v>
      </c>
      <c r="J1857" s="3614" t="s">
        <v>3656</v>
      </c>
      <c r="K1857" s="2369"/>
      <c r="L1857" s="3443" t="s">
        <v>37</v>
      </c>
      <c r="M1857" s="3443"/>
      <c r="N1857" s="3443"/>
      <c r="O1857" s="3443"/>
      <c r="P1857" s="3443"/>
      <c r="Q1857" s="3443"/>
      <c r="R1857" s="3443"/>
      <c r="S1857" s="3443"/>
      <c r="T1857" s="3443"/>
      <c r="U1857" s="3443"/>
      <c r="W1857" s="3507"/>
    </row>
    <row r="1858" spans="1:24" ht="31.5" hidden="1">
      <c r="A1858" s="3443" t="s">
        <v>85</v>
      </c>
      <c r="B1858" s="3444">
        <v>45952</v>
      </c>
      <c r="C1858" s="3355" t="s">
        <v>3634</v>
      </c>
      <c r="D1858" s="4109"/>
      <c r="E1858" s="4167" t="s">
        <v>3657</v>
      </c>
      <c r="F1858" s="4167" t="s">
        <v>3658</v>
      </c>
      <c r="I1858" s="3443">
        <v>701</v>
      </c>
      <c r="J1858" s="3614" t="s">
        <v>3501</v>
      </c>
      <c r="K1858" s="4109" t="s">
        <v>29</v>
      </c>
      <c r="L1858" s="3443" t="s">
        <v>37</v>
      </c>
      <c r="M1858" s="3443"/>
      <c r="N1858" s="3443"/>
      <c r="O1858" s="3443"/>
      <c r="P1858" s="3443"/>
      <c r="Q1858" s="3443"/>
      <c r="R1858" s="3443"/>
      <c r="S1858" s="3443"/>
      <c r="T1858" s="3443"/>
      <c r="U1858" s="3443"/>
      <c r="W1858" s="3507"/>
    </row>
    <row r="1859" spans="1:24" ht="31.5" hidden="1">
      <c r="A1859" s="3443" t="s">
        <v>85</v>
      </c>
      <c r="B1859" s="3444">
        <v>45952</v>
      </c>
      <c r="C1859" s="3355" t="s">
        <v>3634</v>
      </c>
      <c r="D1859" s="4128"/>
      <c r="E1859" s="4159" t="s">
        <v>1464</v>
      </c>
      <c r="F1859" s="4159" t="s">
        <v>3225</v>
      </c>
      <c r="I1859" s="3443">
        <v>701</v>
      </c>
      <c r="J1859" s="3614" t="s">
        <v>3500</v>
      </c>
      <c r="K1859" s="2369"/>
      <c r="L1859" s="3443" t="s">
        <v>37</v>
      </c>
      <c r="M1859" s="3443"/>
      <c r="N1859" s="3443"/>
      <c r="O1859" s="3443"/>
      <c r="P1859" s="3443"/>
      <c r="Q1859" s="3443"/>
      <c r="R1859" s="3443"/>
      <c r="S1859" s="3443"/>
      <c r="T1859" s="3443"/>
      <c r="U1859" s="3443"/>
      <c r="W1859" s="3507"/>
    </row>
    <row r="1860" spans="1:24" ht="31.5" hidden="1">
      <c r="A1860" s="3500" t="s">
        <v>85</v>
      </c>
      <c r="B1860" s="3463">
        <v>45952</v>
      </c>
      <c r="C1860" s="3355" t="s">
        <v>3634</v>
      </c>
      <c r="D1860" s="4213"/>
      <c r="E1860" s="4308" t="s">
        <v>1465</v>
      </c>
      <c r="F1860" s="4601" t="s">
        <v>1464</v>
      </c>
      <c r="I1860" s="3462">
        <v>701</v>
      </c>
      <c r="J1860" s="3689" t="s">
        <v>3501</v>
      </c>
      <c r="K1860" s="3903"/>
      <c r="L1860" s="3462" t="s">
        <v>37</v>
      </c>
      <c r="M1860" s="3462"/>
      <c r="N1860" s="3462"/>
      <c r="O1860" s="3462"/>
      <c r="P1860" s="3462"/>
      <c r="Q1860" s="3462"/>
      <c r="R1860" s="3462"/>
      <c r="S1860" s="3462"/>
      <c r="T1860" s="3462"/>
      <c r="U1860" s="3462"/>
      <c r="W1860" s="3507"/>
    </row>
    <row r="1861" spans="1:24" ht="31.5" hidden="1">
      <c r="A1861" s="3500" t="s">
        <v>85</v>
      </c>
      <c r="B1861" s="3463">
        <v>45952</v>
      </c>
      <c r="C1861" s="3355" t="s">
        <v>3634</v>
      </c>
      <c r="D1861" s="4213"/>
      <c r="E1861" s="4280" t="s">
        <v>339</v>
      </c>
      <c r="F1861" s="4282" t="s">
        <v>48</v>
      </c>
      <c r="I1861" s="3462">
        <v>705</v>
      </c>
      <c r="J1861" s="3689" t="s">
        <v>3659</v>
      </c>
      <c r="K1861" s="3903"/>
      <c r="L1861" s="3462" t="s">
        <v>37</v>
      </c>
      <c r="M1861" s="3462"/>
      <c r="N1861" s="3462"/>
      <c r="O1861" s="3462"/>
      <c r="P1861" s="3462"/>
      <c r="Q1861" s="3462"/>
      <c r="R1861" s="3462"/>
      <c r="S1861" s="3462"/>
      <c r="T1861" s="3462"/>
      <c r="U1861" s="3462"/>
      <c r="W1861" s="3507"/>
    </row>
    <row r="1862" spans="1:24" ht="31.5" hidden="1">
      <c r="A1862" s="3443" t="s">
        <v>85</v>
      </c>
      <c r="B1862" s="3444">
        <v>45952</v>
      </c>
      <c r="C1862" s="3355" t="s">
        <v>3634</v>
      </c>
      <c r="D1862" s="4128"/>
      <c r="E1862" s="4162" t="s">
        <v>273</v>
      </c>
      <c r="F1862" s="4162" t="s">
        <v>2161</v>
      </c>
      <c r="I1862" s="3443">
        <v>705</v>
      </c>
      <c r="J1862" s="3614" t="s">
        <v>260</v>
      </c>
      <c r="K1862" s="2369"/>
      <c r="L1862" s="3443" t="s">
        <v>37</v>
      </c>
      <c r="M1862" s="3443"/>
      <c r="N1862" s="3443"/>
      <c r="O1862" s="3443"/>
      <c r="P1862" s="3443"/>
      <c r="Q1862" s="3443"/>
      <c r="R1862" s="3531"/>
      <c r="S1862" s="3443"/>
      <c r="T1862" s="3443"/>
      <c r="U1862" s="3443"/>
      <c r="W1862" s="3507"/>
    </row>
    <row r="1863" spans="1:24" ht="31.5" hidden="1">
      <c r="A1863" s="3462" t="s">
        <v>85</v>
      </c>
      <c r="B1863" s="3463">
        <v>45952</v>
      </c>
      <c r="C1863" s="3355" t="s">
        <v>3634</v>
      </c>
      <c r="D1863" s="4252"/>
      <c r="E1863" s="4285" t="s">
        <v>1838</v>
      </c>
      <c r="F1863" s="4285" t="s">
        <v>3660</v>
      </c>
      <c r="I1863" s="3462">
        <v>707</v>
      </c>
      <c r="J1863" s="3689">
        <v>60000</v>
      </c>
      <c r="K1863" s="2371"/>
      <c r="L1863" s="3462" t="s">
        <v>37</v>
      </c>
      <c r="M1863" s="3462"/>
      <c r="N1863" s="3462"/>
      <c r="O1863" s="3462"/>
      <c r="P1863" s="3462"/>
      <c r="Q1863" s="3462"/>
      <c r="R1863" s="3600"/>
      <c r="S1863" s="3462"/>
      <c r="T1863" s="3462"/>
      <c r="U1863" s="3462" t="s">
        <v>37</v>
      </c>
      <c r="W1863" s="3636" t="s">
        <v>3661</v>
      </c>
    </row>
    <row r="1864" spans="1:24" ht="31.5" hidden="1">
      <c r="A1864" s="3462" t="s">
        <v>85</v>
      </c>
      <c r="B1864" s="3463">
        <v>45952</v>
      </c>
      <c r="C1864" s="3368" t="s">
        <v>3634</v>
      </c>
      <c r="D1864" s="4252"/>
      <c r="E1864" s="4285" t="s">
        <v>3662</v>
      </c>
      <c r="F1864" s="4285" t="s">
        <v>3663</v>
      </c>
      <c r="I1864" s="3462">
        <v>707</v>
      </c>
      <c r="J1864" s="3689" t="s">
        <v>3664</v>
      </c>
      <c r="K1864" s="2371"/>
      <c r="L1864" s="3462" t="s">
        <v>37</v>
      </c>
      <c r="M1864" s="3462"/>
      <c r="N1864" s="3462"/>
      <c r="O1864" s="3462"/>
      <c r="P1864" s="3462"/>
      <c r="Q1864" s="3462"/>
      <c r="R1864" s="3462"/>
      <c r="S1864" s="3462"/>
      <c r="T1864" s="3462"/>
      <c r="U1864" s="3462"/>
      <c r="V1864" s="3273"/>
      <c r="W1864" s="3636"/>
    </row>
    <row r="1865" spans="1:24" ht="57" hidden="1">
      <c r="A1865" s="3477" t="s">
        <v>85</v>
      </c>
      <c r="B1865" s="3478">
        <v>45952</v>
      </c>
      <c r="C1865" s="3356" t="s">
        <v>3634</v>
      </c>
      <c r="D1865" s="4505"/>
      <c r="E1865" s="4524" t="s">
        <v>1266</v>
      </c>
      <c r="F1865" s="4602" t="s">
        <v>3665</v>
      </c>
      <c r="G1865" s="3254"/>
      <c r="H1865" s="3253"/>
      <c r="I1865" s="3477">
        <v>707</v>
      </c>
      <c r="J1865" s="3708" t="s">
        <v>3666</v>
      </c>
      <c r="K1865" s="3705" t="s">
        <v>303</v>
      </c>
      <c r="L1865" s="3503" t="s">
        <v>37</v>
      </c>
      <c r="M1865" s="3503"/>
      <c r="N1865" s="3503"/>
      <c r="O1865" s="3503"/>
      <c r="P1865" s="3503"/>
      <c r="Q1865" s="3503"/>
      <c r="R1865" s="3503" t="s">
        <v>37</v>
      </c>
      <c r="S1865" s="3503"/>
      <c r="T1865" s="3503"/>
      <c r="U1865" s="3503" t="s">
        <v>37</v>
      </c>
      <c r="V1865" s="3281"/>
      <c r="W1865" s="3669" t="s">
        <v>3667</v>
      </c>
      <c r="X1865" s="3254"/>
    </row>
    <row r="1866" spans="1:24" ht="31.5" hidden="1">
      <c r="A1866" s="3480" t="s">
        <v>105</v>
      </c>
      <c r="B1866" s="3444">
        <v>45953</v>
      </c>
      <c r="C1866" s="3355" t="s">
        <v>3634</v>
      </c>
      <c r="D1866" s="4108"/>
      <c r="E1866" s="4159" t="s">
        <v>1464</v>
      </c>
      <c r="F1866" s="4219" t="s">
        <v>3225</v>
      </c>
      <c r="G1866" s="3254"/>
      <c r="H1866" s="3253"/>
      <c r="I1866" s="3480">
        <v>701</v>
      </c>
      <c r="J1866" s="3614" t="s">
        <v>3500</v>
      </c>
      <c r="K1866" s="2369"/>
      <c r="L1866" s="3443"/>
      <c r="M1866" s="3443" t="s">
        <v>30</v>
      </c>
      <c r="N1866" s="3443"/>
      <c r="O1866" s="3443"/>
      <c r="P1866" s="4411" t="s">
        <v>71</v>
      </c>
      <c r="Q1866" s="4411" t="s">
        <v>72</v>
      </c>
      <c r="R1866" s="4411" t="s">
        <v>790</v>
      </c>
      <c r="S1866" s="3443" t="s">
        <v>30</v>
      </c>
      <c r="T1866" s="3443"/>
      <c r="U1866" s="3443"/>
      <c r="W1866" s="3669" t="s">
        <v>3668</v>
      </c>
      <c r="X1866" s="3254"/>
    </row>
    <row r="1867" spans="1:24" ht="31.5" hidden="1">
      <c r="A1867" s="3480" t="s">
        <v>105</v>
      </c>
      <c r="B1867" s="3444">
        <v>45953</v>
      </c>
      <c r="C1867" s="3355" t="s">
        <v>3634</v>
      </c>
      <c r="D1867" s="4108"/>
      <c r="E1867" s="4159" t="s">
        <v>1465</v>
      </c>
      <c r="F1867" s="4219" t="s">
        <v>3228</v>
      </c>
      <c r="G1867" s="3254"/>
      <c r="H1867" s="3253"/>
      <c r="I1867" s="3480">
        <v>701</v>
      </c>
      <c r="J1867" s="3614" t="s">
        <v>3501</v>
      </c>
      <c r="K1867" s="3873"/>
      <c r="L1867" s="3456"/>
      <c r="M1867" s="3456"/>
      <c r="N1867" s="3456" t="s">
        <v>30</v>
      </c>
      <c r="O1867" s="3456"/>
      <c r="P1867" s="4764" t="s">
        <v>71</v>
      </c>
      <c r="Q1867" s="4764" t="s">
        <v>72</v>
      </c>
      <c r="R1867" s="4764" t="s">
        <v>790</v>
      </c>
      <c r="S1867" s="3456" t="s">
        <v>30</v>
      </c>
      <c r="T1867" s="3456"/>
      <c r="U1867" s="3456"/>
      <c r="W1867" s="3609"/>
      <c r="X1867" s="3254"/>
    </row>
    <row r="1868" spans="1:24" ht="31.5" hidden="1">
      <c r="A1868" s="3480" t="s">
        <v>105</v>
      </c>
      <c r="B1868" s="3444">
        <v>45953</v>
      </c>
      <c r="C1868" s="3355" t="s">
        <v>3634</v>
      </c>
      <c r="D1868" s="4128"/>
      <c r="E1868" s="4286" t="s">
        <v>63</v>
      </c>
      <c r="F1868" s="4295" t="s">
        <v>263</v>
      </c>
      <c r="G1868" s="3254"/>
      <c r="H1868" s="3253"/>
      <c r="I1868" s="3480">
        <v>701</v>
      </c>
      <c r="J1868" s="3614" t="s">
        <v>922</v>
      </c>
      <c r="K1868" s="3903"/>
      <c r="L1868" s="3462" t="s">
        <v>30</v>
      </c>
      <c r="M1868" s="3462"/>
      <c r="N1868" s="3462"/>
      <c r="O1868" s="3462"/>
      <c r="P1868" s="3462"/>
      <c r="Q1868" s="3462"/>
      <c r="R1868" s="3462"/>
      <c r="S1868" s="3462"/>
      <c r="T1868" s="3462"/>
      <c r="U1868" s="3600"/>
      <c r="W1868" s="3522"/>
      <c r="X1868" s="3254"/>
    </row>
    <row r="1869" spans="1:24" ht="57" hidden="1">
      <c r="A1869" s="3480" t="s">
        <v>1495</v>
      </c>
      <c r="B1869" s="3444">
        <v>45953</v>
      </c>
      <c r="C1869" s="3355" t="s">
        <v>3634</v>
      </c>
      <c r="D1869" s="4128"/>
      <c r="E1869" s="4287" t="s">
        <v>80</v>
      </c>
      <c r="F1869" s="4296" t="s">
        <v>1838</v>
      </c>
      <c r="G1869" s="3254"/>
      <c r="H1869" s="3253"/>
      <c r="I1869" s="3480">
        <v>705</v>
      </c>
      <c r="J1869" s="3614">
        <v>60000</v>
      </c>
      <c r="K1869" s="3903"/>
      <c r="L1869" s="3462" t="s">
        <v>37</v>
      </c>
      <c r="M1869" s="3462"/>
      <c r="N1869" s="3462"/>
      <c r="O1869" s="3462"/>
      <c r="P1869" s="3462"/>
      <c r="Q1869" s="3462"/>
      <c r="R1869" s="3462"/>
      <c r="S1869" s="3462"/>
      <c r="T1869" s="3462"/>
      <c r="U1869" s="3600"/>
      <c r="W1869" s="3522" t="s">
        <v>3669</v>
      </c>
      <c r="X1869" s="3254"/>
    </row>
    <row r="1870" spans="1:24" ht="31.5" hidden="1">
      <c r="A1870" s="3480" t="s">
        <v>105</v>
      </c>
      <c r="B1870" s="3444">
        <v>45953</v>
      </c>
      <c r="C1870" s="3355" t="s">
        <v>3634</v>
      </c>
      <c r="D1870" s="4128"/>
      <c r="E1870" s="4287" t="s">
        <v>1838</v>
      </c>
      <c r="F1870" s="4296" t="s">
        <v>80</v>
      </c>
      <c r="G1870" s="3254"/>
      <c r="H1870" s="3253"/>
      <c r="I1870" s="3480">
        <v>705</v>
      </c>
      <c r="J1870" s="3614">
        <v>60000</v>
      </c>
      <c r="K1870" s="2369"/>
      <c r="L1870" s="3443" t="s">
        <v>37</v>
      </c>
      <c r="M1870" s="3443"/>
      <c r="N1870" s="3443"/>
      <c r="O1870" s="3443"/>
      <c r="P1870" s="3443"/>
      <c r="Q1870" s="3443"/>
      <c r="R1870" s="3443"/>
      <c r="S1870" s="3443"/>
      <c r="T1870" s="3443"/>
      <c r="U1870" s="3531"/>
      <c r="W1870" s="3522"/>
      <c r="X1870" s="3254"/>
    </row>
    <row r="1871" spans="1:24" ht="31.5" hidden="1">
      <c r="A1871" s="3480" t="s">
        <v>105</v>
      </c>
      <c r="B1871" s="3444">
        <v>45953</v>
      </c>
      <c r="C1871" s="3355" t="s">
        <v>3634</v>
      </c>
      <c r="D1871" s="4128"/>
      <c r="E1871" s="4244" t="s">
        <v>48</v>
      </c>
      <c r="F1871" s="4271" t="s">
        <v>165</v>
      </c>
      <c r="G1871" s="3254"/>
      <c r="H1871" s="3253"/>
      <c r="I1871" s="3480">
        <v>705</v>
      </c>
      <c r="J1871" s="3614" t="s">
        <v>3670</v>
      </c>
      <c r="K1871" s="2371"/>
      <c r="L1871" s="3462" t="s">
        <v>37</v>
      </c>
      <c r="M1871" s="3462"/>
      <c r="N1871" s="3462"/>
      <c r="O1871" s="3462"/>
      <c r="P1871" s="3462"/>
      <c r="Q1871" s="3462"/>
      <c r="R1871" s="3462"/>
      <c r="S1871" s="3462"/>
      <c r="T1871" s="3462"/>
      <c r="U1871" s="3600" t="s">
        <v>37</v>
      </c>
      <c r="W1871" s="3522"/>
      <c r="X1871" s="3254"/>
    </row>
    <row r="1872" spans="1:24" ht="31.5" hidden="1">
      <c r="A1872" s="3480" t="s">
        <v>105</v>
      </c>
      <c r="B1872" s="3463">
        <v>45953</v>
      </c>
      <c r="C1872" s="3355" t="s">
        <v>3634</v>
      </c>
      <c r="D1872" s="4128"/>
      <c r="E1872" s="4244" t="s">
        <v>168</v>
      </c>
      <c r="F1872" s="4271" t="s">
        <v>3671</v>
      </c>
      <c r="G1872" s="3254"/>
      <c r="H1872" s="3253"/>
      <c r="I1872" s="3480">
        <v>705</v>
      </c>
      <c r="J1872" s="3614" t="s">
        <v>2866</v>
      </c>
      <c r="K1872" s="2369"/>
      <c r="L1872" s="3443" t="s">
        <v>37</v>
      </c>
      <c r="M1872" s="3443"/>
      <c r="N1872" s="3443"/>
      <c r="O1872" s="3443"/>
      <c r="P1872" s="3443"/>
      <c r="Q1872" s="3443"/>
      <c r="R1872" s="3443"/>
      <c r="S1872" s="3443"/>
      <c r="T1872" s="3443"/>
      <c r="U1872" s="3531" t="s">
        <v>37</v>
      </c>
      <c r="W1872" s="3522"/>
      <c r="X1872" s="3254"/>
    </row>
    <row r="1873" spans="1:24" ht="31.5" hidden="1">
      <c r="A1873" s="3857" t="s">
        <v>105</v>
      </c>
      <c r="B1873" s="3444">
        <v>45953</v>
      </c>
      <c r="C1873" s="3355" t="s">
        <v>3634</v>
      </c>
      <c r="D1873" s="4252"/>
      <c r="E1873" s="4289" t="s">
        <v>48</v>
      </c>
      <c r="F1873" s="4297" t="s">
        <v>3672</v>
      </c>
      <c r="G1873" s="3254"/>
      <c r="H1873" s="3253"/>
      <c r="I1873" s="3500">
        <v>701</v>
      </c>
      <c r="J1873" s="3689" t="s">
        <v>2866</v>
      </c>
      <c r="K1873" s="2371"/>
      <c r="L1873" s="3443" t="s">
        <v>37</v>
      </c>
      <c r="M1873" s="3462"/>
      <c r="N1873" s="3462"/>
      <c r="O1873" s="3462"/>
      <c r="P1873" s="3462"/>
      <c r="Q1873" s="3462"/>
      <c r="R1873" s="3462"/>
      <c r="S1873" s="3462"/>
      <c r="T1873" s="3462"/>
      <c r="U1873" s="3600"/>
      <c r="W1873" s="3522"/>
      <c r="X1873" s="3254"/>
    </row>
    <row r="1874" spans="1:24" ht="31.5" hidden="1">
      <c r="A1874" s="3500" t="s">
        <v>105</v>
      </c>
      <c r="B1874" s="3463">
        <v>45953</v>
      </c>
      <c r="C1874" s="3355" t="s">
        <v>3634</v>
      </c>
      <c r="D1874" s="4252"/>
      <c r="E1874" s="4289" t="s">
        <v>168</v>
      </c>
      <c r="F1874" s="4297" t="s">
        <v>3673</v>
      </c>
      <c r="G1874" s="3254"/>
      <c r="H1874" s="3253"/>
      <c r="I1874" s="3500">
        <v>701</v>
      </c>
      <c r="J1874" s="3689" t="s">
        <v>2866</v>
      </c>
      <c r="K1874" s="2371"/>
      <c r="L1874" s="3443" t="s">
        <v>37</v>
      </c>
      <c r="M1874" s="3462"/>
      <c r="N1874" s="3462"/>
      <c r="O1874" s="3462"/>
      <c r="P1874" s="3462"/>
      <c r="Q1874" s="3462"/>
      <c r="R1874" s="3600"/>
      <c r="S1874" s="3462"/>
      <c r="T1874" s="3462"/>
      <c r="U1874" s="3545"/>
      <c r="W1874" s="3544"/>
      <c r="X1874" s="3254"/>
    </row>
    <row r="1875" spans="1:24" ht="31.5" hidden="1">
      <c r="A1875" s="3500" t="s">
        <v>105</v>
      </c>
      <c r="B1875" s="3463">
        <v>45953</v>
      </c>
      <c r="C1875" s="3368" t="s">
        <v>3634</v>
      </c>
      <c r="D1875" s="4252"/>
      <c r="E1875" s="4289" t="s">
        <v>1266</v>
      </c>
      <c r="F1875" s="4297" t="s">
        <v>3674</v>
      </c>
      <c r="G1875" s="3254"/>
      <c r="H1875" s="3253"/>
      <c r="I1875" s="3500">
        <v>701</v>
      </c>
      <c r="J1875" s="3689" t="s">
        <v>2866</v>
      </c>
      <c r="K1875" s="2371"/>
      <c r="L1875" s="3462" t="s">
        <v>37</v>
      </c>
      <c r="M1875" s="3462"/>
      <c r="N1875" s="3462"/>
      <c r="O1875" s="3462"/>
      <c r="P1875" s="3462"/>
      <c r="Q1875" s="3462"/>
      <c r="R1875" s="3462"/>
      <c r="S1875" s="3462"/>
      <c r="T1875" s="3462"/>
      <c r="U1875" s="3462"/>
      <c r="V1875" s="3273"/>
      <c r="W1875" s="3544"/>
      <c r="X1875" s="3254"/>
    </row>
    <row r="1876" spans="1:24" ht="31.5" hidden="1">
      <c r="A1876" s="3477" t="s">
        <v>1495</v>
      </c>
      <c r="B1876" s="3478">
        <v>45953</v>
      </c>
      <c r="C1876" s="3356" t="s">
        <v>3634</v>
      </c>
      <c r="D1876" s="4294"/>
      <c r="E1876" s="4299" t="s">
        <v>1091</v>
      </c>
      <c r="F1876" s="4300" t="s">
        <v>3675</v>
      </c>
      <c r="G1876" s="3254"/>
      <c r="H1876" s="3253"/>
      <c r="I1876" s="3477">
        <v>701</v>
      </c>
      <c r="J1876" s="3708" t="s">
        <v>3676</v>
      </c>
      <c r="K1876" s="3871"/>
      <c r="L1876" s="3503"/>
      <c r="M1876" s="3503" t="s">
        <v>30</v>
      </c>
      <c r="N1876" s="3503"/>
      <c r="O1876" s="3503"/>
      <c r="P1876" s="4411" t="s">
        <v>0</v>
      </c>
      <c r="Q1876" s="4411" t="s">
        <v>110</v>
      </c>
      <c r="R1876" s="4411" t="s">
        <v>160</v>
      </c>
      <c r="S1876" s="3503" t="s">
        <v>37</v>
      </c>
      <c r="T1876" s="3503"/>
      <c r="U1876" s="3503"/>
      <c r="V1876" s="3281"/>
      <c r="W1876" s="3521" t="s">
        <v>3677</v>
      </c>
      <c r="X1876" s="3254"/>
    </row>
    <row r="1877" spans="1:24" ht="31.5" hidden="1">
      <c r="A1877" s="3480" t="s">
        <v>132</v>
      </c>
      <c r="B1877" s="3444">
        <v>45954</v>
      </c>
      <c r="C1877" s="3165" t="s">
        <v>3634</v>
      </c>
      <c r="D1877" s="4128"/>
      <c r="E1877" s="4288" t="s">
        <v>1091</v>
      </c>
      <c r="F1877" s="4600" t="s">
        <v>3675</v>
      </c>
      <c r="G1877" s="3254"/>
      <c r="H1877" s="3253"/>
      <c r="I1877" s="3480">
        <v>701</v>
      </c>
      <c r="J1877" s="3614" t="s">
        <v>3676</v>
      </c>
      <c r="K1877" s="2369"/>
      <c r="L1877" s="3443" t="s">
        <v>37</v>
      </c>
      <c r="M1877" s="3443"/>
      <c r="N1877" s="3443"/>
      <c r="O1877" s="3443"/>
      <c r="P1877" s="3443"/>
      <c r="Q1877" s="3443"/>
      <c r="R1877" s="3443"/>
      <c r="S1877" s="3443"/>
      <c r="T1877" s="3443" t="s">
        <v>37</v>
      </c>
      <c r="U1877" s="3443"/>
      <c r="W1877" s="3522"/>
      <c r="X1877" s="3254"/>
    </row>
    <row r="1878" spans="1:24" ht="31.5" hidden="1">
      <c r="A1878" s="3480" t="s">
        <v>132</v>
      </c>
      <c r="B1878" s="3444">
        <v>45954</v>
      </c>
      <c r="C1878" s="3165" t="s">
        <v>3634</v>
      </c>
      <c r="D1878" s="4128"/>
      <c r="E1878" s="4286" t="s">
        <v>148</v>
      </c>
      <c r="F1878" s="4295" t="s">
        <v>3098</v>
      </c>
      <c r="G1878" s="3254"/>
      <c r="H1878" s="3253"/>
      <c r="I1878" s="3480">
        <v>701</v>
      </c>
      <c r="J1878" s="3614" t="s">
        <v>922</v>
      </c>
      <c r="K1878" s="2369"/>
      <c r="L1878" s="3443" t="s">
        <v>37</v>
      </c>
      <c r="M1878" s="3443"/>
      <c r="N1878" s="3443"/>
      <c r="O1878" s="3443"/>
      <c r="P1878" s="3443"/>
      <c r="Q1878" s="3443"/>
      <c r="R1878" s="3443"/>
      <c r="S1878" s="3443"/>
      <c r="T1878" s="3443"/>
      <c r="U1878" s="3443"/>
      <c r="W1878" s="3522"/>
      <c r="X1878" s="3254"/>
    </row>
    <row r="1879" spans="1:24" ht="31.5" hidden="1">
      <c r="A1879" s="3480" t="s">
        <v>132</v>
      </c>
      <c r="B1879" s="3444">
        <v>45954</v>
      </c>
      <c r="C1879" s="3165" t="s">
        <v>3634</v>
      </c>
      <c r="D1879" s="4128"/>
      <c r="E1879" s="4159" t="s">
        <v>1464</v>
      </c>
      <c r="F1879" s="4219" t="s">
        <v>3225</v>
      </c>
      <c r="G1879" s="3254"/>
      <c r="H1879" s="3253"/>
      <c r="I1879" s="3480">
        <v>701</v>
      </c>
      <c r="J1879" s="3614" t="s">
        <v>3500</v>
      </c>
      <c r="K1879" s="2369"/>
      <c r="L1879" s="3443" t="s">
        <v>30</v>
      </c>
      <c r="M1879" s="3443"/>
      <c r="N1879" s="3443"/>
      <c r="O1879" s="3443"/>
      <c r="P1879" s="3443"/>
      <c r="Q1879" s="3443"/>
      <c r="R1879" s="3443"/>
      <c r="S1879" s="3443"/>
      <c r="T1879" s="3443"/>
      <c r="U1879" s="3443"/>
      <c r="W1879" s="3522"/>
      <c r="X1879" s="3254"/>
    </row>
    <row r="1880" spans="1:24" ht="31.5" hidden="1">
      <c r="A1880" s="3480" t="s">
        <v>132</v>
      </c>
      <c r="B1880" s="3444">
        <v>45954</v>
      </c>
      <c r="C1880" s="3165" t="s">
        <v>3634</v>
      </c>
      <c r="D1880" s="4128"/>
      <c r="E1880" s="4159" t="s">
        <v>1465</v>
      </c>
      <c r="F1880" s="4219" t="s">
        <v>3228</v>
      </c>
      <c r="G1880" s="3254"/>
      <c r="H1880" s="3253"/>
      <c r="I1880" s="3480">
        <v>701</v>
      </c>
      <c r="J1880" s="3614" t="s">
        <v>3501</v>
      </c>
      <c r="K1880" s="2369"/>
      <c r="L1880" s="3443" t="s">
        <v>30</v>
      </c>
      <c r="M1880" s="3443"/>
      <c r="N1880" s="3443"/>
      <c r="O1880" s="3443"/>
      <c r="P1880" s="3443"/>
      <c r="Q1880" s="3443"/>
      <c r="R1880" s="3443"/>
      <c r="S1880" s="3443"/>
      <c r="T1880" s="3443"/>
      <c r="U1880" s="3443"/>
      <c r="W1880" s="3522"/>
      <c r="X1880" s="3254"/>
    </row>
    <row r="1881" spans="1:24" ht="31.5" hidden="1">
      <c r="A1881" s="3480" t="s">
        <v>132</v>
      </c>
      <c r="B1881" s="3444">
        <v>45954</v>
      </c>
      <c r="C1881" s="3165" t="s">
        <v>3634</v>
      </c>
      <c r="D1881" s="4128"/>
      <c r="E1881" s="4162" t="s">
        <v>1071</v>
      </c>
      <c r="F1881" s="4222" t="s">
        <v>3678</v>
      </c>
      <c r="G1881" s="3254"/>
      <c r="H1881" s="3253"/>
      <c r="I1881" s="3480">
        <v>701</v>
      </c>
      <c r="J1881" s="3614" t="s">
        <v>3679</v>
      </c>
      <c r="K1881" s="2369"/>
      <c r="L1881" s="3443" t="s">
        <v>30</v>
      </c>
      <c r="M1881" s="3443"/>
      <c r="N1881" s="3443"/>
      <c r="O1881" s="3443"/>
      <c r="P1881" s="3443"/>
      <c r="Q1881" s="3443"/>
      <c r="R1881" s="3443"/>
      <c r="S1881" s="3443"/>
      <c r="T1881" s="3443"/>
      <c r="U1881" s="3443"/>
      <c r="W1881" s="3522"/>
      <c r="X1881" s="3254"/>
    </row>
    <row r="1882" spans="1:24" ht="52.5" hidden="1">
      <c r="A1882" s="3480" t="s">
        <v>132</v>
      </c>
      <c r="B1882" s="3444">
        <v>45954</v>
      </c>
      <c r="C1882" s="3165" t="s">
        <v>3634</v>
      </c>
      <c r="D1882" s="4128"/>
      <c r="E1882" s="3377" t="s">
        <v>491</v>
      </c>
      <c r="F1882" s="4301" t="s">
        <v>169</v>
      </c>
      <c r="G1882" s="3254"/>
      <c r="H1882" s="3253"/>
      <c r="I1882" s="3480"/>
      <c r="J1882" s="3443" t="s">
        <v>3679</v>
      </c>
      <c r="K1882" s="4298"/>
      <c r="L1882" s="3443" t="s">
        <v>37</v>
      </c>
      <c r="M1882" s="3443"/>
      <c r="N1882" s="3443"/>
      <c r="O1882" s="3443"/>
      <c r="P1882" s="3443"/>
      <c r="Q1882" s="3443"/>
      <c r="R1882" s="3443"/>
      <c r="S1882" s="3443"/>
      <c r="T1882" s="3443"/>
      <c r="U1882" s="3443" t="s">
        <v>37</v>
      </c>
      <c r="W1882" s="4069" t="s">
        <v>3680</v>
      </c>
      <c r="X1882" s="3254"/>
    </row>
    <row r="1883" spans="1:24" ht="31.5" hidden="1">
      <c r="A1883" s="3480" t="s">
        <v>132</v>
      </c>
      <c r="B1883" s="3444">
        <v>45954</v>
      </c>
      <c r="C1883" s="3165" t="s">
        <v>3634</v>
      </c>
      <c r="D1883" s="4128"/>
      <c r="E1883" s="4290" t="s">
        <v>2161</v>
      </c>
      <c r="F1883" s="4302" t="s">
        <v>914</v>
      </c>
      <c r="G1883" s="3254"/>
      <c r="H1883" s="3253"/>
      <c r="I1883" s="3480">
        <v>701</v>
      </c>
      <c r="J1883" s="3614" t="s">
        <v>3681</v>
      </c>
      <c r="K1883" s="2369"/>
      <c r="L1883" s="3443" t="s">
        <v>30</v>
      </c>
      <c r="M1883" s="3443"/>
      <c r="N1883" s="3443"/>
      <c r="O1883" s="3443"/>
      <c r="P1883" s="3443"/>
      <c r="Q1883" s="3443"/>
      <c r="R1883" s="3443"/>
      <c r="S1883" s="3443"/>
      <c r="T1883" s="3443"/>
      <c r="U1883" s="3443"/>
      <c r="W1883" s="3522"/>
      <c r="X1883" s="3254"/>
    </row>
    <row r="1884" spans="1:24" ht="31.5" hidden="1">
      <c r="A1884" s="3480" t="s">
        <v>132</v>
      </c>
      <c r="B1884" s="3444">
        <v>45954</v>
      </c>
      <c r="C1884" s="3165" t="s">
        <v>3634</v>
      </c>
      <c r="D1884" s="4128"/>
      <c r="E1884" s="4198" t="s">
        <v>3682</v>
      </c>
      <c r="F1884" s="4224" t="s">
        <v>140</v>
      </c>
      <c r="G1884" s="3254"/>
      <c r="H1884" s="3253"/>
      <c r="I1884" s="3480">
        <v>701</v>
      </c>
      <c r="J1884" s="3614" t="s">
        <v>3683</v>
      </c>
      <c r="K1884" s="2369"/>
      <c r="L1884" s="3443" t="s">
        <v>37</v>
      </c>
      <c r="M1884" s="3443"/>
      <c r="N1884" s="3443"/>
      <c r="O1884" s="3443"/>
      <c r="P1884" s="3443"/>
      <c r="Q1884" s="3443"/>
      <c r="R1884" s="3443"/>
      <c r="S1884" s="3443"/>
      <c r="T1884" s="3443"/>
      <c r="U1884" s="3443"/>
      <c r="W1884" s="3522"/>
      <c r="X1884" s="3254"/>
    </row>
    <row r="1885" spans="1:24" ht="31.5" hidden="1">
      <c r="A1885" s="3480" t="s">
        <v>132</v>
      </c>
      <c r="B1885" s="3444">
        <v>45954</v>
      </c>
      <c r="C1885" s="3165" t="s">
        <v>3634</v>
      </c>
      <c r="D1885" s="4128"/>
      <c r="E1885" s="4198" t="s">
        <v>80</v>
      </c>
      <c r="F1885" s="4224" t="s">
        <v>2663</v>
      </c>
      <c r="G1885" s="3254"/>
      <c r="H1885" s="3253"/>
      <c r="I1885" s="3480">
        <v>701</v>
      </c>
      <c r="J1885" s="3614" t="s">
        <v>2866</v>
      </c>
      <c r="K1885" s="2369"/>
      <c r="L1885" s="3443" t="s">
        <v>37</v>
      </c>
      <c r="M1885" s="3443"/>
      <c r="N1885" s="3443"/>
      <c r="O1885" s="3443"/>
      <c r="P1885" s="3443"/>
      <c r="Q1885" s="3443"/>
      <c r="R1885" s="3443"/>
      <c r="S1885" s="3443"/>
      <c r="T1885" s="3443"/>
      <c r="U1885" s="3443"/>
      <c r="W1885" s="3522"/>
      <c r="X1885" s="3254"/>
    </row>
    <row r="1886" spans="1:24" ht="31.5" hidden="1">
      <c r="A1886" s="3480" t="s">
        <v>132</v>
      </c>
      <c r="B1886" s="3444">
        <v>45954</v>
      </c>
      <c r="C1886" s="3165" t="s">
        <v>3634</v>
      </c>
      <c r="D1886" s="4109"/>
      <c r="E1886" s="4162" t="s">
        <v>182</v>
      </c>
      <c r="F1886" s="4222" t="s">
        <v>2465</v>
      </c>
      <c r="G1886" s="3254"/>
      <c r="H1886" s="3253"/>
      <c r="I1886" s="3480">
        <v>705</v>
      </c>
      <c r="J1886" s="3614" t="s">
        <v>184</v>
      </c>
      <c r="K1886" s="4109" t="s">
        <v>29</v>
      </c>
      <c r="L1886" s="3443" t="s">
        <v>30</v>
      </c>
      <c r="M1886" s="3443"/>
      <c r="N1886" s="3443"/>
      <c r="O1886" s="3443"/>
      <c r="P1886" s="3443"/>
      <c r="Q1886" s="3443"/>
      <c r="R1886" s="3443"/>
      <c r="S1886" s="3443"/>
      <c r="T1886" s="3443"/>
      <c r="U1886" s="3443"/>
      <c r="W1886" s="3522"/>
      <c r="X1886" s="3254"/>
    </row>
    <row r="1887" spans="1:24" ht="32.25" hidden="1" thickBot="1">
      <c r="A1887" s="3494" t="s">
        <v>132</v>
      </c>
      <c r="B1887" s="3448">
        <v>45954</v>
      </c>
      <c r="C1887" s="3357" t="s">
        <v>3634</v>
      </c>
      <c r="D1887" s="4254"/>
      <c r="E1887" s="4292" t="s">
        <v>447</v>
      </c>
      <c r="F1887" s="4303" t="s">
        <v>584</v>
      </c>
      <c r="G1887" s="3254"/>
      <c r="H1887" s="3253"/>
      <c r="I1887" s="3494">
        <v>701</v>
      </c>
      <c r="J1887" s="3690" t="s">
        <v>3683</v>
      </c>
      <c r="K1887" s="3875"/>
      <c r="L1887" s="3447" t="s">
        <v>37</v>
      </c>
      <c r="M1887" s="3447"/>
      <c r="N1887" s="3447"/>
      <c r="O1887" s="3447"/>
      <c r="P1887" s="3447"/>
      <c r="Q1887" s="3447"/>
      <c r="R1887" s="3447"/>
      <c r="S1887" s="3447"/>
      <c r="T1887" s="3447"/>
      <c r="U1887" s="3447"/>
      <c r="V1887" s="3284"/>
      <c r="W1887" s="3547"/>
      <c r="X1887" s="3254"/>
    </row>
    <row r="1888" spans="1:24" ht="31.5" hidden="1">
      <c r="A1888" s="3477" t="s">
        <v>132</v>
      </c>
      <c r="B1888" s="3478">
        <v>45954</v>
      </c>
      <c r="C1888" s="3356" t="s">
        <v>3634</v>
      </c>
      <c r="D1888" s="4250"/>
      <c r="E1888" s="4523" t="s">
        <v>1219</v>
      </c>
      <c r="F1888" s="4599" t="s">
        <v>389</v>
      </c>
      <c r="G1888" s="3254"/>
      <c r="H1888" s="3253"/>
      <c r="I1888" s="3477">
        <v>701</v>
      </c>
      <c r="J1888" s="3708" t="s">
        <v>3683</v>
      </c>
      <c r="K1888" s="3871"/>
      <c r="L1888" s="3503" t="s">
        <v>37</v>
      </c>
      <c r="M1888" s="3503"/>
      <c r="N1888" s="3503"/>
      <c r="O1888" s="3503"/>
      <c r="P1888" s="3503"/>
      <c r="Q1888" s="3503"/>
      <c r="R1888" s="3503"/>
      <c r="S1888" s="3503"/>
      <c r="T1888" s="3503"/>
      <c r="U1888" s="3503"/>
      <c r="V1888" s="3281"/>
      <c r="W1888" s="3521"/>
      <c r="X1888" s="3254"/>
    </row>
    <row r="1889" spans="1:24" ht="32.25" hidden="1" thickBot="1">
      <c r="A1889" s="3494" t="s">
        <v>3103</v>
      </c>
      <c r="B1889" s="3448">
        <v>45955</v>
      </c>
      <c r="C1889" s="3357" t="s">
        <v>3634</v>
      </c>
      <c r="D1889" s="4254"/>
      <c r="E1889" s="4842" t="s">
        <v>517</v>
      </c>
      <c r="F1889" s="4880" t="s">
        <v>1834</v>
      </c>
      <c r="G1889" s="3366"/>
      <c r="H1889" s="3363"/>
      <c r="I1889" s="3494">
        <v>701</v>
      </c>
      <c r="J1889" s="3690" t="s">
        <v>3681</v>
      </c>
      <c r="K1889" s="3875"/>
      <c r="L1889" s="3447" t="s">
        <v>37</v>
      </c>
      <c r="M1889" s="3447"/>
      <c r="N1889" s="3447"/>
      <c r="O1889" s="3447"/>
      <c r="P1889" s="3447"/>
      <c r="Q1889" s="3447"/>
      <c r="R1889" s="3447"/>
      <c r="S1889" s="3447"/>
      <c r="T1889" s="3447"/>
      <c r="U1889" s="3447"/>
      <c r="V1889" s="3284"/>
      <c r="W1889" s="3522"/>
      <c r="X1889" s="3254"/>
    </row>
    <row r="1890" spans="1:24" ht="57.75" hidden="1" thickBot="1">
      <c r="A1890" s="3456" t="s">
        <v>3103</v>
      </c>
      <c r="B1890" s="3457">
        <v>45955</v>
      </c>
      <c r="C1890" s="3368" t="s">
        <v>3634</v>
      </c>
      <c r="D1890" s="4109"/>
      <c r="E1890" s="3377" t="s">
        <v>1325</v>
      </c>
      <c r="F1890" s="3377" t="s">
        <v>462</v>
      </c>
      <c r="G1890" s="3307"/>
      <c r="H1890" s="4304"/>
      <c r="I1890" s="3443"/>
      <c r="J1890" s="3443" t="s">
        <v>3684</v>
      </c>
      <c r="K1890" s="4942" t="s">
        <v>3685</v>
      </c>
      <c r="L1890" s="3503" t="s">
        <v>37</v>
      </c>
      <c r="M1890" s="3503"/>
      <c r="N1890" s="3503"/>
      <c r="O1890" s="3503"/>
      <c r="P1890" s="3503"/>
      <c r="Q1890" s="3503"/>
      <c r="R1890" s="3503"/>
      <c r="S1890" s="3503"/>
      <c r="T1890" s="3503"/>
      <c r="U1890" s="3503" t="s">
        <v>37</v>
      </c>
      <c r="V1890" s="3735"/>
      <c r="W1890" s="4960" t="s">
        <v>3680</v>
      </c>
      <c r="X1890" s="3254"/>
    </row>
    <row r="1891" spans="1:24" ht="31.5" hidden="1">
      <c r="A1891" s="3443" t="s">
        <v>25</v>
      </c>
      <c r="B1891" s="3444">
        <v>45957</v>
      </c>
      <c r="C1891" s="3165" t="s">
        <v>3686</v>
      </c>
      <c r="D1891" s="4128"/>
      <c r="E1891" s="4159" t="s">
        <v>1464</v>
      </c>
      <c r="F1891" s="4159" t="s">
        <v>3225</v>
      </c>
      <c r="I1891" s="3443">
        <v>701</v>
      </c>
      <c r="J1891" s="3443" t="s">
        <v>3687</v>
      </c>
      <c r="K1891" s="3534"/>
      <c r="L1891" s="3443" t="s">
        <v>30</v>
      </c>
      <c r="M1891" s="3443"/>
      <c r="N1891" s="3443"/>
      <c r="O1891" s="3443"/>
      <c r="P1891" s="3443"/>
      <c r="Q1891" s="3443"/>
      <c r="R1891" s="3443"/>
      <c r="S1891" s="3443"/>
      <c r="T1891" s="3443"/>
      <c r="U1891" s="3443"/>
      <c r="W1891" s="3522"/>
    </row>
    <row r="1892" spans="1:24" ht="31.5" hidden="1">
      <c r="A1892" s="3443" t="s">
        <v>25</v>
      </c>
      <c r="B1892" s="3444">
        <v>45957</v>
      </c>
      <c r="C1892" s="3165" t="s">
        <v>3686</v>
      </c>
      <c r="D1892" s="4128"/>
      <c r="E1892" s="4159" t="s">
        <v>1465</v>
      </c>
      <c r="F1892" s="4159" t="s">
        <v>3228</v>
      </c>
      <c r="I1892" s="3443">
        <v>701</v>
      </c>
      <c r="J1892" s="3443" t="s">
        <v>3464</v>
      </c>
      <c r="K1892" s="3903"/>
      <c r="L1892" s="3443" t="s">
        <v>30</v>
      </c>
      <c r="M1892" s="3443"/>
      <c r="N1892" s="3443"/>
      <c r="O1892" s="3443"/>
      <c r="P1892" s="3443"/>
      <c r="Q1892" s="3443"/>
      <c r="R1892" s="3443"/>
      <c r="S1892" s="3443"/>
      <c r="T1892" s="3443"/>
      <c r="U1892" s="3443"/>
      <c r="W1892" s="3507"/>
    </row>
    <row r="1893" spans="1:24" ht="31.5" hidden="1">
      <c r="A1893" s="3443" t="s">
        <v>25</v>
      </c>
      <c r="B1893" s="3444">
        <v>45957</v>
      </c>
      <c r="C1893" s="3165" t="s">
        <v>3686</v>
      </c>
      <c r="D1893" s="4128"/>
      <c r="E1893" s="3377" t="s">
        <v>1838</v>
      </c>
      <c r="F1893" s="3377" t="s">
        <v>1225</v>
      </c>
      <c r="I1893" s="3443">
        <v>707</v>
      </c>
      <c r="J1893" s="3443" t="s">
        <v>3688</v>
      </c>
      <c r="K1893" s="3545"/>
      <c r="L1893" s="3443" t="s">
        <v>30</v>
      </c>
      <c r="M1893" s="3443"/>
      <c r="N1893" s="3443"/>
      <c r="O1893" s="3443"/>
      <c r="P1893" s="3443"/>
      <c r="Q1893" s="3443"/>
      <c r="R1893" s="3443"/>
      <c r="S1893" s="3443"/>
      <c r="T1893" s="3443"/>
      <c r="U1893" s="3443"/>
      <c r="W1893" s="3507"/>
    </row>
    <row r="1894" spans="1:24" ht="31.5" hidden="1">
      <c r="A1894" s="3443" t="s">
        <v>25</v>
      </c>
      <c r="B1894" s="3444">
        <v>45957</v>
      </c>
      <c r="C1894" s="3165" t="s">
        <v>3686</v>
      </c>
      <c r="D1894" s="4128"/>
      <c r="E1894" s="4174" t="s">
        <v>48</v>
      </c>
      <c r="F1894" s="4174" t="s">
        <v>263</v>
      </c>
      <c r="I1894" s="3443">
        <v>707</v>
      </c>
      <c r="J1894" s="3443" t="s">
        <v>94</v>
      </c>
      <c r="K1894" s="3534"/>
      <c r="L1894" s="3443" t="s">
        <v>30</v>
      </c>
      <c r="M1894" s="3443"/>
      <c r="N1894" s="3443"/>
      <c r="O1894" s="3443"/>
      <c r="P1894" s="3443"/>
      <c r="Q1894" s="3443"/>
      <c r="R1894" s="3443"/>
      <c r="S1894" s="3443"/>
      <c r="T1894" s="3443"/>
      <c r="U1894" s="3443"/>
      <c r="W1894" s="3507"/>
    </row>
    <row r="1895" spans="1:24" ht="31.5" hidden="1">
      <c r="A1895" s="3443" t="s">
        <v>25</v>
      </c>
      <c r="B1895" s="3444">
        <v>45957</v>
      </c>
      <c r="C1895" s="3165" t="s">
        <v>3686</v>
      </c>
      <c r="D1895" s="4128"/>
      <c r="E1895" s="4174" t="s">
        <v>148</v>
      </c>
      <c r="F1895" s="4174" t="s">
        <v>466</v>
      </c>
      <c r="I1895" s="3443">
        <v>707</v>
      </c>
      <c r="J1895" s="3443" t="s">
        <v>94</v>
      </c>
      <c r="K1895" s="3534"/>
      <c r="L1895" s="3443" t="s">
        <v>30</v>
      </c>
      <c r="M1895" s="3443"/>
      <c r="N1895" s="3443"/>
      <c r="O1895" s="3443"/>
      <c r="P1895" s="3462"/>
      <c r="Q1895" s="3462"/>
      <c r="R1895" s="3462"/>
      <c r="S1895" s="3443"/>
      <c r="T1895" s="3443"/>
      <c r="U1895" s="3443"/>
      <c r="W1895" s="3507"/>
    </row>
    <row r="1896" spans="1:24" ht="31.5" hidden="1">
      <c r="A1896" s="3443" t="s">
        <v>25</v>
      </c>
      <c r="B1896" s="3444">
        <v>45957</v>
      </c>
      <c r="C1896" s="3165" t="s">
        <v>3686</v>
      </c>
      <c r="D1896" s="4108"/>
      <c r="E1896" s="3377" t="s">
        <v>148</v>
      </c>
      <c r="F1896" s="3377" t="s">
        <v>1464</v>
      </c>
      <c r="I1896" s="3443">
        <v>701</v>
      </c>
      <c r="J1896" s="3443" t="s">
        <v>3689</v>
      </c>
      <c r="K1896" s="3545"/>
      <c r="L1896" s="3456"/>
      <c r="M1896" s="3456" t="s">
        <v>37</v>
      </c>
      <c r="N1896" s="3456"/>
      <c r="O1896" s="3456"/>
      <c r="P1896" s="4412" t="s">
        <v>109</v>
      </c>
      <c r="Q1896" s="4412" t="s">
        <v>323</v>
      </c>
      <c r="R1896" s="4412" t="s">
        <v>790</v>
      </c>
      <c r="S1896" s="3456" t="s">
        <v>37</v>
      </c>
      <c r="T1896" s="3456"/>
      <c r="U1896" s="3456"/>
      <c r="W1896" s="3697" t="s">
        <v>3690</v>
      </c>
    </row>
    <row r="1897" spans="1:24" ht="52.5" hidden="1">
      <c r="A1897" s="3443" t="s">
        <v>25</v>
      </c>
      <c r="B1897" s="3444">
        <v>45957</v>
      </c>
      <c r="C1897" s="3165" t="s">
        <v>3686</v>
      </c>
      <c r="D1897" s="4108"/>
      <c r="E1897" s="3377" t="s">
        <v>169</v>
      </c>
      <c r="F1897" s="3377" t="s">
        <v>1838</v>
      </c>
      <c r="I1897" s="3443">
        <v>707</v>
      </c>
      <c r="J1897" s="3443" t="s">
        <v>3691</v>
      </c>
      <c r="K1897" s="3545"/>
      <c r="L1897" s="3456"/>
      <c r="M1897" s="3456" t="s">
        <v>37</v>
      </c>
      <c r="N1897" s="3456"/>
      <c r="O1897" s="3456"/>
      <c r="P1897" s="4764" t="s">
        <v>0</v>
      </c>
      <c r="Q1897" s="4764" t="s">
        <v>31</v>
      </c>
      <c r="R1897" s="4764" t="s">
        <v>38</v>
      </c>
      <c r="S1897" s="3456" t="s">
        <v>37</v>
      </c>
      <c r="T1897" s="3456"/>
      <c r="U1897" s="3456"/>
      <c r="W1897" s="3697" t="s">
        <v>3692</v>
      </c>
    </row>
    <row r="1898" spans="1:24" ht="31.5" hidden="1">
      <c r="A1898" s="3443" t="s">
        <v>25</v>
      </c>
      <c r="B1898" s="3444">
        <v>45957</v>
      </c>
      <c r="C1898" s="3165" t="s">
        <v>3686</v>
      </c>
      <c r="D1898" s="4109"/>
      <c r="E1898" s="4179" t="s">
        <v>405</v>
      </c>
      <c r="F1898" s="4179" t="s">
        <v>3647</v>
      </c>
      <c r="I1898" s="3443">
        <v>712</v>
      </c>
      <c r="J1898" s="3443" t="s">
        <v>3693</v>
      </c>
      <c r="K1898" s="4313" t="s">
        <v>3685</v>
      </c>
      <c r="L1898" s="3456" t="s">
        <v>30</v>
      </c>
      <c r="M1898" s="3456"/>
      <c r="N1898" s="3456"/>
      <c r="O1898" s="3456"/>
      <c r="P1898" s="3456"/>
      <c r="Q1898" s="3456"/>
      <c r="R1898" s="3456"/>
      <c r="S1898" s="3456"/>
      <c r="T1898" s="3456"/>
      <c r="U1898" s="3456"/>
      <c r="W1898" s="3697"/>
    </row>
    <row r="1899" spans="1:24" ht="31.5" hidden="1">
      <c r="A1899" s="3443" t="s">
        <v>25</v>
      </c>
      <c r="B1899" s="3444">
        <v>45957</v>
      </c>
      <c r="C1899" s="3165" t="s">
        <v>3686</v>
      </c>
      <c r="D1899" s="4109"/>
      <c r="E1899" s="4179" t="s">
        <v>89</v>
      </c>
      <c r="F1899" s="4179" t="s">
        <v>3461</v>
      </c>
      <c r="I1899" s="3443">
        <v>712</v>
      </c>
      <c r="J1899" s="3443" t="s">
        <v>842</v>
      </c>
      <c r="K1899" s="4313" t="s">
        <v>3685</v>
      </c>
      <c r="L1899" s="3456" t="s">
        <v>30</v>
      </c>
      <c r="M1899" s="3456"/>
      <c r="N1899" s="3456"/>
      <c r="O1899" s="3456"/>
      <c r="P1899" s="3456"/>
      <c r="Q1899" s="3456"/>
      <c r="R1899" s="3456"/>
      <c r="S1899" s="3456"/>
      <c r="T1899" s="3456"/>
      <c r="U1899" s="3456"/>
      <c r="W1899" s="3697"/>
    </row>
    <row r="1900" spans="1:24" ht="31.5" hidden="1">
      <c r="A1900" s="3443" t="s">
        <v>25</v>
      </c>
      <c r="B1900" s="3444">
        <v>45957</v>
      </c>
      <c r="C1900" s="3165" t="s">
        <v>3686</v>
      </c>
      <c r="D1900" s="4109"/>
      <c r="E1900" s="4244" t="s">
        <v>1293</v>
      </c>
      <c r="F1900" s="4244" t="s">
        <v>1522</v>
      </c>
      <c r="I1900" s="3443">
        <v>705</v>
      </c>
      <c r="J1900" s="3443">
        <v>60072</v>
      </c>
      <c r="K1900" s="4313" t="s">
        <v>84</v>
      </c>
      <c r="L1900" s="3456" t="s">
        <v>30</v>
      </c>
      <c r="M1900" s="3456"/>
      <c r="N1900" s="3456"/>
      <c r="O1900" s="3456"/>
      <c r="P1900" s="3456"/>
      <c r="Q1900" s="3456"/>
      <c r="R1900" s="3456"/>
      <c r="S1900" s="3456"/>
      <c r="T1900" s="3456"/>
      <c r="U1900" s="3456"/>
      <c r="W1900" s="3697"/>
    </row>
    <row r="1901" spans="1:24" ht="31.5" hidden="1">
      <c r="A1901" s="3443" t="s">
        <v>25</v>
      </c>
      <c r="B1901" s="3444">
        <v>45957</v>
      </c>
      <c r="C1901" s="3165" t="s">
        <v>3686</v>
      </c>
      <c r="D1901" s="4109"/>
      <c r="E1901" s="4244" t="s">
        <v>596</v>
      </c>
      <c r="F1901" s="4244" t="s">
        <v>3694</v>
      </c>
      <c r="I1901" s="3443">
        <v>705</v>
      </c>
      <c r="J1901" s="3443" t="s">
        <v>3695</v>
      </c>
      <c r="K1901" s="4313" t="s">
        <v>84</v>
      </c>
      <c r="L1901" s="3456"/>
      <c r="M1901" s="3456"/>
      <c r="N1901" s="3456"/>
      <c r="O1901" s="3456"/>
      <c r="P1901" s="3456"/>
      <c r="Q1901" s="3456"/>
      <c r="R1901" s="3456"/>
      <c r="S1901" s="3456"/>
      <c r="T1901" s="3456"/>
      <c r="U1901" s="3456" t="s">
        <v>37</v>
      </c>
      <c r="W1901" s="3697"/>
    </row>
    <row r="1902" spans="1:24" ht="31.5" hidden="1">
      <c r="A1902" s="3443" t="s">
        <v>25</v>
      </c>
      <c r="B1902" s="3444">
        <v>45957</v>
      </c>
      <c r="C1902" s="3165" t="s">
        <v>3686</v>
      </c>
      <c r="D1902" s="4128"/>
      <c r="E1902" s="4195" t="s">
        <v>450</v>
      </c>
      <c r="F1902" s="4195" t="s">
        <v>183</v>
      </c>
      <c r="I1902" s="3443">
        <v>712</v>
      </c>
      <c r="J1902" s="3443" t="s">
        <v>842</v>
      </c>
      <c r="K1902" s="3534"/>
      <c r="L1902" s="3443" t="s">
        <v>30</v>
      </c>
      <c r="M1902" s="3443"/>
      <c r="N1902" s="3443"/>
      <c r="O1902" s="3443"/>
      <c r="P1902" s="3443"/>
      <c r="Q1902" s="3443"/>
      <c r="R1902" s="3443"/>
      <c r="S1902" s="3443"/>
      <c r="T1902" s="3443"/>
      <c r="U1902" s="3443"/>
      <c r="W1902" s="3507"/>
    </row>
    <row r="1903" spans="1:24" ht="31.5" hidden="1">
      <c r="A1903" s="3443" t="s">
        <v>180</v>
      </c>
      <c r="B1903" s="3444">
        <v>45958</v>
      </c>
      <c r="C1903" s="3165" t="s">
        <v>3686</v>
      </c>
      <c r="D1903" s="4128"/>
      <c r="E1903" s="3377" t="s">
        <v>148</v>
      </c>
      <c r="F1903" s="3377" t="s">
        <v>1464</v>
      </c>
      <c r="I1903" s="3443">
        <v>701</v>
      </c>
      <c r="J1903" s="3443" t="s">
        <v>3689</v>
      </c>
      <c r="K1903" s="3545"/>
      <c r="L1903" s="3505" t="s">
        <v>37</v>
      </c>
      <c r="M1903" s="3505"/>
      <c r="N1903" s="3505"/>
      <c r="O1903" s="3505"/>
      <c r="P1903" s="3505"/>
      <c r="Q1903" s="3505" t="s">
        <v>37</v>
      </c>
      <c r="R1903" s="3505"/>
      <c r="S1903" s="3505"/>
      <c r="T1903" s="3505" t="s">
        <v>37</v>
      </c>
      <c r="U1903" s="3505"/>
      <c r="W1903" s="4315"/>
    </row>
    <row r="1904" spans="1:24" ht="31.5" hidden="1">
      <c r="A1904" s="3443" t="s">
        <v>67</v>
      </c>
      <c r="B1904" s="3444">
        <v>45958</v>
      </c>
      <c r="C1904" s="3165" t="s">
        <v>3686</v>
      </c>
      <c r="D1904" s="4128" t="s">
        <v>1202</v>
      </c>
      <c r="E1904" s="4195" t="s">
        <v>1209</v>
      </c>
      <c r="F1904" s="4195" t="s">
        <v>3515</v>
      </c>
      <c r="I1904" s="3443">
        <v>712</v>
      </c>
      <c r="J1904" s="3531" t="s">
        <v>3696</v>
      </c>
      <c r="K1904" s="3443"/>
      <c r="L1904" s="3443" t="s">
        <v>37</v>
      </c>
      <c r="M1904" s="3443"/>
      <c r="N1904" s="3443"/>
      <c r="O1904" s="3443"/>
      <c r="P1904" s="3443"/>
      <c r="Q1904" s="3443"/>
      <c r="R1904" s="3443"/>
      <c r="S1904" s="3443"/>
      <c r="T1904" s="3443"/>
      <c r="U1904" s="3443"/>
      <c r="W1904" s="3507"/>
    </row>
    <row r="1905" spans="1:23" ht="31.5" hidden="1">
      <c r="A1905" s="3443" t="s">
        <v>67</v>
      </c>
      <c r="B1905" s="3444">
        <v>45958</v>
      </c>
      <c r="C1905" s="3165" t="s">
        <v>3686</v>
      </c>
      <c r="D1905" s="4128"/>
      <c r="E1905" s="4159" t="s">
        <v>1464</v>
      </c>
      <c r="F1905" s="4159" t="s">
        <v>3225</v>
      </c>
      <c r="I1905" s="3443">
        <v>701</v>
      </c>
      <c r="J1905" s="3531" t="s">
        <v>3697</v>
      </c>
      <c r="K1905" s="3443"/>
      <c r="L1905" s="3443" t="s">
        <v>37</v>
      </c>
      <c r="M1905" s="3443"/>
      <c r="N1905" s="3443"/>
      <c r="O1905" s="3443"/>
      <c r="P1905" s="3443"/>
      <c r="Q1905" s="3443"/>
      <c r="R1905" s="3443" t="s">
        <v>30</v>
      </c>
      <c r="S1905" s="3443"/>
      <c r="T1905" s="3443"/>
      <c r="U1905" s="3443"/>
      <c r="W1905" s="3507" t="s">
        <v>3698</v>
      </c>
    </row>
    <row r="1906" spans="1:23" ht="31.5" hidden="1">
      <c r="A1906" s="3443" t="s">
        <v>67</v>
      </c>
      <c r="B1906" s="3444">
        <v>45958</v>
      </c>
      <c r="C1906" s="3165" t="s">
        <v>3686</v>
      </c>
      <c r="D1906" s="4128"/>
      <c r="E1906" s="4159" t="s">
        <v>1465</v>
      </c>
      <c r="F1906" s="4159" t="s">
        <v>3228</v>
      </c>
      <c r="I1906" s="3443">
        <v>701</v>
      </c>
      <c r="J1906" s="3531" t="s">
        <v>3699</v>
      </c>
      <c r="K1906" s="3443"/>
      <c r="L1906" s="3443" t="s">
        <v>37</v>
      </c>
      <c r="M1906" s="3443"/>
      <c r="N1906" s="3443"/>
      <c r="O1906" s="3443"/>
      <c r="P1906" s="3443"/>
      <c r="Q1906" s="3443"/>
      <c r="R1906" s="3456"/>
      <c r="S1906" s="3456"/>
      <c r="T1906" s="3456"/>
      <c r="U1906" s="3456"/>
      <c r="W1906" s="3697"/>
    </row>
    <row r="1907" spans="1:23" ht="31.5" hidden="1">
      <c r="A1907" s="3443" t="s">
        <v>67</v>
      </c>
      <c r="B1907" s="3444">
        <v>45958</v>
      </c>
      <c r="C1907" s="3165" t="s">
        <v>3686</v>
      </c>
      <c r="D1907" s="4128" t="s">
        <v>1202</v>
      </c>
      <c r="E1907" s="4198" t="s">
        <v>3700</v>
      </c>
      <c r="F1907" s="4198" t="s">
        <v>3701</v>
      </c>
      <c r="I1907" s="3443">
        <v>707</v>
      </c>
      <c r="J1907" s="3531">
        <v>60020</v>
      </c>
      <c r="K1907" s="3443"/>
      <c r="L1907" s="3443" t="s">
        <v>37</v>
      </c>
      <c r="M1907" s="3443"/>
      <c r="N1907" s="3443"/>
      <c r="O1907" s="3443"/>
      <c r="P1907" s="3443"/>
      <c r="Q1907" s="3443"/>
      <c r="R1907" s="3456"/>
      <c r="S1907" s="3456"/>
      <c r="T1907" s="3456"/>
      <c r="U1907" s="3456"/>
      <c r="W1907" s="3697"/>
    </row>
    <row r="1908" spans="1:23" ht="31.5" hidden="1">
      <c r="A1908" s="3443" t="s">
        <v>67</v>
      </c>
      <c r="B1908" s="3444">
        <v>45958</v>
      </c>
      <c r="C1908" s="3165" t="s">
        <v>3686</v>
      </c>
      <c r="D1908" s="4252"/>
      <c r="E1908" s="4198" t="s">
        <v>3702</v>
      </c>
      <c r="F1908" s="4198" t="s">
        <v>3703</v>
      </c>
      <c r="I1908" s="3443">
        <v>707</v>
      </c>
      <c r="J1908" s="3443" t="s">
        <v>3691</v>
      </c>
      <c r="K1908" s="3545"/>
      <c r="L1908" s="3456" t="s">
        <v>37</v>
      </c>
      <c r="M1908" s="3456"/>
      <c r="N1908" s="3456"/>
      <c r="O1908" s="3456"/>
      <c r="P1908" s="3456"/>
      <c r="Q1908" s="3456"/>
      <c r="R1908" s="3456"/>
      <c r="S1908" s="3456"/>
      <c r="T1908" s="3456"/>
      <c r="U1908" s="3456"/>
      <c r="W1908" s="3697"/>
    </row>
    <row r="1909" spans="1:23" ht="31.5" hidden="1">
      <c r="A1909" s="3443" t="s">
        <v>67</v>
      </c>
      <c r="B1909" s="3444">
        <v>45958</v>
      </c>
      <c r="C1909" s="3165" t="s">
        <v>3686</v>
      </c>
      <c r="D1909" s="4252"/>
      <c r="E1909" s="4307" t="s">
        <v>273</v>
      </c>
      <c r="F1909" s="4307" t="s">
        <v>2569</v>
      </c>
      <c r="I1909" s="3443">
        <v>705</v>
      </c>
      <c r="J1909" s="3443" t="s">
        <v>3704</v>
      </c>
      <c r="K1909" s="3545"/>
      <c r="L1909" s="3456" t="s">
        <v>37</v>
      </c>
      <c r="M1909" s="3456"/>
      <c r="N1909" s="3456"/>
      <c r="O1909" s="3456"/>
      <c r="P1909" s="3462"/>
      <c r="Q1909" s="3462"/>
      <c r="R1909" s="3462"/>
      <c r="S1909" s="3456"/>
      <c r="T1909" s="3456"/>
      <c r="U1909" s="3456"/>
      <c r="W1909" s="3609"/>
    </row>
    <row r="1910" spans="1:23" ht="85.5" hidden="1">
      <c r="A1910" s="3462" t="s">
        <v>67</v>
      </c>
      <c r="B1910" s="3463">
        <v>45958</v>
      </c>
      <c r="C1910" s="3165" t="s">
        <v>3686</v>
      </c>
      <c r="D1910" s="4128"/>
      <c r="E1910" s="4162" t="s">
        <v>52</v>
      </c>
      <c r="F1910" s="4162" t="s">
        <v>273</v>
      </c>
      <c r="I1910" s="3443">
        <v>705</v>
      </c>
      <c r="J1910" s="3531" t="s">
        <v>3705</v>
      </c>
      <c r="K1910" s="3443"/>
      <c r="L1910" s="3443" t="s">
        <v>37</v>
      </c>
      <c r="M1910" s="3443"/>
      <c r="N1910" s="3443"/>
      <c r="O1910" s="3443"/>
      <c r="P1910" s="360" t="s">
        <v>0</v>
      </c>
      <c r="Q1910" s="360" t="s">
        <v>31</v>
      </c>
      <c r="R1910" s="4776" t="s">
        <v>160</v>
      </c>
      <c r="S1910" s="3456"/>
      <c r="T1910" s="3456"/>
      <c r="U1910" s="3443"/>
      <c r="W1910" s="3507" t="s">
        <v>3706</v>
      </c>
    </row>
    <row r="1911" spans="1:23" ht="31.5" hidden="1">
      <c r="A1911" s="3462" t="s">
        <v>85</v>
      </c>
      <c r="B1911" s="3463">
        <v>45959</v>
      </c>
      <c r="C1911" s="3165" t="s">
        <v>3686</v>
      </c>
      <c r="D1911" s="4252"/>
      <c r="E1911" s="4843" t="s">
        <v>2695</v>
      </c>
      <c r="F1911" s="4198" t="s">
        <v>2877</v>
      </c>
      <c r="I1911" s="3443">
        <v>707</v>
      </c>
      <c r="J1911" s="3443">
        <v>60020</v>
      </c>
      <c r="K1911" s="3534"/>
      <c r="L1911" s="3443" t="s">
        <v>37</v>
      </c>
      <c r="M1911" s="3443"/>
      <c r="N1911" s="3443"/>
      <c r="O1911" s="3443"/>
      <c r="P1911" s="3443"/>
      <c r="Q1911" s="3443"/>
      <c r="R1911" s="3443"/>
      <c r="S1911" s="3443"/>
      <c r="T1911" s="3443"/>
      <c r="U1911" s="3443" t="s">
        <v>37</v>
      </c>
      <c r="W1911" s="3507"/>
    </row>
    <row r="1912" spans="1:23" ht="31.5" hidden="1">
      <c r="A1912" s="3443" t="s">
        <v>85</v>
      </c>
      <c r="B1912" s="3444">
        <v>45959</v>
      </c>
      <c r="C1912" s="3165" t="s">
        <v>3686</v>
      </c>
      <c r="D1912" s="4128"/>
      <c r="E1912" s="4159" t="s">
        <v>1464</v>
      </c>
      <c r="F1912" s="4309" t="s">
        <v>3225</v>
      </c>
      <c r="I1912" s="3443">
        <v>701</v>
      </c>
      <c r="J1912" s="3443" t="s">
        <v>3464</v>
      </c>
      <c r="K1912" s="3890"/>
      <c r="L1912" s="3443" t="s">
        <v>37</v>
      </c>
      <c r="M1912" s="3443"/>
      <c r="N1912" s="3443"/>
      <c r="O1912" s="3443"/>
      <c r="P1912" s="3443"/>
      <c r="Q1912" s="3443"/>
      <c r="R1912" s="3443"/>
      <c r="S1912" s="3443"/>
      <c r="T1912" s="3443"/>
      <c r="U1912" s="3443"/>
      <c r="W1912" s="3507"/>
    </row>
    <row r="1913" spans="1:23" ht="31.5" hidden="1">
      <c r="A1913" s="3443" t="s">
        <v>85</v>
      </c>
      <c r="B1913" s="3444">
        <v>45959</v>
      </c>
      <c r="C1913" s="3165" t="s">
        <v>3686</v>
      </c>
      <c r="D1913" s="4128"/>
      <c r="E1913" s="4159" t="s">
        <v>1465</v>
      </c>
      <c r="F1913" s="4159" t="s">
        <v>3228</v>
      </c>
      <c r="I1913" s="3443">
        <v>701</v>
      </c>
      <c r="J1913" s="3443" t="s">
        <v>3464</v>
      </c>
      <c r="K1913" s="3903"/>
      <c r="L1913" s="3456" t="s">
        <v>37</v>
      </c>
      <c r="M1913" s="3456"/>
      <c r="N1913" s="3456"/>
      <c r="O1913" s="3456"/>
      <c r="P1913" s="3462"/>
      <c r="Q1913" s="3462"/>
      <c r="R1913" s="3462"/>
      <c r="S1913" s="3456"/>
      <c r="T1913" s="3456"/>
      <c r="U1913" s="3443"/>
      <c r="W1913" s="3512"/>
    </row>
    <row r="1914" spans="1:23" ht="31.5" hidden="1">
      <c r="A1914" s="3443" t="s">
        <v>85</v>
      </c>
      <c r="B1914" s="3444">
        <v>45959</v>
      </c>
      <c r="C1914" s="3165" t="s">
        <v>3686</v>
      </c>
      <c r="D1914" s="4108"/>
      <c r="E1914" s="4171" t="s">
        <v>48</v>
      </c>
      <c r="F1914" s="4171" t="s">
        <v>3707</v>
      </c>
      <c r="I1914" s="3443">
        <v>705</v>
      </c>
      <c r="J1914" s="3443" t="s">
        <v>3708</v>
      </c>
      <c r="K1914" s="3545"/>
      <c r="L1914" s="3456"/>
      <c r="M1914" s="3456" t="s">
        <v>37</v>
      </c>
      <c r="N1914" s="3456"/>
      <c r="O1914" s="3456"/>
      <c r="P1914" s="4412" t="s">
        <v>0</v>
      </c>
      <c r="Q1914" s="4412" t="s">
        <v>110</v>
      </c>
      <c r="R1914" s="4412" t="s">
        <v>160</v>
      </c>
      <c r="S1914" s="3456"/>
      <c r="T1914" s="3456"/>
      <c r="U1914" s="3443" t="s">
        <v>37</v>
      </c>
      <c r="W1914" s="3512" t="s">
        <v>3709</v>
      </c>
    </row>
    <row r="1915" spans="1:23" ht="31.5" hidden="1">
      <c r="A1915" s="3443" t="s">
        <v>85</v>
      </c>
      <c r="B1915" s="3444">
        <v>45959</v>
      </c>
      <c r="C1915" s="3165" t="s">
        <v>3686</v>
      </c>
      <c r="D1915" s="4108"/>
      <c r="E1915" s="4171" t="s">
        <v>3710</v>
      </c>
      <c r="F1915" s="4171" t="s">
        <v>3183</v>
      </c>
      <c r="I1915" s="3443">
        <v>705</v>
      </c>
      <c r="J1915" s="3443" t="s">
        <v>3708</v>
      </c>
      <c r="K1915" s="3545"/>
      <c r="L1915" s="3456"/>
      <c r="M1915" s="3456"/>
      <c r="N1915" s="3456" t="s">
        <v>37</v>
      </c>
      <c r="O1915" s="3456"/>
      <c r="P1915" s="4412" t="s">
        <v>0</v>
      </c>
      <c r="Q1915" s="4412" t="s">
        <v>110</v>
      </c>
      <c r="R1915" s="4412" t="s">
        <v>160</v>
      </c>
      <c r="S1915" s="3456"/>
      <c r="T1915" s="3456"/>
      <c r="U1915" s="3443" t="s">
        <v>37</v>
      </c>
      <c r="W1915" s="3512" t="s">
        <v>3709</v>
      </c>
    </row>
    <row r="1916" spans="1:23" ht="31.5" hidden="1">
      <c r="A1916" s="3443" t="s">
        <v>85</v>
      </c>
      <c r="B1916" s="3444">
        <v>45959</v>
      </c>
      <c r="C1916" s="3165" t="s">
        <v>3686</v>
      </c>
      <c r="D1916" s="4108"/>
      <c r="E1916" s="4171" t="s">
        <v>48</v>
      </c>
      <c r="F1916" s="4171" t="s">
        <v>3711</v>
      </c>
      <c r="I1916" s="3443">
        <v>705</v>
      </c>
      <c r="J1916" s="3443" t="s">
        <v>3712</v>
      </c>
      <c r="K1916" s="3545"/>
      <c r="L1916" s="3456"/>
      <c r="M1916" s="3456"/>
      <c r="N1916" s="3456" t="s">
        <v>37</v>
      </c>
      <c r="O1916" s="3456"/>
      <c r="P1916" s="4412" t="s">
        <v>0</v>
      </c>
      <c r="Q1916" s="4412" t="s">
        <v>110</v>
      </c>
      <c r="R1916" s="4412" t="s">
        <v>160</v>
      </c>
      <c r="S1916" s="3456"/>
      <c r="T1916" s="3456"/>
      <c r="U1916" s="3443" t="s">
        <v>37</v>
      </c>
      <c r="W1916" s="3512" t="s">
        <v>3709</v>
      </c>
    </row>
    <row r="1917" spans="1:23" ht="31.5" hidden="1">
      <c r="A1917" s="3443" t="s">
        <v>85</v>
      </c>
      <c r="B1917" s="3444">
        <v>45959</v>
      </c>
      <c r="C1917" s="3165" t="s">
        <v>3686</v>
      </c>
      <c r="D1917" s="4108"/>
      <c r="E1917" s="4171" t="s">
        <v>168</v>
      </c>
      <c r="F1917" s="4598" t="s">
        <v>44</v>
      </c>
      <c r="I1917" s="3443">
        <v>705</v>
      </c>
      <c r="J1917" s="3443" t="s">
        <v>397</v>
      </c>
      <c r="K1917" s="3545"/>
      <c r="L1917" s="3443"/>
      <c r="M1917" s="3443"/>
      <c r="N1917" s="3443" t="s">
        <v>37</v>
      </c>
      <c r="O1917" s="3443"/>
      <c r="P1917" s="4412" t="s">
        <v>0</v>
      </c>
      <c r="Q1917" s="4412" t="s">
        <v>110</v>
      </c>
      <c r="R1917" s="4412" t="s">
        <v>160</v>
      </c>
      <c r="S1917" s="3443"/>
      <c r="T1917" s="3443"/>
      <c r="U1917" s="3443" t="s">
        <v>37</v>
      </c>
      <c r="W1917" s="3507" t="s">
        <v>3709</v>
      </c>
    </row>
    <row r="1918" spans="1:23" ht="31.5" hidden="1">
      <c r="A1918" s="3443" t="s">
        <v>85</v>
      </c>
      <c r="B1918" s="3444">
        <v>45959</v>
      </c>
      <c r="C1918" s="3165" t="s">
        <v>3686</v>
      </c>
      <c r="D1918" s="4109"/>
      <c r="E1918" s="4307" t="s">
        <v>669</v>
      </c>
      <c r="F1918" s="4310" t="s">
        <v>3713</v>
      </c>
      <c r="I1918" s="3443">
        <v>705</v>
      </c>
      <c r="J1918" s="3443" t="s">
        <v>3704</v>
      </c>
      <c r="K1918" s="4153" t="s">
        <v>310</v>
      </c>
      <c r="L1918" s="3443"/>
      <c r="M1918" s="3443" t="s">
        <v>37</v>
      </c>
      <c r="N1918" s="3443"/>
      <c r="O1918" s="3443"/>
      <c r="P1918" s="4412" t="s">
        <v>122</v>
      </c>
      <c r="Q1918" s="4412" t="s">
        <v>123</v>
      </c>
      <c r="R1918" s="4412" t="s">
        <v>160</v>
      </c>
      <c r="S1918" s="3443"/>
      <c r="T1918" s="3443"/>
      <c r="U1918" s="3443"/>
      <c r="W1918" s="3507" t="s">
        <v>3714</v>
      </c>
    </row>
    <row r="1919" spans="1:23" ht="31.5" hidden="1">
      <c r="A1919" s="3443" t="s">
        <v>85</v>
      </c>
      <c r="B1919" s="3444">
        <v>45959</v>
      </c>
      <c r="C1919" s="3165" t="s">
        <v>3686</v>
      </c>
      <c r="D1919" s="4128"/>
      <c r="E1919" s="4307" t="s">
        <v>1714</v>
      </c>
      <c r="F1919" s="4307" t="s">
        <v>3715</v>
      </c>
      <c r="I1919" s="3443">
        <v>705</v>
      </c>
      <c r="J1919" s="3443" t="s">
        <v>3704</v>
      </c>
      <c r="K1919" s="4314"/>
      <c r="L1919" s="3456"/>
      <c r="M1919" s="3456"/>
      <c r="N1919" s="3456" t="s">
        <v>37</v>
      </c>
      <c r="O1919" s="3456"/>
      <c r="P1919" s="4764" t="s">
        <v>122</v>
      </c>
      <c r="Q1919" s="4764" t="s">
        <v>123</v>
      </c>
      <c r="R1919" s="4764" t="s">
        <v>160</v>
      </c>
      <c r="S1919" s="3456"/>
      <c r="T1919" s="3456"/>
      <c r="U1919" s="3456" t="s">
        <v>37</v>
      </c>
      <c r="W1919" s="3609" t="s">
        <v>3716</v>
      </c>
    </row>
    <row r="1920" spans="1:23" ht="57" hidden="1">
      <c r="A1920" s="3443" t="s">
        <v>85</v>
      </c>
      <c r="B1920" s="3444">
        <v>45959</v>
      </c>
      <c r="C1920" s="3165" t="s">
        <v>3686</v>
      </c>
      <c r="D1920" s="4128"/>
      <c r="E1920" s="4287" t="s">
        <v>156</v>
      </c>
      <c r="F1920" s="4311" t="s">
        <v>3717</v>
      </c>
      <c r="I1920" s="3443">
        <v>702</v>
      </c>
      <c r="J1920" s="3443" t="s">
        <v>3718</v>
      </c>
      <c r="K1920" s="3545"/>
      <c r="L1920" s="3456" t="s">
        <v>37</v>
      </c>
      <c r="M1920" s="3456"/>
      <c r="N1920" s="3456"/>
      <c r="O1920" s="3456"/>
      <c r="P1920" s="3462"/>
      <c r="Q1920" s="3462"/>
      <c r="R1920" s="3462"/>
      <c r="S1920" s="3456"/>
      <c r="T1920" s="3456"/>
      <c r="U1920" s="3456"/>
      <c r="W1920" s="3609" t="s">
        <v>3719</v>
      </c>
    </row>
    <row r="1921" spans="1:23" ht="31.5" hidden="1">
      <c r="A1921" s="3443" t="s">
        <v>85</v>
      </c>
      <c r="B1921" s="3444">
        <v>45959</v>
      </c>
      <c r="C1921" s="3165" t="s">
        <v>3686</v>
      </c>
      <c r="D1921" s="4128"/>
      <c r="E1921" s="4287" t="s">
        <v>877</v>
      </c>
      <c r="F1921" s="4311" t="s">
        <v>3720</v>
      </c>
      <c r="I1921" s="3443">
        <v>702</v>
      </c>
      <c r="J1921" s="3443" t="s">
        <v>3721</v>
      </c>
      <c r="K1921" s="3545"/>
      <c r="L1921" s="3443"/>
      <c r="M1921" s="3456" t="s">
        <v>37</v>
      </c>
      <c r="N1921" s="3443"/>
      <c r="O1921" s="3443"/>
      <c r="P1921" s="4412" t="s">
        <v>0</v>
      </c>
      <c r="Q1921" s="4412" t="s">
        <v>110</v>
      </c>
      <c r="R1921" s="4412" t="s">
        <v>2422</v>
      </c>
      <c r="S1921" s="3443"/>
      <c r="T1921" s="3443"/>
      <c r="U1921" s="3443"/>
      <c r="W1921" s="3522" t="s">
        <v>3722</v>
      </c>
    </row>
    <row r="1922" spans="1:23" ht="31.5" hidden="1">
      <c r="A1922" s="3443" t="s">
        <v>85</v>
      </c>
      <c r="B1922" s="3444">
        <v>45959</v>
      </c>
      <c r="C1922" s="3165" t="s">
        <v>3686</v>
      </c>
      <c r="D1922" s="4128"/>
      <c r="E1922" s="4287" t="s">
        <v>3286</v>
      </c>
      <c r="F1922" s="4287" t="s">
        <v>3723</v>
      </c>
      <c r="I1922" s="3443">
        <v>702</v>
      </c>
      <c r="J1922" s="3443" t="s">
        <v>3718</v>
      </c>
      <c r="K1922" s="4745"/>
      <c r="L1922" s="3443"/>
      <c r="M1922" s="3443"/>
      <c r="N1922" s="3443" t="s">
        <v>37</v>
      </c>
      <c r="O1922" s="3443"/>
      <c r="P1922" s="4412" t="s">
        <v>0</v>
      </c>
      <c r="Q1922" s="4412" t="s">
        <v>110</v>
      </c>
      <c r="R1922" s="4412" t="s">
        <v>2422</v>
      </c>
      <c r="S1922" s="3443"/>
      <c r="T1922" s="3443"/>
      <c r="U1922" s="3443"/>
      <c r="W1922" s="3522" t="s">
        <v>3724</v>
      </c>
    </row>
    <row r="1923" spans="1:23" ht="31.5" hidden="1">
      <c r="A1923" s="3443" t="s">
        <v>85</v>
      </c>
      <c r="B1923" s="3444">
        <v>45959</v>
      </c>
      <c r="C1923" s="3165" t="s">
        <v>3686</v>
      </c>
      <c r="D1923" s="4108"/>
      <c r="E1923" s="3377" t="s">
        <v>273</v>
      </c>
      <c r="F1923" s="3377" t="s">
        <v>263</v>
      </c>
      <c r="I1923" s="3443">
        <v>712</v>
      </c>
      <c r="J1923" s="3443" t="s">
        <v>3725</v>
      </c>
      <c r="K1923" s="3890"/>
      <c r="L1923" s="3443"/>
      <c r="M1923" s="3443" t="s">
        <v>37</v>
      </c>
      <c r="N1923" s="3443"/>
      <c r="O1923" s="3443"/>
      <c r="P1923" s="4412" t="s">
        <v>0</v>
      </c>
      <c r="Q1923" s="4412" t="s">
        <v>187</v>
      </c>
      <c r="R1923" s="4412" t="s">
        <v>32</v>
      </c>
      <c r="S1923" s="3443"/>
      <c r="T1923" s="3443"/>
      <c r="U1923" s="3443"/>
      <c r="W1923" s="3522" t="s">
        <v>3726</v>
      </c>
    </row>
    <row r="1924" spans="1:23" ht="31.5" hidden="1">
      <c r="A1924" s="3443" t="s">
        <v>105</v>
      </c>
      <c r="B1924" s="3444">
        <v>45960</v>
      </c>
      <c r="C1924" s="3165" t="s">
        <v>3686</v>
      </c>
      <c r="D1924" s="4108"/>
      <c r="E1924" s="3377" t="s">
        <v>148</v>
      </c>
      <c r="F1924" s="3377" t="s">
        <v>463</v>
      </c>
      <c r="I1924" s="3443">
        <v>712</v>
      </c>
      <c r="J1924" s="3443" t="s">
        <v>3727</v>
      </c>
      <c r="K1924" s="3890"/>
      <c r="L1924" s="3443"/>
      <c r="M1924" s="3443"/>
      <c r="N1924" s="3443" t="s">
        <v>37</v>
      </c>
      <c r="O1924" s="3443"/>
      <c r="P1924" s="4412" t="s">
        <v>0</v>
      </c>
      <c r="Q1924" s="4412" t="s">
        <v>187</v>
      </c>
      <c r="R1924" s="4412" t="s">
        <v>32</v>
      </c>
      <c r="S1924" s="3443"/>
      <c r="T1924" s="3443"/>
      <c r="U1924" s="3443"/>
      <c r="W1924" s="3522" t="s">
        <v>3726</v>
      </c>
    </row>
    <row r="1925" spans="1:23" ht="31.5" hidden="1">
      <c r="A1925" s="3443" t="s">
        <v>105</v>
      </c>
      <c r="B1925" s="3444">
        <v>45960</v>
      </c>
      <c r="C1925" s="3165" t="s">
        <v>3686</v>
      </c>
      <c r="D1925" s="4108"/>
      <c r="E1925" s="4159" t="s">
        <v>1464</v>
      </c>
      <c r="F1925" s="4159" t="s">
        <v>3225</v>
      </c>
      <c r="I1925" s="3443">
        <v>701</v>
      </c>
      <c r="J1925" s="3443" t="s">
        <v>3464</v>
      </c>
      <c r="K1925" s="3890"/>
      <c r="L1925" s="3443"/>
      <c r="M1925" s="3443" t="s">
        <v>37</v>
      </c>
      <c r="N1925" s="3443"/>
      <c r="O1925" s="3443"/>
      <c r="P1925" s="4412" t="s">
        <v>109</v>
      </c>
      <c r="Q1925" s="4412" t="s">
        <v>323</v>
      </c>
      <c r="R1925" s="4412" t="s">
        <v>790</v>
      </c>
      <c r="S1925" s="3443"/>
      <c r="T1925" s="3443"/>
      <c r="U1925" s="3443"/>
      <c r="W1925" s="3522" t="s">
        <v>3728</v>
      </c>
    </row>
    <row r="1926" spans="1:23" ht="31.5" hidden="1">
      <c r="A1926" s="3443" t="s">
        <v>105</v>
      </c>
      <c r="B1926" s="3444">
        <v>45960</v>
      </c>
      <c r="C1926" s="3165" t="s">
        <v>3686</v>
      </c>
      <c r="D1926" s="4108"/>
      <c r="E1926" s="4159" t="s">
        <v>1465</v>
      </c>
      <c r="F1926" s="4159" t="s">
        <v>3228</v>
      </c>
      <c r="I1926" s="3443">
        <v>701</v>
      </c>
      <c r="J1926" s="3443" t="s">
        <v>3464</v>
      </c>
      <c r="K1926" s="3890"/>
      <c r="L1926" s="3443"/>
      <c r="M1926" s="3443"/>
      <c r="N1926" s="3443" t="s">
        <v>37</v>
      </c>
      <c r="O1926" s="3443"/>
      <c r="P1926" s="360" t="s">
        <v>109</v>
      </c>
      <c r="Q1926" s="360" t="s">
        <v>323</v>
      </c>
      <c r="R1926" s="360" t="s">
        <v>790</v>
      </c>
      <c r="S1926" s="3443"/>
      <c r="T1926" s="3443"/>
      <c r="U1926" s="3443"/>
      <c r="W1926" s="3522" t="s">
        <v>3729</v>
      </c>
    </row>
    <row r="1927" spans="1:23" ht="31.5" hidden="1">
      <c r="A1927" s="3443" t="s">
        <v>105</v>
      </c>
      <c r="B1927" s="3444">
        <v>45960</v>
      </c>
      <c r="C1927" s="3165" t="s">
        <v>3686</v>
      </c>
      <c r="D1927" s="4128"/>
      <c r="E1927" s="3377" t="s">
        <v>182</v>
      </c>
      <c r="F1927" s="3377" t="s">
        <v>89</v>
      </c>
      <c r="I1927" s="3443">
        <v>712</v>
      </c>
      <c r="J1927" s="3443" t="s">
        <v>1364</v>
      </c>
      <c r="K1927" s="4319"/>
      <c r="L1927" s="3443"/>
      <c r="M1927" s="3443"/>
      <c r="N1927" s="3443"/>
      <c r="O1927" s="3443"/>
      <c r="P1927" s="3462"/>
      <c r="Q1927" s="3462"/>
      <c r="R1927" s="3462"/>
      <c r="S1927" s="3443"/>
      <c r="T1927" s="3443"/>
      <c r="U1927" s="3443"/>
      <c r="W1927" s="3507"/>
    </row>
    <row r="1928" spans="1:23" ht="68.849999999999994" hidden="1" customHeight="1">
      <c r="A1928" s="3443" t="s">
        <v>105</v>
      </c>
      <c r="B1928" s="3444">
        <v>45960</v>
      </c>
      <c r="C1928" s="3165" t="s">
        <v>3686</v>
      </c>
      <c r="D1928" s="4128"/>
      <c r="E1928" s="4312" t="s">
        <v>1311</v>
      </c>
      <c r="F1928" s="4312" t="s">
        <v>3730</v>
      </c>
      <c r="I1928" s="3443">
        <v>705</v>
      </c>
      <c r="J1928" s="3443" t="s">
        <v>3731</v>
      </c>
      <c r="K1928" s="3890"/>
      <c r="L1928" s="3443"/>
      <c r="M1928" s="3443" t="s">
        <v>37</v>
      </c>
      <c r="N1928" s="3443"/>
      <c r="O1928" s="3443"/>
      <c r="P1928" s="4412" t="s">
        <v>0</v>
      </c>
      <c r="Q1928" s="4412" t="s">
        <v>526</v>
      </c>
      <c r="R1928" s="4412" t="s">
        <v>160</v>
      </c>
      <c r="S1928" s="49"/>
      <c r="T1928" s="3443"/>
      <c r="U1928" s="3443" t="s">
        <v>37</v>
      </c>
      <c r="W1928" s="4316" t="s">
        <v>3732</v>
      </c>
    </row>
    <row r="1929" spans="1:23" ht="30.95" hidden="1" customHeight="1">
      <c r="A1929" s="3443" t="s">
        <v>105</v>
      </c>
      <c r="B1929" s="3444">
        <v>45960</v>
      </c>
      <c r="C1929" s="3165" t="s">
        <v>3686</v>
      </c>
      <c r="D1929" s="4128"/>
      <c r="E1929" s="4312" t="s">
        <v>52</v>
      </c>
      <c r="F1929" s="4312" t="s">
        <v>3733</v>
      </c>
      <c r="I1929" s="3443">
        <v>705</v>
      </c>
      <c r="J1929" s="3443" t="s">
        <v>3734</v>
      </c>
      <c r="K1929" s="3890"/>
      <c r="L1929" s="3534"/>
      <c r="M1929" s="3443"/>
      <c r="N1929" s="3443" t="s">
        <v>37</v>
      </c>
      <c r="O1929" s="3443"/>
      <c r="P1929" s="360" t="s">
        <v>0</v>
      </c>
      <c r="Q1929" s="360" t="s">
        <v>526</v>
      </c>
      <c r="R1929" s="360" t="s">
        <v>160</v>
      </c>
      <c r="S1929" s="49"/>
      <c r="T1929" s="3443"/>
      <c r="U1929" s="3443" t="s">
        <v>37</v>
      </c>
      <c r="W1929" s="4317" t="s">
        <v>3735</v>
      </c>
    </row>
    <row r="1930" spans="1:23" ht="30.95" hidden="1" customHeight="1">
      <c r="A1930" s="3443" t="s">
        <v>105</v>
      </c>
      <c r="B1930" s="3444">
        <v>45960</v>
      </c>
      <c r="C1930" s="3165" t="s">
        <v>3686</v>
      </c>
      <c r="D1930" s="4128"/>
      <c r="E1930" s="3377" t="s">
        <v>577</v>
      </c>
      <c r="F1930" s="3377" t="s">
        <v>1145</v>
      </c>
      <c r="I1930" s="3443">
        <v>707</v>
      </c>
      <c r="J1930" s="3443" t="s">
        <v>676</v>
      </c>
      <c r="K1930" s="4320"/>
      <c r="L1930" s="4320" t="s">
        <v>37</v>
      </c>
      <c r="M1930" s="3443"/>
      <c r="N1930" s="3443"/>
      <c r="O1930" s="3443"/>
      <c r="P1930" s="3443"/>
      <c r="Q1930" s="3443"/>
      <c r="R1930" s="3443"/>
      <c r="S1930" s="3443"/>
      <c r="T1930" s="3443"/>
      <c r="U1930" s="3443"/>
      <c r="W1930" s="4318"/>
    </row>
    <row r="1931" spans="1:23" ht="57" hidden="1" customHeight="1">
      <c r="A1931" s="3443" t="s">
        <v>105</v>
      </c>
      <c r="B1931" s="3444">
        <v>45960</v>
      </c>
      <c r="C1931" s="3165" t="s">
        <v>3686</v>
      </c>
      <c r="D1931" s="4128"/>
      <c r="E1931" s="3377" t="s">
        <v>282</v>
      </c>
      <c r="F1931" s="3377" t="s">
        <v>3736</v>
      </c>
      <c r="I1931" s="3443">
        <v>707</v>
      </c>
      <c r="J1931" s="3443" t="s">
        <v>3737</v>
      </c>
      <c r="K1931" s="4320"/>
      <c r="L1931" s="4320" t="s">
        <v>37</v>
      </c>
      <c r="M1931" s="3443"/>
      <c r="N1931" s="3443"/>
      <c r="O1931" s="3443"/>
      <c r="P1931" s="3443"/>
      <c r="Q1931" s="3443"/>
      <c r="R1931" s="3443"/>
      <c r="S1931" s="3443"/>
      <c r="T1931" s="3443"/>
      <c r="U1931" s="3443"/>
      <c r="W1931" s="3522"/>
    </row>
    <row r="1932" spans="1:23" ht="57" hidden="1">
      <c r="A1932" s="3443" t="s">
        <v>105</v>
      </c>
      <c r="B1932" s="3444">
        <v>45960</v>
      </c>
      <c r="C1932" s="3165" t="s">
        <v>3686</v>
      </c>
      <c r="D1932" s="4128"/>
      <c r="E1932" s="3377" t="s">
        <v>2161</v>
      </c>
      <c r="F1932" s="3377" t="s">
        <v>3736</v>
      </c>
      <c r="I1932" s="3443">
        <v>707</v>
      </c>
      <c r="J1932" s="3443" t="s">
        <v>151</v>
      </c>
      <c r="K1932" s="4723"/>
      <c r="L1932" s="4723" t="s">
        <v>37</v>
      </c>
      <c r="M1932" s="3443"/>
      <c r="N1932" s="3443"/>
      <c r="O1932" s="3443"/>
      <c r="P1932" s="3443"/>
      <c r="Q1932" s="3443"/>
      <c r="R1932" s="3443"/>
      <c r="S1932" s="3443"/>
      <c r="T1932" s="3443"/>
      <c r="U1932" s="3443"/>
      <c r="W1932" s="3522" t="s">
        <v>3738</v>
      </c>
    </row>
    <row r="1933" spans="1:23" ht="31.5" hidden="1">
      <c r="A1933" s="3443" t="s">
        <v>105</v>
      </c>
      <c r="B1933" s="3444">
        <v>45960</v>
      </c>
      <c r="C1933" s="3165" t="s">
        <v>3686</v>
      </c>
      <c r="D1933" s="4109"/>
      <c r="E1933" s="3377" t="s">
        <v>97</v>
      </c>
      <c r="F1933" s="3377" t="s">
        <v>3739</v>
      </c>
      <c r="I1933" s="3443">
        <v>712</v>
      </c>
      <c r="J1933" s="3443" t="s">
        <v>274</v>
      </c>
      <c r="K1933" s="3856" t="s">
        <v>84</v>
      </c>
      <c r="L1933" s="3545" t="s">
        <v>37</v>
      </c>
      <c r="M1933" s="3456"/>
      <c r="N1933" s="3456"/>
      <c r="O1933" s="3456"/>
      <c r="P1933" s="3456"/>
      <c r="Q1933" s="3456"/>
      <c r="R1933" s="3456"/>
      <c r="S1933" s="3456"/>
      <c r="T1933" s="3443"/>
      <c r="U1933" s="3456"/>
      <c r="W1933" s="3697"/>
    </row>
    <row r="1934" spans="1:23" ht="63" hidden="1">
      <c r="A1934" s="3443" t="s">
        <v>105</v>
      </c>
      <c r="B1934" s="3444">
        <v>45960</v>
      </c>
      <c r="C1934" s="3165" t="s">
        <v>3686</v>
      </c>
      <c r="D1934" s="4128"/>
      <c r="E1934" s="4171" t="s">
        <v>48</v>
      </c>
      <c r="F1934" s="3425" t="s">
        <v>3740</v>
      </c>
      <c r="I1934" s="3443">
        <v>705</v>
      </c>
      <c r="J1934" s="3443" t="s">
        <v>3741</v>
      </c>
      <c r="K1934" s="3545"/>
      <c r="L1934" s="3545" t="s">
        <v>37</v>
      </c>
      <c r="M1934" s="3456"/>
      <c r="N1934" s="3456"/>
      <c r="O1934" s="3456"/>
      <c r="P1934" s="3456"/>
      <c r="Q1934" s="3456"/>
      <c r="R1934" s="3456"/>
      <c r="S1934" s="3456"/>
      <c r="T1934" s="3456"/>
      <c r="U1934" s="3456" t="s">
        <v>30</v>
      </c>
      <c r="W1934" s="3697"/>
    </row>
    <row r="1935" spans="1:23" ht="31.5" hidden="1">
      <c r="A1935" s="3443" t="s">
        <v>105</v>
      </c>
      <c r="B1935" s="3444">
        <v>45960</v>
      </c>
      <c r="C1935" s="3165" t="s">
        <v>3686</v>
      </c>
      <c r="D1935" s="4128"/>
      <c r="E1935" s="4171" t="s">
        <v>48</v>
      </c>
      <c r="F1935" s="4171" t="s">
        <v>3742</v>
      </c>
      <c r="I1935" s="3443">
        <v>705</v>
      </c>
      <c r="J1935" s="3443" t="s">
        <v>3743</v>
      </c>
      <c r="K1935" s="3545"/>
      <c r="L1935" s="3545" t="s">
        <v>37</v>
      </c>
      <c r="M1935" s="3456"/>
      <c r="N1935" s="3456"/>
      <c r="O1935" s="3456"/>
      <c r="P1935" s="3456"/>
      <c r="Q1935" s="3456"/>
      <c r="R1935" s="3456"/>
      <c r="S1935" s="3456"/>
      <c r="T1935" s="3456"/>
      <c r="U1935" s="3456"/>
      <c r="W1935" s="3697"/>
    </row>
    <row r="1936" spans="1:23" ht="31.5" hidden="1">
      <c r="A1936" s="3443" t="s">
        <v>105</v>
      </c>
      <c r="B1936" s="3444">
        <v>45960</v>
      </c>
      <c r="C1936" s="3165" t="s">
        <v>3686</v>
      </c>
      <c r="D1936" s="4128"/>
      <c r="E1936" s="4171" t="s">
        <v>168</v>
      </c>
      <c r="F1936" s="4171" t="s">
        <v>3404</v>
      </c>
      <c r="I1936" s="3443">
        <v>705</v>
      </c>
      <c r="J1936" s="3443" t="s">
        <v>397</v>
      </c>
      <c r="K1936" s="3545"/>
      <c r="L1936" s="3545" t="s">
        <v>37</v>
      </c>
      <c r="M1936" s="3456"/>
      <c r="N1936" s="3456"/>
      <c r="O1936" s="3456"/>
      <c r="P1936" s="3462"/>
      <c r="Q1936" s="3462"/>
      <c r="R1936" s="3462"/>
      <c r="S1936" s="3456"/>
      <c r="T1936" s="3456"/>
      <c r="U1936" s="3456"/>
      <c r="W1936" s="3697"/>
    </row>
    <row r="1937" spans="1:23" ht="31.5" hidden="1">
      <c r="A1937" s="3443" t="s">
        <v>105</v>
      </c>
      <c r="B1937" s="3444">
        <v>45960</v>
      </c>
      <c r="C1937" s="3165" t="s">
        <v>3686</v>
      </c>
      <c r="D1937" s="4108"/>
      <c r="E1937" s="3377" t="s">
        <v>282</v>
      </c>
      <c r="F1937" s="4162" t="s">
        <v>80</v>
      </c>
      <c r="I1937" s="3443">
        <v>707</v>
      </c>
      <c r="J1937" s="3443">
        <v>60020</v>
      </c>
      <c r="K1937" s="3545"/>
      <c r="L1937" s="3545"/>
      <c r="M1937" s="3456"/>
      <c r="N1937" s="3456" t="s">
        <v>37</v>
      </c>
      <c r="O1937" s="3456"/>
      <c r="P1937" s="4764" t="s">
        <v>0</v>
      </c>
      <c r="Q1937" s="4764" t="s">
        <v>526</v>
      </c>
      <c r="R1937" s="4764" t="s">
        <v>160</v>
      </c>
      <c r="S1937" s="3456"/>
      <c r="T1937" s="3456"/>
      <c r="U1937" s="3456"/>
      <c r="W1937" s="3697" t="s">
        <v>3744</v>
      </c>
    </row>
    <row r="1938" spans="1:23" ht="31.5" hidden="1">
      <c r="A1938" s="3443" t="s">
        <v>105</v>
      </c>
      <c r="B1938" s="3444">
        <v>45960</v>
      </c>
      <c r="C1938" s="3165" t="s">
        <v>3686</v>
      </c>
      <c r="D1938" s="4128"/>
      <c r="E1938" s="3377" t="s">
        <v>68</v>
      </c>
      <c r="F1938" s="4162" t="s">
        <v>3745</v>
      </c>
      <c r="I1938" s="3443"/>
      <c r="J1938" s="3443" t="s">
        <v>3746</v>
      </c>
      <c r="K1938" s="3443"/>
      <c r="L1938" s="3443" t="s">
        <v>37</v>
      </c>
      <c r="M1938" s="3443"/>
      <c r="N1938" s="3443"/>
      <c r="O1938" s="3443"/>
      <c r="P1938" s="3462"/>
      <c r="Q1938" s="3462"/>
      <c r="R1938" s="3462"/>
      <c r="S1938" s="3443"/>
      <c r="T1938" s="3443"/>
      <c r="U1938" s="3443"/>
      <c r="W1938" s="3522"/>
    </row>
    <row r="1939" spans="1:23" ht="57" hidden="1">
      <c r="A1939" s="3443" t="s">
        <v>132</v>
      </c>
      <c r="B1939" s="3444">
        <v>45961</v>
      </c>
      <c r="C1939" s="3165" t="s">
        <v>3686</v>
      </c>
      <c r="D1939" s="4108"/>
      <c r="E1939" s="3377" t="s">
        <v>3747</v>
      </c>
      <c r="F1939" s="3377" t="s">
        <v>3748</v>
      </c>
      <c r="I1939" s="3443">
        <v>712</v>
      </c>
      <c r="J1939" s="3443" t="s">
        <v>274</v>
      </c>
      <c r="K1939" s="3511" t="s">
        <v>84</v>
      </c>
      <c r="L1939" s="3443"/>
      <c r="M1939" s="3443" t="s">
        <v>37</v>
      </c>
      <c r="N1939" s="3443"/>
      <c r="O1939" s="3443"/>
      <c r="P1939" s="360" t="s">
        <v>0</v>
      </c>
      <c r="Q1939" s="360" t="s">
        <v>110</v>
      </c>
      <c r="R1939" s="360" t="s">
        <v>32</v>
      </c>
      <c r="S1939" s="3443"/>
      <c r="T1939" s="3443"/>
      <c r="U1939" s="3443"/>
      <c r="W1939" s="3522" t="s">
        <v>3749</v>
      </c>
    </row>
    <row r="1940" spans="1:23" ht="31.5" hidden="1">
      <c r="A1940" s="3443" t="s">
        <v>132</v>
      </c>
      <c r="B1940" s="3444">
        <v>45961</v>
      </c>
      <c r="C1940" s="3165" t="s">
        <v>3686</v>
      </c>
      <c r="D1940" s="4306"/>
      <c r="E1940" s="3377" t="s">
        <v>3747</v>
      </c>
      <c r="F1940" s="3377" t="s">
        <v>3748</v>
      </c>
      <c r="I1940" s="3443">
        <v>712</v>
      </c>
      <c r="J1940" s="3443" t="s">
        <v>274</v>
      </c>
      <c r="K1940" s="3443"/>
      <c r="L1940" s="3443" t="s">
        <v>37</v>
      </c>
      <c r="M1940" s="3443"/>
      <c r="N1940" s="3443"/>
      <c r="O1940" s="3443"/>
      <c r="P1940" s="3443"/>
      <c r="Q1940" s="3443"/>
      <c r="R1940" s="3443"/>
      <c r="S1940" s="3443"/>
      <c r="T1940" s="3443"/>
      <c r="U1940" s="3443" t="s">
        <v>37</v>
      </c>
      <c r="W1940" s="3507"/>
    </row>
    <row r="1941" spans="1:23" ht="31.5" hidden="1">
      <c r="A1941" s="3443" t="s">
        <v>132</v>
      </c>
      <c r="B1941" s="3444">
        <v>45961</v>
      </c>
      <c r="C1941" s="3165" t="s">
        <v>3686</v>
      </c>
      <c r="D1941" s="4109"/>
      <c r="E1941" s="4312" t="s">
        <v>258</v>
      </c>
      <c r="F1941" s="4312" t="s">
        <v>2900</v>
      </c>
      <c r="I1941" s="3443">
        <v>705</v>
      </c>
      <c r="J1941" s="3443" t="s">
        <v>3734</v>
      </c>
      <c r="K1941" s="4153" t="s">
        <v>310</v>
      </c>
      <c r="L1941" s="3443"/>
      <c r="M1941" s="3443"/>
      <c r="N1941" s="3443"/>
      <c r="O1941" s="3443"/>
      <c r="P1941" s="3443"/>
      <c r="Q1941" s="3443"/>
      <c r="R1941" s="3443"/>
      <c r="S1941" s="49"/>
      <c r="T1941" s="3443" t="s">
        <v>37</v>
      </c>
      <c r="U1941" s="3443"/>
      <c r="W1941" s="4783" t="s">
        <v>3750</v>
      </c>
    </row>
    <row r="1942" spans="1:23" ht="31.5" hidden="1">
      <c r="A1942" s="3443" t="s">
        <v>132</v>
      </c>
      <c r="B1942" s="3444">
        <v>45961</v>
      </c>
      <c r="C1942" s="3165" t="s">
        <v>3686</v>
      </c>
      <c r="D1942" s="4128"/>
      <c r="E1942" s="4159" t="s">
        <v>1464</v>
      </c>
      <c r="F1942" s="4159" t="s">
        <v>3225</v>
      </c>
      <c r="I1942" s="3443">
        <v>701</v>
      </c>
      <c r="J1942" s="3443" t="s">
        <v>3751</v>
      </c>
      <c r="K1942" s="3534"/>
      <c r="L1942" s="3534" t="s">
        <v>37</v>
      </c>
      <c r="M1942" s="3443"/>
      <c r="N1942" s="3443"/>
      <c r="O1942" s="3443"/>
      <c r="P1942" s="3462"/>
      <c r="Q1942" s="3462"/>
      <c r="R1942" s="3462"/>
      <c r="S1942" s="3443"/>
      <c r="T1942" s="3443"/>
      <c r="U1942" s="3443"/>
      <c r="W1942" s="3522"/>
    </row>
    <row r="1943" spans="1:23" ht="31.5" hidden="1">
      <c r="A1943" s="3443" t="s">
        <v>132</v>
      </c>
      <c r="B1943" s="3444">
        <v>45961</v>
      </c>
      <c r="C1943" s="3165" t="s">
        <v>3686</v>
      </c>
      <c r="D1943" s="4108"/>
      <c r="E1943" s="4159" t="s">
        <v>1465</v>
      </c>
      <c r="F1943" s="4159" t="s">
        <v>3228</v>
      </c>
      <c r="I1943" s="3443">
        <v>701</v>
      </c>
      <c r="J1943" s="3443" t="s">
        <v>3752</v>
      </c>
      <c r="K1943" s="2369"/>
      <c r="L1943" s="2369"/>
      <c r="M1943" s="3443" t="s">
        <v>37</v>
      </c>
      <c r="N1943" s="3443"/>
      <c r="O1943" s="3443"/>
      <c r="P1943" s="360" t="s">
        <v>109</v>
      </c>
      <c r="Q1943" s="360" t="s">
        <v>323</v>
      </c>
      <c r="R1943" s="360" t="s">
        <v>790</v>
      </c>
      <c r="S1943" s="3443"/>
      <c r="T1943" s="3443"/>
      <c r="U1943" s="3443"/>
      <c r="W1943" s="3522" t="s">
        <v>3753</v>
      </c>
    </row>
    <row r="1944" spans="1:23" ht="31.5" hidden="1">
      <c r="A1944" s="3443" t="s">
        <v>132</v>
      </c>
      <c r="B1944" s="3444">
        <v>45961</v>
      </c>
      <c r="C1944" s="3165" t="s">
        <v>3686</v>
      </c>
      <c r="D1944" s="4128"/>
      <c r="E1944" s="3377" t="s">
        <v>89</v>
      </c>
      <c r="F1944" s="3377" t="s">
        <v>3754</v>
      </c>
      <c r="I1944" s="3443">
        <v>712</v>
      </c>
      <c r="J1944" s="3443" t="s">
        <v>3755</v>
      </c>
      <c r="K1944" s="3443"/>
      <c r="L1944" s="3443" t="s">
        <v>37</v>
      </c>
      <c r="M1944" s="3443"/>
      <c r="N1944" s="3443"/>
      <c r="O1944" s="3443"/>
      <c r="P1944" s="3443"/>
      <c r="Q1944" s="3443"/>
      <c r="R1944" s="3443"/>
      <c r="S1944" s="3443"/>
      <c r="T1944" s="3443"/>
      <c r="U1944" s="3443"/>
      <c r="W1944" s="3522"/>
    </row>
    <row r="1945" spans="1:23" ht="31.5" hidden="1">
      <c r="A1945" s="3443" t="s">
        <v>132</v>
      </c>
      <c r="B1945" s="3444">
        <v>45961</v>
      </c>
      <c r="C1945" s="3165" t="s">
        <v>3686</v>
      </c>
      <c r="D1945" s="4128"/>
      <c r="E1945" s="3377" t="s">
        <v>619</v>
      </c>
      <c r="F1945" s="3377" t="s">
        <v>840</v>
      </c>
      <c r="I1945" s="3443">
        <v>707</v>
      </c>
      <c r="J1945" s="3443" t="s">
        <v>489</v>
      </c>
      <c r="K1945" s="3534"/>
      <c r="L1945" s="3534" t="s">
        <v>37</v>
      </c>
      <c r="M1945" s="3443"/>
      <c r="N1945" s="3443"/>
      <c r="O1945" s="3443"/>
      <c r="P1945" s="3462"/>
      <c r="Q1945" s="3462"/>
      <c r="R1945" s="3462"/>
      <c r="S1945" s="3443"/>
      <c r="T1945" s="3443"/>
      <c r="U1945" s="3443"/>
      <c r="W1945" s="3522"/>
    </row>
    <row r="1946" spans="1:23" ht="31.5" hidden="1">
      <c r="A1946" s="3443" t="s">
        <v>132</v>
      </c>
      <c r="B1946" s="3444">
        <v>45961</v>
      </c>
      <c r="C1946" s="3165" t="s">
        <v>3686</v>
      </c>
      <c r="D1946" s="4108"/>
      <c r="E1946" s="3377" t="s">
        <v>3380</v>
      </c>
      <c r="F1946" s="3377" t="s">
        <v>517</v>
      </c>
      <c r="I1946" s="3443">
        <v>712</v>
      </c>
      <c r="J1946" s="3443" t="s">
        <v>2197</v>
      </c>
      <c r="K1946" s="2369"/>
      <c r="L1946" s="2369"/>
      <c r="M1946" s="3443" t="s">
        <v>37</v>
      </c>
      <c r="N1946" s="3443"/>
      <c r="O1946" s="3443"/>
      <c r="P1946" s="360" t="s">
        <v>0</v>
      </c>
      <c r="Q1946" s="360" t="s">
        <v>187</v>
      </c>
      <c r="R1946" s="360" t="s">
        <v>32</v>
      </c>
      <c r="S1946" s="3443"/>
      <c r="T1946" s="3443"/>
      <c r="U1946" s="3443"/>
      <c r="W1946" s="3522" t="s">
        <v>3756</v>
      </c>
    </row>
    <row r="1947" spans="1:23" ht="31.5" hidden="1">
      <c r="A1947" s="3443" t="s">
        <v>132</v>
      </c>
      <c r="B1947" s="3444">
        <v>45961</v>
      </c>
      <c r="C1947" s="3165" t="s">
        <v>3686</v>
      </c>
      <c r="D1947" s="4128"/>
      <c r="E1947" s="4198" t="s">
        <v>447</v>
      </c>
      <c r="F1947" s="4198" t="s">
        <v>2660</v>
      </c>
      <c r="I1947" s="3443">
        <v>703</v>
      </c>
      <c r="J1947" s="3443" t="s">
        <v>3757</v>
      </c>
      <c r="K1947" s="3443"/>
      <c r="L1947" s="3443" t="s">
        <v>37</v>
      </c>
      <c r="M1947" s="3443"/>
      <c r="N1947" s="3443"/>
      <c r="O1947" s="3443"/>
      <c r="P1947" s="3443"/>
      <c r="Q1947" s="3443"/>
      <c r="R1947" s="3443"/>
      <c r="S1947" s="3443"/>
      <c r="T1947" s="3443"/>
      <c r="U1947" s="3443"/>
      <c r="W1947" s="3522"/>
    </row>
    <row r="1948" spans="1:23" ht="31.5" hidden="1">
      <c r="A1948" s="3443" t="s">
        <v>132</v>
      </c>
      <c r="B1948" s="3444">
        <v>45961</v>
      </c>
      <c r="C1948" s="3165" t="s">
        <v>3686</v>
      </c>
      <c r="D1948" s="4128"/>
      <c r="E1948" s="4198" t="s">
        <v>2662</v>
      </c>
      <c r="F1948" s="4198" t="s">
        <v>389</v>
      </c>
      <c r="I1948" s="3443">
        <v>703</v>
      </c>
      <c r="J1948" s="3443" t="s">
        <v>3757</v>
      </c>
      <c r="K1948" s="3443"/>
      <c r="L1948" s="3443" t="s">
        <v>37</v>
      </c>
      <c r="M1948" s="3456"/>
      <c r="N1948" s="3456"/>
      <c r="O1948" s="3456"/>
      <c r="P1948" s="3456"/>
      <c r="Q1948" s="3456"/>
      <c r="R1948" s="3456"/>
      <c r="S1948" s="3456"/>
      <c r="T1948" s="3456"/>
      <c r="U1948" s="3456"/>
      <c r="W1948" s="3697"/>
    </row>
    <row r="1949" spans="1:23" ht="31.5" hidden="1">
      <c r="A1949" s="3443" t="s">
        <v>132</v>
      </c>
      <c r="B1949" s="3444">
        <v>45961</v>
      </c>
      <c r="C1949" s="3165" t="s">
        <v>3686</v>
      </c>
      <c r="D1949" s="4128"/>
      <c r="E1949" s="3377" t="s">
        <v>596</v>
      </c>
      <c r="F1949" s="3377" t="s">
        <v>1293</v>
      </c>
      <c r="I1949" s="3443">
        <v>707</v>
      </c>
      <c r="J1949" s="3443">
        <v>60072</v>
      </c>
      <c r="K1949" s="3443"/>
      <c r="L1949" s="3456" t="s">
        <v>37</v>
      </c>
      <c r="M1949" s="3456"/>
      <c r="N1949" s="3456"/>
      <c r="O1949" s="3456"/>
      <c r="P1949" s="3456"/>
      <c r="Q1949" s="3456"/>
      <c r="R1949" s="3456"/>
      <c r="S1949" s="3456"/>
      <c r="T1949" s="3456"/>
      <c r="U1949" s="3456"/>
      <c r="W1949" s="3697"/>
    </row>
    <row r="1950" spans="1:23" ht="31.5" hidden="1">
      <c r="A1950" s="3443" t="s">
        <v>132</v>
      </c>
      <c r="B1950" s="3444">
        <v>45961</v>
      </c>
      <c r="C1950" s="3165" t="s">
        <v>3686</v>
      </c>
      <c r="D1950" s="4109"/>
      <c r="E1950" s="3377" t="s">
        <v>596</v>
      </c>
      <c r="F1950" s="3377" t="s">
        <v>168</v>
      </c>
      <c r="I1950" s="3443">
        <v>705</v>
      </c>
      <c r="J1950" s="3443" t="s">
        <v>3758</v>
      </c>
      <c r="K1950" s="4153" t="s">
        <v>310</v>
      </c>
      <c r="L1950" s="3456" t="s">
        <v>37</v>
      </c>
      <c r="M1950" s="3456"/>
      <c r="N1950" s="3456"/>
      <c r="O1950" s="3456"/>
      <c r="P1950" s="3456"/>
      <c r="Q1950" s="3456"/>
      <c r="R1950" s="3456"/>
      <c r="S1950" s="3456"/>
      <c r="T1950" s="3456"/>
      <c r="U1950" s="3456"/>
      <c r="W1950" s="3697"/>
    </row>
    <row r="1951" spans="1:23" ht="31.5" hidden="1">
      <c r="A1951" s="3443" t="s">
        <v>132</v>
      </c>
      <c r="B1951" s="3444">
        <v>45961</v>
      </c>
      <c r="C1951" s="3165" t="s">
        <v>3686</v>
      </c>
      <c r="D1951" s="4109"/>
      <c r="E1951" s="3377" t="s">
        <v>168</v>
      </c>
      <c r="F1951" s="3377" t="s">
        <v>3759</v>
      </c>
      <c r="I1951" s="3443">
        <v>705</v>
      </c>
      <c r="J1951" s="3443" t="s">
        <v>3760</v>
      </c>
      <c r="K1951" s="4153" t="s">
        <v>310</v>
      </c>
      <c r="L1951" s="3443" t="s">
        <v>37</v>
      </c>
      <c r="M1951" s="3443"/>
      <c r="N1951" s="3443"/>
      <c r="O1951" s="3443"/>
      <c r="P1951" s="3443"/>
      <c r="Q1951" s="3443"/>
      <c r="R1951" s="3443"/>
      <c r="S1951" s="3443"/>
      <c r="T1951" s="3443"/>
      <c r="U1951" s="3443"/>
      <c r="W1951" s="3522"/>
    </row>
    <row r="1952" spans="1:23" ht="31.5" hidden="1">
      <c r="A1952" s="3443" t="s">
        <v>132</v>
      </c>
      <c r="B1952" s="3444">
        <v>45961</v>
      </c>
      <c r="C1952" s="3165" t="s">
        <v>3686</v>
      </c>
      <c r="D1952" s="4128"/>
      <c r="E1952" s="4191" t="s">
        <v>3761</v>
      </c>
      <c r="F1952" s="4191" t="s">
        <v>3762</v>
      </c>
      <c r="I1952" s="3443">
        <v>703</v>
      </c>
      <c r="J1952" s="3443" t="s">
        <v>3763</v>
      </c>
      <c r="K1952" s="3443"/>
      <c r="L1952" s="3443" t="s">
        <v>37</v>
      </c>
      <c r="M1952" s="3443"/>
      <c r="N1952" s="3443"/>
      <c r="O1952" s="3443"/>
      <c r="P1952" s="3443"/>
      <c r="Q1952" s="3443"/>
      <c r="R1952" s="3443"/>
      <c r="S1952" s="3443"/>
      <c r="T1952" s="3443"/>
      <c r="U1952" s="3443" t="s">
        <v>37</v>
      </c>
      <c r="W1952" s="3522"/>
    </row>
    <row r="1953" spans="1:23" ht="31.5" hidden="1">
      <c r="A1953" s="3443" t="s">
        <v>132</v>
      </c>
      <c r="B1953" s="3444">
        <v>45961</v>
      </c>
      <c r="C1953" s="3165" t="s">
        <v>3686</v>
      </c>
      <c r="D1953" s="4128"/>
      <c r="E1953" s="4191" t="s">
        <v>3764</v>
      </c>
      <c r="F1953" s="4191" t="s">
        <v>3765</v>
      </c>
      <c r="I1953" s="3443">
        <v>703</v>
      </c>
      <c r="J1953" s="3443" t="s">
        <v>922</v>
      </c>
      <c r="K1953" s="3443"/>
      <c r="L1953" s="3443" t="s">
        <v>37</v>
      </c>
      <c r="M1953" s="3443"/>
      <c r="N1953" s="3443"/>
      <c r="O1953" s="3443"/>
      <c r="P1953" s="3443"/>
      <c r="Q1953" s="3443"/>
      <c r="R1953" s="3443"/>
      <c r="S1953" s="3443"/>
      <c r="T1953" s="3443"/>
      <c r="U1953" s="3443" t="s">
        <v>37</v>
      </c>
      <c r="W1953" s="3522"/>
    </row>
    <row r="1954" spans="1:23" ht="31.5" hidden="1">
      <c r="A1954" s="3443" t="s">
        <v>132</v>
      </c>
      <c r="B1954" s="3444">
        <v>45961</v>
      </c>
      <c r="C1954" s="3165" t="s">
        <v>3686</v>
      </c>
      <c r="D1954" s="4128"/>
      <c r="E1954" s="4179" t="s">
        <v>3207</v>
      </c>
      <c r="F1954" s="4179" t="s">
        <v>3766</v>
      </c>
      <c r="I1954" s="3443">
        <v>705</v>
      </c>
      <c r="J1954" s="3443" t="s">
        <v>430</v>
      </c>
      <c r="K1954" s="3443"/>
      <c r="L1954" s="3443" t="s">
        <v>37</v>
      </c>
      <c r="M1954" s="3443"/>
      <c r="N1954" s="3443"/>
      <c r="O1954" s="3443"/>
      <c r="P1954" s="3443"/>
      <c r="Q1954" s="3443"/>
      <c r="R1954" s="3443"/>
      <c r="S1954" s="3443"/>
      <c r="T1954" s="3443"/>
      <c r="U1954" s="3443" t="s">
        <v>37</v>
      </c>
      <c r="W1954" s="3522"/>
    </row>
    <row r="1955" spans="1:23" ht="31.5" hidden="1">
      <c r="A1955" s="3443" t="s">
        <v>132</v>
      </c>
      <c r="B1955" s="3444">
        <v>45961</v>
      </c>
      <c r="C1955" s="3165" t="s">
        <v>3686</v>
      </c>
      <c r="D1955" s="4128"/>
      <c r="E1955" s="4179" t="s">
        <v>1266</v>
      </c>
      <c r="F1955" s="4179" t="s">
        <v>3767</v>
      </c>
      <c r="I1955" s="3443">
        <v>705</v>
      </c>
      <c r="J1955" s="3443" t="s">
        <v>3768</v>
      </c>
      <c r="K1955" s="3443"/>
      <c r="L1955" s="3456" t="s">
        <v>37</v>
      </c>
      <c r="M1955" s="3456"/>
      <c r="N1955" s="3456"/>
      <c r="O1955" s="3456"/>
      <c r="P1955" s="3456"/>
      <c r="Q1955" s="3456"/>
      <c r="R1955" s="3456"/>
      <c r="S1955" s="3456"/>
      <c r="T1955" s="3456"/>
      <c r="U1955" s="3456" t="s">
        <v>37</v>
      </c>
      <c r="W1955" s="3697"/>
    </row>
    <row r="1956" spans="1:23" ht="31.5" hidden="1">
      <c r="A1956" s="3443" t="s">
        <v>143</v>
      </c>
      <c r="B1956" s="3444">
        <v>45962</v>
      </c>
      <c r="C1956" s="3165" t="s">
        <v>3686</v>
      </c>
      <c r="D1956" s="4109"/>
      <c r="E1956" s="3377" t="s">
        <v>169</v>
      </c>
      <c r="F1956" s="3377" t="s">
        <v>2161</v>
      </c>
      <c r="I1956" s="3443">
        <v>712</v>
      </c>
      <c r="J1956" s="3443" t="s">
        <v>3769</v>
      </c>
      <c r="K1956" s="3511" t="s">
        <v>84</v>
      </c>
      <c r="L1956" s="3456" t="s">
        <v>37</v>
      </c>
      <c r="M1956" s="3456"/>
      <c r="N1956" s="3456"/>
      <c r="O1956" s="3456"/>
      <c r="P1956" s="3456"/>
      <c r="Q1956" s="3456"/>
      <c r="R1956" s="3456"/>
      <c r="S1956" s="3456"/>
      <c r="T1956" s="3456"/>
      <c r="U1956" s="3456"/>
      <c r="W1956" s="3697"/>
    </row>
    <row r="1957" spans="1:23" ht="31.5" hidden="1">
      <c r="A1957" s="3456" t="s">
        <v>3770</v>
      </c>
      <c r="B1957" s="3457">
        <v>45963</v>
      </c>
      <c r="C1957" s="3355" t="s">
        <v>3686</v>
      </c>
      <c r="D1957" s="4262"/>
      <c r="E1957" s="3385" t="s">
        <v>2161</v>
      </c>
      <c r="F1957" s="3385" t="s">
        <v>3465</v>
      </c>
      <c r="I1957" s="3505">
        <v>712</v>
      </c>
      <c r="J1957" s="3505" t="s">
        <v>1222</v>
      </c>
      <c r="K1957" s="4744" t="s">
        <v>84</v>
      </c>
      <c r="L1957" s="3505" t="s">
        <v>37</v>
      </c>
      <c r="M1957" s="3505"/>
      <c r="N1957" s="3505"/>
      <c r="O1957" s="3505"/>
      <c r="P1957" s="3505"/>
      <c r="Q1957" s="3505"/>
      <c r="R1957" s="3443"/>
      <c r="S1957" s="3456"/>
      <c r="T1957" s="3456"/>
      <c r="U1957" s="3456"/>
      <c r="V1957" s="3276"/>
      <c r="W1957" s="3507"/>
    </row>
    <row r="1958" spans="1:23" ht="31.5" hidden="1">
      <c r="A1958" s="3443" t="s">
        <v>25</v>
      </c>
      <c r="B1958" s="3444">
        <v>45964</v>
      </c>
      <c r="C1958" s="3355" t="s">
        <v>3771</v>
      </c>
      <c r="D1958" s="4108"/>
      <c r="E1958" s="4159" t="s">
        <v>1464</v>
      </c>
      <c r="F1958" s="4160" t="s">
        <v>3225</v>
      </c>
      <c r="I1958" s="3443">
        <v>701</v>
      </c>
      <c r="J1958" s="3531" t="s">
        <v>3697</v>
      </c>
      <c r="K1958" s="3556"/>
      <c r="L1958" s="3443"/>
      <c r="M1958" s="3443"/>
      <c r="N1958" s="3443"/>
      <c r="O1958" s="3443"/>
      <c r="P1958" s="3443"/>
      <c r="Q1958" s="3443"/>
      <c r="S1958" s="3443"/>
      <c r="T1958" s="3443"/>
      <c r="U1958" s="3443"/>
      <c r="V1958" s="3443"/>
      <c r="W1958" s="3507" t="s">
        <v>3772</v>
      </c>
    </row>
    <row r="1959" spans="1:23" ht="31.5" hidden="1">
      <c r="A1959" s="3443" t="s">
        <v>25</v>
      </c>
      <c r="B1959" s="3444">
        <v>45964</v>
      </c>
      <c r="C1959" s="3355" t="s">
        <v>3771</v>
      </c>
      <c r="D1959" s="4128"/>
      <c r="E1959" s="4159" t="s">
        <v>1465</v>
      </c>
      <c r="F1959" s="4160" t="s">
        <v>3228</v>
      </c>
      <c r="I1959" s="3443">
        <v>701</v>
      </c>
      <c r="J1959" s="3531" t="s">
        <v>3699</v>
      </c>
      <c r="K1959" s="3443"/>
      <c r="L1959" s="3443" t="s">
        <v>37</v>
      </c>
      <c r="M1959" s="3443"/>
      <c r="N1959" s="3443"/>
      <c r="O1959" s="3443"/>
      <c r="P1959" s="3443"/>
      <c r="Q1959" s="3443"/>
      <c r="S1959" s="3443"/>
      <c r="T1959" s="3443"/>
      <c r="U1959" s="3443"/>
      <c r="V1959" s="3443"/>
      <c r="W1959" s="3507"/>
    </row>
    <row r="1960" spans="1:23" ht="31.5" hidden="1">
      <c r="A1960" s="3443" t="s">
        <v>25</v>
      </c>
      <c r="B1960" s="3444">
        <v>45964</v>
      </c>
      <c r="C1960" s="3355" t="s">
        <v>3771</v>
      </c>
      <c r="D1960" s="4128"/>
      <c r="E1960" s="3377" t="s">
        <v>3773</v>
      </c>
      <c r="F1960" s="4323" t="s">
        <v>840</v>
      </c>
      <c r="I1960" s="3443">
        <v>707</v>
      </c>
      <c r="J1960" s="3531" t="s">
        <v>94</v>
      </c>
      <c r="K1960" s="3443"/>
      <c r="L1960" s="3443" t="s">
        <v>37</v>
      </c>
      <c r="M1960" s="3443"/>
      <c r="N1960" s="3443"/>
      <c r="O1960" s="3443"/>
      <c r="P1960" s="3443"/>
      <c r="Q1960" s="3443"/>
      <c r="S1960" s="3443"/>
      <c r="T1960" s="3443"/>
      <c r="U1960" s="3443"/>
      <c r="V1960" s="3443"/>
      <c r="W1960" s="3507"/>
    </row>
    <row r="1961" spans="1:23" ht="31.5" hidden="1">
      <c r="A1961" s="3443" t="s">
        <v>25</v>
      </c>
      <c r="B1961" s="3444">
        <v>45964</v>
      </c>
      <c r="C1961" s="3355" t="s">
        <v>3771</v>
      </c>
      <c r="D1961" s="4128"/>
      <c r="E1961" s="4195" t="s">
        <v>80</v>
      </c>
      <c r="F1961" s="4324" t="s">
        <v>3774</v>
      </c>
      <c r="I1961" s="3443">
        <v>707</v>
      </c>
      <c r="J1961" s="3531">
        <v>60086</v>
      </c>
      <c r="K1961" s="3443"/>
      <c r="L1961" s="3443" t="s">
        <v>37</v>
      </c>
      <c r="M1961" s="3443"/>
      <c r="N1961" s="3443"/>
      <c r="O1961" s="3443"/>
      <c r="P1961" s="3443"/>
      <c r="Q1961" s="3443"/>
      <c r="S1961" s="3443"/>
      <c r="T1961" s="3443"/>
      <c r="U1961" s="3443"/>
      <c r="V1961" s="3443"/>
      <c r="W1961" s="3507"/>
    </row>
    <row r="1962" spans="1:23" ht="31.5" hidden="1">
      <c r="A1962" s="3443" t="s">
        <v>25</v>
      </c>
      <c r="B1962" s="3444">
        <v>45964</v>
      </c>
      <c r="C1962" s="3355" t="s">
        <v>3771</v>
      </c>
      <c r="D1962" s="4128"/>
      <c r="E1962" s="4195" t="s">
        <v>586</v>
      </c>
      <c r="F1962" s="4324" t="s">
        <v>2320</v>
      </c>
      <c r="I1962" s="3443">
        <v>707</v>
      </c>
      <c r="J1962" s="3531" t="s">
        <v>3775</v>
      </c>
      <c r="K1962" s="3443"/>
      <c r="L1962" s="3443" t="s">
        <v>37</v>
      </c>
      <c r="M1962" s="3443"/>
      <c r="N1962" s="3443"/>
      <c r="O1962" s="3443"/>
      <c r="P1962" s="3443"/>
      <c r="Q1962" s="3443"/>
      <c r="S1962" s="3443"/>
      <c r="T1962" s="3443"/>
      <c r="U1962" s="3443"/>
      <c r="V1962" s="3443"/>
      <c r="W1962" s="3507"/>
    </row>
    <row r="1963" spans="1:23" ht="31.5" hidden="1">
      <c r="A1963" s="3443" t="s">
        <v>25</v>
      </c>
      <c r="B1963" s="3444">
        <v>45964</v>
      </c>
      <c r="C1963" s="3355" t="s">
        <v>3771</v>
      </c>
      <c r="D1963" s="4128"/>
      <c r="E1963" s="3377" t="s">
        <v>3776</v>
      </c>
      <c r="F1963" s="4323" t="s">
        <v>2483</v>
      </c>
      <c r="I1963" s="3443">
        <v>712</v>
      </c>
      <c r="J1963" s="3531" t="s">
        <v>3777</v>
      </c>
      <c r="K1963" s="3443"/>
      <c r="L1963" s="3443" t="s">
        <v>37</v>
      </c>
      <c r="M1963" s="3443"/>
      <c r="N1963" s="3443"/>
      <c r="O1963" s="3443"/>
      <c r="P1963" s="3443"/>
      <c r="Q1963" s="3443"/>
      <c r="S1963" s="3443"/>
      <c r="T1963" s="3443"/>
      <c r="U1963" s="3443"/>
      <c r="V1963" s="3443"/>
      <c r="W1963" s="3507"/>
    </row>
    <row r="1964" spans="1:23" ht="31.5" hidden="1">
      <c r="A1964" s="3443" t="s">
        <v>25</v>
      </c>
      <c r="B1964" s="3444">
        <v>45964</v>
      </c>
      <c r="C1964" s="3355" t="s">
        <v>3771</v>
      </c>
      <c r="D1964" s="4128"/>
      <c r="E1964" s="3377" t="s">
        <v>169</v>
      </c>
      <c r="F1964" s="4323" t="s">
        <v>3485</v>
      </c>
      <c r="I1964" s="3443">
        <v>707</v>
      </c>
      <c r="J1964" s="3443" t="s">
        <v>994</v>
      </c>
      <c r="K1964" s="3456"/>
      <c r="L1964" s="3443" t="s">
        <v>37</v>
      </c>
      <c r="M1964" s="3443"/>
      <c r="N1964" s="3443"/>
      <c r="O1964" s="3443"/>
      <c r="P1964" s="3462"/>
      <c r="Q1964" s="3462"/>
      <c r="R1964" s="3273"/>
      <c r="S1964" s="3443"/>
      <c r="T1964" s="3443"/>
      <c r="U1964" s="3443"/>
      <c r="V1964" s="3443"/>
      <c r="W1964" s="3507"/>
    </row>
    <row r="1965" spans="1:23" ht="31.5" hidden="1">
      <c r="A1965" s="3443" t="s">
        <v>25</v>
      </c>
      <c r="B1965" s="3444">
        <v>45964</v>
      </c>
      <c r="C1965" s="3355" t="s">
        <v>3771</v>
      </c>
      <c r="D1965" s="4109"/>
      <c r="E1965" s="3377" t="s">
        <v>304</v>
      </c>
      <c r="F1965" s="4323" t="s">
        <v>3778</v>
      </c>
      <c r="I1965" s="3443">
        <v>705</v>
      </c>
      <c r="J1965" s="3443" t="s">
        <v>3779</v>
      </c>
      <c r="K1965" s="3511" t="s">
        <v>627</v>
      </c>
      <c r="L1965" s="3443"/>
      <c r="M1965" s="3443" t="s">
        <v>37</v>
      </c>
      <c r="N1965" s="3443"/>
      <c r="O1965" s="3443"/>
      <c r="P1965" s="360" t="s">
        <v>122</v>
      </c>
      <c r="Q1965" s="360" t="s">
        <v>123</v>
      </c>
      <c r="R1965" s="360" t="s">
        <v>160</v>
      </c>
      <c r="S1965" s="3443"/>
      <c r="T1965" s="3443"/>
      <c r="U1965" s="3443"/>
      <c r="V1965" s="3443"/>
      <c r="W1965" s="3507" t="s">
        <v>3780</v>
      </c>
    </row>
    <row r="1966" spans="1:23" ht="31.5" hidden="1">
      <c r="A1966" s="3443" t="s">
        <v>25</v>
      </c>
      <c r="B1966" s="3444">
        <v>45964</v>
      </c>
      <c r="C1966" s="3355" t="s">
        <v>3771</v>
      </c>
      <c r="D1966" s="4128"/>
      <c r="E1966" s="4288" t="s">
        <v>48</v>
      </c>
      <c r="F1966" s="4325" t="s">
        <v>731</v>
      </c>
      <c r="I1966" s="3443">
        <v>705</v>
      </c>
      <c r="J1966" s="3443" t="s">
        <v>2112</v>
      </c>
      <c r="K1966" s="3443"/>
      <c r="L1966" s="3443" t="s">
        <v>37</v>
      </c>
      <c r="M1966" s="3443"/>
      <c r="N1966" s="3443"/>
      <c r="O1966" s="3443"/>
      <c r="P1966" s="3443"/>
      <c r="Q1966" s="3443"/>
      <c r="S1966" s="3443"/>
      <c r="T1966" s="3443"/>
      <c r="U1966" s="3443"/>
      <c r="V1966" s="3443"/>
      <c r="W1966" s="3636"/>
    </row>
    <row r="1967" spans="1:23" ht="31.5" hidden="1">
      <c r="A1967" s="3443" t="s">
        <v>25</v>
      </c>
      <c r="B1967" s="3444">
        <v>45964</v>
      </c>
      <c r="C1967" s="3355" t="s">
        <v>3771</v>
      </c>
      <c r="D1967" s="4128"/>
      <c r="E1967" s="4288" t="s">
        <v>447</v>
      </c>
      <c r="F1967" s="4325" t="s">
        <v>142</v>
      </c>
      <c r="I1967" s="3443">
        <v>705</v>
      </c>
      <c r="J1967" s="3443" t="s">
        <v>3781</v>
      </c>
      <c r="K1967" s="3443"/>
      <c r="L1967" s="3443" t="s">
        <v>37</v>
      </c>
      <c r="M1967" s="3443"/>
      <c r="N1967" s="3443"/>
      <c r="O1967" s="3443"/>
      <c r="P1967" s="3443"/>
      <c r="Q1967" s="3443"/>
      <c r="S1967" s="3443"/>
      <c r="T1967" s="3443"/>
      <c r="U1967" s="3443"/>
      <c r="V1967" s="3443"/>
      <c r="W1967" s="3507"/>
    </row>
    <row r="1968" spans="1:23" ht="31.5" hidden="1">
      <c r="A1968" s="3443" t="s">
        <v>25</v>
      </c>
      <c r="B1968" s="3444">
        <v>45964</v>
      </c>
      <c r="C1968" s="3355" t="s">
        <v>3771</v>
      </c>
      <c r="D1968" s="4128"/>
      <c r="E1968" s="4176" t="s">
        <v>48</v>
      </c>
      <c r="F1968" s="4177" t="s">
        <v>165</v>
      </c>
      <c r="I1968" s="3443">
        <v>705</v>
      </c>
      <c r="J1968" s="3443" t="s">
        <v>2124</v>
      </c>
      <c r="K1968" s="3443"/>
      <c r="L1968" s="3443" t="s">
        <v>37</v>
      </c>
      <c r="M1968" s="3443"/>
      <c r="N1968" s="3443"/>
      <c r="O1968" s="3443"/>
      <c r="P1968" s="3462"/>
      <c r="Q1968" s="3462"/>
      <c r="R1968" s="3273"/>
      <c r="S1968" s="3443"/>
      <c r="T1968" s="3443"/>
      <c r="U1968" s="3443"/>
      <c r="V1968" s="3443"/>
      <c r="W1968" s="3507"/>
    </row>
    <row r="1969" spans="1:23" ht="57" hidden="1">
      <c r="A1969" s="3443" t="s">
        <v>25</v>
      </c>
      <c r="B1969" s="3444">
        <v>45964</v>
      </c>
      <c r="C1969" s="3355" t="s">
        <v>3771</v>
      </c>
      <c r="D1969" s="4108"/>
      <c r="E1969" s="4176" t="s">
        <v>168</v>
      </c>
      <c r="F1969" s="4177" t="s">
        <v>2461</v>
      </c>
      <c r="I1969" s="3443">
        <v>705</v>
      </c>
      <c r="J1969" s="3443" t="s">
        <v>3782</v>
      </c>
      <c r="K1969" s="3511" t="s">
        <v>174</v>
      </c>
      <c r="L1969" s="3443"/>
      <c r="M1969" s="3443" t="s">
        <v>37</v>
      </c>
      <c r="N1969" s="3443"/>
      <c r="O1969" s="3443"/>
      <c r="P1969" s="360" t="s">
        <v>0</v>
      </c>
      <c r="Q1969" s="360" t="s">
        <v>126</v>
      </c>
      <c r="R1969" s="360" t="s">
        <v>160</v>
      </c>
      <c r="S1969" s="3443" t="s">
        <v>37</v>
      </c>
      <c r="T1969" s="3443"/>
      <c r="U1969" s="3443"/>
      <c r="V1969" s="3443"/>
      <c r="W1969" s="3507" t="s">
        <v>3783</v>
      </c>
    </row>
    <row r="1970" spans="1:23" ht="31.5" hidden="1">
      <c r="A1970" s="3443" t="s">
        <v>25</v>
      </c>
      <c r="B1970" s="3444">
        <v>45964</v>
      </c>
      <c r="C1970" s="3355" t="s">
        <v>3771</v>
      </c>
      <c r="D1970" s="4109"/>
      <c r="E1970" s="4287" t="s">
        <v>168</v>
      </c>
      <c r="F1970" s="4326" t="s">
        <v>44</v>
      </c>
      <c r="I1970" s="3443">
        <v>705</v>
      </c>
      <c r="J1970" s="3443" t="s">
        <v>3784</v>
      </c>
      <c r="K1970" s="3511" t="s">
        <v>174</v>
      </c>
      <c r="L1970" s="3443" t="s">
        <v>37</v>
      </c>
      <c r="M1970" s="3443"/>
      <c r="N1970" s="3443"/>
      <c r="O1970" s="3443"/>
      <c r="P1970" s="3443"/>
      <c r="Q1970" s="3443"/>
      <c r="S1970" s="3443"/>
      <c r="T1970" s="3443"/>
      <c r="U1970" s="3443"/>
      <c r="V1970" s="3443"/>
      <c r="W1970" s="3507"/>
    </row>
    <row r="1971" spans="1:23" ht="31.5" hidden="1">
      <c r="A1971" s="3443" t="s">
        <v>25</v>
      </c>
      <c r="B1971" s="3444">
        <v>45964</v>
      </c>
      <c r="C1971" s="3355" t="s">
        <v>3771</v>
      </c>
      <c r="D1971" s="4128"/>
      <c r="E1971" s="4287" t="s">
        <v>48</v>
      </c>
      <c r="F1971" s="4287" t="s">
        <v>164</v>
      </c>
      <c r="I1971" s="3456">
        <v>705</v>
      </c>
      <c r="J1971" s="3599" t="s">
        <v>3785</v>
      </c>
      <c r="K1971" s="3599"/>
      <c r="L1971" s="3599" t="s">
        <v>37</v>
      </c>
      <c r="M1971" s="3505"/>
      <c r="N1971" s="3505"/>
      <c r="O1971" s="3505"/>
      <c r="P1971" s="3505"/>
      <c r="Q1971" s="3505"/>
      <c r="S1971" s="3443"/>
      <c r="T1971" s="3443"/>
      <c r="U1971" s="3443"/>
      <c r="V1971" s="3443"/>
      <c r="W1971" s="3507"/>
    </row>
    <row r="1972" spans="1:23" ht="31.5" hidden="1">
      <c r="A1972" s="3443" t="s">
        <v>25</v>
      </c>
      <c r="B1972" s="3444">
        <v>45964</v>
      </c>
      <c r="C1972" s="3355" t="s">
        <v>3771</v>
      </c>
      <c r="D1972" s="4128"/>
      <c r="E1972" s="3377" t="s">
        <v>3380</v>
      </c>
      <c r="F1972" s="4323" t="s">
        <v>3773</v>
      </c>
      <c r="I1972" s="3443">
        <v>712</v>
      </c>
      <c r="J1972" s="3443" t="s">
        <v>2197</v>
      </c>
      <c r="K1972" s="3456"/>
      <c r="L1972" s="3443" t="s">
        <v>37</v>
      </c>
      <c r="M1972" s="3443"/>
      <c r="N1972" s="3443"/>
      <c r="O1972" s="3443"/>
      <c r="P1972" s="3443"/>
      <c r="Q1972" s="3443"/>
      <c r="S1972" s="3443"/>
      <c r="T1972" s="3443"/>
      <c r="U1972" s="3443"/>
      <c r="V1972" s="3443"/>
      <c r="W1972" s="3507"/>
    </row>
    <row r="1973" spans="1:23" ht="31.5" hidden="1">
      <c r="A1973" s="3443" t="s">
        <v>180</v>
      </c>
      <c r="B1973" s="3444">
        <v>45965</v>
      </c>
      <c r="C1973" s="3355" t="s">
        <v>3771</v>
      </c>
      <c r="D1973" s="4109"/>
      <c r="E1973" s="3377" t="s">
        <v>3786</v>
      </c>
      <c r="F1973" s="4323" t="s">
        <v>168</v>
      </c>
      <c r="I1973" s="3443">
        <v>705</v>
      </c>
      <c r="J1973" s="3443" t="s">
        <v>3779</v>
      </c>
      <c r="K1973" s="3511" t="s">
        <v>310</v>
      </c>
      <c r="L1973" s="3443" t="s">
        <v>37</v>
      </c>
      <c r="M1973" s="3443"/>
      <c r="N1973" s="3443"/>
      <c r="O1973" s="3443"/>
      <c r="P1973" s="3443"/>
      <c r="Q1973" s="3443"/>
      <c r="S1973" s="3443"/>
      <c r="T1973" s="3443" t="s">
        <v>37</v>
      </c>
      <c r="U1973" s="3443" t="s">
        <v>37</v>
      </c>
      <c r="V1973" s="3443"/>
      <c r="W1973" s="3507" t="s">
        <v>3787</v>
      </c>
    </row>
    <row r="1974" spans="1:23" ht="57" hidden="1">
      <c r="A1974" s="3443" t="s">
        <v>180</v>
      </c>
      <c r="B1974" s="3444">
        <v>45965</v>
      </c>
      <c r="C1974" s="3355" t="s">
        <v>3771</v>
      </c>
      <c r="D1974" s="4128"/>
      <c r="E1974" s="4176" t="s">
        <v>168</v>
      </c>
      <c r="F1974" s="4177" t="s">
        <v>52</v>
      </c>
      <c r="I1974" s="3443">
        <v>705</v>
      </c>
      <c r="J1974" s="4331" t="s">
        <v>3788</v>
      </c>
      <c r="K1974" s="3443"/>
      <c r="L1974" s="3443" t="s">
        <v>37</v>
      </c>
      <c r="M1974" s="3443"/>
      <c r="N1974" s="3443"/>
      <c r="O1974" s="3443" t="s">
        <v>30</v>
      </c>
      <c r="P1974" s="3462"/>
      <c r="Q1974" s="3462"/>
      <c r="R1974" s="3462"/>
      <c r="S1974" s="3443"/>
      <c r="T1974" s="3443"/>
      <c r="U1974" s="3443" t="s">
        <v>37</v>
      </c>
      <c r="V1974" s="3443"/>
      <c r="W1974" s="3507" t="s">
        <v>3783</v>
      </c>
    </row>
    <row r="1975" spans="1:23" ht="31.5" hidden="1">
      <c r="A1975" s="3443" t="s">
        <v>180</v>
      </c>
      <c r="B1975" s="3444">
        <v>45965</v>
      </c>
      <c r="C1975" s="3355" t="s">
        <v>3771</v>
      </c>
      <c r="D1975" s="4108"/>
      <c r="E1975" s="4176" t="s">
        <v>52</v>
      </c>
      <c r="F1975" s="4177" t="s">
        <v>2461</v>
      </c>
      <c r="I1975" s="3443">
        <v>705</v>
      </c>
      <c r="J1975" s="3443" t="s">
        <v>3789</v>
      </c>
      <c r="K1975" s="3443"/>
      <c r="L1975" s="3443"/>
      <c r="M1975" s="3443" t="s">
        <v>37</v>
      </c>
      <c r="N1975" s="3443"/>
      <c r="O1975" s="3443"/>
      <c r="P1975" s="360" t="s">
        <v>0</v>
      </c>
      <c r="Q1975" s="360" t="s">
        <v>782</v>
      </c>
      <c r="R1975" s="360" t="s">
        <v>160</v>
      </c>
      <c r="S1975" s="3443" t="s">
        <v>37</v>
      </c>
      <c r="T1975" s="3443"/>
      <c r="U1975" s="3443" t="s">
        <v>37</v>
      </c>
      <c r="V1975" s="3443"/>
      <c r="W1975" s="3507" t="s">
        <v>3790</v>
      </c>
    </row>
    <row r="1976" spans="1:23" ht="31.5" hidden="1">
      <c r="A1976" s="3443" t="s">
        <v>180</v>
      </c>
      <c r="B1976" s="3444">
        <v>45965</v>
      </c>
      <c r="C1976" s="3355" t="s">
        <v>3771</v>
      </c>
      <c r="D1976" s="4108"/>
      <c r="E1976" s="4176" t="s">
        <v>3791</v>
      </c>
      <c r="F1976" s="4176" t="s">
        <v>52</v>
      </c>
      <c r="I1976" s="3443">
        <v>705</v>
      </c>
      <c r="J1976" s="3505" t="s">
        <v>1852</v>
      </c>
      <c r="K1976" s="3462"/>
      <c r="L1976" s="3443" t="s">
        <v>37</v>
      </c>
      <c r="M1976" s="3443"/>
      <c r="N1976" s="3443"/>
      <c r="O1976" s="3443"/>
      <c r="P1976" s="3443"/>
      <c r="Q1976" s="3443" t="s">
        <v>37</v>
      </c>
      <c r="S1976" s="3443"/>
      <c r="T1976" s="3443"/>
      <c r="U1976" s="3443" t="s">
        <v>37</v>
      </c>
      <c r="V1976" s="3443"/>
      <c r="W1976" s="3507"/>
    </row>
    <row r="1977" spans="1:23" ht="31.5" hidden="1">
      <c r="A1977" s="3443" t="s">
        <v>67</v>
      </c>
      <c r="B1977" s="3444">
        <v>45965</v>
      </c>
      <c r="C1977" s="3355" t="s">
        <v>3771</v>
      </c>
      <c r="D1977" s="4128"/>
      <c r="E1977" s="4159" t="s">
        <v>1464</v>
      </c>
      <c r="F1977" s="4159" t="s">
        <v>3225</v>
      </c>
      <c r="I1977" s="3443">
        <v>701</v>
      </c>
      <c r="J1977" s="3531" t="s">
        <v>3697</v>
      </c>
      <c r="K1977" s="3443"/>
      <c r="L1977" s="3534" t="s">
        <v>37</v>
      </c>
      <c r="M1977" s="3443"/>
      <c r="N1977" s="3443"/>
      <c r="O1977" s="3443"/>
      <c r="P1977" s="3443"/>
      <c r="Q1977" s="3443"/>
      <c r="S1977" s="3443"/>
      <c r="T1977" s="3443"/>
      <c r="U1977" s="3443"/>
      <c r="V1977" s="3443"/>
      <c r="W1977" s="3507"/>
    </row>
    <row r="1978" spans="1:23" ht="31.5" hidden="1">
      <c r="A1978" s="3443" t="s">
        <v>67</v>
      </c>
      <c r="B1978" s="3444">
        <v>45965</v>
      </c>
      <c r="C1978" s="3355" t="s">
        <v>3771</v>
      </c>
      <c r="D1978" s="4128"/>
      <c r="E1978" s="4159" t="s">
        <v>1465</v>
      </c>
      <c r="F1978" s="4159" t="s">
        <v>3228</v>
      </c>
      <c r="I1978" s="3443">
        <v>701</v>
      </c>
      <c r="J1978" s="3531" t="s">
        <v>3699</v>
      </c>
      <c r="K1978" s="3443"/>
      <c r="L1978" s="3545" t="s">
        <v>37</v>
      </c>
      <c r="M1978" s="3443"/>
      <c r="N1978" s="3462"/>
      <c r="O1978" s="3462"/>
      <c r="P1978" s="3462"/>
      <c r="Q1978" s="3462"/>
      <c r="R1978" s="3273"/>
      <c r="S1978" s="3443"/>
      <c r="T1978" s="3443"/>
      <c r="U1978" s="3443"/>
      <c r="V1978" s="3443"/>
      <c r="W1978" s="3507"/>
    </row>
    <row r="1979" spans="1:23" ht="52.5" hidden="1">
      <c r="A1979" s="3443" t="s">
        <v>67</v>
      </c>
      <c r="B1979" s="3444">
        <v>45965</v>
      </c>
      <c r="C1979" s="3355" t="s">
        <v>3771</v>
      </c>
      <c r="D1979" s="4108"/>
      <c r="E1979" s="4327" t="s">
        <v>491</v>
      </c>
      <c r="F1979" s="4327" t="s">
        <v>3792</v>
      </c>
      <c r="I1979" s="3443">
        <v>707</v>
      </c>
      <c r="J1979" s="3531" t="s">
        <v>3775</v>
      </c>
      <c r="K1979" s="2369"/>
      <c r="L1979" s="3545"/>
      <c r="M1979" s="3462" t="s">
        <v>37</v>
      </c>
      <c r="N1979" s="3462"/>
      <c r="O1979" s="3462"/>
      <c r="P1979" s="4412" t="s">
        <v>0</v>
      </c>
      <c r="Q1979" s="4412" t="s">
        <v>187</v>
      </c>
      <c r="R1979" s="360" t="s">
        <v>38</v>
      </c>
      <c r="S1979" s="3443" t="s">
        <v>37</v>
      </c>
      <c r="T1979" s="3443"/>
      <c r="U1979" s="3443"/>
      <c r="V1979" s="3443"/>
      <c r="W1979" s="4333" t="s">
        <v>3793</v>
      </c>
    </row>
    <row r="1980" spans="1:23" ht="31.5" hidden="1">
      <c r="A1980" s="3443" t="s">
        <v>67</v>
      </c>
      <c r="B1980" s="3444">
        <v>45965</v>
      </c>
      <c r="C1980" s="3355" t="s">
        <v>3771</v>
      </c>
      <c r="D1980" s="4128"/>
      <c r="E1980" s="4195" t="s">
        <v>3678</v>
      </c>
      <c r="F1980" s="4195" t="s">
        <v>1145</v>
      </c>
      <c r="I1980" s="3443">
        <v>707</v>
      </c>
      <c r="J1980" s="3531" t="s">
        <v>3775</v>
      </c>
      <c r="K1980" s="2369"/>
      <c r="L1980" s="3462" t="s">
        <v>37</v>
      </c>
      <c r="M1980" s="3462"/>
      <c r="N1980" s="3462"/>
      <c r="O1980" s="3462"/>
      <c r="P1980" s="3462"/>
      <c r="Q1980" s="3462"/>
      <c r="S1980" s="3443"/>
      <c r="T1980" s="3443"/>
      <c r="U1980" s="3443"/>
      <c r="V1980" s="3443"/>
      <c r="W1980" s="3507"/>
    </row>
    <row r="1981" spans="1:23" ht="31.5" hidden="1">
      <c r="A1981" s="3443" t="s">
        <v>67</v>
      </c>
      <c r="B1981" s="3444">
        <v>45965</v>
      </c>
      <c r="C1981" s="3355" t="s">
        <v>3771</v>
      </c>
      <c r="D1981" s="4128"/>
      <c r="E1981" s="4195" t="s">
        <v>169</v>
      </c>
      <c r="F1981" s="4195" t="s">
        <v>537</v>
      </c>
      <c r="I1981" s="3443">
        <v>707</v>
      </c>
      <c r="J1981" s="3531">
        <v>60086</v>
      </c>
      <c r="K1981" s="2369"/>
      <c r="L1981" s="3545" t="s">
        <v>37</v>
      </c>
      <c r="M1981" s="3462"/>
      <c r="N1981" s="3462"/>
      <c r="O1981" s="3462"/>
      <c r="P1981" s="3462"/>
      <c r="Q1981" s="3462"/>
      <c r="S1981" s="3443"/>
      <c r="T1981" s="3443"/>
      <c r="U1981" s="3443" t="s">
        <v>30</v>
      </c>
      <c r="V1981" s="3443"/>
      <c r="W1981" s="3507"/>
    </row>
    <row r="1982" spans="1:23" ht="31.5" hidden="1">
      <c r="A1982" s="3443" t="s">
        <v>67</v>
      </c>
      <c r="B1982" s="3444">
        <v>45965</v>
      </c>
      <c r="C1982" s="3355" t="s">
        <v>3771</v>
      </c>
      <c r="D1982" s="4109"/>
      <c r="E1982" s="4239" t="s">
        <v>48</v>
      </c>
      <c r="F1982" s="4239" t="s">
        <v>497</v>
      </c>
      <c r="I1982" s="3443">
        <v>705</v>
      </c>
      <c r="J1982" s="3531" t="s">
        <v>3794</v>
      </c>
      <c r="K1982" s="3511" t="s">
        <v>1613</v>
      </c>
      <c r="L1982" s="3545" t="s">
        <v>37</v>
      </c>
      <c r="M1982" s="3443"/>
      <c r="N1982" s="3462"/>
      <c r="O1982" s="3462"/>
      <c r="P1982" s="3462"/>
      <c r="Q1982" s="3462"/>
      <c r="R1982" s="3273"/>
      <c r="S1982" s="3443"/>
      <c r="T1982" s="3443"/>
      <c r="U1982" s="3443"/>
      <c r="V1982" s="3443"/>
      <c r="W1982" s="3507"/>
    </row>
    <row r="1983" spans="1:23" ht="31.5" hidden="1">
      <c r="A1983" s="3443" t="s">
        <v>67</v>
      </c>
      <c r="B1983" s="3444">
        <v>45965</v>
      </c>
      <c r="C1983" s="3355" t="s">
        <v>3771</v>
      </c>
      <c r="D1983" s="4108"/>
      <c r="E1983" s="3377" t="s">
        <v>1733</v>
      </c>
      <c r="F1983" s="3377" t="s">
        <v>2958</v>
      </c>
      <c r="I1983" s="3443">
        <v>712</v>
      </c>
      <c r="J1983" s="3531" t="s">
        <v>3795</v>
      </c>
      <c r="K1983" s="3511" t="s">
        <v>627</v>
      </c>
      <c r="L1983" s="3545"/>
      <c r="M1983" s="3462" t="s">
        <v>37</v>
      </c>
      <c r="N1983" s="3462"/>
      <c r="O1983" s="3462"/>
      <c r="P1983" s="4412" t="s">
        <v>0</v>
      </c>
      <c r="Q1983" s="4412" t="s">
        <v>187</v>
      </c>
      <c r="R1983" s="4412" t="s">
        <v>32</v>
      </c>
      <c r="S1983" s="3443"/>
      <c r="T1983" s="3443"/>
      <c r="U1983" s="3443"/>
      <c r="V1983" s="3443"/>
      <c r="W1983" s="3507" t="s">
        <v>3796</v>
      </c>
    </row>
    <row r="1984" spans="1:23" ht="142.5" hidden="1">
      <c r="A1984" s="3443" t="s">
        <v>67</v>
      </c>
      <c r="B1984" s="3444">
        <v>45965</v>
      </c>
      <c r="C1984" s="3355" t="s">
        <v>3771</v>
      </c>
      <c r="D1984" s="4108"/>
      <c r="E1984" s="4328" t="s">
        <v>63</v>
      </c>
      <c r="F1984" s="4328" t="s">
        <v>3797</v>
      </c>
      <c r="I1984" s="3443">
        <v>705</v>
      </c>
      <c r="J1984" s="3531" t="s">
        <v>3798</v>
      </c>
      <c r="K1984" s="2369"/>
      <c r="L1984" s="3545"/>
      <c r="M1984" s="3462" t="s">
        <v>37</v>
      </c>
      <c r="N1984" s="3462"/>
      <c r="O1984" s="3462"/>
      <c r="P1984" s="4412" t="s">
        <v>0</v>
      </c>
      <c r="Q1984" s="4412" t="s">
        <v>3799</v>
      </c>
      <c r="R1984" s="4412" t="s">
        <v>32</v>
      </c>
      <c r="S1984" s="3443"/>
      <c r="T1984" s="3443"/>
      <c r="U1984" s="3443"/>
      <c r="V1984" s="3443"/>
      <c r="W1984" s="3507" t="s">
        <v>3800</v>
      </c>
    </row>
    <row r="1985" spans="1:23" ht="31.5" hidden="1">
      <c r="A1985" s="3443" t="s">
        <v>67</v>
      </c>
      <c r="B1985" s="3444">
        <v>45965</v>
      </c>
      <c r="C1985" s="3355" t="s">
        <v>3771</v>
      </c>
      <c r="D1985" s="4108"/>
      <c r="E1985" s="4198" t="s">
        <v>48</v>
      </c>
      <c r="F1985" s="4198" t="s">
        <v>2660</v>
      </c>
      <c r="I1985" s="3443"/>
      <c r="J1985" s="3531" t="s">
        <v>2866</v>
      </c>
      <c r="K1985" s="2369"/>
      <c r="L1985" s="3545"/>
      <c r="M1985" s="3462" t="s">
        <v>37</v>
      </c>
      <c r="N1985" s="3462"/>
      <c r="O1985" s="3462"/>
      <c r="P1985" s="4412" t="s">
        <v>231</v>
      </c>
      <c r="Q1985" s="4412" t="s">
        <v>232</v>
      </c>
      <c r="R1985" s="360"/>
      <c r="S1985" s="3443"/>
      <c r="T1985" s="3443"/>
      <c r="U1985" s="3443"/>
      <c r="V1985" s="3443"/>
      <c r="W1985" s="3507" t="s">
        <v>3801</v>
      </c>
    </row>
    <row r="1986" spans="1:23" ht="31.5" hidden="1">
      <c r="A1986" s="3443" t="s">
        <v>67</v>
      </c>
      <c r="B1986" s="3444">
        <v>45965</v>
      </c>
      <c r="C1986" s="3355" t="s">
        <v>3771</v>
      </c>
      <c r="D1986" s="4108"/>
      <c r="E1986" s="4198" t="s">
        <v>2662</v>
      </c>
      <c r="F1986" s="4198" t="s">
        <v>142</v>
      </c>
      <c r="I1986" s="3443"/>
      <c r="J1986" s="3531" t="s">
        <v>2866</v>
      </c>
      <c r="K1986" s="2369"/>
      <c r="L1986" s="3462" t="s">
        <v>37</v>
      </c>
      <c r="M1986" s="3443"/>
      <c r="N1986" s="3462"/>
      <c r="O1986" s="3462"/>
      <c r="P1986" s="3462"/>
      <c r="Q1986" s="3462" t="s">
        <v>37</v>
      </c>
      <c r="R1986" s="3273"/>
      <c r="S1986" s="3443"/>
      <c r="T1986" s="3443"/>
      <c r="U1986" s="3443"/>
      <c r="V1986" s="3443"/>
      <c r="W1986" s="3913"/>
    </row>
    <row r="1987" spans="1:23" ht="31.5" hidden="1">
      <c r="A1987" s="3443" t="s">
        <v>1323</v>
      </c>
      <c r="B1987" s="3444">
        <v>45966</v>
      </c>
      <c r="C1987" s="3355" t="s">
        <v>3771</v>
      </c>
      <c r="D1987" s="4128"/>
      <c r="E1987" s="3377" t="s">
        <v>1733</v>
      </c>
      <c r="F1987" s="4323" t="s">
        <v>2958</v>
      </c>
      <c r="I1987" s="3443">
        <v>712</v>
      </c>
      <c r="J1987" s="3443" t="s">
        <v>3795</v>
      </c>
      <c r="K1987" s="3511" t="s">
        <v>627</v>
      </c>
      <c r="L1987" s="3443" t="s">
        <v>37</v>
      </c>
      <c r="M1987" s="3443"/>
      <c r="N1987" s="3443"/>
      <c r="O1987" s="3443"/>
      <c r="P1987" s="3443"/>
      <c r="Q1987" s="3443"/>
      <c r="R1987" s="3443"/>
      <c r="S1987" s="3443"/>
      <c r="T1987" s="3443" t="s">
        <v>37</v>
      </c>
      <c r="U1987" s="3443"/>
      <c r="V1987" s="3443"/>
      <c r="W1987" s="3913" t="s">
        <v>3796</v>
      </c>
    </row>
    <row r="1988" spans="1:23" ht="57" hidden="1">
      <c r="A1988" s="3443" t="s">
        <v>1323</v>
      </c>
      <c r="B1988" s="3444">
        <v>45966</v>
      </c>
      <c r="C1988" s="3355" t="s">
        <v>3771</v>
      </c>
      <c r="D1988" s="4128"/>
      <c r="E1988" s="4176" t="s">
        <v>52</v>
      </c>
      <c r="F1988" s="4177" t="s">
        <v>2261</v>
      </c>
      <c r="I1988" s="3443">
        <v>705</v>
      </c>
      <c r="J1988" s="3443" t="s">
        <v>3789</v>
      </c>
      <c r="K1988" s="3443"/>
      <c r="L1988" s="3443" t="s">
        <v>37</v>
      </c>
      <c r="M1988" s="3443"/>
      <c r="N1988" s="3443"/>
      <c r="O1988" s="3443"/>
      <c r="P1988" s="3443"/>
      <c r="Q1988" s="3443"/>
      <c r="S1988" s="3443"/>
      <c r="T1988" s="3443"/>
      <c r="U1988" s="3443" t="s">
        <v>37</v>
      </c>
      <c r="V1988" s="3443"/>
      <c r="W1988" s="3913" t="s">
        <v>3783</v>
      </c>
    </row>
    <row r="1989" spans="1:23" ht="57" hidden="1">
      <c r="A1989" s="3443" t="s">
        <v>1323</v>
      </c>
      <c r="B1989" s="3444">
        <v>45966</v>
      </c>
      <c r="C1989" s="3355" t="s">
        <v>3771</v>
      </c>
      <c r="D1989" s="4128"/>
      <c r="E1989" s="4176" t="s">
        <v>3791</v>
      </c>
      <c r="F1989" s="4176" t="s">
        <v>142</v>
      </c>
      <c r="I1989" s="3443">
        <v>705</v>
      </c>
      <c r="J1989" s="3505" t="s">
        <v>1852</v>
      </c>
      <c r="K1989" s="3534"/>
      <c r="L1989" s="3443" t="s">
        <v>37</v>
      </c>
      <c r="M1989" s="3443"/>
      <c r="N1989" s="3443"/>
      <c r="O1989" s="3443"/>
      <c r="P1989" s="3443"/>
      <c r="Q1989" s="3443"/>
      <c r="S1989" s="3443"/>
      <c r="T1989" s="3443"/>
      <c r="U1989" s="3443" t="s">
        <v>37</v>
      </c>
      <c r="V1989" s="3443"/>
      <c r="W1989" s="3507" t="s">
        <v>3783</v>
      </c>
    </row>
    <row r="1990" spans="1:23" ht="31.5" hidden="1">
      <c r="A1990" s="3443" t="s">
        <v>1323</v>
      </c>
      <c r="B1990" s="3444">
        <v>45966</v>
      </c>
      <c r="C1990" s="3355" t="s">
        <v>3771</v>
      </c>
      <c r="D1990" s="4128"/>
      <c r="E1990" s="4159" t="s">
        <v>1464</v>
      </c>
      <c r="F1990" s="4159" t="s">
        <v>3225</v>
      </c>
      <c r="I1990" s="3443">
        <v>701</v>
      </c>
      <c r="J1990" s="3531" t="s">
        <v>3697</v>
      </c>
      <c r="K1990" s="3890"/>
      <c r="L1990" s="3443" t="s">
        <v>37</v>
      </c>
      <c r="M1990" s="3443"/>
      <c r="N1990" s="3443"/>
      <c r="O1990" s="3443"/>
      <c r="P1990" s="3443"/>
      <c r="Q1990" s="3443"/>
      <c r="S1990" s="3443"/>
      <c r="T1990" s="3443"/>
      <c r="U1990" s="3443"/>
      <c r="V1990" s="3443"/>
      <c r="W1990" s="3507"/>
    </row>
    <row r="1991" spans="1:23" ht="31.5" hidden="1">
      <c r="A1991" s="3443" t="s">
        <v>1323</v>
      </c>
      <c r="B1991" s="3444">
        <v>45966</v>
      </c>
      <c r="C1991" s="3355" t="s">
        <v>3771</v>
      </c>
      <c r="D1991" s="4128"/>
      <c r="E1991" s="4159" t="s">
        <v>1465</v>
      </c>
      <c r="F1991" s="4159" t="s">
        <v>3228</v>
      </c>
      <c r="I1991" s="3443">
        <v>701</v>
      </c>
      <c r="J1991" s="3531" t="s">
        <v>3699</v>
      </c>
      <c r="K1991" s="2369"/>
      <c r="L1991" s="3462" t="s">
        <v>37</v>
      </c>
      <c r="M1991" s="3462"/>
      <c r="N1991" s="3462"/>
      <c r="O1991" s="3462"/>
      <c r="P1991" s="3462"/>
      <c r="Q1991" s="3462"/>
      <c r="S1991" s="3443"/>
      <c r="T1991" s="3443"/>
      <c r="U1991" s="3443"/>
      <c r="V1991" s="3443"/>
      <c r="W1991" s="3913"/>
    </row>
    <row r="1992" spans="1:23" ht="31.5" hidden="1">
      <c r="A1992" s="3443" t="s">
        <v>3802</v>
      </c>
      <c r="B1992" s="3444">
        <v>45966</v>
      </c>
      <c r="C1992" s="3355" t="s">
        <v>3771</v>
      </c>
      <c r="D1992" s="4109"/>
      <c r="E1992" s="4239" t="s">
        <v>491</v>
      </c>
      <c r="F1992" s="4239" t="s">
        <v>3803</v>
      </c>
      <c r="I1992" s="3443">
        <v>705</v>
      </c>
      <c r="J1992" s="3531" t="s">
        <v>3794</v>
      </c>
      <c r="K1992" s="3856" t="s">
        <v>1613</v>
      </c>
      <c r="L1992" s="3462" t="s">
        <v>37</v>
      </c>
      <c r="M1992" s="3462"/>
      <c r="N1992" s="3462"/>
      <c r="O1992" s="3462"/>
      <c r="P1992" s="3462"/>
      <c r="Q1992" s="3462"/>
      <c r="S1992" s="3443"/>
      <c r="T1992" s="3443"/>
      <c r="U1992" s="3443"/>
      <c r="V1992" s="3443"/>
      <c r="W1992" s="3913"/>
    </row>
    <row r="1993" spans="1:23" ht="31.5" hidden="1">
      <c r="A1993" s="3443" t="s">
        <v>1323</v>
      </c>
      <c r="B1993" s="3444">
        <v>45966</v>
      </c>
      <c r="C1993" s="3355" t="s">
        <v>3771</v>
      </c>
      <c r="D1993" s="4108"/>
      <c r="E1993" s="4328" t="s">
        <v>3804</v>
      </c>
      <c r="F1993" s="4328" t="s">
        <v>3805</v>
      </c>
      <c r="I1993" s="3443">
        <v>705</v>
      </c>
      <c r="J1993" s="3531" t="s">
        <v>3798</v>
      </c>
      <c r="K1993" s="3903"/>
      <c r="L1993" s="3462" t="s">
        <v>37</v>
      </c>
      <c r="M1993" s="3462"/>
      <c r="N1993" s="3462"/>
      <c r="O1993" s="3462"/>
      <c r="P1993" s="3462"/>
      <c r="Q1993" s="3462" t="s">
        <v>37</v>
      </c>
      <c r="S1993" s="3443"/>
      <c r="T1993" s="3443"/>
      <c r="U1993" s="3443"/>
      <c r="V1993" s="3443"/>
      <c r="W1993" s="3913"/>
    </row>
    <row r="1994" spans="1:23" ht="31.5" hidden="1">
      <c r="A1994" s="3443" t="s">
        <v>1323</v>
      </c>
      <c r="B1994" s="3444">
        <v>45966</v>
      </c>
      <c r="C1994" s="3355" t="s">
        <v>3771</v>
      </c>
      <c r="D1994" s="4108"/>
      <c r="E1994" s="4328" t="s">
        <v>169</v>
      </c>
      <c r="F1994" s="4328" t="s">
        <v>436</v>
      </c>
      <c r="I1994" s="3443">
        <v>705</v>
      </c>
      <c r="J1994" s="3443" t="s">
        <v>3798</v>
      </c>
      <c r="K1994" s="3890"/>
      <c r="L1994" s="3443" t="s">
        <v>37</v>
      </c>
      <c r="M1994" s="3443"/>
      <c r="N1994" s="3443"/>
      <c r="O1994" s="3443"/>
      <c r="P1994" s="3443"/>
      <c r="Q1994" s="3443" t="s">
        <v>37</v>
      </c>
      <c r="S1994" s="3443"/>
      <c r="T1994" s="3443"/>
      <c r="U1994" s="3443"/>
      <c r="V1994" s="3443"/>
      <c r="W1994" s="3507"/>
    </row>
    <row r="1995" spans="1:23" ht="31.5" hidden="1">
      <c r="A1995" s="3443" t="s">
        <v>3802</v>
      </c>
      <c r="B1995" s="3444">
        <v>45966</v>
      </c>
      <c r="C1995" s="3355" t="s">
        <v>3771</v>
      </c>
      <c r="D1995" s="4128"/>
      <c r="E1995" s="3377" t="s">
        <v>169</v>
      </c>
      <c r="F1995" s="3377" t="s">
        <v>840</v>
      </c>
      <c r="I1995" s="3443">
        <v>707</v>
      </c>
      <c r="J1995" s="3443" t="s">
        <v>3806</v>
      </c>
      <c r="K1995" s="2369"/>
      <c r="L1995" s="3443" t="s">
        <v>37</v>
      </c>
      <c r="M1995" s="3443"/>
      <c r="N1995" s="3443"/>
      <c r="O1995" s="3443"/>
      <c r="P1995" s="3443"/>
      <c r="Q1995" s="3443"/>
      <c r="S1995" s="3443"/>
      <c r="T1995" s="3443" t="s">
        <v>37</v>
      </c>
      <c r="U1995" s="3443" t="s">
        <v>37</v>
      </c>
      <c r="V1995" s="3443"/>
      <c r="W1995" s="3507"/>
    </row>
    <row r="1996" spans="1:23" ht="31.5" hidden="1">
      <c r="A1996" s="3443" t="s">
        <v>1323</v>
      </c>
      <c r="B1996" s="3444">
        <v>45966</v>
      </c>
      <c r="C1996" s="3355" t="s">
        <v>3771</v>
      </c>
      <c r="D1996" s="4108"/>
      <c r="E1996" s="3377" t="s">
        <v>1698</v>
      </c>
      <c r="F1996" s="3377" t="s">
        <v>48</v>
      </c>
      <c r="I1996" s="3443">
        <v>705</v>
      </c>
      <c r="J1996" s="3531" t="s">
        <v>3807</v>
      </c>
      <c r="K1996" s="3673" t="s">
        <v>174</v>
      </c>
      <c r="L1996" s="3462" t="s">
        <v>37</v>
      </c>
      <c r="M1996" s="3462"/>
      <c r="N1996" s="3462"/>
      <c r="O1996" s="3462"/>
      <c r="P1996" s="3462"/>
      <c r="Q1996" s="3462" t="s">
        <v>37</v>
      </c>
      <c r="S1996" s="3443"/>
      <c r="T1996" s="3443"/>
      <c r="U1996" s="3443"/>
      <c r="V1996" s="3443"/>
      <c r="W1996" s="3913" t="s">
        <v>3808</v>
      </c>
    </row>
    <row r="1997" spans="1:23" ht="31.5" hidden="1">
      <c r="A1997" s="3443" t="s">
        <v>1323</v>
      </c>
      <c r="B1997" s="3444">
        <v>45966</v>
      </c>
      <c r="C1997" s="3355" t="s">
        <v>3771</v>
      </c>
      <c r="D1997" s="4109"/>
      <c r="E1997" s="4328" t="s">
        <v>63</v>
      </c>
      <c r="F1997" s="4328" t="s">
        <v>850</v>
      </c>
      <c r="I1997" s="3443">
        <v>705</v>
      </c>
      <c r="J1997" s="3531" t="s">
        <v>3798</v>
      </c>
      <c r="K1997" s="4153" t="s">
        <v>310</v>
      </c>
      <c r="L1997" s="3462" t="s">
        <v>37</v>
      </c>
      <c r="M1997" s="3443"/>
      <c r="N1997" s="3462"/>
      <c r="O1997" s="3462"/>
      <c r="P1997" s="3462"/>
      <c r="Q1997" s="3462"/>
      <c r="R1997" s="3273"/>
      <c r="S1997" s="3443"/>
      <c r="T1997" s="3443"/>
      <c r="U1997" s="3443"/>
      <c r="V1997" s="3443"/>
      <c r="W1997" s="3913"/>
    </row>
    <row r="1998" spans="1:23" ht="57" hidden="1">
      <c r="A1998" s="3443" t="s">
        <v>1323</v>
      </c>
      <c r="B1998" s="3444">
        <v>45966</v>
      </c>
      <c r="C1998" s="3355" t="s">
        <v>3771</v>
      </c>
      <c r="D1998" s="4109"/>
      <c r="E1998" s="4328" t="s">
        <v>68</v>
      </c>
      <c r="F1998" s="4328" t="s">
        <v>1641</v>
      </c>
      <c r="I1998" s="3443">
        <v>705</v>
      </c>
      <c r="J1998" s="3443" t="s">
        <v>3798</v>
      </c>
      <c r="K1998" s="4153" t="s">
        <v>310</v>
      </c>
      <c r="L1998" s="3443"/>
      <c r="M1998" s="3443" t="s">
        <v>37</v>
      </c>
      <c r="N1998" s="3443"/>
      <c r="O1998" s="3443"/>
      <c r="P1998" s="360" t="s">
        <v>71</v>
      </c>
      <c r="Q1998" s="360" t="s">
        <v>371</v>
      </c>
      <c r="R1998" s="360" t="s">
        <v>160</v>
      </c>
      <c r="S1998" s="3443"/>
      <c r="T1998" s="3443"/>
      <c r="U1998" s="3443"/>
      <c r="V1998" s="3443"/>
      <c r="W1998" s="3507" t="s">
        <v>3809</v>
      </c>
    </row>
    <row r="1999" spans="1:23" ht="31.5" hidden="1">
      <c r="A1999" s="3443" t="s">
        <v>1323</v>
      </c>
      <c r="B1999" s="3444">
        <v>45966</v>
      </c>
      <c r="C1999" s="3355" t="s">
        <v>3771</v>
      </c>
      <c r="D1999" s="4128"/>
      <c r="E1999" s="4165" t="s">
        <v>171</v>
      </c>
      <c r="F1999" s="4165" t="s">
        <v>750</v>
      </c>
      <c r="I1999" s="3443">
        <v>705</v>
      </c>
      <c r="J1999" s="3443" t="s">
        <v>3810</v>
      </c>
      <c r="K1999" s="3890"/>
      <c r="L1999" s="3443" t="s">
        <v>37</v>
      </c>
      <c r="M1999" s="3443"/>
      <c r="N1999" s="3443"/>
      <c r="O1999" s="3443"/>
      <c r="P1999" s="3443"/>
      <c r="Q1999" s="3443"/>
      <c r="S1999" s="3443"/>
      <c r="T1999" s="3443"/>
      <c r="U1999" s="3443"/>
      <c r="V1999" s="3443"/>
      <c r="W1999" s="3507"/>
    </row>
    <row r="2000" spans="1:23" ht="31.5" hidden="1">
      <c r="A2000" s="3443" t="s">
        <v>1323</v>
      </c>
      <c r="B2000" s="3444">
        <v>45966</v>
      </c>
      <c r="C2000" s="3355" t="s">
        <v>3771</v>
      </c>
      <c r="D2000" s="4128"/>
      <c r="E2000" s="4165" t="s">
        <v>436</v>
      </c>
      <c r="F2000" s="4165" t="s">
        <v>142</v>
      </c>
      <c r="I2000" s="3443">
        <v>705</v>
      </c>
      <c r="J2000" s="3443" t="s">
        <v>3811</v>
      </c>
      <c r="K2000" s="2369"/>
      <c r="L2000" s="3443" t="s">
        <v>37</v>
      </c>
      <c r="M2000" s="3443"/>
      <c r="N2000" s="3443"/>
      <c r="O2000" s="3443"/>
      <c r="P2000" s="3443"/>
      <c r="Q2000" s="3443"/>
      <c r="S2000" s="3443"/>
      <c r="T2000" s="3443"/>
      <c r="U2000" s="3443"/>
      <c r="V2000" s="3443"/>
      <c r="W2000" s="3507"/>
    </row>
    <row r="2001" spans="1:23" ht="31.5" hidden="1">
      <c r="A2001" s="3443" t="s">
        <v>105</v>
      </c>
      <c r="B2001" s="3444">
        <v>45967</v>
      </c>
      <c r="C2001" s="3355" t="s">
        <v>3771</v>
      </c>
      <c r="D2001" s="4109"/>
      <c r="E2001" s="3377" t="s">
        <v>1698</v>
      </c>
      <c r="F2001" s="3377" t="s">
        <v>48</v>
      </c>
      <c r="I2001" s="3443">
        <v>705</v>
      </c>
      <c r="J2001" s="3443" t="s">
        <v>3812</v>
      </c>
      <c r="K2001" s="4153" t="s">
        <v>174</v>
      </c>
      <c r="L2001" s="3443" t="s">
        <v>37</v>
      </c>
      <c r="M2001" s="3443"/>
      <c r="N2001" s="3443"/>
      <c r="O2001" s="3443"/>
      <c r="P2001" s="3443"/>
      <c r="Q2001" s="3443"/>
      <c r="S2001" s="3443"/>
      <c r="T2001" s="3443" t="s">
        <v>37</v>
      </c>
      <c r="U2001" s="3443" t="s">
        <v>37</v>
      </c>
      <c r="V2001" s="3443"/>
      <c r="W2001" s="3507"/>
    </row>
    <row r="2002" spans="1:23" ht="31.5" hidden="1">
      <c r="A2002" s="3443" t="s">
        <v>105</v>
      </c>
      <c r="B2002" s="3444">
        <v>45967</v>
      </c>
      <c r="C2002" s="3355" t="s">
        <v>3771</v>
      </c>
      <c r="D2002" s="4128"/>
      <c r="E2002" s="4159" t="s">
        <v>1464</v>
      </c>
      <c r="F2002" s="4159" t="s">
        <v>3225</v>
      </c>
      <c r="I2002" s="3443">
        <v>701</v>
      </c>
      <c r="J2002" s="3443" t="s">
        <v>3464</v>
      </c>
      <c r="K2002" s="3890"/>
      <c r="L2002" s="3443" t="s">
        <v>37</v>
      </c>
      <c r="M2002" s="3443"/>
      <c r="N2002" s="3443"/>
      <c r="O2002" s="3443"/>
      <c r="P2002" s="3443"/>
      <c r="Q2002" s="3443"/>
      <c r="S2002" s="3443"/>
      <c r="T2002" s="3443"/>
      <c r="U2002" s="3443"/>
      <c r="V2002" s="3443"/>
      <c r="W2002" s="3507"/>
    </row>
    <row r="2003" spans="1:23" ht="31.5" hidden="1">
      <c r="A2003" s="3443" t="s">
        <v>105</v>
      </c>
      <c r="B2003" s="3444">
        <v>45967</v>
      </c>
      <c r="C2003" s="3355" t="s">
        <v>3771</v>
      </c>
      <c r="D2003" s="4128"/>
      <c r="E2003" s="4159" t="s">
        <v>1465</v>
      </c>
      <c r="F2003" s="4159" t="s">
        <v>3228</v>
      </c>
      <c r="I2003" s="3443">
        <v>701</v>
      </c>
      <c r="J2003" s="3443" t="s">
        <v>3464</v>
      </c>
      <c r="K2003" s="3890"/>
      <c r="L2003" s="3443" t="s">
        <v>37</v>
      </c>
      <c r="M2003" s="3443"/>
      <c r="N2003" s="3443"/>
      <c r="O2003" s="3443"/>
      <c r="P2003" s="3443"/>
      <c r="Q2003" s="3443"/>
      <c r="S2003" s="3443"/>
      <c r="T2003" s="3443"/>
      <c r="U2003" s="3443"/>
      <c r="V2003" s="3443"/>
      <c r="W2003" s="3507"/>
    </row>
    <row r="2004" spans="1:23" ht="31.5" hidden="1">
      <c r="A2004" s="3443" t="s">
        <v>105</v>
      </c>
      <c r="B2004" s="3444">
        <v>45967</v>
      </c>
      <c r="C2004" s="3355" t="s">
        <v>3771</v>
      </c>
      <c r="D2004" s="4108"/>
      <c r="E2004" s="4240" t="s">
        <v>86</v>
      </c>
      <c r="F2004" s="4240" t="s">
        <v>3813</v>
      </c>
      <c r="I2004" s="3443">
        <v>707</v>
      </c>
      <c r="J2004" s="3443" t="s">
        <v>3775</v>
      </c>
      <c r="K2004" s="3890"/>
      <c r="L2004" s="3443" t="s">
        <v>37</v>
      </c>
      <c r="M2004" s="3443"/>
      <c r="N2004" s="3443"/>
      <c r="O2004" s="3443"/>
      <c r="P2004" s="3443"/>
      <c r="Q2004" s="3443" t="s">
        <v>37</v>
      </c>
      <c r="S2004" s="3443"/>
      <c r="T2004" s="3443"/>
      <c r="U2004" s="3443"/>
      <c r="V2004" s="3443"/>
      <c r="W2004" s="3507"/>
    </row>
    <row r="2005" spans="1:23" ht="31.5" hidden="1">
      <c r="A2005" s="3443" t="s">
        <v>105</v>
      </c>
      <c r="B2005" s="3444">
        <v>45967</v>
      </c>
      <c r="C2005" s="3355" t="s">
        <v>3771</v>
      </c>
      <c r="D2005" s="4108"/>
      <c r="E2005" s="4240" t="s">
        <v>491</v>
      </c>
      <c r="F2005" s="4240" t="s">
        <v>220</v>
      </c>
      <c r="I2005" s="3443">
        <v>707</v>
      </c>
      <c r="J2005" s="3443" t="s">
        <v>3775</v>
      </c>
      <c r="K2005" s="2369"/>
      <c r="L2005" s="3443" t="s">
        <v>37</v>
      </c>
      <c r="M2005" s="3443"/>
      <c r="N2005" s="3443"/>
      <c r="O2005" s="3443"/>
      <c r="P2005" s="3443"/>
      <c r="Q2005" s="3443" t="s">
        <v>37</v>
      </c>
      <c r="S2005" s="3443"/>
      <c r="T2005" s="3443"/>
      <c r="U2005" s="3443"/>
      <c r="V2005" s="3443"/>
      <c r="W2005" s="3507"/>
    </row>
    <row r="2006" spans="1:23" ht="31.5" hidden="1">
      <c r="A2006" s="3443" t="s">
        <v>105</v>
      </c>
      <c r="B2006" s="3444">
        <v>45967</v>
      </c>
      <c r="C2006" s="3355" t="s">
        <v>3771</v>
      </c>
      <c r="D2006" s="4109"/>
      <c r="E2006" s="4159" t="s">
        <v>3380</v>
      </c>
      <c r="F2006" s="4159" t="s">
        <v>3814</v>
      </c>
      <c r="I2006" s="3443">
        <v>712</v>
      </c>
      <c r="J2006" s="3443" t="s">
        <v>3815</v>
      </c>
      <c r="K2006" s="4153" t="s">
        <v>627</v>
      </c>
      <c r="L2006" s="3443" t="s">
        <v>37</v>
      </c>
      <c r="M2006" s="3443"/>
      <c r="N2006" s="3443"/>
      <c r="O2006" s="3443"/>
      <c r="P2006" s="3443"/>
      <c r="Q2006" s="3443"/>
      <c r="S2006" s="3443"/>
      <c r="T2006" s="3443"/>
      <c r="U2006" s="3443"/>
      <c r="V2006" s="3443"/>
      <c r="W2006" s="3913"/>
    </row>
    <row r="2007" spans="1:23" ht="31.5" hidden="1">
      <c r="A2007" s="3443" t="s">
        <v>105</v>
      </c>
      <c r="B2007" s="3444">
        <v>45967</v>
      </c>
      <c r="C2007" s="3355" t="s">
        <v>3771</v>
      </c>
      <c r="D2007" s="4128"/>
      <c r="E2007" s="4307" t="s">
        <v>80</v>
      </c>
      <c r="F2007" s="4307" t="s">
        <v>1132</v>
      </c>
      <c r="I2007" s="3443">
        <v>707</v>
      </c>
      <c r="J2007" s="3443">
        <v>60015</v>
      </c>
      <c r="K2007" s="4332"/>
      <c r="L2007" s="3443" t="s">
        <v>37</v>
      </c>
      <c r="M2007" s="3443"/>
      <c r="N2007" s="3443"/>
      <c r="O2007" s="3443"/>
      <c r="P2007" s="3443"/>
      <c r="Q2007" s="3443"/>
      <c r="S2007" s="3443"/>
      <c r="T2007" s="3443"/>
      <c r="U2007" s="3443"/>
      <c r="V2007" s="3443"/>
      <c r="W2007" s="3913"/>
    </row>
    <row r="2008" spans="1:23" ht="31.5" hidden="1">
      <c r="A2008" s="3443" t="s">
        <v>105</v>
      </c>
      <c r="B2008" s="3444">
        <v>45967</v>
      </c>
      <c r="C2008" s="3355" t="s">
        <v>3771</v>
      </c>
      <c r="D2008" s="4128"/>
      <c r="E2008" s="4307" t="s">
        <v>171</v>
      </c>
      <c r="F2008" s="4307" t="s">
        <v>220</v>
      </c>
      <c r="I2008" s="3443">
        <v>707</v>
      </c>
      <c r="J2008" s="3443" t="s">
        <v>3816</v>
      </c>
      <c r="K2008" s="3635"/>
      <c r="L2008" s="3443" t="s">
        <v>37</v>
      </c>
      <c r="M2008" s="3443"/>
      <c r="N2008" s="3443"/>
      <c r="O2008" s="3443"/>
      <c r="P2008" s="3443"/>
      <c r="Q2008" s="3443"/>
      <c r="S2008" s="3443"/>
      <c r="T2008" s="3443"/>
      <c r="U2008" s="3443"/>
      <c r="V2008" s="3443"/>
      <c r="W2008" s="3507"/>
    </row>
    <row r="2009" spans="1:23" ht="31.5" hidden="1">
      <c r="A2009" s="3443" t="s">
        <v>132</v>
      </c>
      <c r="B2009" s="3444">
        <v>45968</v>
      </c>
      <c r="C2009" s="3355" t="s">
        <v>3771</v>
      </c>
      <c r="D2009" s="4109"/>
      <c r="E2009" s="4159" t="s">
        <v>3776</v>
      </c>
      <c r="F2009" s="4159" t="s">
        <v>3817</v>
      </c>
      <c r="I2009" s="3443">
        <v>712</v>
      </c>
      <c r="J2009" s="3443" t="s">
        <v>3815</v>
      </c>
      <c r="K2009" s="4153" t="s">
        <v>627</v>
      </c>
      <c r="L2009" s="3443" t="s">
        <v>37</v>
      </c>
      <c r="M2009" s="3443"/>
      <c r="N2009" s="3443"/>
      <c r="O2009" s="3443"/>
      <c r="P2009" s="3443"/>
      <c r="Q2009" s="3443"/>
      <c r="S2009" s="3443"/>
      <c r="T2009" s="3443"/>
      <c r="U2009" s="3443"/>
      <c r="V2009" s="3443"/>
      <c r="W2009" s="3507"/>
    </row>
    <row r="2010" spans="1:23" ht="31.5" hidden="1">
      <c r="A2010" s="3443" t="s">
        <v>132</v>
      </c>
      <c r="B2010" s="3444">
        <v>45968</v>
      </c>
      <c r="C2010" s="3355" t="s">
        <v>3771</v>
      </c>
      <c r="D2010" s="4108"/>
      <c r="E2010" s="4329" t="s">
        <v>171</v>
      </c>
      <c r="F2010" s="4329" t="s">
        <v>165</v>
      </c>
      <c r="I2010" s="3443">
        <v>705</v>
      </c>
      <c r="J2010" s="3443" t="s">
        <v>3818</v>
      </c>
      <c r="K2010" s="3890"/>
      <c r="L2010" s="3443" t="s">
        <v>37</v>
      </c>
      <c r="M2010" s="3443"/>
      <c r="N2010" s="3443"/>
      <c r="O2010" s="3443"/>
      <c r="P2010" s="3443"/>
      <c r="Q2010" s="3443"/>
      <c r="S2010" s="3443"/>
      <c r="T2010" s="3443"/>
      <c r="U2010" s="3443"/>
      <c r="V2010" s="3443"/>
      <c r="W2010" s="3507"/>
    </row>
    <row r="2011" spans="1:23" ht="31.5" hidden="1">
      <c r="A2011" s="3443" t="s">
        <v>132</v>
      </c>
      <c r="B2011" s="3444">
        <v>45968</v>
      </c>
      <c r="C2011" s="3355" t="s">
        <v>3771</v>
      </c>
      <c r="D2011" s="4108"/>
      <c r="E2011" s="4329" t="s">
        <v>168</v>
      </c>
      <c r="F2011" s="4329" t="s">
        <v>142</v>
      </c>
      <c r="I2011" s="3443">
        <v>705</v>
      </c>
      <c r="J2011" s="3443" t="s">
        <v>3819</v>
      </c>
      <c r="K2011" s="3890"/>
      <c r="L2011" s="3443" t="s">
        <v>37</v>
      </c>
      <c r="M2011" s="3443"/>
      <c r="N2011" s="3443"/>
      <c r="O2011" s="3443"/>
      <c r="P2011" s="3443"/>
      <c r="Q2011" s="3443"/>
      <c r="S2011" s="3443"/>
      <c r="T2011" s="3443"/>
      <c r="U2011" s="3443"/>
      <c r="V2011" s="3443"/>
      <c r="W2011" s="3507"/>
    </row>
    <row r="2012" spans="1:23" ht="31.5" hidden="1">
      <c r="A2012" s="3443" t="s">
        <v>132</v>
      </c>
      <c r="B2012" s="3444">
        <v>45968</v>
      </c>
      <c r="C2012" s="3355" t="s">
        <v>3771</v>
      </c>
      <c r="D2012" s="4330"/>
      <c r="E2012" s="4162" t="s">
        <v>169</v>
      </c>
      <c r="F2012" s="4162" t="s">
        <v>3820</v>
      </c>
      <c r="I2012" s="3443">
        <v>707</v>
      </c>
      <c r="J2012" s="3443" t="s">
        <v>3821</v>
      </c>
      <c r="K2012" s="3890"/>
      <c r="L2012" s="3443" t="s">
        <v>37</v>
      </c>
      <c r="M2012" s="3443"/>
      <c r="N2012" s="3443"/>
      <c r="O2012" s="3443"/>
      <c r="P2012" s="3443"/>
      <c r="Q2012" s="3443"/>
      <c r="S2012" s="3443"/>
      <c r="T2012" s="3443"/>
      <c r="U2012" s="3443"/>
      <c r="V2012" s="3443"/>
      <c r="W2012" s="3507"/>
    </row>
    <row r="2013" spans="1:23" ht="31.5" hidden="1">
      <c r="A2013" s="3443" t="s">
        <v>132</v>
      </c>
      <c r="B2013" s="3444">
        <v>45968</v>
      </c>
      <c r="C2013" s="3355" t="s">
        <v>3771</v>
      </c>
      <c r="D2013" s="4128"/>
      <c r="E2013" s="3377" t="s">
        <v>169</v>
      </c>
      <c r="F2013" s="3377" t="s">
        <v>3822</v>
      </c>
      <c r="I2013" s="3443">
        <v>707</v>
      </c>
      <c r="J2013" s="3443">
        <v>60015</v>
      </c>
      <c r="K2013" s="3890"/>
      <c r="L2013" s="3443" t="s">
        <v>37</v>
      </c>
      <c r="M2013" s="3443"/>
      <c r="N2013" s="3443"/>
      <c r="O2013" s="3443"/>
      <c r="P2013" s="3443"/>
      <c r="Q2013" s="3443"/>
      <c r="S2013" s="3443"/>
      <c r="T2013" s="3443"/>
      <c r="U2013" s="3443"/>
      <c r="V2013" s="3443"/>
      <c r="W2013" s="3507"/>
    </row>
    <row r="2014" spans="1:23" ht="31.5" hidden="1">
      <c r="A2014" s="3443" t="s">
        <v>132</v>
      </c>
      <c r="B2014" s="3444">
        <v>45968</v>
      </c>
      <c r="C2014" s="3355" t="s">
        <v>3771</v>
      </c>
      <c r="D2014" s="4128"/>
      <c r="E2014" s="4291" t="s">
        <v>3823</v>
      </c>
      <c r="F2014" s="4291" t="s">
        <v>659</v>
      </c>
      <c r="I2014" s="3443">
        <v>712</v>
      </c>
      <c r="J2014" s="3443" t="s">
        <v>657</v>
      </c>
      <c r="K2014" s="3890"/>
      <c r="L2014" s="3443" t="s">
        <v>37</v>
      </c>
      <c r="M2014" s="3443"/>
      <c r="N2014" s="3443"/>
      <c r="O2014" s="3443"/>
      <c r="P2014" s="3443"/>
      <c r="Q2014" s="3443"/>
      <c r="S2014" s="3443"/>
      <c r="T2014" s="3443"/>
      <c r="U2014" s="3443"/>
      <c r="V2014" s="3443"/>
      <c r="W2014" s="3913"/>
    </row>
    <row r="2015" spans="1:23" ht="31.5" hidden="1">
      <c r="A2015" s="3443" t="s">
        <v>132</v>
      </c>
      <c r="B2015" s="3444">
        <v>45968</v>
      </c>
      <c r="C2015" s="3355" t="s">
        <v>3771</v>
      </c>
      <c r="D2015" s="4128"/>
      <c r="E2015" s="4291" t="s">
        <v>450</v>
      </c>
      <c r="F2015" s="4291" t="s">
        <v>1834</v>
      </c>
      <c r="I2015" s="3443">
        <v>712</v>
      </c>
      <c r="J2015" s="3443" t="s">
        <v>3824</v>
      </c>
      <c r="K2015" s="3890"/>
      <c r="L2015" s="3443" t="s">
        <v>37</v>
      </c>
      <c r="M2015" s="3443"/>
      <c r="N2015" s="3443"/>
      <c r="O2015" s="3443"/>
      <c r="P2015" s="3443"/>
      <c r="Q2015" s="3443"/>
      <c r="S2015" s="3443"/>
      <c r="T2015" s="3443"/>
      <c r="U2015" s="3443"/>
      <c r="V2015" s="3443"/>
      <c r="W2015" s="3913"/>
    </row>
    <row r="2016" spans="1:23" ht="31.5" hidden="1">
      <c r="A2016" s="3443" t="s">
        <v>132</v>
      </c>
      <c r="B2016" s="3444">
        <v>45968</v>
      </c>
      <c r="C2016" s="3355" t="s">
        <v>3771</v>
      </c>
      <c r="D2016" s="4128"/>
      <c r="E2016" s="4307" t="s">
        <v>169</v>
      </c>
      <c r="F2016" s="4307" t="s">
        <v>3825</v>
      </c>
      <c r="I2016" s="3443">
        <v>707</v>
      </c>
      <c r="J2016" s="3443" t="s">
        <v>3737</v>
      </c>
      <c r="K2016" s="4332"/>
      <c r="L2016" s="3443" t="s">
        <v>37</v>
      </c>
      <c r="M2016" s="3443"/>
      <c r="N2016" s="3443"/>
      <c r="O2016" s="3443"/>
      <c r="P2016" s="3443"/>
      <c r="Q2016" s="3443"/>
      <c r="S2016" s="3443"/>
      <c r="T2016" s="3443"/>
      <c r="U2016" s="3443"/>
      <c r="V2016" s="3443"/>
      <c r="W2016" s="3913"/>
    </row>
    <row r="2017" spans="1:24" ht="31.5" hidden="1">
      <c r="A2017" s="3443" t="s">
        <v>132</v>
      </c>
      <c r="B2017" s="3444">
        <v>45968</v>
      </c>
      <c r="C2017" s="3355" t="s">
        <v>3771</v>
      </c>
      <c r="D2017" s="4128"/>
      <c r="E2017" s="3377" t="s">
        <v>63</v>
      </c>
      <c r="F2017" s="3377" t="s">
        <v>3826</v>
      </c>
      <c r="I2017" s="3443">
        <v>712</v>
      </c>
      <c r="J2017" s="3443" t="s">
        <v>3827</v>
      </c>
      <c r="K2017" s="4332"/>
      <c r="L2017" s="3443" t="s">
        <v>37</v>
      </c>
      <c r="M2017" s="3443"/>
      <c r="N2017" s="3443"/>
      <c r="O2017" s="3443"/>
      <c r="P2017" s="3443"/>
      <c r="Q2017" s="3443"/>
      <c r="S2017" s="3443"/>
      <c r="T2017" s="3443"/>
      <c r="U2017" s="3443"/>
      <c r="V2017" s="3443"/>
      <c r="W2017" s="3913"/>
    </row>
    <row r="2018" spans="1:24" ht="31.5" hidden="1">
      <c r="A2018" s="3443" t="s">
        <v>132</v>
      </c>
      <c r="B2018" s="3444">
        <v>45968</v>
      </c>
      <c r="C2018" s="3165" t="s">
        <v>3771</v>
      </c>
      <c r="D2018" s="4128"/>
      <c r="E2018" s="3377" t="s">
        <v>1187</v>
      </c>
      <c r="F2018" s="3377" t="s">
        <v>3828</v>
      </c>
      <c r="I2018" s="3443">
        <v>712</v>
      </c>
      <c r="J2018" s="3443" t="s">
        <v>3827</v>
      </c>
      <c r="K2018" s="4332"/>
      <c r="L2018" s="3443" t="s">
        <v>37</v>
      </c>
      <c r="M2018" s="3443"/>
      <c r="N2018" s="3443"/>
      <c r="O2018" s="3443"/>
      <c r="P2018" s="3443"/>
      <c r="Q2018" s="3443"/>
      <c r="S2018" s="3443"/>
      <c r="T2018" s="3443"/>
      <c r="U2018" s="3443"/>
      <c r="V2018" s="3443"/>
      <c r="W2018" s="3507"/>
    </row>
    <row r="2019" spans="1:24" ht="31.5" hidden="1">
      <c r="A2019" s="3443" t="s">
        <v>143</v>
      </c>
      <c r="B2019" s="3444">
        <v>45969</v>
      </c>
      <c r="C2019" s="3165" t="s">
        <v>3771</v>
      </c>
      <c r="D2019" s="4128"/>
      <c r="E2019" s="3377" t="s">
        <v>48</v>
      </c>
      <c r="F2019" s="3377" t="s">
        <v>450</v>
      </c>
      <c r="I2019" s="3443">
        <v>705</v>
      </c>
      <c r="J2019" s="3443" t="s">
        <v>3829</v>
      </c>
      <c r="K2019" s="3890"/>
      <c r="L2019" s="3443" t="s">
        <v>37</v>
      </c>
      <c r="M2019" s="3443"/>
      <c r="N2019" s="3443"/>
      <c r="O2019" s="3443"/>
      <c r="P2019" s="3443"/>
      <c r="Q2019" s="3443"/>
      <c r="S2019" s="3443"/>
      <c r="T2019" s="3443"/>
      <c r="U2019" s="3443"/>
      <c r="V2019" s="3443"/>
      <c r="W2019" s="3507"/>
    </row>
    <row r="2020" spans="1:24" ht="31.5" hidden="1">
      <c r="A2020" s="3443" t="s">
        <v>143</v>
      </c>
      <c r="B2020" s="3444">
        <v>45969</v>
      </c>
      <c r="C2020" s="3165" t="s">
        <v>3771</v>
      </c>
      <c r="D2020" s="4128"/>
      <c r="E2020" s="3377" t="s">
        <v>1838</v>
      </c>
      <c r="F2020" s="3377" t="s">
        <v>3830</v>
      </c>
      <c r="I2020" s="3443">
        <v>707</v>
      </c>
      <c r="J2020" s="3443" t="s">
        <v>3831</v>
      </c>
      <c r="K2020" s="2369"/>
      <c r="L2020" s="3443" t="s">
        <v>37</v>
      </c>
      <c r="M2020" s="3443"/>
      <c r="N2020" s="3443"/>
      <c r="O2020" s="3443"/>
      <c r="P2020" s="3443"/>
      <c r="Q2020" s="3443"/>
      <c r="S2020" s="3443"/>
      <c r="T2020" s="3443"/>
      <c r="U2020" s="3456"/>
      <c r="V2020" s="3456"/>
      <c r="W2020" s="3609"/>
      <c r="X2020" s="4796"/>
    </row>
    <row r="2021" spans="1:24" ht="28.5" hidden="1">
      <c r="A2021" s="3443" t="s">
        <v>25</v>
      </c>
      <c r="B2021" s="3444">
        <v>45971</v>
      </c>
      <c r="C2021" s="3165" t="s">
        <v>3832</v>
      </c>
      <c r="D2021" s="4128"/>
      <c r="E2021" s="4334" t="s">
        <v>1369</v>
      </c>
      <c r="F2021" s="4334" t="s">
        <v>68</v>
      </c>
      <c r="I2021" s="3443">
        <v>705</v>
      </c>
      <c r="J2021" s="3443" t="s">
        <v>3833</v>
      </c>
      <c r="K2021" s="3443"/>
      <c r="L2021" s="3443" t="s">
        <v>30</v>
      </c>
      <c r="M2021" s="3443"/>
      <c r="N2021" s="3443"/>
      <c r="O2021" s="3443"/>
      <c r="P2021" s="3443"/>
      <c r="Q2021" s="3443"/>
      <c r="R2021" s="3443"/>
      <c r="S2021" s="3443"/>
      <c r="T2021" s="3443"/>
      <c r="U2021" s="3443"/>
      <c r="V2021" s="3443"/>
      <c r="W2021" s="3507" t="s">
        <v>3834</v>
      </c>
      <c r="X2021" s="3522"/>
    </row>
    <row r="2022" spans="1:24" ht="31.5" hidden="1">
      <c r="A2022" s="3443" t="s">
        <v>25</v>
      </c>
      <c r="B2022" s="3444">
        <v>45971</v>
      </c>
      <c r="C2022" s="3165" t="s">
        <v>3832</v>
      </c>
      <c r="D2022" s="4128"/>
      <c r="E2022" s="4329" t="s">
        <v>596</v>
      </c>
      <c r="F2022" s="4329" t="s">
        <v>165</v>
      </c>
      <c r="I2022" s="3443">
        <v>705</v>
      </c>
      <c r="J2022" s="3443" t="s">
        <v>922</v>
      </c>
      <c r="K2022" s="3443"/>
      <c r="L2022" s="3443" t="s">
        <v>37</v>
      </c>
      <c r="M2022" s="3443"/>
      <c r="N2022" s="3443"/>
      <c r="O2022" s="3443"/>
      <c r="P2022" s="3443"/>
      <c r="Q2022" s="3443"/>
      <c r="R2022" s="3443"/>
      <c r="S2022" s="3443"/>
      <c r="T2022" s="3443"/>
      <c r="U2022" s="3443"/>
      <c r="V2022" s="3443"/>
      <c r="W2022" s="3443"/>
      <c r="X2022" s="3522"/>
    </row>
    <row r="2023" spans="1:24" ht="31.5" hidden="1">
      <c r="A2023" s="3443" t="s">
        <v>25</v>
      </c>
      <c r="B2023" s="3444">
        <v>45971</v>
      </c>
      <c r="C2023" s="3165" t="s">
        <v>3832</v>
      </c>
      <c r="D2023" s="4128"/>
      <c r="E2023" s="4329" t="s">
        <v>168</v>
      </c>
      <c r="F2023" s="4329" t="s">
        <v>3759</v>
      </c>
      <c r="I2023" s="3443">
        <v>705</v>
      </c>
      <c r="J2023" s="3443" t="s">
        <v>3835</v>
      </c>
      <c r="K2023" s="3443"/>
      <c r="L2023" s="3443" t="s">
        <v>37</v>
      </c>
      <c r="M2023" s="3443"/>
      <c r="N2023" s="3443"/>
      <c r="O2023" s="3443"/>
      <c r="P2023" s="3443"/>
      <c r="Q2023" s="3443"/>
      <c r="R2023" s="3443"/>
      <c r="S2023" s="3443"/>
      <c r="T2023" s="3443"/>
      <c r="U2023" s="3443"/>
      <c r="V2023" s="3443"/>
      <c r="W2023" s="3443"/>
      <c r="X2023" s="3522"/>
    </row>
    <row r="2024" spans="1:24" ht="28.5" hidden="1">
      <c r="A2024" s="3443" t="s">
        <v>25</v>
      </c>
      <c r="B2024" s="3444">
        <v>45971</v>
      </c>
      <c r="C2024" s="3165" t="s">
        <v>3832</v>
      </c>
      <c r="D2024" s="4128"/>
      <c r="E2024" s="4334" t="s">
        <v>3830</v>
      </c>
      <c r="F2024" s="4334" t="s">
        <v>1838</v>
      </c>
      <c r="I2024" s="3443">
        <v>707</v>
      </c>
      <c r="J2024" s="3443" t="s">
        <v>1670</v>
      </c>
      <c r="K2024" s="3443"/>
      <c r="L2024" s="3443" t="s">
        <v>37</v>
      </c>
      <c r="M2024" s="3443"/>
      <c r="N2024" s="3443"/>
      <c r="O2024" s="3443"/>
      <c r="P2024" s="3443"/>
      <c r="Q2024" s="3443"/>
      <c r="R2024" s="3443"/>
      <c r="S2024" s="3443"/>
      <c r="T2024" s="3443"/>
      <c r="U2024" s="3443"/>
      <c r="V2024" s="3443"/>
      <c r="W2024" s="3443"/>
      <c r="X2024" s="3522"/>
    </row>
    <row r="2025" spans="1:24" ht="28.5" hidden="1">
      <c r="A2025" s="3443" t="s">
        <v>25</v>
      </c>
      <c r="B2025" s="3444">
        <v>45971</v>
      </c>
      <c r="C2025" s="3165" t="s">
        <v>3832</v>
      </c>
      <c r="D2025" s="4128"/>
      <c r="E2025" s="4335" t="s">
        <v>596</v>
      </c>
      <c r="F2025" s="4335" t="s">
        <v>731</v>
      </c>
      <c r="I2025" s="3443">
        <v>705</v>
      </c>
      <c r="J2025" s="3443" t="s">
        <v>430</v>
      </c>
      <c r="K2025" s="3443"/>
      <c r="L2025" s="3443" t="s">
        <v>37</v>
      </c>
      <c r="M2025" s="3443"/>
      <c r="N2025" s="3443"/>
      <c r="O2025" s="3443"/>
      <c r="P2025" s="3462"/>
      <c r="Q2025" s="3462"/>
      <c r="R2025" s="3462"/>
      <c r="S2025" s="3443"/>
      <c r="T2025" s="3443"/>
      <c r="U2025" s="3443"/>
      <c r="V2025" s="3443"/>
      <c r="W2025" s="3516"/>
      <c r="X2025" s="3522"/>
    </row>
    <row r="2026" spans="1:24" ht="85.5" hidden="1">
      <c r="A2026" s="3443" t="s">
        <v>25</v>
      </c>
      <c r="B2026" s="3444">
        <v>45971</v>
      </c>
      <c r="C2026" s="3165" t="s">
        <v>3832</v>
      </c>
      <c r="D2026" s="4128"/>
      <c r="E2026" s="4335" t="s">
        <v>273</v>
      </c>
      <c r="F2026" s="4335" t="s">
        <v>3759</v>
      </c>
      <c r="I2026" s="3443">
        <v>705</v>
      </c>
      <c r="J2026" s="3443" t="s">
        <v>3836</v>
      </c>
      <c r="K2026" s="3443"/>
      <c r="L2026" s="3443"/>
      <c r="M2026" s="3443" t="s">
        <v>37</v>
      </c>
      <c r="N2026" s="3443"/>
      <c r="O2026" s="3443"/>
      <c r="P2026" s="360" t="s">
        <v>71</v>
      </c>
      <c r="Q2026" s="360" t="s">
        <v>2932</v>
      </c>
      <c r="R2026" s="360" t="s">
        <v>160</v>
      </c>
      <c r="S2026" s="3443"/>
      <c r="T2026" s="3443"/>
      <c r="U2026" s="3443"/>
      <c r="V2026" s="3443"/>
      <c r="W2026" s="3507" t="s">
        <v>3837</v>
      </c>
      <c r="X2026" s="3522"/>
    </row>
    <row r="2027" spans="1:24" ht="31.5" hidden="1">
      <c r="A2027" s="3443" t="s">
        <v>25</v>
      </c>
      <c r="B2027" s="3444">
        <v>45971</v>
      </c>
      <c r="C2027" s="3165" t="s">
        <v>3832</v>
      </c>
      <c r="D2027" s="4128"/>
      <c r="E2027" s="4239" t="s">
        <v>840</v>
      </c>
      <c r="F2027" s="4239" t="s">
        <v>3838</v>
      </c>
      <c r="I2027" s="3443">
        <v>707</v>
      </c>
      <c r="J2027" s="3443" t="s">
        <v>151</v>
      </c>
      <c r="K2027" s="3443"/>
      <c r="L2027" s="3443" t="s">
        <v>37</v>
      </c>
      <c r="M2027" s="3443"/>
      <c r="N2027" s="3443"/>
      <c r="O2027" s="3443"/>
      <c r="P2027" s="3443"/>
      <c r="Q2027" s="3443"/>
      <c r="R2027" s="3443"/>
      <c r="S2027" s="3443"/>
      <c r="T2027" s="3443"/>
      <c r="U2027" s="3443"/>
      <c r="V2027" s="3443"/>
      <c r="W2027" s="3443"/>
      <c r="X2027" s="3522"/>
    </row>
    <row r="2028" spans="1:24" ht="31.5" hidden="1">
      <c r="A2028" s="3443" t="s">
        <v>25</v>
      </c>
      <c r="B2028" s="3444">
        <v>45971</v>
      </c>
      <c r="C2028" s="3165" t="s">
        <v>3832</v>
      </c>
      <c r="D2028" s="4128"/>
      <c r="E2028" s="4522" t="s">
        <v>148</v>
      </c>
      <c r="F2028" s="4522" t="s">
        <v>3839</v>
      </c>
      <c r="I2028" s="3505">
        <v>707</v>
      </c>
      <c r="J2028" s="3602" t="s">
        <v>151</v>
      </c>
      <c r="K2028" s="3443"/>
      <c r="L2028" s="3505" t="s">
        <v>37</v>
      </c>
      <c r="M2028" s="3505"/>
      <c r="N2028" s="3505"/>
      <c r="O2028" s="3505"/>
      <c r="P2028" s="3505"/>
      <c r="Q2028" s="3505"/>
      <c r="R2028" s="3605"/>
      <c r="S2028" s="3456"/>
      <c r="T2028" s="3456"/>
      <c r="U2028" s="3456"/>
      <c r="V2028" s="3456"/>
      <c r="W2028" s="3456"/>
      <c r="X2028" s="3609"/>
    </row>
    <row r="2029" spans="1:24" ht="31.5" hidden="1">
      <c r="A2029" s="3443" t="s">
        <v>25</v>
      </c>
      <c r="B2029" s="3444">
        <v>45971</v>
      </c>
      <c r="C2029" s="3165" t="s">
        <v>3832</v>
      </c>
      <c r="D2029" s="4128"/>
      <c r="E2029" s="4179" t="s">
        <v>68</v>
      </c>
      <c r="F2029" s="4179" t="s">
        <v>183</v>
      </c>
      <c r="I2029" s="3443">
        <v>705</v>
      </c>
      <c r="J2029" s="3443" t="s">
        <v>3219</v>
      </c>
      <c r="K2029" s="3443"/>
      <c r="L2029" s="3443" t="s">
        <v>37</v>
      </c>
      <c r="M2029" s="3443"/>
      <c r="N2029" s="3443"/>
      <c r="O2029" s="3443"/>
      <c r="P2029" s="3443"/>
      <c r="Q2029" s="3443"/>
      <c r="R2029" s="3443"/>
      <c r="S2029" s="3443"/>
      <c r="T2029" s="3443"/>
      <c r="U2029" s="3443"/>
      <c r="V2029" s="3443"/>
      <c r="W2029" s="3443"/>
      <c r="X2029" s="3522"/>
    </row>
    <row r="2030" spans="1:24" ht="31.5" hidden="1">
      <c r="A2030" s="3443" t="s">
        <v>25</v>
      </c>
      <c r="B2030" s="3444">
        <v>45971</v>
      </c>
      <c r="C2030" s="3165" t="s">
        <v>3832</v>
      </c>
      <c r="D2030" s="4128"/>
      <c r="E2030" s="4288" t="s">
        <v>596</v>
      </c>
      <c r="F2030" s="4288" t="s">
        <v>750</v>
      </c>
      <c r="I2030" s="3443">
        <v>705</v>
      </c>
      <c r="J2030" s="3443" t="s">
        <v>922</v>
      </c>
      <c r="K2030" s="3443"/>
      <c r="L2030" s="3443" t="s">
        <v>37</v>
      </c>
      <c r="M2030" s="3443"/>
      <c r="N2030" s="3443"/>
      <c r="O2030" s="3443"/>
      <c r="P2030" s="3443"/>
      <c r="Q2030" s="3443"/>
      <c r="R2030" s="3443"/>
      <c r="S2030" s="3443"/>
      <c r="T2030" s="3443"/>
      <c r="U2030" s="3443"/>
      <c r="V2030" s="3443"/>
      <c r="W2030" s="3443"/>
      <c r="X2030" s="3522"/>
    </row>
    <row r="2031" spans="1:24" ht="31.5" hidden="1">
      <c r="A2031" s="3443" t="s">
        <v>25</v>
      </c>
      <c r="B2031" s="3457">
        <v>45971</v>
      </c>
      <c r="C2031" s="3165" t="s">
        <v>3832</v>
      </c>
      <c r="D2031" s="4128"/>
      <c r="E2031" s="4288" t="s">
        <v>436</v>
      </c>
      <c r="F2031" s="4288" t="s">
        <v>3759</v>
      </c>
      <c r="I2031" s="3505">
        <v>705</v>
      </c>
      <c r="J2031" s="3531" t="s">
        <v>3840</v>
      </c>
      <c r="K2031" s="3443"/>
      <c r="L2031" s="3443" t="s">
        <v>37</v>
      </c>
      <c r="M2031" s="3443"/>
      <c r="N2031" s="3443"/>
      <c r="O2031" s="3443"/>
      <c r="P2031" s="3443"/>
      <c r="Q2031" s="3443"/>
      <c r="R2031" s="3534"/>
      <c r="S2031" s="3443"/>
      <c r="T2031" s="3443"/>
      <c r="U2031" s="3443"/>
      <c r="V2031" s="3443"/>
      <c r="W2031" s="3443"/>
      <c r="X2031" s="3522"/>
    </row>
    <row r="2032" spans="1:24" ht="31.5" hidden="1">
      <c r="A2032" s="3443" t="s">
        <v>67</v>
      </c>
      <c r="B2032" s="3457">
        <v>45972</v>
      </c>
      <c r="C2032" s="3165" t="s">
        <v>3832</v>
      </c>
      <c r="D2032" s="4128"/>
      <c r="E2032" s="4522" t="s">
        <v>405</v>
      </c>
      <c r="F2032" s="4522" t="s">
        <v>3841</v>
      </c>
      <c r="I2032" s="3505">
        <v>707</v>
      </c>
      <c r="J2032" s="3602" t="s">
        <v>151</v>
      </c>
      <c r="K2032" s="3443"/>
      <c r="L2032" s="3505" t="s">
        <v>37</v>
      </c>
      <c r="M2032" s="3505"/>
      <c r="N2032" s="3505"/>
      <c r="O2032" s="3505"/>
      <c r="P2032" s="3505"/>
      <c r="Q2032" s="3505"/>
      <c r="R2032" s="3605"/>
      <c r="S2032" s="3456"/>
      <c r="T2032" s="3456"/>
      <c r="U2032" s="3456"/>
      <c r="V2032" s="3456"/>
      <c r="W2032" s="3456"/>
      <c r="X2032" s="3609"/>
    </row>
    <row r="2033" spans="1:24" ht="31.5" hidden="1">
      <c r="A2033" s="3443" t="s">
        <v>85</v>
      </c>
      <c r="B2033" s="3457">
        <v>45973</v>
      </c>
      <c r="C2033" s="3165" t="s">
        <v>3832</v>
      </c>
      <c r="D2033" s="4109"/>
      <c r="E2033" s="4236" t="s">
        <v>169</v>
      </c>
      <c r="F2033" s="4237" t="s">
        <v>3759</v>
      </c>
      <c r="I2033" s="3443">
        <v>705</v>
      </c>
      <c r="J2033" s="3443" t="s">
        <v>3219</v>
      </c>
      <c r="K2033" s="3511" t="s">
        <v>84</v>
      </c>
      <c r="L2033" s="3505" t="s">
        <v>37</v>
      </c>
      <c r="M2033" s="3505"/>
      <c r="N2033" s="3505"/>
      <c r="O2033" s="3505"/>
      <c r="P2033" s="3505"/>
      <c r="Q2033" s="3505"/>
      <c r="R2033" s="3456"/>
      <c r="S2033" s="3456"/>
      <c r="T2033" s="3456"/>
      <c r="U2033" s="3456"/>
      <c r="V2033" s="3456"/>
      <c r="W2033" s="3456"/>
      <c r="X2033" s="3609"/>
    </row>
    <row r="2034" spans="1:24" ht="31.5" hidden="1">
      <c r="A2034" s="3443" t="s">
        <v>85</v>
      </c>
      <c r="B2034" s="3457">
        <v>45973</v>
      </c>
      <c r="C2034" s="3165" t="s">
        <v>3832</v>
      </c>
      <c r="D2034" s="4128"/>
      <c r="E2034" s="4159" t="s">
        <v>1464</v>
      </c>
      <c r="F2034" s="4160" t="s">
        <v>3225</v>
      </c>
      <c r="I2034" s="3443">
        <v>701</v>
      </c>
      <c r="J2034" s="3443" t="s">
        <v>3842</v>
      </c>
      <c r="K2034" s="3443"/>
      <c r="L2034" s="3443" t="s">
        <v>37</v>
      </c>
      <c r="M2034" s="3443"/>
      <c r="N2034" s="3443"/>
      <c r="O2034" s="3443"/>
      <c r="P2034" s="3443"/>
      <c r="Q2034" s="3443"/>
      <c r="R2034" s="3534"/>
      <c r="S2034" s="3443"/>
      <c r="T2034" s="3443"/>
      <c r="U2034" s="3443"/>
      <c r="V2034" s="3443"/>
      <c r="W2034" s="3443"/>
      <c r="X2034" s="3522"/>
    </row>
    <row r="2035" spans="1:24" ht="31.5" hidden="1">
      <c r="A2035" s="3443" t="s">
        <v>85</v>
      </c>
      <c r="B2035" s="3457">
        <v>45973</v>
      </c>
      <c r="C2035" s="3165" t="s">
        <v>3832</v>
      </c>
      <c r="D2035" s="4128"/>
      <c r="E2035" s="4159" t="s">
        <v>1465</v>
      </c>
      <c r="F2035" s="4159" t="s">
        <v>3228</v>
      </c>
      <c r="I2035" s="3443">
        <v>701</v>
      </c>
      <c r="J2035" s="3443" t="s">
        <v>3843</v>
      </c>
      <c r="K2035" s="3534"/>
      <c r="L2035" s="3443" t="s">
        <v>37</v>
      </c>
      <c r="M2035" s="3443"/>
      <c r="N2035" s="3443"/>
      <c r="O2035" s="3443"/>
      <c r="P2035" s="3443"/>
      <c r="Q2035" s="3443"/>
      <c r="R2035" s="3534"/>
      <c r="S2035" s="3443"/>
      <c r="T2035" s="3443"/>
      <c r="U2035" s="3443"/>
      <c r="V2035" s="3443"/>
      <c r="W2035" s="3443"/>
      <c r="X2035" s="3522"/>
    </row>
    <row r="2036" spans="1:24" ht="28.5" hidden="1">
      <c r="A2036" s="3443" t="s">
        <v>85</v>
      </c>
      <c r="B2036" s="3457">
        <v>45973</v>
      </c>
      <c r="C2036" s="3165" t="s">
        <v>3832</v>
      </c>
      <c r="D2036" s="4128"/>
      <c r="E2036" s="4336" t="s">
        <v>273</v>
      </c>
      <c r="F2036" s="4336" t="s">
        <v>3844</v>
      </c>
      <c r="I2036" s="3443">
        <v>703</v>
      </c>
      <c r="J2036" s="3443" t="s">
        <v>2335</v>
      </c>
      <c r="K2036" s="3534"/>
      <c r="L2036" s="3443" t="s">
        <v>37</v>
      </c>
      <c r="M2036" s="3443"/>
      <c r="N2036" s="3443"/>
      <c r="O2036" s="3443"/>
      <c r="P2036" s="3443"/>
      <c r="Q2036" s="3443"/>
      <c r="R2036" s="3534"/>
      <c r="S2036" s="3443"/>
      <c r="T2036" s="3443"/>
      <c r="U2036" s="3443"/>
      <c r="V2036" s="3443"/>
      <c r="W2036" s="3443"/>
      <c r="X2036" s="3522"/>
    </row>
    <row r="2037" spans="1:24" ht="28.5" hidden="1">
      <c r="A2037" s="3443" t="s">
        <v>85</v>
      </c>
      <c r="B2037" s="3457">
        <v>45973</v>
      </c>
      <c r="C2037" s="3165" t="s">
        <v>3832</v>
      </c>
      <c r="D2037" s="4128"/>
      <c r="E2037" s="4336" t="s">
        <v>983</v>
      </c>
      <c r="F2037" s="4336" t="s">
        <v>389</v>
      </c>
      <c r="I2037" s="3443">
        <v>703</v>
      </c>
      <c r="J2037" s="3443" t="s">
        <v>2335</v>
      </c>
      <c r="K2037" s="3534"/>
      <c r="L2037" s="3443" t="s">
        <v>37</v>
      </c>
      <c r="M2037" s="3443"/>
      <c r="N2037" s="3443"/>
      <c r="O2037" s="3443"/>
      <c r="P2037" s="3443"/>
      <c r="Q2037" s="3443"/>
      <c r="R2037" s="3534"/>
      <c r="S2037" s="3443"/>
      <c r="T2037" s="3443"/>
      <c r="U2037" s="3443"/>
      <c r="V2037" s="3443"/>
      <c r="W2037" s="3443"/>
      <c r="X2037" s="3522"/>
    </row>
    <row r="2038" spans="1:24" ht="28.5" hidden="1">
      <c r="A2038" s="3443" t="s">
        <v>85</v>
      </c>
      <c r="B2038" s="3457">
        <v>45973</v>
      </c>
      <c r="C2038" s="3165" t="s">
        <v>3832</v>
      </c>
      <c r="D2038" s="4128"/>
      <c r="E2038" s="4334" t="s">
        <v>68</v>
      </c>
      <c r="F2038" s="4334" t="s">
        <v>3845</v>
      </c>
      <c r="I2038" s="3505">
        <v>705</v>
      </c>
      <c r="J2038" s="3599" t="s">
        <v>3047</v>
      </c>
      <c r="K2038" s="3443"/>
      <c r="L2038" s="3443" t="s">
        <v>37</v>
      </c>
      <c r="M2038" s="3443"/>
      <c r="N2038" s="3443"/>
      <c r="O2038" s="3443"/>
      <c r="P2038" s="3443"/>
      <c r="Q2038" s="3443"/>
      <c r="R2038" s="3534"/>
      <c r="S2038" s="3443"/>
      <c r="T2038" s="3443"/>
      <c r="U2038" s="3443"/>
      <c r="V2038" s="3443"/>
      <c r="W2038" s="3443"/>
      <c r="X2038" s="3522"/>
    </row>
    <row r="2039" spans="1:24" ht="28.5" hidden="1">
      <c r="A2039" s="3443" t="s">
        <v>85</v>
      </c>
      <c r="B2039" s="3457">
        <v>45973</v>
      </c>
      <c r="C2039" s="3165" t="s">
        <v>3832</v>
      </c>
      <c r="D2039" s="4128"/>
      <c r="E2039" s="4334" t="s">
        <v>2161</v>
      </c>
      <c r="F2039" s="4334" t="s">
        <v>596</v>
      </c>
      <c r="I2039" s="3505">
        <v>705</v>
      </c>
      <c r="J2039" s="3599" t="s">
        <v>3737</v>
      </c>
      <c r="K2039" s="3443"/>
      <c r="L2039" s="3443" t="s">
        <v>37</v>
      </c>
      <c r="M2039" s="3443"/>
      <c r="N2039" s="3443"/>
      <c r="O2039" s="3443"/>
      <c r="P2039" s="3443"/>
      <c r="Q2039" s="3443"/>
      <c r="R2039" s="3534"/>
      <c r="S2039" s="3443"/>
      <c r="T2039" s="3443"/>
      <c r="U2039" s="3443"/>
      <c r="V2039" s="3443"/>
      <c r="W2039" s="3443"/>
      <c r="X2039" s="3522"/>
    </row>
    <row r="2040" spans="1:24" ht="28.5" hidden="1">
      <c r="A2040" s="3443" t="s">
        <v>85</v>
      </c>
      <c r="B2040" s="3457">
        <v>45973</v>
      </c>
      <c r="C2040" s="3165" t="s">
        <v>3832</v>
      </c>
      <c r="D2040" s="4128"/>
      <c r="E2040" s="4334" t="s">
        <v>596</v>
      </c>
      <c r="F2040" s="4334" t="s">
        <v>3205</v>
      </c>
      <c r="I2040" s="3505">
        <v>705</v>
      </c>
      <c r="J2040" s="3599" t="s">
        <v>922</v>
      </c>
      <c r="K2040" s="3534"/>
      <c r="L2040" s="3443" t="s">
        <v>37</v>
      </c>
      <c r="M2040" s="3443"/>
      <c r="N2040" s="3443"/>
      <c r="O2040" s="3443"/>
      <c r="P2040" s="3443"/>
      <c r="Q2040" s="3443"/>
      <c r="R2040" s="3534"/>
      <c r="S2040" s="3443"/>
      <c r="T2040" s="3443"/>
      <c r="U2040" s="3443" t="s">
        <v>37</v>
      </c>
      <c r="V2040" s="3443"/>
      <c r="W2040" s="3443"/>
      <c r="X2040" s="3522"/>
    </row>
    <row r="2041" spans="1:24" ht="28.5" hidden="1">
      <c r="A2041" s="3443" t="s">
        <v>85</v>
      </c>
      <c r="B2041" s="3457">
        <v>45973</v>
      </c>
      <c r="C2041" s="3165" t="s">
        <v>3832</v>
      </c>
      <c r="D2041" s="4128"/>
      <c r="E2041" s="4578" t="s">
        <v>3207</v>
      </c>
      <c r="F2041" s="4578" t="s">
        <v>3759</v>
      </c>
      <c r="I2041" s="3505">
        <v>705</v>
      </c>
      <c r="J2041" s="3505" t="s">
        <v>3846</v>
      </c>
      <c r="K2041" s="3443"/>
      <c r="L2041" s="3505" t="s">
        <v>37</v>
      </c>
      <c r="M2041" s="3443"/>
      <c r="N2041" s="3505"/>
      <c r="O2041" s="3505"/>
      <c r="P2041" s="3462"/>
      <c r="Q2041" s="3462"/>
      <c r="R2041" s="3462"/>
      <c r="S2041" s="3456"/>
      <c r="T2041" s="3456"/>
      <c r="U2041" s="3456" t="s">
        <v>37</v>
      </c>
      <c r="V2041" s="3456"/>
      <c r="W2041" s="3603"/>
      <c r="X2041" s="3609"/>
    </row>
    <row r="2042" spans="1:24" ht="31.5" hidden="1">
      <c r="A2042" s="3443" t="s">
        <v>105</v>
      </c>
      <c r="B2042" s="3457">
        <v>45974</v>
      </c>
      <c r="C2042" s="3165" t="s">
        <v>3832</v>
      </c>
      <c r="D2042" s="4128"/>
      <c r="E2042" s="4159" t="s">
        <v>1464</v>
      </c>
      <c r="F2042" s="4160" t="s">
        <v>3225</v>
      </c>
      <c r="I2042" s="3443">
        <v>701</v>
      </c>
      <c r="J2042" s="3531" t="s">
        <v>3842</v>
      </c>
      <c r="K2042" s="3443"/>
      <c r="L2042" s="3443"/>
      <c r="M2042" s="3443" t="s">
        <v>37</v>
      </c>
      <c r="N2042" s="3443"/>
      <c r="O2042" s="3443"/>
      <c r="P2042" s="4412" t="s">
        <v>71</v>
      </c>
      <c r="Q2042" s="4412" t="s">
        <v>2989</v>
      </c>
      <c r="R2042" s="4412" t="s">
        <v>790</v>
      </c>
      <c r="S2042" s="3443"/>
      <c r="T2042" s="3443"/>
      <c r="U2042" s="3443"/>
      <c r="V2042" s="3443"/>
      <c r="W2042" s="3507" t="s">
        <v>3847</v>
      </c>
      <c r="X2042" s="3522"/>
    </row>
    <row r="2043" spans="1:24" ht="31.5" hidden="1">
      <c r="A2043" s="3443" t="s">
        <v>105</v>
      </c>
      <c r="B2043" s="3457">
        <v>45974</v>
      </c>
      <c r="C2043" s="3165" t="s">
        <v>3832</v>
      </c>
      <c r="D2043" s="4128"/>
      <c r="E2043" s="4159" t="s">
        <v>1465</v>
      </c>
      <c r="F2043" s="4159" t="s">
        <v>3228</v>
      </c>
      <c r="I2043" s="3505">
        <v>701</v>
      </c>
      <c r="J2043" s="3531" t="s">
        <v>3843</v>
      </c>
      <c r="K2043" s="3443"/>
      <c r="L2043" s="3443"/>
      <c r="M2043" s="3443"/>
      <c r="N2043" s="3443" t="s">
        <v>37</v>
      </c>
      <c r="O2043" s="3443"/>
      <c r="P2043" s="360" t="s">
        <v>71</v>
      </c>
      <c r="Q2043" s="360" t="s">
        <v>2989</v>
      </c>
      <c r="R2043" s="4777" t="s">
        <v>790</v>
      </c>
      <c r="S2043" s="3443"/>
      <c r="T2043" s="3443"/>
      <c r="U2043" s="3443"/>
      <c r="V2043" s="3443"/>
      <c r="W2043" s="3443"/>
      <c r="X2043" s="3522"/>
    </row>
    <row r="2044" spans="1:24" ht="28.5" hidden="1">
      <c r="A2044" s="3462" t="s">
        <v>105</v>
      </c>
      <c r="B2044" s="3444">
        <v>45974</v>
      </c>
      <c r="C2044" s="3165" t="s">
        <v>3832</v>
      </c>
      <c r="D2044" s="4252"/>
      <c r="E2044" s="3788" t="s">
        <v>537</v>
      </c>
      <c r="F2044" s="3788" t="s">
        <v>267</v>
      </c>
      <c r="I2044" s="3505">
        <v>707</v>
      </c>
      <c r="J2044" s="3600">
        <v>60086</v>
      </c>
      <c r="K2044" s="3462"/>
      <c r="L2044" s="3462" t="s">
        <v>37</v>
      </c>
      <c r="M2044" s="3462"/>
      <c r="N2044" s="3462"/>
      <c r="O2044" s="3462"/>
      <c r="P2044" s="3462"/>
      <c r="Q2044" s="3462"/>
      <c r="R2044" s="3545"/>
      <c r="S2044" s="3462"/>
      <c r="T2044" s="3462"/>
      <c r="U2044" s="3462"/>
      <c r="V2044" s="3462"/>
      <c r="W2044" s="3462"/>
      <c r="X2044" s="3544"/>
    </row>
    <row r="2045" spans="1:24" ht="28.5" hidden="1">
      <c r="A2045" s="3462" t="s">
        <v>105</v>
      </c>
      <c r="B2045" s="3444">
        <v>45974</v>
      </c>
      <c r="C2045" s="3165" t="s">
        <v>3832</v>
      </c>
      <c r="D2045" s="4252"/>
      <c r="E2045" s="3788" t="s">
        <v>3848</v>
      </c>
      <c r="F2045" s="3788" t="s">
        <v>3849</v>
      </c>
      <c r="I2045" s="3505">
        <v>707</v>
      </c>
      <c r="J2045" s="3600" t="s">
        <v>676</v>
      </c>
      <c r="K2045" s="3462"/>
      <c r="L2045" s="3462" t="s">
        <v>37</v>
      </c>
      <c r="M2045" s="3462"/>
      <c r="N2045" s="3462"/>
      <c r="O2045" s="3462"/>
      <c r="P2045" s="3462"/>
      <c r="Q2045" s="3462"/>
      <c r="R2045" s="3545"/>
      <c r="S2045" s="3462"/>
      <c r="T2045" s="3462"/>
      <c r="U2045" s="3443"/>
      <c r="V2045" s="3462"/>
      <c r="W2045" s="3462"/>
      <c r="X2045" s="3544"/>
    </row>
    <row r="2046" spans="1:24" ht="28.5" hidden="1">
      <c r="A2046" s="3462" t="s">
        <v>105</v>
      </c>
      <c r="B2046" s="3463">
        <v>45974</v>
      </c>
      <c r="C2046" s="3165" t="s">
        <v>3832</v>
      </c>
      <c r="D2046" s="4128"/>
      <c r="E2046" s="3788" t="s">
        <v>1293</v>
      </c>
      <c r="F2046" s="3788" t="s">
        <v>156</v>
      </c>
      <c r="I2046" s="3462">
        <v>707</v>
      </c>
      <c r="J2046" s="3462">
        <v>60072</v>
      </c>
      <c r="K2046" s="3545"/>
      <c r="L2046" s="3505" t="s">
        <v>37</v>
      </c>
      <c r="M2046" s="3505"/>
      <c r="N2046" s="3505"/>
      <c r="O2046" s="3505"/>
      <c r="P2046" s="3505"/>
      <c r="Q2046" s="3505"/>
      <c r="R2046" s="3505"/>
      <c r="S2046" s="3505"/>
      <c r="T2046" s="3505"/>
      <c r="U2046" s="3505" t="s">
        <v>37</v>
      </c>
      <c r="V2046" s="3505"/>
      <c r="W2046" s="3505"/>
      <c r="X2046" s="3637"/>
    </row>
    <row r="2047" spans="1:24" ht="31.5" hidden="1">
      <c r="A2047" s="3443" t="s">
        <v>132</v>
      </c>
      <c r="B2047" s="3444">
        <v>45975</v>
      </c>
      <c r="C2047" s="3165" t="s">
        <v>3832</v>
      </c>
      <c r="D2047" s="4128"/>
      <c r="E2047" s="4159" t="s">
        <v>1464</v>
      </c>
      <c r="F2047" s="4159" t="s">
        <v>3225</v>
      </c>
      <c r="I2047" s="3443">
        <v>701</v>
      </c>
      <c r="J2047" s="3443" t="s">
        <v>3842</v>
      </c>
      <c r="K2047" s="3443"/>
      <c r="L2047" s="3443" t="s">
        <v>37</v>
      </c>
      <c r="M2047" s="3443"/>
      <c r="N2047" s="3443"/>
      <c r="O2047" s="3443"/>
      <c r="P2047" s="3443"/>
      <c r="Q2047" s="3443"/>
      <c r="R2047" s="3443"/>
      <c r="S2047" s="3443"/>
      <c r="T2047" s="3443"/>
      <c r="U2047" s="3443"/>
      <c r="V2047" s="3443"/>
      <c r="W2047" s="3443"/>
      <c r="X2047" s="3507"/>
    </row>
    <row r="2048" spans="1:24" ht="31.5" hidden="1">
      <c r="A2048" s="3443" t="s">
        <v>132</v>
      </c>
      <c r="B2048" s="3444">
        <v>45975</v>
      </c>
      <c r="C2048" s="3165" t="s">
        <v>3832</v>
      </c>
      <c r="D2048" s="4128"/>
      <c r="E2048" s="4159" t="s">
        <v>1465</v>
      </c>
      <c r="F2048" s="4159" t="s">
        <v>3228</v>
      </c>
      <c r="I2048" s="3443">
        <v>701</v>
      </c>
      <c r="J2048" s="3443" t="s">
        <v>3843</v>
      </c>
      <c r="K2048" s="3443"/>
      <c r="L2048" s="3443" t="s">
        <v>37</v>
      </c>
      <c r="M2048" s="3443"/>
      <c r="N2048" s="3443"/>
      <c r="O2048" s="3443"/>
      <c r="P2048" s="3443"/>
      <c r="Q2048" s="3443"/>
      <c r="R2048" s="3443"/>
      <c r="S2048" s="3443"/>
      <c r="T2048" s="3443"/>
      <c r="U2048" s="3443"/>
      <c r="V2048" s="3443"/>
      <c r="W2048" s="3443"/>
      <c r="X2048" s="3507"/>
    </row>
    <row r="2049" spans="1:24" ht="28.5" hidden="1">
      <c r="A2049" s="3443" t="s">
        <v>132</v>
      </c>
      <c r="B2049" s="3444">
        <v>45975</v>
      </c>
      <c r="C2049" s="3165" t="s">
        <v>3832</v>
      </c>
      <c r="D2049" s="4252"/>
      <c r="E2049" s="4334" t="s">
        <v>48</v>
      </c>
      <c r="F2049" s="4334" t="s">
        <v>3849</v>
      </c>
      <c r="I2049" s="3443">
        <v>707</v>
      </c>
      <c r="J2049" s="3443" t="s">
        <v>3737</v>
      </c>
      <c r="K2049" s="3443"/>
      <c r="L2049" s="3443" t="s">
        <v>37</v>
      </c>
      <c r="M2049" s="3443"/>
      <c r="N2049" s="3443"/>
      <c r="O2049" s="3443"/>
      <c r="P2049" s="3443"/>
      <c r="Q2049" s="3443"/>
      <c r="R2049" s="3443"/>
      <c r="S2049" s="3443"/>
      <c r="T2049" s="3443"/>
      <c r="U2049" s="3443"/>
      <c r="V2049" s="3443"/>
      <c r="W2049" s="3443"/>
      <c r="X2049" s="3507"/>
    </row>
    <row r="2050" spans="1:24" ht="28.5" hidden="1">
      <c r="A2050" s="3443" t="s">
        <v>132</v>
      </c>
      <c r="B2050" s="3444">
        <v>45975</v>
      </c>
      <c r="C2050" s="3165" t="s">
        <v>3832</v>
      </c>
      <c r="D2050" s="4252"/>
      <c r="E2050" s="4337" t="s">
        <v>857</v>
      </c>
      <c r="F2050" s="4337" t="s">
        <v>3850</v>
      </c>
      <c r="I2050" s="3443">
        <v>707</v>
      </c>
      <c r="J2050" s="3443" t="s">
        <v>245</v>
      </c>
      <c r="K2050" s="3443"/>
      <c r="L2050" s="3443" t="s">
        <v>37</v>
      </c>
      <c r="M2050" s="3443"/>
      <c r="N2050" s="3443"/>
      <c r="O2050" s="3443"/>
      <c r="P2050" s="3443"/>
      <c r="Q2050" s="3443"/>
      <c r="R2050" s="3443"/>
      <c r="S2050" s="3443"/>
      <c r="T2050" s="3443"/>
      <c r="U2050" s="3443"/>
      <c r="V2050" s="3443"/>
      <c r="W2050" s="3443"/>
      <c r="X2050" s="3507"/>
    </row>
    <row r="2051" spans="1:24" ht="28.5" hidden="1">
      <c r="A2051" s="3443" t="s">
        <v>132</v>
      </c>
      <c r="B2051" s="3444">
        <v>45975</v>
      </c>
      <c r="C2051" s="3165" t="s">
        <v>3832</v>
      </c>
      <c r="D2051" s="4128"/>
      <c r="E2051" s="4337" t="s">
        <v>53</v>
      </c>
      <c r="F2051" s="4337" t="s">
        <v>2387</v>
      </c>
      <c r="I2051" s="3443">
        <v>707</v>
      </c>
      <c r="J2051" s="3443" t="s">
        <v>245</v>
      </c>
      <c r="K2051" s="3443"/>
      <c r="L2051" s="3443" t="s">
        <v>37</v>
      </c>
      <c r="M2051" s="3443"/>
      <c r="N2051" s="3443"/>
      <c r="O2051" s="3443"/>
      <c r="P2051" s="3443"/>
      <c r="Q2051" s="3443"/>
      <c r="R2051" s="3443"/>
      <c r="S2051" s="3443"/>
      <c r="T2051" s="3443"/>
      <c r="U2051" s="3443"/>
      <c r="V2051" s="3443"/>
      <c r="W2051" s="3443"/>
      <c r="X2051" s="3507"/>
    </row>
    <row r="2052" spans="1:24" ht="28.5" hidden="1">
      <c r="A2052" s="3443" t="s">
        <v>143</v>
      </c>
      <c r="B2052" s="3444">
        <v>45976</v>
      </c>
      <c r="C2052" s="3165" t="s">
        <v>3832</v>
      </c>
      <c r="D2052" s="4109"/>
      <c r="E2052" s="4334" t="s">
        <v>3851</v>
      </c>
      <c r="F2052" s="4334" t="s">
        <v>3830</v>
      </c>
      <c r="I2052" s="3443">
        <v>707</v>
      </c>
      <c r="J2052" s="3443" t="s">
        <v>1485</v>
      </c>
      <c r="K2052" s="3511" t="s">
        <v>84</v>
      </c>
      <c r="L2052" s="3443" t="s">
        <v>30</v>
      </c>
      <c r="M2052" s="3443"/>
      <c r="N2052" s="3443"/>
      <c r="O2052" s="3443"/>
      <c r="P2052" s="3462"/>
      <c r="Q2052" s="3462"/>
      <c r="R2052" s="3462"/>
      <c r="S2052" s="3443"/>
      <c r="T2052" s="3443"/>
      <c r="U2052" s="3456"/>
      <c r="V2052" s="3456"/>
      <c r="W2052" s="3603"/>
      <c r="X2052" s="3609"/>
    </row>
    <row r="2053" spans="1:24" ht="31.5" hidden="1">
      <c r="A2053" s="3443" t="s">
        <v>25</v>
      </c>
      <c r="B2053" s="3444">
        <v>45978</v>
      </c>
      <c r="C2053" s="3165" t="s">
        <v>3852</v>
      </c>
      <c r="D2053" s="4108"/>
      <c r="E2053" s="4159" t="s">
        <v>1464</v>
      </c>
      <c r="F2053" s="4159" t="s">
        <v>3225</v>
      </c>
      <c r="I2053" s="3443">
        <v>701</v>
      </c>
      <c r="J2053" s="3443" t="s">
        <v>3842</v>
      </c>
      <c r="K2053" s="3443"/>
      <c r="L2053" s="3443"/>
      <c r="M2053" s="3443" t="s">
        <v>37</v>
      </c>
      <c r="N2053" s="3443"/>
      <c r="O2053" s="3443"/>
      <c r="P2053" s="360" t="s">
        <v>71</v>
      </c>
      <c r="Q2053" s="360" t="s">
        <v>138</v>
      </c>
      <c r="R2053" s="360" t="s">
        <v>790</v>
      </c>
      <c r="S2053" s="3443" t="s">
        <v>37</v>
      </c>
      <c r="T2053" s="3443"/>
      <c r="U2053" s="3443"/>
      <c r="V2053" s="3443"/>
      <c r="W2053" s="3507" t="s">
        <v>3853</v>
      </c>
      <c r="X2053" s="3522"/>
    </row>
    <row r="2054" spans="1:24" ht="31.5" hidden="1">
      <c r="A2054" s="3443" t="s">
        <v>25</v>
      </c>
      <c r="B2054" s="3444">
        <v>45978</v>
      </c>
      <c r="C2054" s="3165" t="s">
        <v>3852</v>
      </c>
      <c r="D2054" s="4128"/>
      <c r="E2054" s="4159" t="s">
        <v>1465</v>
      </c>
      <c r="F2054" s="4159" t="s">
        <v>3228</v>
      </c>
      <c r="I2054" s="3443">
        <v>701</v>
      </c>
      <c r="J2054" s="3443" t="s">
        <v>3843</v>
      </c>
      <c r="K2054" s="3443"/>
      <c r="L2054" s="3443" t="s">
        <v>37</v>
      </c>
      <c r="M2054" s="3443"/>
      <c r="N2054" s="3443"/>
      <c r="O2054" s="3443"/>
      <c r="P2054" s="3443"/>
      <c r="Q2054" s="3443"/>
      <c r="R2054" s="3443"/>
      <c r="S2054" s="3443"/>
      <c r="T2054" s="3443"/>
      <c r="U2054" s="3443"/>
      <c r="V2054" s="3443"/>
      <c r="W2054" s="3443"/>
      <c r="X2054" s="3522"/>
    </row>
    <row r="2055" spans="1:24" ht="28.5" hidden="1">
      <c r="A2055" s="3443" t="s">
        <v>25</v>
      </c>
      <c r="B2055" s="3444">
        <v>45978</v>
      </c>
      <c r="C2055" s="3165" t="s">
        <v>3852</v>
      </c>
      <c r="D2055" s="4128"/>
      <c r="E2055" s="4334" t="s">
        <v>79</v>
      </c>
      <c r="F2055" s="4334" t="s">
        <v>1554</v>
      </c>
      <c r="I2055" s="3443">
        <v>707</v>
      </c>
      <c r="J2055" s="3443" t="s">
        <v>864</v>
      </c>
      <c r="K2055" s="3443"/>
      <c r="L2055" s="3443" t="s">
        <v>37</v>
      </c>
      <c r="M2055" s="3443"/>
      <c r="N2055" s="3443"/>
      <c r="O2055" s="3443"/>
      <c r="P2055" s="3443"/>
      <c r="Q2055" s="3443"/>
      <c r="R2055" s="3443"/>
      <c r="S2055" s="3443"/>
      <c r="T2055" s="3443"/>
      <c r="U2055" s="3443"/>
      <c r="V2055" s="3443"/>
      <c r="W2055" s="3443"/>
      <c r="X2055" s="3522"/>
    </row>
    <row r="2056" spans="1:24" ht="28.5" hidden="1">
      <c r="A2056" s="3443" t="s">
        <v>25</v>
      </c>
      <c r="B2056" s="3444">
        <v>45978</v>
      </c>
      <c r="C2056" s="3165" t="s">
        <v>3852</v>
      </c>
      <c r="D2056" s="4128"/>
      <c r="E2056" s="4334" t="s">
        <v>3830</v>
      </c>
      <c r="F2056" s="4334" t="s">
        <v>3851</v>
      </c>
      <c r="I2056" s="3443">
        <v>707</v>
      </c>
      <c r="J2056" s="3443" t="s">
        <v>1485</v>
      </c>
      <c r="K2056" s="3443"/>
      <c r="L2056" s="3443" t="s">
        <v>37</v>
      </c>
      <c r="M2056" s="3443"/>
      <c r="N2056" s="3443"/>
      <c r="O2056" s="3443"/>
      <c r="P2056" s="3443"/>
      <c r="Q2056" s="3443"/>
      <c r="R2056" s="3443"/>
      <c r="S2056" s="3443"/>
      <c r="T2056" s="3443"/>
      <c r="U2056" s="3443"/>
      <c r="V2056" s="3443"/>
      <c r="W2056" s="3443"/>
      <c r="X2056" s="3522"/>
    </row>
    <row r="2057" spans="1:24" ht="28.5" hidden="1">
      <c r="A2057" s="3443" t="s">
        <v>25</v>
      </c>
      <c r="B2057" s="3444">
        <v>45978</v>
      </c>
      <c r="C2057" s="3165" t="s">
        <v>3852</v>
      </c>
      <c r="D2057" s="4128"/>
      <c r="E2057" s="4577" t="s">
        <v>3854</v>
      </c>
      <c r="F2057" s="4577" t="s">
        <v>48</v>
      </c>
      <c r="I2057" s="3505">
        <v>705</v>
      </c>
      <c r="J2057" s="3602" t="s">
        <v>1245</v>
      </c>
      <c r="K2057" s="3443"/>
      <c r="L2057" s="3505" t="s">
        <v>37</v>
      </c>
      <c r="M2057" s="3505"/>
      <c r="N2057" s="3505"/>
      <c r="O2057" s="3505"/>
      <c r="P2057" s="3505"/>
      <c r="Q2057" s="3505"/>
      <c r="R2057" s="3605"/>
      <c r="S2057" s="3456"/>
      <c r="T2057" s="3456"/>
      <c r="U2057" s="3456"/>
      <c r="V2057" s="3456"/>
      <c r="W2057" s="3456"/>
      <c r="X2057" s="3609"/>
    </row>
    <row r="2058" spans="1:24" ht="31.5" hidden="1">
      <c r="A2058" s="3443" t="s">
        <v>25</v>
      </c>
      <c r="B2058" s="3444">
        <v>45978</v>
      </c>
      <c r="C2058" s="3165" t="s">
        <v>3852</v>
      </c>
      <c r="D2058" s="4109"/>
      <c r="E2058" s="4162" t="s">
        <v>89</v>
      </c>
      <c r="F2058" s="4162" t="s">
        <v>79</v>
      </c>
      <c r="I2058" s="3443">
        <v>712</v>
      </c>
      <c r="J2058" s="3443" t="s">
        <v>3855</v>
      </c>
      <c r="K2058" s="4153" t="s">
        <v>310</v>
      </c>
      <c r="L2058" s="3443" t="s">
        <v>37</v>
      </c>
      <c r="M2058" s="3443"/>
      <c r="N2058" s="3443"/>
      <c r="O2058" s="3443"/>
      <c r="P2058" s="3443"/>
      <c r="Q2058" s="3443"/>
      <c r="R2058" s="3443"/>
      <c r="S2058" s="3443"/>
      <c r="T2058" s="3443"/>
      <c r="U2058" s="3443"/>
      <c r="V2058" s="3443"/>
      <c r="W2058" s="3443"/>
      <c r="X2058" s="3522"/>
    </row>
    <row r="2059" spans="1:24" ht="31.5" hidden="1">
      <c r="A2059" s="3443" t="s">
        <v>25</v>
      </c>
      <c r="B2059" s="3444">
        <v>45978</v>
      </c>
      <c r="C2059" s="3165" t="s">
        <v>3852</v>
      </c>
      <c r="D2059" s="4128"/>
      <c r="E2059" s="4338" t="s">
        <v>454</v>
      </c>
      <c r="F2059" s="4338" t="s">
        <v>267</v>
      </c>
      <c r="I2059" s="3443">
        <v>707</v>
      </c>
      <c r="J2059" s="3443" t="s">
        <v>269</v>
      </c>
      <c r="K2059" s="3443"/>
      <c r="L2059" s="3443" t="s">
        <v>37</v>
      </c>
      <c r="M2059" s="3443"/>
      <c r="N2059" s="3443"/>
      <c r="O2059" s="3443"/>
      <c r="P2059" s="3443"/>
      <c r="Q2059" s="3443"/>
      <c r="R2059" s="3443"/>
      <c r="S2059" s="3443"/>
      <c r="T2059" s="3443"/>
      <c r="U2059" s="3443"/>
      <c r="V2059" s="3443"/>
      <c r="W2059" s="3443"/>
      <c r="X2059" s="3522"/>
    </row>
    <row r="2060" spans="1:24" ht="31.5" hidden="1">
      <c r="A2060" s="3443" t="s">
        <v>25</v>
      </c>
      <c r="B2060" s="3444">
        <v>45978</v>
      </c>
      <c r="C2060" s="3165" t="s">
        <v>3852</v>
      </c>
      <c r="D2060" s="4128"/>
      <c r="E2060" s="4195" t="s">
        <v>3856</v>
      </c>
      <c r="F2060" s="4195" t="s">
        <v>3380</v>
      </c>
      <c r="I2060" s="3443">
        <v>712</v>
      </c>
      <c r="J2060" s="3443" t="s">
        <v>349</v>
      </c>
      <c r="K2060" s="3443"/>
      <c r="L2060" s="3443" t="s">
        <v>37</v>
      </c>
      <c r="M2060" s="3443"/>
      <c r="N2060" s="3443"/>
      <c r="O2060" s="3443"/>
      <c r="P2060" s="3443"/>
      <c r="Q2060" s="3443"/>
      <c r="R2060" s="3443"/>
      <c r="S2060" s="3443"/>
      <c r="T2060" s="3443"/>
      <c r="U2060" s="3443"/>
      <c r="V2060" s="3443"/>
      <c r="W2060" s="3443"/>
      <c r="X2060" s="3522"/>
    </row>
    <row r="2061" spans="1:24" ht="31.5" hidden="1">
      <c r="A2061" s="3443" t="s">
        <v>25</v>
      </c>
      <c r="B2061" s="3444">
        <v>45978</v>
      </c>
      <c r="C2061" s="3165" t="s">
        <v>3852</v>
      </c>
      <c r="D2061" s="4109"/>
      <c r="E2061" s="4179" t="s">
        <v>168</v>
      </c>
      <c r="F2061" s="4179" t="s">
        <v>3730</v>
      </c>
      <c r="I2061" s="3443">
        <v>705</v>
      </c>
      <c r="J2061" s="3443" t="s">
        <v>3857</v>
      </c>
      <c r="K2061" s="3511" t="s">
        <v>174</v>
      </c>
      <c r="L2061" s="3443" t="s">
        <v>37</v>
      </c>
      <c r="M2061" s="3443"/>
      <c r="N2061" s="3443"/>
      <c r="O2061" s="3443"/>
      <c r="P2061" s="3443"/>
      <c r="Q2061" s="3443"/>
      <c r="R2061" s="3443"/>
      <c r="S2061" s="3443"/>
      <c r="T2061" s="3443"/>
      <c r="U2061" s="3443"/>
      <c r="V2061" s="3443"/>
      <c r="W2061" s="3443"/>
      <c r="X2061" s="3522"/>
    </row>
    <row r="2062" spans="1:24" ht="31.5" hidden="1">
      <c r="A2062" s="3443" t="s">
        <v>25</v>
      </c>
      <c r="B2062" s="3444">
        <v>45978</v>
      </c>
      <c r="C2062" s="3165" t="s">
        <v>3852</v>
      </c>
      <c r="D2062" s="4128"/>
      <c r="E2062" s="4179" t="s">
        <v>52</v>
      </c>
      <c r="F2062" s="4179" t="s">
        <v>3858</v>
      </c>
      <c r="I2062" s="3443">
        <v>705</v>
      </c>
      <c r="J2062" s="3443" t="s">
        <v>1728</v>
      </c>
      <c r="K2062" s="3443"/>
      <c r="L2062" s="3443" t="s">
        <v>37</v>
      </c>
      <c r="M2062" s="3443"/>
      <c r="N2062" s="3443"/>
      <c r="O2062" s="3443"/>
      <c r="P2062" s="3443"/>
      <c r="Q2062" s="3443"/>
      <c r="R2062" s="3443"/>
      <c r="S2062" s="3443"/>
      <c r="T2062" s="3443"/>
      <c r="U2062" s="3456"/>
      <c r="V2062" s="3456"/>
      <c r="W2062" s="3456"/>
      <c r="X2062" s="3609"/>
    </row>
    <row r="2063" spans="1:24" ht="31.5" hidden="1">
      <c r="A2063" s="3443" t="s">
        <v>67</v>
      </c>
      <c r="B2063" s="3444">
        <v>45979</v>
      </c>
      <c r="C2063" s="3165" t="s">
        <v>3852</v>
      </c>
      <c r="D2063" s="4128"/>
      <c r="E2063" s="4159" t="s">
        <v>1464</v>
      </c>
      <c r="F2063" s="4159" t="s">
        <v>3225</v>
      </c>
      <c r="I2063" s="3443">
        <v>701</v>
      </c>
      <c r="J2063" s="3443" t="s">
        <v>3842</v>
      </c>
      <c r="K2063" s="3443"/>
      <c r="L2063" s="3443" t="s">
        <v>37</v>
      </c>
      <c r="M2063" s="3443"/>
      <c r="N2063" s="3443"/>
      <c r="O2063" s="3443"/>
      <c r="P2063" s="3443"/>
      <c r="Q2063" s="3443"/>
      <c r="R2063" s="3443"/>
      <c r="S2063" s="3443"/>
      <c r="T2063" s="3443"/>
      <c r="U2063" s="3443"/>
      <c r="V2063" s="3443"/>
      <c r="W2063" s="3443"/>
      <c r="X2063" s="3522"/>
    </row>
    <row r="2064" spans="1:24" ht="31.5" hidden="1">
      <c r="A2064" s="3443" t="s">
        <v>67</v>
      </c>
      <c r="B2064" s="3444">
        <v>45979</v>
      </c>
      <c r="C2064" s="3165" t="s">
        <v>3852</v>
      </c>
      <c r="D2064" s="4128"/>
      <c r="E2064" s="4159" t="s">
        <v>1465</v>
      </c>
      <c r="F2064" s="4159" t="s">
        <v>3228</v>
      </c>
      <c r="I2064" s="3443">
        <v>701</v>
      </c>
      <c r="J2064" s="3443" t="s">
        <v>3843</v>
      </c>
      <c r="K2064" s="3443"/>
      <c r="L2064" s="3443" t="s">
        <v>37</v>
      </c>
      <c r="M2064" s="3443"/>
      <c r="N2064" s="3443"/>
      <c r="O2064" s="3443"/>
      <c r="P2064" s="3443"/>
      <c r="Q2064" s="3443"/>
      <c r="R2064" s="3443"/>
      <c r="S2064" s="3443"/>
      <c r="T2064" s="3443"/>
      <c r="U2064" s="3443"/>
      <c r="V2064" s="3443"/>
      <c r="W2064" s="3443"/>
      <c r="X2064" s="3522"/>
    </row>
    <row r="2065" spans="1:24" ht="31.5" hidden="1">
      <c r="A2065" s="3443" t="s">
        <v>67</v>
      </c>
      <c r="B2065" s="3444">
        <v>45979</v>
      </c>
      <c r="C2065" s="3165" t="s">
        <v>3852</v>
      </c>
      <c r="D2065" s="4128"/>
      <c r="E2065" s="4521" t="s">
        <v>1838</v>
      </c>
      <c r="F2065" s="4521" t="s">
        <v>1554</v>
      </c>
      <c r="I2065" s="3443">
        <v>707</v>
      </c>
      <c r="J2065" s="3443" t="s">
        <v>3859</v>
      </c>
      <c r="K2065" s="3443"/>
      <c r="L2065" s="3443" t="s">
        <v>37</v>
      </c>
      <c r="M2065" s="3443"/>
      <c r="N2065" s="3443"/>
      <c r="O2065" s="3443"/>
      <c r="P2065" s="3443"/>
      <c r="Q2065" s="3443"/>
      <c r="R2065" s="3443"/>
      <c r="S2065" s="3443"/>
      <c r="T2065" s="3443"/>
      <c r="U2065" s="3443"/>
      <c r="V2065" s="3443"/>
      <c r="W2065" s="3443"/>
      <c r="X2065" s="3522"/>
    </row>
    <row r="2066" spans="1:24" ht="31.5" hidden="1">
      <c r="A2066" s="3443" t="s">
        <v>67</v>
      </c>
      <c r="B2066" s="3444">
        <v>45979</v>
      </c>
      <c r="C2066" s="3165" t="s">
        <v>3852</v>
      </c>
      <c r="D2066" s="4128"/>
      <c r="E2066" s="4521" t="s">
        <v>168</v>
      </c>
      <c r="F2066" s="4521" t="s">
        <v>1091</v>
      </c>
      <c r="I2066" s="3443">
        <v>705</v>
      </c>
      <c r="J2066" s="3443" t="s">
        <v>2866</v>
      </c>
      <c r="K2066" s="3443"/>
      <c r="L2066" s="3443" t="s">
        <v>37</v>
      </c>
      <c r="M2066" s="3443"/>
      <c r="N2066" s="3443"/>
      <c r="O2066" s="3443"/>
      <c r="P2066" s="3443"/>
      <c r="Q2066" s="3443"/>
      <c r="R2066" s="3443"/>
      <c r="S2066" s="3443"/>
      <c r="T2066" s="3443"/>
      <c r="U2066" s="3443" t="s">
        <v>30</v>
      </c>
      <c r="V2066" s="3443"/>
      <c r="W2066" s="3443"/>
      <c r="X2066" s="3522"/>
    </row>
    <row r="2067" spans="1:24" ht="31.5" hidden="1">
      <c r="A2067" s="3443" t="s">
        <v>67</v>
      </c>
      <c r="B2067" s="3444">
        <v>45979</v>
      </c>
      <c r="C2067" s="3165" t="s">
        <v>3852</v>
      </c>
      <c r="D2067" s="4109"/>
      <c r="E2067" s="4576" t="s">
        <v>2483</v>
      </c>
      <c r="F2067" s="4576" t="s">
        <v>1116</v>
      </c>
      <c r="I2067" s="3443">
        <v>712</v>
      </c>
      <c r="J2067" s="3443" t="s">
        <v>3860</v>
      </c>
      <c r="K2067" s="4153" t="s">
        <v>310</v>
      </c>
      <c r="L2067" s="3443" t="s">
        <v>37</v>
      </c>
      <c r="M2067" s="3443"/>
      <c r="N2067" s="3443"/>
      <c r="O2067" s="3443"/>
      <c r="P2067" s="3443"/>
      <c r="Q2067" s="3443"/>
      <c r="R2067" s="3443"/>
      <c r="S2067" s="3443"/>
      <c r="T2067" s="3443"/>
      <c r="U2067" s="3443"/>
      <c r="V2067" s="3443"/>
      <c r="W2067" s="3443"/>
      <c r="X2067" s="3522"/>
    </row>
    <row r="2068" spans="1:24" ht="28.5" hidden="1">
      <c r="A2068" s="3443" t="s">
        <v>67</v>
      </c>
      <c r="B2068" s="3444">
        <v>45979</v>
      </c>
      <c r="C2068" s="3165" t="s">
        <v>3852</v>
      </c>
      <c r="D2068" s="4109"/>
      <c r="E2068" s="4340" t="s">
        <v>3861</v>
      </c>
      <c r="F2068" s="4340" t="s">
        <v>3862</v>
      </c>
      <c r="I2068" s="3443">
        <v>707</v>
      </c>
      <c r="J2068" s="3443" t="s">
        <v>2214</v>
      </c>
      <c r="K2068" s="3511" t="s">
        <v>29</v>
      </c>
      <c r="L2068" s="3443" t="s">
        <v>37</v>
      </c>
      <c r="M2068" s="3443"/>
      <c r="N2068" s="3443"/>
      <c r="O2068" s="3443"/>
      <c r="P2068" s="3443"/>
      <c r="Q2068" s="3443"/>
      <c r="R2068" s="3443"/>
      <c r="S2068" s="3443"/>
      <c r="T2068" s="3443"/>
      <c r="U2068" s="3443"/>
      <c r="V2068" s="3443"/>
      <c r="W2068" s="3443"/>
      <c r="X2068" s="3522"/>
    </row>
    <row r="2069" spans="1:24" ht="31.5" hidden="1">
      <c r="A2069" s="3443" t="s">
        <v>67</v>
      </c>
      <c r="B2069" s="3444">
        <v>45979</v>
      </c>
      <c r="C2069" s="3165" t="s">
        <v>3852</v>
      </c>
      <c r="D2069" s="4128"/>
      <c r="E2069" s="4162" t="s">
        <v>79</v>
      </c>
      <c r="F2069" s="4162" t="s">
        <v>2444</v>
      </c>
      <c r="I2069" s="3443">
        <v>707</v>
      </c>
      <c r="J2069" s="3443" t="s">
        <v>1499</v>
      </c>
      <c r="K2069" s="3443"/>
      <c r="L2069" s="3443" t="s">
        <v>37</v>
      </c>
      <c r="M2069" s="3443"/>
      <c r="N2069" s="3443"/>
      <c r="O2069" s="3443"/>
      <c r="P2069" s="3443"/>
      <c r="Q2069" s="3443"/>
      <c r="R2069" s="3443"/>
      <c r="S2069" s="3443"/>
      <c r="T2069" s="3443"/>
      <c r="U2069" s="3443"/>
      <c r="V2069" s="3443"/>
      <c r="W2069" s="3443"/>
      <c r="X2069" s="3522"/>
    </row>
    <row r="2070" spans="1:24" ht="31.5" hidden="1">
      <c r="A2070" s="3443" t="s">
        <v>67</v>
      </c>
      <c r="B2070" s="3444">
        <v>45979</v>
      </c>
      <c r="C2070" s="3165" t="s">
        <v>3852</v>
      </c>
      <c r="D2070" s="4128"/>
      <c r="E2070" s="4162" t="s">
        <v>3849</v>
      </c>
      <c r="F2070" s="4162" t="s">
        <v>2444</v>
      </c>
      <c r="I2070" s="3443">
        <v>707</v>
      </c>
      <c r="J2070" s="3443" t="s">
        <v>676</v>
      </c>
      <c r="K2070" s="3443"/>
      <c r="L2070" s="3443" t="s">
        <v>37</v>
      </c>
      <c r="M2070" s="3443"/>
      <c r="N2070" s="3443"/>
      <c r="O2070" s="3443"/>
      <c r="P2070" s="3443"/>
      <c r="Q2070" s="3443"/>
      <c r="R2070" s="3443"/>
      <c r="S2070" s="3443"/>
      <c r="T2070" s="3443"/>
      <c r="U2070" s="3443"/>
      <c r="V2070" s="3443"/>
      <c r="W2070" s="3443"/>
      <c r="X2070" s="3522"/>
    </row>
    <row r="2071" spans="1:24" ht="31.5" hidden="1">
      <c r="A2071" s="3443" t="s">
        <v>67</v>
      </c>
      <c r="B2071" s="3444">
        <v>45979</v>
      </c>
      <c r="C2071" s="3165" t="s">
        <v>3852</v>
      </c>
      <c r="D2071" s="4128"/>
      <c r="E2071" s="4288" t="s">
        <v>52</v>
      </c>
      <c r="F2071" s="4288" t="s">
        <v>1262</v>
      </c>
      <c r="I2071" s="3443">
        <v>705</v>
      </c>
      <c r="J2071" s="3443" t="s">
        <v>3863</v>
      </c>
      <c r="K2071" s="3443"/>
      <c r="L2071" s="3443" t="s">
        <v>37</v>
      </c>
      <c r="M2071" s="3443"/>
      <c r="N2071" s="3443"/>
      <c r="O2071" s="3443"/>
      <c r="P2071" s="3443"/>
      <c r="Q2071" s="3443"/>
      <c r="R2071" s="3443"/>
      <c r="S2071" s="3443"/>
      <c r="T2071" s="3443"/>
      <c r="U2071" s="3443"/>
      <c r="V2071" s="3443"/>
      <c r="W2071" s="3443"/>
      <c r="X2071" s="3522"/>
    </row>
    <row r="2072" spans="1:24" ht="31.5" hidden="1">
      <c r="A2072" s="3443" t="s">
        <v>67</v>
      </c>
      <c r="B2072" s="3444">
        <v>45979</v>
      </c>
      <c r="C2072" s="3165" t="s">
        <v>3852</v>
      </c>
      <c r="D2072" s="4128"/>
      <c r="E2072" s="4288" t="s">
        <v>877</v>
      </c>
      <c r="F2072" s="4288" t="s">
        <v>130</v>
      </c>
      <c r="I2072" s="3443">
        <v>705</v>
      </c>
      <c r="J2072" s="3443" t="s">
        <v>3864</v>
      </c>
      <c r="K2072" s="3443"/>
      <c r="L2072" s="3443" t="s">
        <v>37</v>
      </c>
      <c r="M2072" s="3443"/>
      <c r="N2072" s="3443"/>
      <c r="O2072" s="3443"/>
      <c r="P2072" s="3443"/>
      <c r="Q2072" s="3443"/>
      <c r="R2072" s="3443"/>
      <c r="S2072" s="3443"/>
      <c r="T2072" s="3443"/>
      <c r="U2072" s="3443"/>
      <c r="V2072" s="3443"/>
      <c r="W2072" s="3443"/>
      <c r="X2072" s="3522"/>
    </row>
    <row r="2073" spans="1:24" ht="31.5" hidden="1">
      <c r="A2073" s="3443" t="s">
        <v>67</v>
      </c>
      <c r="B2073" s="3444">
        <v>45979</v>
      </c>
      <c r="C2073" s="3165" t="s">
        <v>3852</v>
      </c>
      <c r="D2073" s="4128"/>
      <c r="E2073" s="4286" t="s">
        <v>152</v>
      </c>
      <c r="F2073" s="4286" t="s">
        <v>153</v>
      </c>
      <c r="I2073" s="3443">
        <v>705</v>
      </c>
      <c r="J2073" s="3443" t="s">
        <v>2999</v>
      </c>
      <c r="K2073" s="3443"/>
      <c r="L2073" s="3443" t="s">
        <v>37</v>
      </c>
      <c r="M2073" s="3443"/>
      <c r="N2073" s="3443"/>
      <c r="O2073" s="3443"/>
      <c r="P2073" s="3443"/>
      <c r="Q2073" s="3443"/>
      <c r="R2073" s="3443"/>
      <c r="S2073" s="3443"/>
      <c r="T2073" s="3443"/>
      <c r="U2073" s="3443"/>
      <c r="V2073" s="3443"/>
      <c r="W2073" s="3443"/>
      <c r="X2073" s="3522"/>
    </row>
    <row r="2074" spans="1:24" ht="31.5" hidden="1">
      <c r="A2074" s="3443" t="s">
        <v>67</v>
      </c>
      <c r="B2074" s="3444">
        <v>45980</v>
      </c>
      <c r="C2074" s="3165" t="s">
        <v>3852</v>
      </c>
      <c r="D2074" s="4128"/>
      <c r="E2074" s="4346" t="s">
        <v>48</v>
      </c>
      <c r="F2074" s="4346" t="s">
        <v>3865</v>
      </c>
      <c r="I2074" s="3443">
        <v>705</v>
      </c>
      <c r="J2074" s="3443" t="s">
        <v>3866</v>
      </c>
      <c r="K2074" s="3443"/>
      <c r="L2074" s="3443" t="s">
        <v>37</v>
      </c>
      <c r="M2074" s="3443"/>
      <c r="N2074" s="3443"/>
      <c r="O2074" s="3443"/>
      <c r="P2074" s="3443"/>
      <c r="Q2074" s="3443"/>
      <c r="R2074" s="3443"/>
      <c r="S2074" s="3443"/>
      <c r="T2074" s="3443"/>
      <c r="U2074" s="3443" t="s">
        <v>37</v>
      </c>
      <c r="V2074" s="3443"/>
      <c r="W2074" s="3443"/>
      <c r="X2074" s="3522"/>
    </row>
    <row r="2075" spans="1:24" ht="31.5" hidden="1">
      <c r="A2075" s="3443" t="s">
        <v>67</v>
      </c>
      <c r="B2075" s="3444">
        <v>45980</v>
      </c>
      <c r="C2075" s="3165" t="s">
        <v>3852</v>
      </c>
      <c r="D2075" s="4128"/>
      <c r="E2075" s="4346" t="s">
        <v>48</v>
      </c>
      <c r="F2075" s="4346" t="s">
        <v>3865</v>
      </c>
      <c r="I2075" s="3443">
        <v>705</v>
      </c>
      <c r="J2075" s="3443" t="s">
        <v>3866</v>
      </c>
      <c r="K2075" s="3443"/>
      <c r="L2075" s="3443" t="s">
        <v>37</v>
      </c>
      <c r="M2075" s="3443"/>
      <c r="N2075" s="3443"/>
      <c r="O2075" s="3443"/>
      <c r="P2075" s="3443"/>
      <c r="Q2075" s="3443"/>
      <c r="R2075" s="3443"/>
      <c r="S2075" s="3443"/>
      <c r="T2075" s="3443"/>
      <c r="U2075" s="3443" t="s">
        <v>37</v>
      </c>
      <c r="V2075" s="3443"/>
      <c r="W2075" s="3443"/>
      <c r="X2075" s="3522"/>
    </row>
    <row r="2076" spans="1:24" ht="31.5" hidden="1">
      <c r="A2076" s="3443" t="s">
        <v>67</v>
      </c>
      <c r="B2076" s="3444">
        <v>45980</v>
      </c>
      <c r="C2076" s="3165" t="s">
        <v>3852</v>
      </c>
      <c r="D2076" s="4128"/>
      <c r="E2076" s="4346" t="s">
        <v>3865</v>
      </c>
      <c r="F2076" s="4346" t="s">
        <v>3867</v>
      </c>
      <c r="I2076" s="3443">
        <v>705</v>
      </c>
      <c r="J2076" s="3443" t="s">
        <v>200</v>
      </c>
      <c r="K2076" s="3443"/>
      <c r="L2076" s="3443" t="s">
        <v>37</v>
      </c>
      <c r="M2076" s="3443"/>
      <c r="N2076" s="3443"/>
      <c r="O2076" s="3443"/>
      <c r="P2076" s="3443"/>
      <c r="Q2076" s="3443"/>
      <c r="R2076" s="3443"/>
      <c r="S2076" s="3443"/>
      <c r="T2076" s="3443"/>
      <c r="U2076" s="3456" t="s">
        <v>37</v>
      </c>
      <c r="V2076" s="3456"/>
      <c r="W2076" s="3456"/>
      <c r="X2076" s="3609"/>
    </row>
    <row r="2077" spans="1:24" ht="31.5" hidden="1">
      <c r="A2077" s="3443" t="s">
        <v>85</v>
      </c>
      <c r="B2077" s="3444">
        <v>45980</v>
      </c>
      <c r="C2077" s="3165" t="s">
        <v>3852</v>
      </c>
      <c r="D2077" s="4128"/>
      <c r="E2077" s="4159" t="s">
        <v>1464</v>
      </c>
      <c r="F2077" s="4159" t="s">
        <v>3225</v>
      </c>
      <c r="I2077" s="3443">
        <v>701</v>
      </c>
      <c r="J2077" s="3443" t="s">
        <v>3842</v>
      </c>
      <c r="K2077" s="3443"/>
      <c r="L2077" s="3443" t="s">
        <v>37</v>
      </c>
      <c r="M2077" s="3443"/>
      <c r="N2077" s="3443"/>
      <c r="O2077" s="3443"/>
      <c r="P2077" s="3443"/>
      <c r="Q2077" s="3443"/>
      <c r="R2077" s="3443"/>
      <c r="S2077" s="3443"/>
      <c r="T2077" s="3443"/>
      <c r="U2077" s="3443"/>
      <c r="V2077" s="3443"/>
      <c r="W2077" s="3516"/>
      <c r="X2077" s="3522"/>
    </row>
    <row r="2078" spans="1:24" ht="31.5" hidden="1">
      <c r="A2078" s="3443" t="s">
        <v>85</v>
      </c>
      <c r="B2078" s="3444">
        <v>45980</v>
      </c>
      <c r="C2078" s="3165" t="s">
        <v>3852</v>
      </c>
      <c r="D2078" s="4128"/>
      <c r="E2078" s="4159" t="s">
        <v>1465</v>
      </c>
      <c r="F2078" s="4159" t="s">
        <v>3228</v>
      </c>
      <c r="I2078" s="3443">
        <v>701</v>
      </c>
      <c r="J2078" s="3443" t="s">
        <v>3843</v>
      </c>
      <c r="K2078" s="3443"/>
      <c r="L2078" s="3443" t="s">
        <v>37</v>
      </c>
      <c r="M2078" s="3443"/>
      <c r="N2078" s="3443"/>
      <c r="O2078" s="3443"/>
      <c r="P2078" s="3443"/>
      <c r="Q2078" s="3443"/>
      <c r="R2078" s="3443"/>
      <c r="S2078" s="3443"/>
      <c r="T2078" s="3443"/>
      <c r="U2078" s="3443"/>
      <c r="V2078" s="3443"/>
      <c r="W2078" s="3507" t="s">
        <v>3868</v>
      </c>
      <c r="X2078" s="3522"/>
    </row>
    <row r="2079" spans="1:24" ht="28.5" hidden="1">
      <c r="A2079" s="3443" t="s">
        <v>85</v>
      </c>
      <c r="B2079" s="3444">
        <v>45980</v>
      </c>
      <c r="C2079" s="3165" t="s">
        <v>3852</v>
      </c>
      <c r="D2079" s="4109"/>
      <c r="E2079" s="4340" t="s">
        <v>3862</v>
      </c>
      <c r="F2079" s="4340" t="s">
        <v>517</v>
      </c>
      <c r="I2079" s="3443">
        <v>707</v>
      </c>
      <c r="J2079" s="3443" t="s">
        <v>2214</v>
      </c>
      <c r="K2079" s="3511" t="s">
        <v>29</v>
      </c>
      <c r="L2079" s="3443" t="s">
        <v>37</v>
      </c>
      <c r="M2079" s="3443"/>
      <c r="N2079" s="3443"/>
      <c r="O2079" s="3443"/>
      <c r="P2079" s="3462"/>
      <c r="Q2079" s="3462"/>
      <c r="R2079" s="3462"/>
      <c r="S2079" s="3443"/>
      <c r="T2079" s="3443"/>
      <c r="U2079" s="3443"/>
      <c r="V2079" s="3443"/>
      <c r="W2079" s="3443"/>
      <c r="X2079" s="3522"/>
    </row>
    <row r="2080" spans="1:24" ht="57" hidden="1">
      <c r="A2080" s="3443" t="s">
        <v>85</v>
      </c>
      <c r="B2080" s="3444">
        <v>45980</v>
      </c>
      <c r="C2080" s="3165" t="s">
        <v>3852</v>
      </c>
      <c r="D2080" s="4109"/>
      <c r="E2080" s="4198" t="s">
        <v>1116</v>
      </c>
      <c r="F2080" s="4198" t="s">
        <v>89</v>
      </c>
      <c r="I2080" s="3443">
        <v>712</v>
      </c>
      <c r="J2080" s="3443" t="s">
        <v>3860</v>
      </c>
      <c r="K2080" s="4153" t="s">
        <v>310</v>
      </c>
      <c r="L2080" s="3443"/>
      <c r="M2080" s="3443" t="s">
        <v>37</v>
      </c>
      <c r="N2080" s="3443"/>
      <c r="O2080" s="3443"/>
      <c r="P2080" s="360" t="s">
        <v>122</v>
      </c>
      <c r="Q2080" s="360" t="s">
        <v>123</v>
      </c>
      <c r="R2080" s="360" t="s">
        <v>32</v>
      </c>
      <c r="S2080" s="3443"/>
      <c r="T2080" s="3443"/>
      <c r="U2080" s="3443"/>
      <c r="V2080" s="3443"/>
      <c r="W2080" s="3507" t="s">
        <v>3869</v>
      </c>
      <c r="X2080" s="3522" t="s">
        <v>3870</v>
      </c>
    </row>
    <row r="2081" spans="1:24" ht="28.5" hidden="1">
      <c r="A2081" s="3443" t="s">
        <v>85</v>
      </c>
      <c r="B2081" s="3444">
        <v>45980</v>
      </c>
      <c r="C2081" s="3165" t="s">
        <v>3852</v>
      </c>
      <c r="D2081" s="4128"/>
      <c r="E2081" s="4577" t="s">
        <v>48</v>
      </c>
      <c r="F2081" s="4577" t="s">
        <v>273</v>
      </c>
      <c r="I2081" s="3505">
        <v>705</v>
      </c>
      <c r="J2081" s="3602" t="s">
        <v>186</v>
      </c>
      <c r="K2081" s="3443"/>
      <c r="L2081" s="3505" t="s">
        <v>37</v>
      </c>
      <c r="M2081" s="3505"/>
      <c r="N2081" s="3505"/>
      <c r="O2081" s="3505"/>
      <c r="P2081" s="3505"/>
      <c r="Q2081" s="3505"/>
      <c r="R2081" s="3605"/>
      <c r="S2081" s="3456"/>
      <c r="T2081" s="3456"/>
      <c r="U2081" s="3456"/>
      <c r="V2081" s="3456"/>
      <c r="W2081" s="3456"/>
      <c r="X2081" s="3609"/>
    </row>
    <row r="2082" spans="1:24" ht="31.5" hidden="1">
      <c r="A2082" s="3443" t="s">
        <v>85</v>
      </c>
      <c r="B2082" s="3444">
        <v>45980</v>
      </c>
      <c r="C2082" s="3165" t="s">
        <v>3852</v>
      </c>
      <c r="D2082" s="4128"/>
      <c r="E2082" s="4162" t="s">
        <v>97</v>
      </c>
      <c r="F2082" s="4162" t="s">
        <v>148</v>
      </c>
      <c r="I2082" s="3443">
        <v>707</v>
      </c>
      <c r="J2082" s="3443" t="s">
        <v>260</v>
      </c>
      <c r="K2082" s="3443"/>
      <c r="L2082" s="3443" t="s">
        <v>37</v>
      </c>
      <c r="M2082" s="3443"/>
      <c r="N2082" s="3443"/>
      <c r="O2082" s="3443"/>
      <c r="P2082" s="3443"/>
      <c r="Q2082" s="3443"/>
      <c r="R2082" s="3443"/>
      <c r="S2082" s="3443"/>
      <c r="T2082" s="3443"/>
      <c r="U2082" s="3443"/>
      <c r="V2082" s="3443"/>
      <c r="W2082" s="3443"/>
      <c r="X2082" s="3522"/>
    </row>
    <row r="2083" spans="1:24" ht="28.5" hidden="1">
      <c r="A2083" s="3443" t="s">
        <v>85</v>
      </c>
      <c r="B2083" s="3444">
        <v>45980</v>
      </c>
      <c r="C2083" s="3165" t="s">
        <v>3852</v>
      </c>
      <c r="D2083" s="4128"/>
      <c r="E2083" s="4520" t="s">
        <v>3871</v>
      </c>
      <c r="F2083" s="4520" t="s">
        <v>2660</v>
      </c>
      <c r="I2083" s="3443">
        <v>712</v>
      </c>
      <c r="J2083" s="3443" t="s">
        <v>3872</v>
      </c>
      <c r="K2083" s="3443"/>
      <c r="L2083" s="3443" t="s">
        <v>37</v>
      </c>
      <c r="M2083" s="3443"/>
      <c r="N2083" s="3443"/>
      <c r="O2083" s="3443"/>
      <c r="P2083" s="3462"/>
      <c r="Q2083" s="3462"/>
      <c r="R2083" s="3462"/>
      <c r="S2083" s="3443"/>
      <c r="T2083" s="3443"/>
      <c r="U2083" s="3443"/>
      <c r="V2083" s="3443"/>
      <c r="W2083" s="3516"/>
      <c r="X2083" s="3522"/>
    </row>
    <row r="2084" spans="1:24" ht="31.5" hidden="1">
      <c r="A2084" s="3443" t="s">
        <v>85</v>
      </c>
      <c r="B2084" s="3444">
        <v>45980</v>
      </c>
      <c r="C2084" s="3165" t="s">
        <v>3852</v>
      </c>
      <c r="D2084" s="4128"/>
      <c r="E2084" s="4342" t="s">
        <v>2662</v>
      </c>
      <c r="F2084" s="4342" t="s">
        <v>3873</v>
      </c>
      <c r="I2084" s="3443">
        <v>712</v>
      </c>
      <c r="J2084" s="3443" t="s">
        <v>3872</v>
      </c>
      <c r="K2084" s="3443"/>
      <c r="L2084" s="3443"/>
      <c r="M2084" s="3443" t="s">
        <v>37</v>
      </c>
      <c r="N2084" s="3443"/>
      <c r="O2084" s="3443"/>
      <c r="P2084" s="360" t="s">
        <v>109</v>
      </c>
      <c r="Q2084" s="360" t="s">
        <v>1589</v>
      </c>
      <c r="R2084" s="360" t="s">
        <v>32</v>
      </c>
      <c r="S2084" s="3443"/>
      <c r="T2084" s="3443"/>
      <c r="U2084" s="3443"/>
      <c r="V2084" s="3443"/>
      <c r="W2084" s="3507" t="s">
        <v>3874</v>
      </c>
      <c r="X2084" s="3522"/>
    </row>
    <row r="2085" spans="1:24" ht="31.5" hidden="1">
      <c r="A2085" s="3443" t="s">
        <v>85</v>
      </c>
      <c r="B2085" s="3444">
        <v>45980</v>
      </c>
      <c r="C2085" s="3165" t="s">
        <v>3852</v>
      </c>
      <c r="D2085" s="4128"/>
      <c r="E2085" s="4339" t="s">
        <v>48</v>
      </c>
      <c r="F2085" s="4339" t="s">
        <v>3875</v>
      </c>
      <c r="I2085" s="3443">
        <v>705</v>
      </c>
      <c r="J2085" s="3443" t="s">
        <v>3876</v>
      </c>
      <c r="K2085" s="3443"/>
      <c r="L2085" s="3443" t="s">
        <v>37</v>
      </c>
      <c r="M2085" s="3443"/>
      <c r="N2085" s="3443"/>
      <c r="O2085" s="3443"/>
      <c r="P2085" s="3443"/>
      <c r="Q2085" s="3443"/>
      <c r="R2085" s="3443"/>
      <c r="S2085" s="3443"/>
      <c r="T2085" s="3443"/>
      <c r="U2085" s="3443"/>
      <c r="V2085" s="3443"/>
      <c r="W2085" s="3443"/>
      <c r="X2085" s="3522"/>
    </row>
    <row r="2086" spans="1:24" ht="31.5" hidden="1">
      <c r="A2086" s="3443" t="s">
        <v>85</v>
      </c>
      <c r="B2086" s="3444">
        <v>45980</v>
      </c>
      <c r="C2086" s="3165" t="s">
        <v>3852</v>
      </c>
      <c r="D2086" s="4128"/>
      <c r="E2086" s="4339" t="s">
        <v>48</v>
      </c>
      <c r="F2086" s="4339" t="s">
        <v>3875</v>
      </c>
      <c r="I2086" s="3443">
        <v>705</v>
      </c>
      <c r="J2086" s="3443" t="s">
        <v>3877</v>
      </c>
      <c r="K2086" s="3443"/>
      <c r="L2086" s="3443" t="s">
        <v>37</v>
      </c>
      <c r="M2086" s="3443"/>
      <c r="N2086" s="3443"/>
      <c r="O2086" s="3443"/>
      <c r="P2086" s="3443"/>
      <c r="Q2086" s="3443"/>
      <c r="R2086" s="3443"/>
      <c r="S2086" s="3443"/>
      <c r="T2086" s="3443"/>
      <c r="U2086" s="3443"/>
      <c r="V2086" s="3443"/>
      <c r="W2086" s="3443"/>
      <c r="X2086" s="3522"/>
    </row>
    <row r="2087" spans="1:24" ht="31.5" hidden="1">
      <c r="A2087" s="3443" t="s">
        <v>85</v>
      </c>
      <c r="B2087" s="3444">
        <v>45980</v>
      </c>
      <c r="C2087" s="3165" t="s">
        <v>3852</v>
      </c>
      <c r="D2087" s="4128"/>
      <c r="E2087" s="4343" t="s">
        <v>43</v>
      </c>
      <c r="F2087" s="4343" t="s">
        <v>584</v>
      </c>
      <c r="I2087" s="3443">
        <v>703</v>
      </c>
      <c r="J2087" s="3443" t="s">
        <v>2335</v>
      </c>
      <c r="K2087" s="3443"/>
      <c r="L2087" s="3443" t="s">
        <v>37</v>
      </c>
      <c r="M2087" s="3443"/>
      <c r="N2087" s="3443"/>
      <c r="O2087" s="3443"/>
      <c r="P2087" s="3443"/>
      <c r="Q2087" s="3443"/>
      <c r="R2087" s="3443"/>
      <c r="S2087" s="3443"/>
      <c r="T2087" s="3443"/>
      <c r="U2087" s="3443"/>
      <c r="V2087" s="3443"/>
      <c r="W2087" s="3443"/>
      <c r="X2087" s="3522"/>
    </row>
    <row r="2088" spans="1:24" ht="31.5" hidden="1">
      <c r="A2088" s="3443" t="s">
        <v>85</v>
      </c>
      <c r="B2088" s="3444">
        <v>45980</v>
      </c>
      <c r="C2088" s="3165" t="s">
        <v>3852</v>
      </c>
      <c r="D2088" s="4128"/>
      <c r="E2088" s="4244" t="s">
        <v>586</v>
      </c>
      <c r="F2088" s="4244" t="s">
        <v>830</v>
      </c>
      <c r="I2088" s="3443">
        <v>703</v>
      </c>
      <c r="J2088" s="3443" t="s">
        <v>2335</v>
      </c>
      <c r="K2088" s="3443"/>
      <c r="L2088" s="3443" t="s">
        <v>37</v>
      </c>
      <c r="M2088" s="3443"/>
      <c r="N2088" s="3443"/>
      <c r="O2088" s="3443"/>
      <c r="P2088" s="3443"/>
      <c r="Q2088" s="3443"/>
      <c r="R2088" s="3443"/>
      <c r="S2088" s="3443"/>
      <c r="T2088" s="3443"/>
      <c r="U2088" s="3443"/>
      <c r="V2088" s="3443"/>
      <c r="W2088" s="3443"/>
      <c r="X2088" s="3522"/>
    </row>
    <row r="2089" spans="1:24" ht="31.5" hidden="1">
      <c r="A2089" s="3443" t="s">
        <v>85</v>
      </c>
      <c r="B2089" s="3444">
        <v>45980</v>
      </c>
      <c r="C2089" s="3165" t="s">
        <v>3852</v>
      </c>
      <c r="D2089" s="4128"/>
      <c r="E2089" s="4286" t="s">
        <v>175</v>
      </c>
      <c r="F2089" s="4286" t="s">
        <v>142</v>
      </c>
      <c r="I2089" s="3443">
        <v>705</v>
      </c>
      <c r="J2089" s="3443" t="s">
        <v>2999</v>
      </c>
      <c r="K2089" s="3443"/>
      <c r="L2089" s="3443" t="s">
        <v>37</v>
      </c>
      <c r="M2089" s="3443"/>
      <c r="N2089" s="3443"/>
      <c r="O2089" s="3443"/>
      <c r="P2089" s="3443"/>
      <c r="Q2089" s="3443"/>
      <c r="R2089" s="3443"/>
      <c r="S2089" s="3443"/>
      <c r="T2089" s="3443"/>
      <c r="U2089" s="3456"/>
      <c r="V2089" s="3456"/>
      <c r="W2089" s="3456"/>
      <c r="X2089" s="3609"/>
    </row>
    <row r="2090" spans="1:24" ht="31.5" hidden="1">
      <c r="A2090" s="3443" t="s">
        <v>105</v>
      </c>
      <c r="B2090" s="3444">
        <v>45981</v>
      </c>
      <c r="C2090" s="3165" t="s">
        <v>3852</v>
      </c>
      <c r="D2090" s="4128"/>
      <c r="E2090" s="4159" t="s">
        <v>1464</v>
      </c>
      <c r="F2090" s="4159" t="s">
        <v>3225</v>
      </c>
      <c r="I2090" s="3443">
        <v>701</v>
      </c>
      <c r="J2090" s="3443" t="s">
        <v>3842</v>
      </c>
      <c r="K2090" s="3443"/>
      <c r="L2090" s="3443" t="s">
        <v>37</v>
      </c>
      <c r="M2090" s="3443"/>
      <c r="N2090" s="3443"/>
      <c r="O2090" s="3443"/>
      <c r="P2090" s="3443"/>
      <c r="Q2090" s="3443"/>
      <c r="R2090" s="3443"/>
      <c r="S2090" s="3443"/>
      <c r="T2090" s="3443"/>
      <c r="U2090" s="3443"/>
      <c r="V2090" s="3443"/>
      <c r="W2090" s="3443"/>
      <c r="X2090" s="3522"/>
    </row>
    <row r="2091" spans="1:24" ht="31.5" hidden="1">
      <c r="A2091" s="3443" t="s">
        <v>105</v>
      </c>
      <c r="B2091" s="3444">
        <v>45981</v>
      </c>
      <c r="C2091" s="3165" t="s">
        <v>3852</v>
      </c>
      <c r="D2091" s="4128"/>
      <c r="E2091" s="4159" t="s">
        <v>1465</v>
      </c>
      <c r="F2091" s="4159" t="s">
        <v>3228</v>
      </c>
      <c r="I2091" s="3443">
        <v>701</v>
      </c>
      <c r="J2091" s="3443" t="s">
        <v>3843</v>
      </c>
      <c r="K2091" s="3443"/>
      <c r="L2091" s="3443" t="s">
        <v>37</v>
      </c>
      <c r="M2091" s="3443"/>
      <c r="N2091" s="3443"/>
      <c r="O2091" s="3443"/>
      <c r="P2091" s="3443"/>
      <c r="Q2091" s="3443"/>
      <c r="R2091" s="3443"/>
      <c r="S2091" s="3443"/>
      <c r="T2091" s="3443"/>
      <c r="U2091" s="3443"/>
      <c r="V2091" s="3443"/>
      <c r="W2091" s="3443"/>
      <c r="X2091" s="3522"/>
    </row>
    <row r="2092" spans="1:24" ht="31.5" hidden="1">
      <c r="A2092" s="3443" t="s">
        <v>105</v>
      </c>
      <c r="B2092" s="3444">
        <v>45981</v>
      </c>
      <c r="C2092" s="3165" t="s">
        <v>3852</v>
      </c>
      <c r="D2092" s="4128"/>
      <c r="E2092" s="4344" t="s">
        <v>48</v>
      </c>
      <c r="F2092" s="4344" t="s">
        <v>1056</v>
      </c>
      <c r="I2092" s="3443">
        <v>705</v>
      </c>
      <c r="J2092" s="3443" t="s">
        <v>3878</v>
      </c>
      <c r="K2092" s="3443"/>
      <c r="L2092" s="3443" t="s">
        <v>37</v>
      </c>
      <c r="M2092" s="3443"/>
      <c r="N2092" s="3443"/>
      <c r="O2092" s="3443"/>
      <c r="P2092" s="3443"/>
      <c r="Q2092" s="3443"/>
      <c r="R2092" s="3443"/>
      <c r="S2092" s="3443"/>
      <c r="T2092" s="3443"/>
      <c r="U2092" s="3443"/>
      <c r="V2092" s="3443"/>
      <c r="W2092" s="3443"/>
      <c r="X2092" s="3522"/>
    </row>
    <row r="2093" spans="1:24" ht="28.5" hidden="1">
      <c r="A2093" s="3443" t="s">
        <v>105</v>
      </c>
      <c r="B2093" s="3444">
        <v>45981</v>
      </c>
      <c r="C2093" s="3165" t="s">
        <v>3852</v>
      </c>
      <c r="D2093" s="4109"/>
      <c r="E2093" s="4334" t="s">
        <v>148</v>
      </c>
      <c r="F2093" s="4334" t="s">
        <v>3879</v>
      </c>
      <c r="I2093" s="3443">
        <v>707</v>
      </c>
      <c r="J2093" s="3443" t="s">
        <v>260</v>
      </c>
      <c r="K2093" s="3511" t="s">
        <v>84</v>
      </c>
      <c r="L2093" s="3443" t="s">
        <v>37</v>
      </c>
      <c r="M2093" s="3443"/>
      <c r="N2093" s="3443"/>
      <c r="O2093" s="3443"/>
      <c r="P2093" s="3443"/>
      <c r="Q2093" s="3443"/>
      <c r="R2093" s="3443"/>
      <c r="S2093" s="3443"/>
      <c r="T2093" s="3443"/>
      <c r="U2093" s="3443"/>
      <c r="V2093" s="3443"/>
      <c r="W2093" s="3443"/>
      <c r="X2093" s="3522"/>
    </row>
    <row r="2094" spans="1:24" ht="31.5" hidden="1">
      <c r="A2094" s="3443" t="s">
        <v>105</v>
      </c>
      <c r="B2094" s="3444">
        <v>45981</v>
      </c>
      <c r="C2094" s="3165" t="s">
        <v>3852</v>
      </c>
      <c r="D2094" s="4128"/>
      <c r="E2094" s="4162" t="s">
        <v>43</v>
      </c>
      <c r="F2094" s="4162" t="s">
        <v>79</v>
      </c>
      <c r="I2094" s="3443">
        <v>707</v>
      </c>
      <c r="J2094" s="3443" t="s">
        <v>3880</v>
      </c>
      <c r="K2094" s="3443"/>
      <c r="L2094" s="3443" t="s">
        <v>37</v>
      </c>
      <c r="M2094" s="3443"/>
      <c r="N2094" s="3443"/>
      <c r="O2094" s="3443"/>
      <c r="P2094" s="3443"/>
      <c r="Q2094" s="3443"/>
      <c r="R2094" s="3443"/>
      <c r="S2094" s="3443"/>
      <c r="T2094" s="3443"/>
      <c r="U2094" s="3443"/>
      <c r="V2094" s="3443"/>
      <c r="W2094" s="3443"/>
      <c r="X2094" s="3522"/>
    </row>
    <row r="2095" spans="1:24" ht="31.5" hidden="1">
      <c r="A2095" s="3443" t="s">
        <v>105</v>
      </c>
      <c r="B2095" s="3444">
        <v>45981</v>
      </c>
      <c r="C2095" s="3165" t="s">
        <v>3852</v>
      </c>
      <c r="D2095" s="4128"/>
      <c r="E2095" s="4162" t="s">
        <v>43</v>
      </c>
      <c r="F2095" s="4162" t="s">
        <v>48</v>
      </c>
      <c r="I2095" s="3443">
        <v>705</v>
      </c>
      <c r="J2095" s="3443" t="s">
        <v>3881</v>
      </c>
      <c r="K2095" s="3443"/>
      <c r="L2095" s="3443" t="s">
        <v>37</v>
      </c>
      <c r="M2095" s="3443"/>
      <c r="N2095" s="3443"/>
      <c r="O2095" s="3443"/>
      <c r="P2095" s="3443"/>
      <c r="Q2095" s="3443"/>
      <c r="R2095" s="3443"/>
      <c r="S2095" s="3443"/>
      <c r="T2095" s="3443"/>
      <c r="U2095" s="3443"/>
      <c r="V2095" s="3443"/>
      <c r="W2095" s="3443"/>
      <c r="X2095" s="3522"/>
    </row>
    <row r="2096" spans="1:24" ht="31.5" hidden="1">
      <c r="A2096" s="3443" t="s">
        <v>105</v>
      </c>
      <c r="B2096" s="3444">
        <v>45981</v>
      </c>
      <c r="C2096" s="3165" t="s">
        <v>3852</v>
      </c>
      <c r="D2096" s="4128"/>
      <c r="E2096" s="4287" t="s">
        <v>1693</v>
      </c>
      <c r="F2096" s="4287" t="s">
        <v>497</v>
      </c>
      <c r="I2096" s="3443">
        <v>707</v>
      </c>
      <c r="J2096" s="3443" t="s">
        <v>3882</v>
      </c>
      <c r="K2096" s="3443"/>
      <c r="L2096" s="3443" t="s">
        <v>37</v>
      </c>
      <c r="M2096" s="3443"/>
      <c r="N2096" s="3443"/>
      <c r="O2096" s="3443"/>
      <c r="P2096" s="3443"/>
      <c r="Q2096" s="3443"/>
      <c r="R2096" s="3443"/>
      <c r="S2096" s="3443"/>
      <c r="T2096" s="3443"/>
      <c r="U2096" s="3456"/>
      <c r="V2096" s="3456"/>
      <c r="W2096" s="3456" t="s">
        <v>3883</v>
      </c>
      <c r="X2096" s="3609"/>
    </row>
    <row r="2097" spans="1:24" ht="31.5" hidden="1">
      <c r="A2097" s="3443" t="s">
        <v>132</v>
      </c>
      <c r="B2097" s="3463">
        <v>45982</v>
      </c>
      <c r="C2097" s="3165" t="s">
        <v>3852</v>
      </c>
      <c r="D2097" s="4252"/>
      <c r="E2097" s="4308" t="s">
        <v>1464</v>
      </c>
      <c r="F2097" s="4308" t="s">
        <v>3225</v>
      </c>
      <c r="I2097" s="3443">
        <v>701</v>
      </c>
      <c r="J2097" s="3443" t="s">
        <v>3842</v>
      </c>
      <c r="K2097" s="3443"/>
      <c r="L2097" s="3443" t="s">
        <v>37</v>
      </c>
      <c r="M2097" s="3443"/>
      <c r="N2097" s="3443"/>
      <c r="O2097" s="3443"/>
      <c r="P2097" s="3443"/>
      <c r="Q2097" s="3443"/>
      <c r="R2097" s="3443"/>
      <c r="S2097" s="3443"/>
      <c r="T2097" s="3443"/>
      <c r="U2097" s="3443"/>
      <c r="V2097" s="3443"/>
      <c r="W2097" s="3516"/>
      <c r="X2097" s="3522"/>
    </row>
    <row r="2098" spans="1:24" ht="28.5" hidden="1">
      <c r="A2098" s="3531" t="s">
        <v>132</v>
      </c>
      <c r="B2098" s="3444">
        <v>45982</v>
      </c>
      <c r="C2098" s="3165" t="s">
        <v>3852</v>
      </c>
      <c r="D2098" s="4252"/>
      <c r="E2098" s="4340" t="s">
        <v>943</v>
      </c>
      <c r="F2098" s="4340" t="s">
        <v>684</v>
      </c>
      <c r="I2098" s="3443">
        <v>705</v>
      </c>
      <c r="J2098" s="3443" t="s">
        <v>3884</v>
      </c>
      <c r="K2098" s="3443"/>
      <c r="L2098" s="3443" t="s">
        <v>37</v>
      </c>
      <c r="M2098" s="3443"/>
      <c r="N2098" s="3443"/>
      <c r="O2098" s="3443"/>
      <c r="P2098" s="3443"/>
      <c r="Q2098" s="3443"/>
      <c r="R2098" s="3443" t="s">
        <v>37</v>
      </c>
      <c r="S2098" s="3443"/>
      <c r="T2098" s="3443"/>
      <c r="U2098" s="3443"/>
      <c r="V2098" s="3443"/>
      <c r="W2098" s="3522" t="s">
        <v>3885</v>
      </c>
      <c r="X2098" s="3522" t="s">
        <v>3886</v>
      </c>
    </row>
    <row r="2099" spans="1:24" ht="28.5" hidden="1">
      <c r="A2099" s="3443" t="s">
        <v>132</v>
      </c>
      <c r="B2099" s="3444">
        <v>45982</v>
      </c>
      <c r="C2099" s="3165" t="s">
        <v>3852</v>
      </c>
      <c r="D2099" s="4128"/>
      <c r="E2099" s="4340" t="s">
        <v>392</v>
      </c>
      <c r="F2099" s="4340" t="s">
        <v>142</v>
      </c>
      <c r="I2099" s="3443">
        <v>705</v>
      </c>
      <c r="J2099" s="3443" t="s">
        <v>2124</v>
      </c>
      <c r="K2099" s="3443"/>
      <c r="L2099" s="3443" t="s">
        <v>37</v>
      </c>
      <c r="M2099" s="3443"/>
      <c r="N2099" s="3443"/>
      <c r="O2099" s="3443"/>
      <c r="P2099" s="3443"/>
      <c r="Q2099" s="3443"/>
      <c r="R2099" s="3443"/>
      <c r="S2099" s="3443"/>
      <c r="T2099" s="3443"/>
      <c r="U2099" s="3443"/>
      <c r="V2099" s="3443"/>
      <c r="W2099" s="3522"/>
      <c r="X2099" s="3522"/>
    </row>
    <row r="2100" spans="1:24" ht="28.5" hidden="1">
      <c r="A2100" s="3443" t="s">
        <v>132</v>
      </c>
      <c r="B2100" s="3444">
        <v>45982</v>
      </c>
      <c r="C2100" s="3165" t="s">
        <v>3852</v>
      </c>
      <c r="D2100" s="4253"/>
      <c r="E2100" s="4577" t="s">
        <v>97</v>
      </c>
      <c r="F2100" s="4577" t="s">
        <v>98</v>
      </c>
      <c r="I2100" s="3505">
        <v>712</v>
      </c>
      <c r="J2100" s="3602" t="s">
        <v>3887</v>
      </c>
      <c r="K2100" s="3511" t="s">
        <v>627</v>
      </c>
      <c r="L2100" s="3505"/>
      <c r="M2100" s="3505" t="s">
        <v>37</v>
      </c>
      <c r="N2100" s="3505"/>
      <c r="O2100" s="3505"/>
      <c r="P2100" s="4770" t="s">
        <v>109</v>
      </c>
      <c r="Q2100" s="4770" t="s">
        <v>1428</v>
      </c>
      <c r="R2100" s="4776" t="s">
        <v>32</v>
      </c>
      <c r="S2100" s="3456"/>
      <c r="T2100" s="3456"/>
      <c r="U2100" s="3456"/>
      <c r="V2100" s="3456"/>
      <c r="W2100" s="3512" t="s">
        <v>3888</v>
      </c>
      <c r="X2100" s="3609"/>
    </row>
    <row r="2101" spans="1:24" ht="31.5" hidden="1">
      <c r="A2101" s="3443" t="s">
        <v>132</v>
      </c>
      <c r="B2101" s="3444">
        <v>45982</v>
      </c>
      <c r="C2101" s="3165" t="s">
        <v>3852</v>
      </c>
      <c r="D2101" s="4128"/>
      <c r="E2101" s="4162" t="s">
        <v>2501</v>
      </c>
      <c r="F2101" s="4162" t="s">
        <v>3879</v>
      </c>
      <c r="I2101" s="3443">
        <v>707</v>
      </c>
      <c r="J2101" s="3443" t="s">
        <v>1565</v>
      </c>
      <c r="K2101" s="3443"/>
      <c r="L2101" s="3443" t="s">
        <v>37</v>
      </c>
      <c r="M2101" s="3443"/>
      <c r="N2101" s="3443"/>
      <c r="O2101" s="3443"/>
      <c r="P2101" s="3443"/>
      <c r="Q2101" s="3443"/>
      <c r="R2101" s="3443"/>
      <c r="S2101" s="3443"/>
      <c r="T2101" s="3443"/>
      <c r="U2101" s="3443"/>
      <c r="V2101" s="3443"/>
      <c r="W2101" s="3443"/>
      <c r="X2101" s="3522"/>
    </row>
    <row r="2102" spans="1:24" ht="28.5" hidden="1">
      <c r="A2102" s="3443" t="s">
        <v>132</v>
      </c>
      <c r="B2102" s="3444">
        <v>45982</v>
      </c>
      <c r="C2102" s="3165" t="s">
        <v>3852</v>
      </c>
      <c r="D2102" s="4128"/>
      <c r="E2102" s="4341" t="s">
        <v>491</v>
      </c>
      <c r="F2102" s="4341" t="s">
        <v>3889</v>
      </c>
      <c r="I2102" s="3443">
        <v>707</v>
      </c>
      <c r="J2102" s="3443" t="s">
        <v>3882</v>
      </c>
      <c r="K2102" s="3443"/>
      <c r="L2102" s="3443" t="s">
        <v>37</v>
      </c>
      <c r="M2102" s="3443"/>
      <c r="N2102" s="3443"/>
      <c r="O2102" s="3443"/>
      <c r="P2102" s="3443"/>
      <c r="Q2102" s="3443"/>
      <c r="R2102" s="3443"/>
      <c r="S2102" s="3443"/>
      <c r="T2102" s="3443"/>
      <c r="U2102" s="3443"/>
      <c r="V2102" s="3443"/>
      <c r="W2102" s="3443"/>
      <c r="X2102" s="3522"/>
    </row>
    <row r="2103" spans="1:24" ht="31.5" hidden="1">
      <c r="A2103" s="3443" t="s">
        <v>132</v>
      </c>
      <c r="B2103" s="3444">
        <v>45982</v>
      </c>
      <c r="C2103" s="3165" t="s">
        <v>3852</v>
      </c>
      <c r="D2103" s="4128"/>
      <c r="E2103" s="4162" t="s">
        <v>3890</v>
      </c>
      <c r="F2103" s="4162" t="s">
        <v>79</v>
      </c>
      <c r="I2103" s="3443">
        <v>707</v>
      </c>
      <c r="J2103" s="3443" t="s">
        <v>1176</v>
      </c>
      <c r="K2103" s="3443"/>
      <c r="L2103" s="3443" t="s">
        <v>37</v>
      </c>
      <c r="M2103" s="3443"/>
      <c r="N2103" s="3443"/>
      <c r="O2103" s="3443"/>
      <c r="P2103" s="3443"/>
      <c r="Q2103" s="3443"/>
      <c r="R2103" s="3443"/>
      <c r="S2103" s="3443"/>
      <c r="T2103" s="3443"/>
      <c r="U2103" s="3443"/>
      <c r="V2103" s="3443"/>
      <c r="W2103" s="3516"/>
      <c r="X2103" s="3522"/>
    </row>
    <row r="2104" spans="1:24" ht="85.5" hidden="1">
      <c r="A2104" s="3443" t="s">
        <v>25</v>
      </c>
      <c r="B2104" s="3444">
        <v>45985</v>
      </c>
      <c r="C2104" s="3165" t="s">
        <v>3891</v>
      </c>
      <c r="D2104" s="4128"/>
      <c r="E2104" s="4345" t="s">
        <v>1465</v>
      </c>
      <c r="F2104" s="4345" t="s">
        <v>3228</v>
      </c>
      <c r="I2104" s="3443">
        <v>701</v>
      </c>
      <c r="J2104" s="3443" t="s">
        <v>3699</v>
      </c>
      <c r="K2104" s="3443"/>
      <c r="L2104" s="3443"/>
      <c r="M2104" s="3443" t="s">
        <v>37</v>
      </c>
      <c r="N2104" s="3443"/>
      <c r="O2104" s="3443" t="s">
        <v>37</v>
      </c>
      <c r="P2104" s="360" t="s">
        <v>71</v>
      </c>
      <c r="Q2104" s="360" t="s">
        <v>138</v>
      </c>
      <c r="R2104" s="360" t="s">
        <v>790</v>
      </c>
      <c r="S2104" s="3443" t="s">
        <v>37</v>
      </c>
      <c r="T2104" s="3443"/>
      <c r="U2104" s="3443"/>
      <c r="V2104" s="3443"/>
      <c r="W2104" s="3507" t="s">
        <v>3892</v>
      </c>
      <c r="X2104" s="3522"/>
    </row>
    <row r="2105" spans="1:24" ht="31.5" hidden="1">
      <c r="A2105" s="3443" t="s">
        <v>25</v>
      </c>
      <c r="B2105" s="3444">
        <v>45985</v>
      </c>
      <c r="C2105" s="3165" t="s">
        <v>3891</v>
      </c>
      <c r="D2105" s="4252"/>
      <c r="E2105" s="4176" t="s">
        <v>273</v>
      </c>
      <c r="F2105" s="4176" t="s">
        <v>2569</v>
      </c>
      <c r="I2105" s="3443">
        <v>707</v>
      </c>
      <c r="J2105" s="3443" t="s">
        <v>2335</v>
      </c>
      <c r="K2105" s="3443"/>
      <c r="L2105" s="3443" t="s">
        <v>37</v>
      </c>
      <c r="M2105" s="3443"/>
      <c r="N2105" s="3443"/>
      <c r="O2105" s="3443"/>
      <c r="P2105" s="3443"/>
      <c r="Q2105" s="3443"/>
      <c r="R2105" s="3443"/>
      <c r="S2105" s="3443"/>
      <c r="T2105" s="3443"/>
      <c r="U2105" s="3456"/>
      <c r="V2105" s="3456"/>
      <c r="W2105" s="3456"/>
      <c r="X2105" s="3609"/>
    </row>
    <row r="2106" spans="1:24" ht="31.5" hidden="1">
      <c r="A2106" s="3443" t="s">
        <v>25</v>
      </c>
      <c r="B2106" s="3444">
        <v>45985</v>
      </c>
      <c r="C2106" s="3165" t="s">
        <v>3891</v>
      </c>
      <c r="D2106" s="4252"/>
      <c r="E2106" s="4162" t="s">
        <v>3893</v>
      </c>
      <c r="F2106" s="4162" t="s">
        <v>3894</v>
      </c>
      <c r="I2106" s="3443">
        <v>712</v>
      </c>
      <c r="J2106" s="3443" t="s">
        <v>3895</v>
      </c>
      <c r="K2106" s="3443"/>
      <c r="L2106" s="3443" t="s">
        <v>37</v>
      </c>
      <c r="M2106" s="3443"/>
      <c r="N2106" s="3443"/>
      <c r="O2106" s="3443"/>
      <c r="P2106" s="3443"/>
      <c r="Q2106" s="3443"/>
      <c r="R2106" s="3443"/>
      <c r="S2106" s="3443"/>
      <c r="T2106" s="3443"/>
      <c r="U2106" s="3443"/>
      <c r="V2106" s="3443"/>
      <c r="W2106" s="3443"/>
      <c r="X2106" s="3522"/>
    </row>
    <row r="2107" spans="1:24" ht="31.5" hidden="1">
      <c r="A2107" s="3443" t="s">
        <v>25</v>
      </c>
      <c r="B2107" s="3444">
        <v>45985</v>
      </c>
      <c r="C2107" s="3165" t="s">
        <v>3891</v>
      </c>
      <c r="D2107" s="4252"/>
      <c r="E2107" s="4329" t="s">
        <v>3865</v>
      </c>
      <c r="F2107" s="4329" t="s">
        <v>3766</v>
      </c>
      <c r="I2107" s="3443">
        <v>705</v>
      </c>
      <c r="J2107" s="3443" t="s">
        <v>3896</v>
      </c>
      <c r="K2107" s="3443"/>
      <c r="L2107" s="3443" t="s">
        <v>37</v>
      </c>
      <c r="M2107" s="3443"/>
      <c r="N2107" s="3443"/>
      <c r="O2107" s="3443"/>
      <c r="P2107" s="3443"/>
      <c r="Q2107" s="3443"/>
      <c r="R2107" s="3443"/>
      <c r="S2107" s="3443"/>
      <c r="T2107" s="3443"/>
      <c r="U2107" s="3443"/>
      <c r="V2107" s="3443"/>
      <c r="W2107" s="3443"/>
      <c r="X2107" s="3522"/>
    </row>
    <row r="2108" spans="1:24" ht="31.5" hidden="1">
      <c r="A2108" s="3443" t="s">
        <v>25</v>
      </c>
      <c r="B2108" s="3444">
        <v>45985</v>
      </c>
      <c r="C2108" s="3165" t="s">
        <v>3891</v>
      </c>
      <c r="D2108" s="4128"/>
      <c r="E2108" s="4329" t="s">
        <v>1266</v>
      </c>
      <c r="F2108" s="4329" t="s">
        <v>3897</v>
      </c>
      <c r="I2108" s="3443">
        <v>705</v>
      </c>
      <c r="J2108" s="3443" t="s">
        <v>3898</v>
      </c>
      <c r="K2108" s="3443"/>
      <c r="L2108" s="3443" t="s">
        <v>37</v>
      </c>
      <c r="M2108" s="3443"/>
      <c r="N2108" s="3443"/>
      <c r="O2108" s="3443"/>
      <c r="P2108" s="3443"/>
      <c r="Q2108" s="3443"/>
      <c r="R2108" s="3443"/>
      <c r="S2108" s="3443"/>
      <c r="T2108" s="3443"/>
      <c r="U2108" s="3443"/>
      <c r="V2108" s="3443"/>
      <c r="W2108" s="3443"/>
      <c r="X2108" s="3522"/>
    </row>
    <row r="2109" spans="1:24" ht="31.5" hidden="1">
      <c r="A2109" s="3443" t="s">
        <v>25</v>
      </c>
      <c r="B2109" s="3444">
        <v>45985</v>
      </c>
      <c r="C2109" s="3165" t="s">
        <v>3891</v>
      </c>
      <c r="D2109" s="4128"/>
      <c r="E2109" s="4162" t="s">
        <v>2444</v>
      </c>
      <c r="F2109" s="4162" t="s">
        <v>2941</v>
      </c>
      <c r="I2109" s="3443">
        <v>707</v>
      </c>
      <c r="J2109" s="3443" t="s">
        <v>2124</v>
      </c>
      <c r="K2109" s="3443"/>
      <c r="L2109" s="3443" t="s">
        <v>37</v>
      </c>
      <c r="M2109" s="3443"/>
      <c r="N2109" s="3443"/>
      <c r="O2109" s="3443"/>
      <c r="P2109" s="3443"/>
      <c r="Q2109" s="3443"/>
      <c r="R2109" s="3443"/>
      <c r="S2109" s="3443"/>
      <c r="T2109" s="3443"/>
      <c r="U2109" s="3443"/>
      <c r="V2109" s="3443"/>
      <c r="W2109" s="3443"/>
      <c r="X2109" s="3522"/>
    </row>
    <row r="2110" spans="1:24" ht="31.5" hidden="1">
      <c r="A2110" s="3443" t="s">
        <v>25</v>
      </c>
      <c r="B2110" s="3444">
        <v>45985</v>
      </c>
      <c r="C2110" s="3165" t="s">
        <v>3891</v>
      </c>
      <c r="D2110" s="4109"/>
      <c r="E2110" s="4162" t="s">
        <v>306</v>
      </c>
      <c r="F2110" s="4162" t="s">
        <v>97</v>
      </c>
      <c r="I2110" s="3443">
        <v>712</v>
      </c>
      <c r="J2110" s="3443" t="s">
        <v>2357</v>
      </c>
      <c r="K2110" s="3511" t="s">
        <v>2146</v>
      </c>
      <c r="L2110" s="3443" t="s">
        <v>37</v>
      </c>
      <c r="M2110" s="3443"/>
      <c r="N2110" s="3443"/>
      <c r="O2110" s="3443"/>
      <c r="P2110" s="3443"/>
      <c r="Q2110" s="3443"/>
      <c r="R2110" s="3443"/>
      <c r="S2110" s="3443"/>
      <c r="T2110" s="3443"/>
      <c r="U2110" s="3443"/>
      <c r="V2110" s="3443"/>
      <c r="W2110" s="3443"/>
      <c r="X2110" s="3522"/>
    </row>
    <row r="2111" spans="1:24" ht="31.5" hidden="1">
      <c r="A2111" s="3443" t="s">
        <v>25</v>
      </c>
      <c r="B2111" s="3444">
        <v>45985</v>
      </c>
      <c r="C2111" s="3165" t="s">
        <v>3891</v>
      </c>
      <c r="D2111" s="4128"/>
      <c r="E2111" s="4179" t="s">
        <v>3465</v>
      </c>
      <c r="F2111" s="4179" t="s">
        <v>263</v>
      </c>
      <c r="I2111" s="3443">
        <v>707</v>
      </c>
      <c r="J2111" s="3443" t="s">
        <v>384</v>
      </c>
      <c r="K2111" s="3443"/>
      <c r="L2111" s="3443" t="s">
        <v>37</v>
      </c>
      <c r="M2111" s="3443"/>
      <c r="N2111" s="3443"/>
      <c r="O2111" s="3443"/>
      <c r="P2111" s="3443"/>
      <c r="Q2111" s="3443"/>
      <c r="R2111" s="3443"/>
      <c r="S2111" s="3443"/>
      <c r="T2111" s="3443"/>
      <c r="U2111" s="3456"/>
      <c r="V2111" s="3456"/>
      <c r="W2111" s="3456"/>
      <c r="X2111" s="3609"/>
    </row>
    <row r="2112" spans="1:24" ht="31.5" hidden="1">
      <c r="A2112" s="3443" t="s">
        <v>67</v>
      </c>
      <c r="B2112" s="3444">
        <v>45986</v>
      </c>
      <c r="C2112" s="3165" t="s">
        <v>3891</v>
      </c>
      <c r="D2112" s="4128"/>
      <c r="E2112" s="4345" t="s">
        <v>2299</v>
      </c>
      <c r="F2112" s="4345" t="s">
        <v>1731</v>
      </c>
      <c r="I2112" s="3443">
        <v>701</v>
      </c>
      <c r="J2112" s="3443" t="s">
        <v>3697</v>
      </c>
      <c r="K2112" s="3443"/>
      <c r="L2112" s="3443" t="s">
        <v>37</v>
      </c>
      <c r="M2112" s="3443"/>
      <c r="N2112" s="3443"/>
      <c r="O2112" s="3443"/>
      <c r="P2112" s="3443"/>
      <c r="Q2112" s="3443"/>
      <c r="R2112" s="3443"/>
      <c r="S2112" s="3443"/>
      <c r="T2112" s="3443" t="s">
        <v>37</v>
      </c>
      <c r="U2112" s="3456"/>
      <c r="V2112" s="3456"/>
      <c r="W2112" s="3603"/>
      <c r="X2112" s="3609"/>
    </row>
    <row r="2113" spans="1:25" ht="31.5" hidden="1">
      <c r="A2113" s="3443" t="s">
        <v>67</v>
      </c>
      <c r="B2113" s="3444">
        <v>45986</v>
      </c>
      <c r="C2113" s="3165" t="s">
        <v>3891</v>
      </c>
      <c r="D2113" s="4108"/>
      <c r="E2113" s="4345" t="s">
        <v>1464</v>
      </c>
      <c r="F2113" s="4345" t="s">
        <v>3225</v>
      </c>
      <c r="I2113" s="3443">
        <v>701</v>
      </c>
      <c r="J2113" s="3443" t="s">
        <v>3697</v>
      </c>
      <c r="K2113" s="3443"/>
      <c r="L2113" s="3443"/>
      <c r="M2113" s="3443" t="s">
        <v>37</v>
      </c>
      <c r="N2113" s="3443"/>
      <c r="O2113" s="3443"/>
      <c r="P2113" s="360" t="s">
        <v>71</v>
      </c>
      <c r="Q2113" s="360" t="s">
        <v>138</v>
      </c>
      <c r="R2113" s="360" t="s">
        <v>790</v>
      </c>
      <c r="S2113" s="3443"/>
      <c r="T2113" s="3443"/>
      <c r="U2113" s="3443"/>
      <c r="V2113" s="3443"/>
      <c r="W2113" s="3507" t="s">
        <v>3899</v>
      </c>
      <c r="X2113" s="3522" t="s">
        <v>1860</v>
      </c>
    </row>
    <row r="2114" spans="1:25" ht="85.5" hidden="1" customHeight="1">
      <c r="A2114" s="3443" t="s">
        <v>67</v>
      </c>
      <c r="B2114" s="3444">
        <v>45986</v>
      </c>
      <c r="C2114" s="3165" t="s">
        <v>3891</v>
      </c>
      <c r="D2114" s="4108"/>
      <c r="E2114" s="4345" t="s">
        <v>1465</v>
      </c>
      <c r="F2114" s="4345" t="s">
        <v>3228</v>
      </c>
      <c r="I2114" s="3443">
        <v>701</v>
      </c>
      <c r="J2114" s="3443" t="s">
        <v>3699</v>
      </c>
      <c r="K2114" s="3443"/>
      <c r="L2114" s="3443"/>
      <c r="M2114" s="3443"/>
      <c r="N2114" s="3443" t="s">
        <v>37</v>
      </c>
      <c r="O2114" s="3443"/>
      <c r="P2114" s="360" t="s">
        <v>71</v>
      </c>
      <c r="Q2114" s="360" t="s">
        <v>138</v>
      </c>
      <c r="R2114" s="360" t="s">
        <v>790</v>
      </c>
      <c r="S2114" s="3443"/>
      <c r="T2114" s="3443"/>
      <c r="U2114" s="3443"/>
      <c r="V2114" s="3443"/>
      <c r="W2114" s="3516"/>
      <c r="X2114" s="3522"/>
    </row>
    <row r="2115" spans="1:25" ht="57" hidden="1">
      <c r="A2115" s="3443" t="s">
        <v>180</v>
      </c>
      <c r="B2115" s="3444">
        <v>45986</v>
      </c>
      <c r="C2115" s="3165" t="s">
        <v>3891</v>
      </c>
      <c r="D2115" s="4128"/>
      <c r="E2115" s="4176" t="s">
        <v>669</v>
      </c>
      <c r="F2115" s="4176" t="s">
        <v>3900</v>
      </c>
      <c r="I2115" s="3443">
        <v>707</v>
      </c>
      <c r="J2115" s="3443" t="s">
        <v>3901</v>
      </c>
      <c r="K2115" s="3443"/>
      <c r="L2115" s="3443"/>
      <c r="M2115" s="3443" t="s">
        <v>37</v>
      </c>
      <c r="N2115" s="3443"/>
      <c r="O2115" s="3443"/>
      <c r="P2115" s="360" t="s">
        <v>109</v>
      </c>
      <c r="Q2115" s="360" t="s">
        <v>1019</v>
      </c>
      <c r="R2115" s="360" t="s">
        <v>38</v>
      </c>
      <c r="S2115" s="3443"/>
      <c r="T2115" s="3443"/>
      <c r="U2115" s="3443"/>
      <c r="V2115" s="3443"/>
      <c r="W2115" s="3522" t="s">
        <v>3902</v>
      </c>
      <c r="X2115" s="3522"/>
      <c r="Y2115" s="3156" t="s">
        <v>3903</v>
      </c>
    </row>
    <row r="2116" spans="1:25" ht="57" hidden="1">
      <c r="A2116" s="3443" t="s">
        <v>67</v>
      </c>
      <c r="B2116" s="3444">
        <v>45986</v>
      </c>
      <c r="C2116" s="3165" t="s">
        <v>3891</v>
      </c>
      <c r="D2116" s="4128"/>
      <c r="E2116" s="4176" t="s">
        <v>1254</v>
      </c>
      <c r="F2116" s="4176" t="s">
        <v>3904</v>
      </c>
      <c r="I2116" s="3443">
        <v>707</v>
      </c>
      <c r="J2116" s="3443" t="s">
        <v>3905</v>
      </c>
      <c r="K2116" s="3443"/>
      <c r="L2116" s="3443"/>
      <c r="M2116" s="3443"/>
      <c r="N2116" s="3443" t="s">
        <v>3906</v>
      </c>
      <c r="O2116" s="3443" t="s">
        <v>37</v>
      </c>
      <c r="P2116" s="360" t="s">
        <v>0</v>
      </c>
      <c r="Q2116" s="360" t="s">
        <v>110</v>
      </c>
      <c r="R2116" s="360" t="s">
        <v>32</v>
      </c>
      <c r="S2116" s="3443"/>
      <c r="T2116" s="3443"/>
      <c r="U2116" s="3443"/>
      <c r="V2116" s="3443"/>
      <c r="W2116" s="3522" t="s">
        <v>3907</v>
      </c>
      <c r="X2116" s="3522"/>
    </row>
    <row r="2117" spans="1:25" ht="31.5" hidden="1">
      <c r="A2117" s="3443" t="s">
        <v>67</v>
      </c>
      <c r="B2117" s="3444">
        <v>45986</v>
      </c>
      <c r="C2117" s="3165" t="s">
        <v>3891</v>
      </c>
      <c r="D2117" s="4128"/>
      <c r="E2117" s="4179" t="s">
        <v>148</v>
      </c>
      <c r="F2117" s="4179" t="s">
        <v>1342</v>
      </c>
      <c r="I2117" s="3443">
        <v>707</v>
      </c>
      <c r="J2117" s="3443" t="s">
        <v>384</v>
      </c>
      <c r="K2117" s="3443"/>
      <c r="L2117" s="3443" t="s">
        <v>37</v>
      </c>
      <c r="M2117" s="3443"/>
      <c r="N2117" s="3443"/>
      <c r="O2117" s="3443"/>
      <c r="P2117" s="3443"/>
      <c r="Q2117" s="3443"/>
      <c r="R2117" s="3443"/>
      <c r="S2117" s="3443"/>
      <c r="T2117" s="3443"/>
      <c r="U2117" s="3443"/>
      <c r="V2117" s="3443"/>
      <c r="W2117" s="3522"/>
      <c r="X2117" s="3522"/>
    </row>
    <row r="2118" spans="1:25" ht="31.5" hidden="1">
      <c r="A2118" s="3443" t="s">
        <v>67</v>
      </c>
      <c r="B2118" s="3444">
        <v>45986</v>
      </c>
      <c r="C2118" s="3165" t="s">
        <v>3891</v>
      </c>
      <c r="D2118" s="4128"/>
      <c r="E2118" s="4162" t="s">
        <v>3879</v>
      </c>
      <c r="F2118" s="4162" t="s">
        <v>1838</v>
      </c>
      <c r="I2118" s="3443">
        <v>707</v>
      </c>
      <c r="J2118" s="3443" t="s">
        <v>3294</v>
      </c>
      <c r="K2118" s="3443"/>
      <c r="L2118" s="3443" t="s">
        <v>37</v>
      </c>
      <c r="M2118" s="3443"/>
      <c r="N2118" s="3443"/>
      <c r="O2118" s="3443"/>
      <c r="P2118" s="3443"/>
      <c r="Q2118" s="3443"/>
      <c r="R2118" s="3443"/>
      <c r="S2118" s="3443"/>
      <c r="T2118" s="3443"/>
      <c r="U2118" s="3443"/>
      <c r="V2118" s="3443"/>
      <c r="W2118" s="3522"/>
      <c r="X2118" s="3522"/>
    </row>
    <row r="2119" spans="1:25" ht="31.5" hidden="1">
      <c r="A2119" s="3443" t="s">
        <v>67</v>
      </c>
      <c r="B2119" s="3444">
        <v>45986</v>
      </c>
      <c r="C2119" s="3165" t="s">
        <v>3891</v>
      </c>
      <c r="D2119" s="4128"/>
      <c r="E2119" s="4346" t="s">
        <v>334</v>
      </c>
      <c r="F2119" s="4346" t="s">
        <v>3908</v>
      </c>
      <c r="I2119" s="3443">
        <v>712</v>
      </c>
      <c r="J2119" s="3443" t="s">
        <v>3909</v>
      </c>
      <c r="K2119" s="3443"/>
      <c r="L2119" s="3443" t="s">
        <v>37</v>
      </c>
      <c r="M2119" s="3443"/>
      <c r="N2119" s="3443"/>
      <c r="O2119" s="3443"/>
      <c r="P2119" s="3443"/>
      <c r="Q2119" s="3443"/>
      <c r="R2119" s="3443"/>
      <c r="S2119" s="3443"/>
      <c r="T2119" s="3443"/>
      <c r="U2119" s="3443"/>
      <c r="V2119" s="3443"/>
      <c r="W2119" s="3522"/>
      <c r="X2119" s="3522"/>
    </row>
    <row r="2120" spans="1:25" ht="31.5" hidden="1">
      <c r="A2120" s="3443" t="s">
        <v>67</v>
      </c>
      <c r="B2120" s="3444">
        <v>45986</v>
      </c>
      <c r="C2120" s="3165" t="s">
        <v>3891</v>
      </c>
      <c r="D2120" s="4128"/>
      <c r="E2120" s="4162" t="s">
        <v>48</v>
      </c>
      <c r="F2120" s="4162" t="s">
        <v>48</v>
      </c>
      <c r="I2120" s="3443">
        <v>705</v>
      </c>
      <c r="J2120" s="3443" t="s">
        <v>3910</v>
      </c>
      <c r="K2120" s="3443"/>
      <c r="L2120" s="3443" t="s">
        <v>37</v>
      </c>
      <c r="M2120" s="3443"/>
      <c r="N2120" s="3443"/>
      <c r="O2120" s="3443"/>
      <c r="P2120" s="3443"/>
      <c r="Q2120" s="3443"/>
      <c r="R2120" s="3443"/>
      <c r="S2120" s="3443"/>
      <c r="T2120" s="3443"/>
      <c r="U2120" s="3443"/>
      <c r="V2120" s="3443"/>
      <c r="W2120" s="3522"/>
      <c r="X2120" s="3522"/>
    </row>
    <row r="2121" spans="1:25" ht="31.5" hidden="1">
      <c r="A2121" s="3443" t="s">
        <v>85</v>
      </c>
      <c r="B2121" s="3444">
        <v>45987</v>
      </c>
      <c r="C2121" s="3165" t="s">
        <v>3891</v>
      </c>
      <c r="D2121" s="4128"/>
      <c r="E2121" s="4346" t="s">
        <v>89</v>
      </c>
      <c r="F2121" s="4346" t="s">
        <v>3911</v>
      </c>
      <c r="I2121" s="3443">
        <v>712</v>
      </c>
      <c r="J2121" s="3443" t="s">
        <v>3912</v>
      </c>
      <c r="K2121" s="3443"/>
      <c r="L2121" s="3443" t="s">
        <v>37</v>
      </c>
      <c r="M2121" s="3443"/>
      <c r="N2121" s="3443"/>
      <c r="O2121" s="3443"/>
      <c r="P2121" s="3443"/>
      <c r="Q2121" s="3443"/>
      <c r="R2121" s="3443"/>
      <c r="S2121" s="3443"/>
      <c r="T2121" s="3443"/>
      <c r="U2121" s="3443"/>
      <c r="V2121" s="3443"/>
      <c r="W2121" s="3522"/>
      <c r="X2121" s="3522"/>
    </row>
    <row r="2122" spans="1:25" ht="31.5" hidden="1">
      <c r="A2122" s="3443" t="s">
        <v>85</v>
      </c>
      <c r="B2122" s="3444">
        <v>45987</v>
      </c>
      <c r="C2122" s="3165" t="s">
        <v>3891</v>
      </c>
      <c r="D2122" s="4108"/>
      <c r="E2122" s="4346" t="s">
        <v>450</v>
      </c>
      <c r="F2122" s="4346" t="s">
        <v>3841</v>
      </c>
      <c r="I2122" s="3443">
        <v>712</v>
      </c>
      <c r="J2122" s="3443" t="s">
        <v>349</v>
      </c>
      <c r="K2122" s="3443"/>
      <c r="L2122" s="3443"/>
      <c r="M2122" s="3443" t="s">
        <v>37</v>
      </c>
      <c r="N2122" s="3443"/>
      <c r="O2122" s="3443"/>
      <c r="P2122" s="360" t="s">
        <v>0</v>
      </c>
      <c r="Q2122" s="360" t="s">
        <v>187</v>
      </c>
      <c r="R2122" s="360" t="s">
        <v>32</v>
      </c>
      <c r="S2122" s="3443"/>
      <c r="T2122" s="3443"/>
      <c r="U2122" s="3456"/>
      <c r="V2122" s="3456"/>
      <c r="W2122" s="3609" t="s">
        <v>3913</v>
      </c>
      <c r="X2122" s="3609"/>
    </row>
    <row r="2123" spans="1:25" ht="31.5" hidden="1">
      <c r="A2123" s="3443" t="s">
        <v>85</v>
      </c>
      <c r="B2123" s="3444">
        <v>45987</v>
      </c>
      <c r="C2123" s="3165" t="s">
        <v>3891</v>
      </c>
      <c r="D2123" s="4128"/>
      <c r="E2123" s="4345" t="s">
        <v>1464</v>
      </c>
      <c r="F2123" s="4345" t="s">
        <v>3225</v>
      </c>
      <c r="I2123" s="3443">
        <v>701</v>
      </c>
      <c r="J2123" s="3443" t="s">
        <v>3697</v>
      </c>
      <c r="K2123" s="3443"/>
      <c r="L2123" s="3443" t="s">
        <v>37</v>
      </c>
      <c r="M2123" s="3443"/>
      <c r="N2123" s="3443"/>
      <c r="O2123" s="3443"/>
      <c r="P2123" s="3443"/>
      <c r="Q2123" s="3443"/>
      <c r="R2123" s="3443"/>
      <c r="S2123" s="3443"/>
      <c r="T2123" s="3443"/>
      <c r="U2123" s="3443"/>
      <c r="V2123" s="3443"/>
      <c r="W2123" s="3522"/>
      <c r="X2123" s="3522"/>
    </row>
    <row r="2124" spans="1:25" ht="31.5" hidden="1">
      <c r="A2124" s="3443" t="s">
        <v>85</v>
      </c>
      <c r="B2124" s="3444">
        <v>45987</v>
      </c>
      <c r="C2124" s="3165" t="s">
        <v>3891</v>
      </c>
      <c r="D2124" s="4128"/>
      <c r="E2124" s="4345" t="s">
        <v>1465</v>
      </c>
      <c r="F2124" s="4345" t="s">
        <v>3228</v>
      </c>
      <c r="I2124" s="3443">
        <v>701</v>
      </c>
      <c r="J2124" s="3443" t="s">
        <v>3699</v>
      </c>
      <c r="K2124" s="3443"/>
      <c r="L2124" s="3443" t="s">
        <v>37</v>
      </c>
      <c r="M2124" s="3443"/>
      <c r="N2124" s="3443"/>
      <c r="O2124" s="3443"/>
      <c r="P2124" s="3443"/>
      <c r="Q2124" s="3443"/>
      <c r="R2124" s="3443"/>
      <c r="S2124" s="3443"/>
      <c r="T2124" s="3443"/>
      <c r="U2124" s="3443"/>
      <c r="V2124" s="3443"/>
      <c r="W2124" s="3522"/>
      <c r="X2124" s="3522"/>
    </row>
    <row r="2125" spans="1:25" ht="51.95" hidden="1" customHeight="1">
      <c r="A2125" s="3443" t="s">
        <v>85</v>
      </c>
      <c r="B2125" s="3444">
        <v>45987</v>
      </c>
      <c r="C2125" s="3165" t="s">
        <v>3891</v>
      </c>
      <c r="D2125" s="4109"/>
      <c r="E2125" s="4162" t="s">
        <v>3914</v>
      </c>
      <c r="F2125" s="4162" t="s">
        <v>3915</v>
      </c>
      <c r="I2125" s="3443">
        <v>712</v>
      </c>
      <c r="J2125" s="3443" t="s">
        <v>3916</v>
      </c>
      <c r="K2125" s="3511" t="s">
        <v>84</v>
      </c>
      <c r="L2125" s="3443" t="s">
        <v>37</v>
      </c>
      <c r="M2125" s="3443"/>
      <c r="N2125" s="3443"/>
      <c r="O2125" s="3443"/>
      <c r="P2125" s="3443"/>
      <c r="Q2125" s="3443"/>
      <c r="R2125" s="3443"/>
      <c r="S2125" s="3443"/>
      <c r="T2125" s="3443"/>
      <c r="U2125" s="3456"/>
      <c r="V2125" s="3456"/>
      <c r="W2125" s="3507"/>
      <c r="X2125" s="3507"/>
    </row>
    <row r="2126" spans="1:25" ht="30.95" hidden="1" customHeight="1">
      <c r="A2126" s="3443" t="s">
        <v>105</v>
      </c>
      <c r="B2126" s="3444">
        <v>45988</v>
      </c>
      <c r="C2126" s="3165" t="s">
        <v>3891</v>
      </c>
      <c r="D2126" s="4128"/>
      <c r="E2126" s="4345" t="s">
        <v>1464</v>
      </c>
      <c r="F2126" s="4345" t="s">
        <v>3225</v>
      </c>
      <c r="I2126" s="3443">
        <v>701</v>
      </c>
      <c r="J2126" s="3443" t="s">
        <v>3697</v>
      </c>
      <c r="K2126" s="3443"/>
      <c r="L2126" s="3443" t="s">
        <v>37</v>
      </c>
      <c r="M2126" s="3443"/>
      <c r="N2126" s="3443"/>
      <c r="O2126" s="3443" t="s">
        <v>37</v>
      </c>
      <c r="P2126" s="3443"/>
      <c r="Q2126" s="3443"/>
      <c r="R2126" s="3443"/>
      <c r="S2126" s="3443"/>
      <c r="T2126" s="3443"/>
      <c r="U2126" s="3443"/>
      <c r="V2126" s="3443"/>
      <c r="W2126" s="4961" t="s">
        <v>3917</v>
      </c>
      <c r="X2126" s="4961"/>
    </row>
    <row r="2127" spans="1:25" ht="30.95" hidden="1" customHeight="1">
      <c r="A2127" s="3443" t="s">
        <v>105</v>
      </c>
      <c r="B2127" s="3444">
        <v>45988</v>
      </c>
      <c r="C2127" s="3165" t="s">
        <v>3891</v>
      </c>
      <c r="D2127" s="4128"/>
      <c r="E2127" s="4345" t="s">
        <v>1465</v>
      </c>
      <c r="F2127" s="4345" t="s">
        <v>3228</v>
      </c>
      <c r="I2127" s="3443">
        <v>701</v>
      </c>
      <c r="J2127" s="3443" t="s">
        <v>3699</v>
      </c>
      <c r="K2127" s="3443"/>
      <c r="L2127" s="3443"/>
      <c r="M2127" s="3443" t="s">
        <v>37</v>
      </c>
      <c r="N2127" s="3443"/>
      <c r="O2127" s="3443"/>
      <c r="P2127" s="360" t="s">
        <v>71</v>
      </c>
      <c r="Q2127" s="360" t="s">
        <v>138</v>
      </c>
      <c r="R2127" s="360" t="s">
        <v>790</v>
      </c>
      <c r="S2127" s="3443"/>
      <c r="T2127" s="3443"/>
      <c r="U2127" s="3443"/>
      <c r="V2127" s="3443"/>
      <c r="W2127" s="3522" t="s">
        <v>3918</v>
      </c>
      <c r="X2127" s="3522"/>
      <c r="Y2127" s="3156" t="s">
        <v>3919</v>
      </c>
    </row>
    <row r="2128" spans="1:25" ht="31.5" hidden="1">
      <c r="A2128" s="3443" t="s">
        <v>105</v>
      </c>
      <c r="B2128" s="3444">
        <v>45988</v>
      </c>
      <c r="C2128" s="3165" t="s">
        <v>3891</v>
      </c>
      <c r="D2128" s="4128"/>
      <c r="E2128" s="4239" t="s">
        <v>48</v>
      </c>
      <c r="F2128" s="4239" t="s">
        <v>165</v>
      </c>
      <c r="I2128" s="3443">
        <v>705</v>
      </c>
      <c r="J2128" s="3443" t="s">
        <v>3920</v>
      </c>
      <c r="K2128" s="3443"/>
      <c r="L2128" s="3443" t="s">
        <v>37</v>
      </c>
      <c r="M2128" s="3443"/>
      <c r="N2128" s="3443"/>
      <c r="O2128" s="3443"/>
      <c r="P2128" s="3443"/>
      <c r="Q2128" s="3443"/>
      <c r="R2128" s="3443"/>
      <c r="S2128" s="3443"/>
      <c r="T2128" s="3443"/>
      <c r="U2128" s="3443" t="s">
        <v>30</v>
      </c>
      <c r="V2128" s="3443"/>
      <c r="W2128" s="3522"/>
      <c r="X2128" s="3522"/>
    </row>
    <row r="2129" spans="1:24" ht="31.5" hidden="1">
      <c r="A2129" s="3443" t="s">
        <v>105</v>
      </c>
      <c r="B2129" s="3444">
        <v>45988</v>
      </c>
      <c r="C2129" s="3165" t="s">
        <v>3891</v>
      </c>
      <c r="D2129" s="4128"/>
      <c r="E2129" s="4239" t="s">
        <v>168</v>
      </c>
      <c r="F2129" s="4239" t="s">
        <v>142</v>
      </c>
      <c r="I2129" s="3443">
        <v>705</v>
      </c>
      <c r="J2129" s="3443" t="s">
        <v>128</v>
      </c>
      <c r="K2129" s="3443"/>
      <c r="L2129" s="3443" t="s">
        <v>37</v>
      </c>
      <c r="M2129" s="3443"/>
      <c r="N2129" s="3443"/>
      <c r="O2129" s="3443"/>
      <c r="P2129" s="3443"/>
      <c r="Q2129" s="3443"/>
      <c r="R2129" s="3443"/>
      <c r="S2129" s="3443"/>
      <c r="T2129" s="3443"/>
      <c r="U2129" s="3443" t="s">
        <v>30</v>
      </c>
      <c r="V2129" s="3443"/>
      <c r="W2129" s="3522"/>
      <c r="X2129" s="3522"/>
    </row>
    <row r="2130" spans="1:24" ht="31.5" hidden="1">
      <c r="A2130" s="3443" t="s">
        <v>105</v>
      </c>
      <c r="B2130" s="3444">
        <v>45988</v>
      </c>
      <c r="C2130" s="3165" t="s">
        <v>3891</v>
      </c>
      <c r="D2130" s="4252"/>
      <c r="E2130" s="4162" t="s">
        <v>2444</v>
      </c>
      <c r="F2130" s="4162" t="s">
        <v>273</v>
      </c>
      <c r="I2130" s="3443">
        <v>707</v>
      </c>
      <c r="J2130" s="3443" t="s">
        <v>541</v>
      </c>
      <c r="K2130" s="3443"/>
      <c r="L2130" s="3443" t="s">
        <v>37</v>
      </c>
      <c r="M2130" s="3443"/>
      <c r="N2130" s="3443"/>
      <c r="O2130" s="3443"/>
      <c r="P2130" s="3443"/>
      <c r="Q2130" s="3443"/>
      <c r="R2130" s="3443"/>
      <c r="S2130" s="3443"/>
      <c r="T2130" s="3443"/>
      <c r="U2130" s="3443"/>
      <c r="V2130" s="3443"/>
      <c r="W2130" s="3522"/>
      <c r="X2130" s="3522"/>
    </row>
    <row r="2131" spans="1:24" ht="31.5" hidden="1">
      <c r="A2131" s="3443" t="s">
        <v>105</v>
      </c>
      <c r="B2131" s="3444">
        <v>45988</v>
      </c>
      <c r="C2131" s="3165" t="s">
        <v>3891</v>
      </c>
      <c r="D2131" s="4252"/>
      <c r="E2131" s="4162" t="s">
        <v>3380</v>
      </c>
      <c r="F2131" s="4162" t="s">
        <v>3465</v>
      </c>
      <c r="I2131" s="3443">
        <v>712</v>
      </c>
      <c r="J2131" s="3443" t="s">
        <v>356</v>
      </c>
      <c r="K2131" s="3443"/>
      <c r="L2131" s="3443" t="s">
        <v>37</v>
      </c>
      <c r="M2131" s="3443"/>
      <c r="N2131" s="3443"/>
      <c r="O2131" s="3443" t="s">
        <v>30</v>
      </c>
      <c r="P2131" s="3443"/>
      <c r="Q2131" s="3443"/>
      <c r="R2131" s="3443"/>
      <c r="S2131" s="3443"/>
      <c r="T2131" s="3443"/>
      <c r="U2131" s="3443"/>
      <c r="V2131" s="3443"/>
      <c r="W2131" s="3522" t="s">
        <v>3921</v>
      </c>
      <c r="X2131" s="3522"/>
    </row>
    <row r="2132" spans="1:24" ht="31.5" hidden="1">
      <c r="A2132" s="3443" t="s">
        <v>105</v>
      </c>
      <c r="B2132" s="3444">
        <v>45988</v>
      </c>
      <c r="C2132" s="3165" t="s">
        <v>3891</v>
      </c>
      <c r="D2132" s="4252"/>
      <c r="E2132" s="4162" t="s">
        <v>3922</v>
      </c>
      <c r="F2132" s="4162" t="s">
        <v>596</v>
      </c>
      <c r="I2132" s="3443">
        <v>705</v>
      </c>
      <c r="J2132" s="3443" t="s">
        <v>3923</v>
      </c>
      <c r="K2132" s="3443"/>
      <c r="L2132" s="3443" t="s">
        <v>37</v>
      </c>
      <c r="M2132" s="3443"/>
      <c r="N2132" s="3443"/>
      <c r="O2132" s="3443"/>
      <c r="P2132" s="3443"/>
      <c r="Q2132" s="3443"/>
      <c r="R2132" s="3443"/>
      <c r="S2132" s="3443"/>
      <c r="T2132" s="3443"/>
      <c r="U2132" s="3443"/>
      <c r="V2132" s="3443"/>
      <c r="W2132" s="3522" t="s">
        <v>3924</v>
      </c>
      <c r="X2132" s="3522"/>
    </row>
    <row r="2133" spans="1:24" ht="31.5" hidden="1">
      <c r="A2133" s="3443" t="s">
        <v>105</v>
      </c>
      <c r="B2133" s="3444">
        <v>45988</v>
      </c>
      <c r="C2133" s="3165" t="s">
        <v>3891</v>
      </c>
      <c r="D2133" s="4252"/>
      <c r="E2133" s="4162" t="s">
        <v>3925</v>
      </c>
      <c r="F2133" s="4162" t="s">
        <v>258</v>
      </c>
      <c r="I2133" s="3443">
        <v>707</v>
      </c>
      <c r="J2133" s="3443" t="s">
        <v>1674</v>
      </c>
      <c r="K2133" s="3443"/>
      <c r="L2133" s="3443" t="s">
        <v>37</v>
      </c>
      <c r="M2133" s="3443"/>
      <c r="N2133" s="3443"/>
      <c r="O2133" s="3443"/>
      <c r="P2133" s="3443"/>
      <c r="Q2133" s="3443"/>
      <c r="R2133" s="3443"/>
      <c r="S2133" s="3443"/>
      <c r="T2133" s="3443"/>
      <c r="U2133" s="3456"/>
      <c r="V2133" s="3456"/>
      <c r="W2133" s="3609"/>
      <c r="X2133" s="3609"/>
    </row>
    <row r="2134" spans="1:24" ht="31.5" hidden="1">
      <c r="A2134" s="3443" t="s">
        <v>105</v>
      </c>
      <c r="B2134" s="3444">
        <v>45988</v>
      </c>
      <c r="C2134" s="3165" t="s">
        <v>3891</v>
      </c>
      <c r="D2134" s="4251"/>
      <c r="E2134" s="4283" t="s">
        <v>68</v>
      </c>
      <c r="F2134" s="4283" t="s">
        <v>183</v>
      </c>
      <c r="I2134" s="3443">
        <v>705</v>
      </c>
      <c r="J2134" s="3443" t="s">
        <v>410</v>
      </c>
      <c r="K2134" s="3443"/>
      <c r="L2134" s="3443"/>
      <c r="M2134" s="3443" t="s">
        <v>37</v>
      </c>
      <c r="N2134" s="3443"/>
      <c r="O2134" s="3443"/>
      <c r="P2134" s="360" t="s">
        <v>0</v>
      </c>
      <c r="Q2134" s="360" t="s">
        <v>187</v>
      </c>
      <c r="R2134" s="360" t="s">
        <v>32</v>
      </c>
      <c r="S2134" s="3443"/>
      <c r="T2134" s="3443"/>
      <c r="U2134" s="3443"/>
      <c r="V2134" s="3443"/>
      <c r="W2134" s="3522" t="s">
        <v>3926</v>
      </c>
      <c r="X2134" s="3522"/>
    </row>
    <row r="2135" spans="1:24" ht="31.5" hidden="1">
      <c r="A2135" s="3443" t="s">
        <v>1857</v>
      </c>
      <c r="B2135" s="3840">
        <v>45989</v>
      </c>
      <c r="C2135" s="3165" t="s">
        <v>3891</v>
      </c>
      <c r="D2135" s="4128"/>
      <c r="E2135" s="4162" t="s">
        <v>840</v>
      </c>
      <c r="F2135" s="4162" t="s">
        <v>3879</v>
      </c>
      <c r="I2135" s="3443">
        <v>707</v>
      </c>
      <c r="J2135" s="3443" t="s">
        <v>764</v>
      </c>
      <c r="K2135" s="3443"/>
      <c r="L2135" s="3443" t="s">
        <v>37</v>
      </c>
      <c r="M2135" s="3443"/>
      <c r="N2135" s="3443"/>
      <c r="O2135" s="3443"/>
      <c r="P2135" s="3443"/>
      <c r="Q2135" s="3443"/>
      <c r="R2135" s="3443"/>
      <c r="S2135" s="3443"/>
      <c r="T2135" s="3443"/>
      <c r="U2135" s="3443"/>
      <c r="V2135" s="3443"/>
      <c r="W2135" s="3522"/>
      <c r="X2135" s="3522"/>
    </row>
    <row r="2136" spans="1:24" ht="31.5" hidden="1">
      <c r="A2136" s="3443" t="s">
        <v>1857</v>
      </c>
      <c r="B2136" s="3840">
        <v>45989</v>
      </c>
      <c r="C2136" s="3165" t="s">
        <v>3891</v>
      </c>
      <c r="D2136" s="4108"/>
      <c r="E2136" s="4162" t="s">
        <v>97</v>
      </c>
      <c r="F2136" s="4162" t="s">
        <v>98</v>
      </c>
      <c r="I2136" s="3443">
        <v>712</v>
      </c>
      <c r="J2136" s="3443" t="s">
        <v>495</v>
      </c>
      <c r="K2136" s="3511" t="s">
        <v>627</v>
      </c>
      <c r="L2136" s="3443"/>
      <c r="M2136" s="3443" t="s">
        <v>37</v>
      </c>
      <c r="N2136" s="3443"/>
      <c r="O2136" s="3443"/>
      <c r="P2136" s="360" t="s">
        <v>0</v>
      </c>
      <c r="Q2136" s="360" t="s">
        <v>187</v>
      </c>
      <c r="R2136" s="360" t="s">
        <v>32</v>
      </c>
      <c r="S2136" s="3443"/>
      <c r="T2136" s="3443"/>
      <c r="U2136" s="3456"/>
      <c r="V2136" s="3456"/>
      <c r="W2136" s="3609" t="s">
        <v>3927</v>
      </c>
      <c r="X2136" s="3609"/>
    </row>
    <row r="2137" spans="1:24" ht="31.5" hidden="1">
      <c r="A2137" s="3443" t="s">
        <v>1857</v>
      </c>
      <c r="B2137" s="3840">
        <v>45989</v>
      </c>
      <c r="C2137" s="3165" t="s">
        <v>3891</v>
      </c>
      <c r="D2137" s="4108"/>
      <c r="E2137" s="4167" t="s">
        <v>169</v>
      </c>
      <c r="F2137" s="4167" t="s">
        <v>3759</v>
      </c>
      <c r="I2137" s="3443">
        <v>705</v>
      </c>
      <c r="J2137" s="3443" t="s">
        <v>410</v>
      </c>
      <c r="K2137" s="3443"/>
      <c r="L2137" s="3443"/>
      <c r="M2137" s="3443" t="s">
        <v>30</v>
      </c>
      <c r="N2137" s="3443"/>
      <c r="O2137" s="3443"/>
      <c r="P2137" s="360" t="s">
        <v>0</v>
      </c>
      <c r="Q2137" s="360" t="s">
        <v>187</v>
      </c>
      <c r="R2137" s="360" t="s">
        <v>32</v>
      </c>
      <c r="S2137" s="3443"/>
      <c r="T2137" s="3443"/>
      <c r="U2137" s="3456"/>
      <c r="V2137" s="3456"/>
      <c r="W2137" s="3609" t="s">
        <v>3928</v>
      </c>
      <c r="X2137" s="3609"/>
    </row>
    <row r="2138" spans="1:24" ht="57" hidden="1">
      <c r="A2138" s="3443" t="s">
        <v>1857</v>
      </c>
      <c r="B2138" s="3840">
        <v>45989</v>
      </c>
      <c r="C2138" s="3165" t="s">
        <v>3891</v>
      </c>
      <c r="D2138" s="4252"/>
      <c r="E2138" s="4167" t="s">
        <v>68</v>
      </c>
      <c r="F2138" s="4167" t="s">
        <v>517</v>
      </c>
      <c r="I2138" s="3443">
        <v>705</v>
      </c>
      <c r="J2138" s="3443" t="s">
        <v>410</v>
      </c>
      <c r="K2138" s="3443"/>
      <c r="L2138" s="3443" t="s">
        <v>37</v>
      </c>
      <c r="M2138" s="3443"/>
      <c r="N2138" s="3443"/>
      <c r="O2138" s="3443"/>
      <c r="P2138" s="3443"/>
      <c r="Q2138" s="3443"/>
      <c r="R2138" s="3443"/>
      <c r="S2138" s="3443"/>
      <c r="T2138" s="3443"/>
      <c r="U2138" s="3443" t="s">
        <v>37</v>
      </c>
      <c r="V2138" s="3443"/>
      <c r="W2138" s="3522" t="s">
        <v>3929</v>
      </c>
      <c r="X2138" s="3507"/>
    </row>
    <row r="2139" spans="1:24" ht="31.5" hidden="1">
      <c r="A2139" s="4347" t="s">
        <v>25</v>
      </c>
      <c r="B2139" s="4348">
        <v>45992</v>
      </c>
      <c r="C2139" s="4366" t="s">
        <v>3930</v>
      </c>
      <c r="D2139" s="4349"/>
      <c r="E2139" s="4350" t="s">
        <v>1464</v>
      </c>
      <c r="F2139" s="4350" t="s">
        <v>3225</v>
      </c>
      <c r="I2139" s="4347">
        <v>701</v>
      </c>
      <c r="J2139" s="4347" t="s">
        <v>3697</v>
      </c>
      <c r="K2139" s="4347"/>
      <c r="L2139" s="4347" t="s">
        <v>37</v>
      </c>
      <c r="M2139" s="4347"/>
      <c r="N2139" s="4347"/>
      <c r="O2139" s="4347"/>
      <c r="W2139" s="4374"/>
    </row>
    <row r="2140" spans="1:24" ht="31.5" hidden="1">
      <c r="A2140" s="4347" t="s">
        <v>25</v>
      </c>
      <c r="B2140" s="4348">
        <v>45992</v>
      </c>
      <c r="C2140" s="4366" t="s">
        <v>3930</v>
      </c>
      <c r="D2140" s="4349"/>
      <c r="E2140" s="4350" t="s">
        <v>1465</v>
      </c>
      <c r="F2140" s="4350" t="s">
        <v>3228</v>
      </c>
      <c r="I2140" s="4347">
        <v>701</v>
      </c>
      <c r="J2140" s="4347" t="s">
        <v>3699</v>
      </c>
      <c r="K2140" s="4347"/>
      <c r="L2140" s="4347" t="s">
        <v>37</v>
      </c>
      <c r="M2140" s="4347"/>
      <c r="N2140" s="4347"/>
      <c r="O2140" s="4347"/>
      <c r="W2140" s="4375"/>
    </row>
    <row r="2141" spans="1:24" ht="31.5" hidden="1">
      <c r="A2141" s="4347" t="s">
        <v>25</v>
      </c>
      <c r="B2141" s="4348">
        <v>45992</v>
      </c>
      <c r="C2141" s="4366" t="s">
        <v>3930</v>
      </c>
      <c r="D2141" s="4349"/>
      <c r="E2141" s="4351" t="s">
        <v>3879</v>
      </c>
      <c r="F2141" s="4351" t="s">
        <v>840</v>
      </c>
      <c r="I2141" s="4347">
        <v>707</v>
      </c>
      <c r="J2141" s="4347" t="s">
        <v>94</v>
      </c>
      <c r="K2141" s="4347"/>
      <c r="L2141" s="4347" t="s">
        <v>37</v>
      </c>
      <c r="M2141" s="4347"/>
      <c r="N2141" s="4347"/>
      <c r="O2141" s="4347"/>
      <c r="W2141" s="4375"/>
    </row>
    <row r="2142" spans="1:24" ht="31.5" hidden="1">
      <c r="A2142" s="4347" t="s">
        <v>25</v>
      </c>
      <c r="B2142" s="4348">
        <v>45992</v>
      </c>
      <c r="C2142" s="4366" t="s">
        <v>3930</v>
      </c>
      <c r="D2142" s="4349"/>
      <c r="E2142" s="4351" t="s">
        <v>3851</v>
      </c>
      <c r="F2142" s="4351" t="s">
        <v>43</v>
      </c>
      <c r="I2142" s="4347">
        <v>707</v>
      </c>
      <c r="J2142" s="4347" t="s">
        <v>1565</v>
      </c>
      <c r="K2142" s="4347"/>
      <c r="L2142" s="4347" t="s">
        <v>37</v>
      </c>
      <c r="M2142" s="4347"/>
      <c r="N2142" s="4347"/>
      <c r="O2142" s="4347"/>
      <c r="W2142" s="4375"/>
    </row>
    <row r="2143" spans="1:24" ht="31.5" hidden="1">
      <c r="A2143" s="4347" t="s">
        <v>25</v>
      </c>
      <c r="B2143" s="4348">
        <v>45992</v>
      </c>
      <c r="C2143" s="4366" t="s">
        <v>3930</v>
      </c>
      <c r="D2143" s="4349"/>
      <c r="E2143" s="4351" t="s">
        <v>1091</v>
      </c>
      <c r="F2143" s="4351" t="s">
        <v>3555</v>
      </c>
      <c r="I2143" s="4347">
        <v>705</v>
      </c>
      <c r="J2143" s="4347" t="s">
        <v>692</v>
      </c>
      <c r="K2143" s="4347"/>
      <c r="L2143" s="4347"/>
      <c r="M2143" s="4347" t="s">
        <v>37</v>
      </c>
      <c r="N2143" s="4347"/>
      <c r="O2143" s="4347"/>
      <c r="P2143" s="360" t="s">
        <v>0</v>
      </c>
      <c r="Q2143" s="360" t="s">
        <v>31</v>
      </c>
      <c r="R2143" s="360" t="s">
        <v>160</v>
      </c>
      <c r="W2143" s="4375" t="s">
        <v>3931</v>
      </c>
    </row>
    <row r="2144" spans="1:24" ht="31.5" hidden="1">
      <c r="A2144" s="4347" t="s">
        <v>25</v>
      </c>
      <c r="B2144" s="4348">
        <v>45992</v>
      </c>
      <c r="C2144" s="4366" t="s">
        <v>3930</v>
      </c>
      <c r="D2144" s="4349"/>
      <c r="E2144" s="4351" t="s">
        <v>3932</v>
      </c>
      <c r="F2144" s="4351" t="s">
        <v>148</v>
      </c>
      <c r="I2144" s="4347">
        <v>707</v>
      </c>
      <c r="J2144" s="4347" t="s">
        <v>107</v>
      </c>
      <c r="K2144" s="4347"/>
      <c r="L2144" s="4347" t="s">
        <v>37</v>
      </c>
      <c r="M2144" s="4347"/>
      <c r="N2144" s="4347"/>
      <c r="O2144" s="4347"/>
      <c r="W2144" s="4375"/>
    </row>
    <row r="2145" spans="1:23" ht="31.5" hidden="1">
      <c r="A2145" s="4347" t="s">
        <v>25</v>
      </c>
      <c r="B2145" s="4348">
        <v>45992</v>
      </c>
      <c r="C2145" s="4366" t="s">
        <v>3930</v>
      </c>
      <c r="D2145" s="4349"/>
      <c r="E2145" s="4519" t="s">
        <v>517</v>
      </c>
      <c r="F2145" s="4351" t="s">
        <v>48</v>
      </c>
      <c r="I2145" s="4347">
        <v>705</v>
      </c>
      <c r="J2145" s="4347" t="s">
        <v>3933</v>
      </c>
      <c r="K2145" s="4347"/>
      <c r="L2145" s="4347" t="s">
        <v>37</v>
      </c>
      <c r="M2145" s="4347"/>
      <c r="N2145" s="4347"/>
      <c r="O2145" s="4347"/>
      <c r="W2145" s="4375"/>
    </row>
    <row r="2146" spans="1:23" ht="31.5" hidden="1">
      <c r="A2146" s="4347" t="s">
        <v>25</v>
      </c>
      <c r="B2146" s="4348">
        <v>45992</v>
      </c>
      <c r="C2146" s="4366" t="s">
        <v>3930</v>
      </c>
      <c r="D2146" s="4349"/>
      <c r="E2146" s="4352" t="s">
        <v>52</v>
      </c>
      <c r="F2146" s="4353" t="s">
        <v>165</v>
      </c>
      <c r="I2146" s="4347">
        <v>705</v>
      </c>
      <c r="J2146" s="4347" t="s">
        <v>954</v>
      </c>
      <c r="K2146" s="4347"/>
      <c r="L2146" s="4347" t="s">
        <v>37</v>
      </c>
      <c r="M2146" s="4347"/>
      <c r="N2146" s="4347"/>
      <c r="O2146" s="4347"/>
      <c r="W2146" s="4375"/>
    </row>
    <row r="2147" spans="1:23" ht="31.5" hidden="1">
      <c r="A2147" s="4347" t="s">
        <v>25</v>
      </c>
      <c r="B2147" s="4348">
        <v>45992</v>
      </c>
      <c r="C2147" s="4366" t="s">
        <v>3930</v>
      </c>
      <c r="D2147" s="4349"/>
      <c r="E2147" s="4575" t="s">
        <v>168</v>
      </c>
      <c r="F2147" s="4575" t="s">
        <v>389</v>
      </c>
      <c r="I2147" s="4347">
        <v>705</v>
      </c>
      <c r="J2147" s="4347" t="s">
        <v>3934</v>
      </c>
      <c r="K2147" s="4347"/>
      <c r="L2147" s="4347" t="s">
        <v>37</v>
      </c>
      <c r="M2147" s="4347"/>
      <c r="N2147" s="4347"/>
      <c r="O2147" s="4347"/>
      <c r="W2147" s="4374"/>
    </row>
    <row r="2148" spans="1:23" ht="31.5" hidden="1">
      <c r="A2148" s="4347" t="s">
        <v>25</v>
      </c>
      <c r="B2148" s="4348">
        <v>45992</v>
      </c>
      <c r="C2148" s="4366" t="s">
        <v>3935</v>
      </c>
      <c r="D2148" s="4349"/>
      <c r="E2148" s="4353" t="s">
        <v>52</v>
      </c>
      <c r="F2148" s="4353" t="s">
        <v>731</v>
      </c>
      <c r="I2148" s="4347">
        <v>705</v>
      </c>
      <c r="J2148" s="4347" t="s">
        <v>954</v>
      </c>
      <c r="K2148" s="4347"/>
      <c r="L2148" s="4347" t="s">
        <v>37</v>
      </c>
      <c r="M2148" s="4347"/>
      <c r="N2148" s="4347"/>
      <c r="O2148" s="4347"/>
      <c r="S2148" s="4347"/>
      <c r="T2148" s="4347"/>
      <c r="U2148" s="4347"/>
      <c r="V2148" s="4347"/>
      <c r="W2148" s="4374"/>
    </row>
    <row r="2149" spans="1:23" ht="31.5" hidden="1">
      <c r="A2149" s="4347" t="s">
        <v>25</v>
      </c>
      <c r="B2149" s="4348">
        <v>45992</v>
      </c>
      <c r="C2149" s="4366" t="s">
        <v>3935</v>
      </c>
      <c r="D2149" s="4349"/>
      <c r="E2149" s="4353" t="s">
        <v>273</v>
      </c>
      <c r="F2149" s="4353" t="s">
        <v>142</v>
      </c>
      <c r="I2149" s="4347">
        <v>705</v>
      </c>
      <c r="J2149" s="4347" t="s">
        <v>3934</v>
      </c>
      <c r="K2149" s="4347"/>
      <c r="L2149" s="4347"/>
      <c r="M2149" s="4347"/>
      <c r="N2149" s="4347"/>
      <c r="O2149" s="4347"/>
      <c r="S2149" s="4347"/>
      <c r="T2149" s="4347"/>
      <c r="U2149" s="4347"/>
      <c r="V2149" s="4347"/>
      <c r="W2149" s="4375"/>
    </row>
    <row r="2150" spans="1:23" ht="31.5" hidden="1">
      <c r="A2150" s="4347" t="s">
        <v>1078</v>
      </c>
      <c r="B2150" s="4348">
        <v>45993</v>
      </c>
      <c r="C2150" s="4366" t="s">
        <v>3930</v>
      </c>
      <c r="D2150" s="4361"/>
      <c r="E2150" s="4844" t="s">
        <v>1464</v>
      </c>
      <c r="F2150" s="4350" t="s">
        <v>3225</v>
      </c>
      <c r="I2150" s="4347">
        <v>701</v>
      </c>
      <c r="J2150" s="4347" t="s">
        <v>3697</v>
      </c>
      <c r="K2150" s="4347"/>
      <c r="L2150" s="4347" t="s">
        <v>37</v>
      </c>
      <c r="M2150" s="4347"/>
      <c r="N2150" s="4347"/>
      <c r="O2150" s="4347" t="s">
        <v>30</v>
      </c>
      <c r="W2150" s="4375" t="s">
        <v>3936</v>
      </c>
    </row>
    <row r="2151" spans="1:23" ht="31.5" hidden="1">
      <c r="A2151" s="4347" t="s">
        <v>1078</v>
      </c>
      <c r="B2151" s="4355">
        <v>45993</v>
      </c>
      <c r="C2151" s="4366" t="s">
        <v>3930</v>
      </c>
      <c r="D2151" s="4349"/>
      <c r="E2151" s="4518" t="s">
        <v>1465</v>
      </c>
      <c r="F2151" s="4597" t="s">
        <v>3228</v>
      </c>
      <c r="I2151" s="4347">
        <v>701</v>
      </c>
      <c r="J2151" s="4347" t="s">
        <v>3699</v>
      </c>
      <c r="K2151" s="4347"/>
      <c r="L2151" s="4347"/>
      <c r="M2151" s="4347"/>
      <c r="N2151" s="4347"/>
      <c r="O2151" s="4347"/>
      <c r="W2151" s="4375"/>
    </row>
    <row r="2152" spans="1:23" ht="31.5" hidden="1">
      <c r="A2152" s="4347" t="s">
        <v>1078</v>
      </c>
      <c r="B2152" s="4355">
        <v>45993</v>
      </c>
      <c r="C2152" s="4366" t="s">
        <v>3930</v>
      </c>
      <c r="D2152" s="4349"/>
      <c r="E2152" s="4356" t="s">
        <v>148</v>
      </c>
      <c r="F2152" s="4357" t="s">
        <v>3879</v>
      </c>
      <c r="I2152" s="4347">
        <v>707</v>
      </c>
      <c r="J2152" s="4347" t="s">
        <v>107</v>
      </c>
      <c r="K2152" s="4347"/>
      <c r="L2152" s="4347" t="s">
        <v>37</v>
      </c>
      <c r="M2152" s="4347"/>
      <c r="N2152" s="4347"/>
      <c r="O2152" s="4347"/>
      <c r="W2152" s="4375"/>
    </row>
    <row r="2153" spans="1:23" ht="31.5" hidden="1">
      <c r="A2153" s="4347" t="s">
        <v>1078</v>
      </c>
      <c r="B2153" s="4355">
        <v>45993</v>
      </c>
      <c r="C2153" s="4366" t="s">
        <v>3930</v>
      </c>
      <c r="D2153" s="4354"/>
      <c r="E2153" s="4356" t="s">
        <v>3937</v>
      </c>
      <c r="F2153" s="4357" t="s">
        <v>168</v>
      </c>
      <c r="I2153" s="4347">
        <v>705</v>
      </c>
      <c r="J2153" s="4347" t="s">
        <v>3938</v>
      </c>
      <c r="K2153" s="4371" t="s">
        <v>84</v>
      </c>
      <c r="L2153" s="4347" t="s">
        <v>37</v>
      </c>
      <c r="M2153" s="4347"/>
      <c r="N2153" s="4347"/>
      <c r="O2153" s="4347"/>
      <c r="W2153" s="4375"/>
    </row>
    <row r="2154" spans="1:23" ht="31.5" hidden="1">
      <c r="A2154" s="4347" t="s">
        <v>1078</v>
      </c>
      <c r="B2154" s="4355">
        <v>45993</v>
      </c>
      <c r="C2154" s="4366" t="s">
        <v>3930</v>
      </c>
      <c r="D2154" s="4349"/>
      <c r="E2154" s="4356" t="s">
        <v>79</v>
      </c>
      <c r="F2154" s="4357" t="s">
        <v>3939</v>
      </c>
      <c r="I2154" s="4347">
        <v>707</v>
      </c>
      <c r="J2154" s="4347">
        <v>60015</v>
      </c>
      <c r="K2154" s="4347"/>
      <c r="L2154" s="4347" t="s">
        <v>37</v>
      </c>
      <c r="M2154" s="4347"/>
      <c r="N2154" s="4347"/>
      <c r="O2154" s="4347"/>
      <c r="W2154" s="4375"/>
    </row>
    <row r="2155" spans="1:23" ht="31.5" hidden="1">
      <c r="A2155" s="4347" t="s">
        <v>1078</v>
      </c>
      <c r="B2155" s="4355">
        <v>45993</v>
      </c>
      <c r="C2155" s="4366" t="s">
        <v>3930</v>
      </c>
      <c r="D2155" s="4361"/>
      <c r="E2155" s="4356" t="s">
        <v>1349</v>
      </c>
      <c r="F2155" s="4351" t="s">
        <v>155</v>
      </c>
      <c r="I2155" s="4347">
        <v>705</v>
      </c>
      <c r="J2155" s="4347" t="s">
        <v>3896</v>
      </c>
      <c r="K2155" s="4347"/>
      <c r="L2155" s="4347" t="s">
        <v>37</v>
      </c>
      <c r="M2155" s="4347"/>
      <c r="N2155" s="4347" t="s">
        <v>30</v>
      </c>
      <c r="O2155" s="4347"/>
      <c r="W2155" s="4375" t="s">
        <v>3940</v>
      </c>
    </row>
    <row r="2156" spans="1:23" ht="31.5" hidden="1">
      <c r="A2156" s="4347" t="s">
        <v>1078</v>
      </c>
      <c r="B2156" s="4355">
        <v>45993</v>
      </c>
      <c r="C2156" s="4366" t="s">
        <v>3930</v>
      </c>
      <c r="D2156" s="4445"/>
      <c r="E2156" s="4356" t="s">
        <v>97</v>
      </c>
      <c r="F2156" s="4356" t="s">
        <v>98</v>
      </c>
      <c r="I2156" s="4347">
        <v>712</v>
      </c>
      <c r="J2156" s="4347" t="s">
        <v>274</v>
      </c>
      <c r="K2156" s="4371" t="s">
        <v>627</v>
      </c>
      <c r="L2156" s="4347" t="s">
        <v>37</v>
      </c>
      <c r="M2156" s="4347"/>
      <c r="N2156" s="4347"/>
      <c r="O2156" s="4347"/>
      <c r="W2156" s="4375"/>
    </row>
    <row r="2157" spans="1:23" ht="31.5" hidden="1">
      <c r="A2157" s="4347" t="s">
        <v>1078</v>
      </c>
      <c r="B2157" s="4355">
        <v>45993</v>
      </c>
      <c r="C2157" s="4366" t="s">
        <v>3930</v>
      </c>
      <c r="D2157" s="4349"/>
      <c r="E2157" s="4358" t="s">
        <v>1091</v>
      </c>
      <c r="F2157" s="4358" t="s">
        <v>3941</v>
      </c>
      <c r="I2157" s="4347">
        <v>705</v>
      </c>
      <c r="J2157" s="4347" t="s">
        <v>3942</v>
      </c>
      <c r="K2157" s="4372"/>
      <c r="L2157" s="4347" t="s">
        <v>37</v>
      </c>
      <c r="M2157" s="4347"/>
      <c r="N2157" s="4347"/>
      <c r="O2157" s="4347"/>
      <c r="W2157" s="4375"/>
    </row>
    <row r="2158" spans="1:23" ht="52.5" hidden="1">
      <c r="A2158" s="4347" t="s">
        <v>1078</v>
      </c>
      <c r="B2158" s="4348">
        <v>45993</v>
      </c>
      <c r="C2158" s="4366" t="s">
        <v>3930</v>
      </c>
      <c r="D2158" s="4804" t="s">
        <v>1202</v>
      </c>
      <c r="E2158" s="4358" t="s">
        <v>3943</v>
      </c>
      <c r="F2158" s="4358" t="s">
        <v>3944</v>
      </c>
      <c r="I2158" s="4347">
        <v>705</v>
      </c>
      <c r="J2158" s="3156" t="s">
        <v>3945</v>
      </c>
      <c r="K2158" s="4372"/>
      <c r="L2158" s="4347"/>
      <c r="M2158" s="4347" t="s">
        <v>30</v>
      </c>
      <c r="N2158" s="4347"/>
      <c r="O2158" s="4347"/>
      <c r="P2158" s="360" t="s">
        <v>0</v>
      </c>
      <c r="Q2158" s="360" t="s">
        <v>736</v>
      </c>
      <c r="R2158" s="360" t="s">
        <v>160</v>
      </c>
      <c r="W2158" s="4375" t="s">
        <v>3946</v>
      </c>
    </row>
    <row r="2159" spans="1:23" ht="31.5" hidden="1">
      <c r="A2159" s="4347" t="s">
        <v>1078</v>
      </c>
      <c r="B2159" s="4348">
        <v>45993</v>
      </c>
      <c r="C2159" s="4366" t="s">
        <v>3930</v>
      </c>
      <c r="D2159" s="4361"/>
      <c r="E2159" s="4358" t="s">
        <v>3943</v>
      </c>
      <c r="F2159" s="4358" t="s">
        <v>3947</v>
      </c>
      <c r="I2159" s="4347">
        <v>705</v>
      </c>
      <c r="J2159" s="4347" t="s">
        <v>580</v>
      </c>
      <c r="K2159" s="4372"/>
      <c r="L2159" s="4347" t="s">
        <v>37</v>
      </c>
      <c r="M2159" s="4347"/>
      <c r="N2159" s="4347"/>
      <c r="O2159" s="4347"/>
      <c r="W2159" s="4374"/>
    </row>
    <row r="2160" spans="1:23" ht="31.5" hidden="1">
      <c r="A2160" s="4347" t="s">
        <v>1078</v>
      </c>
      <c r="B2160" s="4355">
        <v>45993</v>
      </c>
      <c r="C2160" s="4366" t="s">
        <v>3930</v>
      </c>
      <c r="D2160" s="4362"/>
      <c r="E2160" s="4845" t="s">
        <v>1239</v>
      </c>
      <c r="F2160" s="4845" t="s">
        <v>153</v>
      </c>
      <c r="I2160" s="4367">
        <v>707</v>
      </c>
      <c r="J2160" s="4347" t="s">
        <v>276</v>
      </c>
      <c r="K2160" s="4368"/>
      <c r="L2160" s="4347" t="s">
        <v>37</v>
      </c>
      <c r="M2160" s="4347"/>
      <c r="N2160" s="4347"/>
      <c r="O2160" s="4347"/>
      <c r="W2160" s="4374"/>
    </row>
    <row r="2161" spans="1:23" ht="31.5" hidden="1">
      <c r="A2161" s="4347" t="s">
        <v>85</v>
      </c>
      <c r="B2161" s="4355">
        <v>45994</v>
      </c>
      <c r="C2161" s="4366" t="s">
        <v>3930</v>
      </c>
      <c r="D2161" s="4349"/>
      <c r="E2161" s="4359" t="s">
        <v>175</v>
      </c>
      <c r="F2161" s="4359" t="s">
        <v>142</v>
      </c>
      <c r="I2161" s="4367">
        <v>707</v>
      </c>
      <c r="J2161" s="4347" t="s">
        <v>276</v>
      </c>
      <c r="K2161" s="4347"/>
      <c r="L2161" s="4347" t="s">
        <v>37</v>
      </c>
      <c r="M2161" s="4347"/>
      <c r="N2161" s="4347"/>
      <c r="O2161" s="4347"/>
      <c r="W2161" s="4374"/>
    </row>
    <row r="2162" spans="1:23" ht="31.5" hidden="1">
      <c r="A2162" s="4347" t="s">
        <v>85</v>
      </c>
      <c r="B2162" s="4355">
        <v>45994</v>
      </c>
      <c r="C2162" s="4366" t="s">
        <v>3930</v>
      </c>
      <c r="D2162" s="4349"/>
      <c r="E2162" s="4350" t="s">
        <v>1464</v>
      </c>
      <c r="F2162" s="4350" t="s">
        <v>3225</v>
      </c>
      <c r="I2162" s="4347">
        <v>701</v>
      </c>
      <c r="J2162" s="4347" t="s">
        <v>3697</v>
      </c>
      <c r="K2162" s="4347"/>
      <c r="L2162" s="4347" t="s">
        <v>37</v>
      </c>
      <c r="M2162" s="4347"/>
      <c r="N2162" s="4347"/>
      <c r="O2162" s="4347"/>
      <c r="W2162" s="4374"/>
    </row>
    <row r="2163" spans="1:23" ht="31.5" hidden="1">
      <c r="A2163" s="4347" t="s">
        <v>85</v>
      </c>
      <c r="B2163" s="4355">
        <v>45994</v>
      </c>
      <c r="C2163" s="4366" t="s">
        <v>3930</v>
      </c>
      <c r="D2163" s="4349"/>
      <c r="E2163" s="4350" t="s">
        <v>1465</v>
      </c>
      <c r="F2163" s="4350" t="s">
        <v>3228</v>
      </c>
      <c r="I2163" s="4347">
        <v>701</v>
      </c>
      <c r="J2163" s="4347" t="s">
        <v>3699</v>
      </c>
      <c r="K2163" s="4347"/>
      <c r="L2163" s="4347"/>
      <c r="M2163" s="4347"/>
      <c r="N2163" s="4347"/>
      <c r="O2163" s="4347"/>
      <c r="W2163" s="4374"/>
    </row>
    <row r="2164" spans="1:23" ht="31.5" hidden="1">
      <c r="A2164" s="4347" t="s">
        <v>85</v>
      </c>
      <c r="B2164" s="4355">
        <v>45994</v>
      </c>
      <c r="C2164" s="4366" t="s">
        <v>3930</v>
      </c>
      <c r="D2164" s="4361"/>
      <c r="E2164" s="4363" t="s">
        <v>3948</v>
      </c>
      <c r="F2164" s="4363" t="s">
        <v>3949</v>
      </c>
      <c r="I2164" s="4347">
        <v>707</v>
      </c>
      <c r="J2164" s="4368" t="s">
        <v>3950</v>
      </c>
      <c r="K2164" s="4347"/>
      <c r="L2164" s="4347" t="s">
        <v>30</v>
      </c>
      <c r="M2164" s="4347"/>
      <c r="N2164" s="4347"/>
      <c r="O2164" s="4347"/>
      <c r="W2164" s="4374"/>
    </row>
    <row r="2165" spans="1:23" ht="31.5" hidden="1">
      <c r="A2165" s="4347" t="s">
        <v>85</v>
      </c>
      <c r="B2165" s="4355">
        <v>45994</v>
      </c>
      <c r="C2165" s="4366" t="s">
        <v>3930</v>
      </c>
      <c r="D2165" s="4349"/>
      <c r="E2165" s="4363" t="s">
        <v>3951</v>
      </c>
      <c r="F2165" s="4363" t="s">
        <v>3952</v>
      </c>
      <c r="I2165" s="4347">
        <v>707</v>
      </c>
      <c r="J2165" s="4368" t="s">
        <v>3953</v>
      </c>
      <c r="K2165" s="4347"/>
      <c r="L2165" s="4347" t="s">
        <v>30</v>
      </c>
      <c r="M2165" s="4347"/>
      <c r="N2165" s="4347"/>
      <c r="O2165" s="4347"/>
      <c r="W2165" s="4376"/>
    </row>
    <row r="2166" spans="1:23" ht="31.5" hidden="1">
      <c r="A2166" s="4347" t="s">
        <v>85</v>
      </c>
      <c r="B2166" s="4355">
        <v>45994</v>
      </c>
      <c r="C2166" s="4366" t="s">
        <v>3930</v>
      </c>
      <c r="D2166" s="4349"/>
      <c r="E2166" s="4351" t="s">
        <v>2161</v>
      </c>
      <c r="F2166" s="4351" t="s">
        <v>1571</v>
      </c>
      <c r="I2166" s="4347">
        <v>707</v>
      </c>
      <c r="J2166" s="4368" t="s">
        <v>151</v>
      </c>
      <c r="K2166" s="4347"/>
      <c r="L2166" s="4347" t="s">
        <v>30</v>
      </c>
      <c r="M2166" s="4347"/>
      <c r="N2166" s="4347"/>
      <c r="O2166" s="4347"/>
      <c r="W2166" s="4376"/>
    </row>
    <row r="2167" spans="1:23" ht="31.5" hidden="1">
      <c r="A2167" s="4347" t="s">
        <v>85</v>
      </c>
      <c r="B2167" s="4355">
        <v>45994</v>
      </c>
      <c r="C2167" s="4366" t="s">
        <v>3930</v>
      </c>
      <c r="D2167" s="4445"/>
      <c r="E2167" s="4351" t="s">
        <v>3954</v>
      </c>
      <c r="F2167" s="4351" t="s">
        <v>89</v>
      </c>
      <c r="I2167" s="4347">
        <v>712</v>
      </c>
      <c r="J2167" s="4368" t="s">
        <v>3955</v>
      </c>
      <c r="K2167" s="4371" t="s">
        <v>84</v>
      </c>
      <c r="L2167" s="4347"/>
      <c r="M2167" s="4347"/>
      <c r="N2167" s="4347"/>
      <c r="O2167" s="4347"/>
      <c r="W2167" s="4374"/>
    </row>
    <row r="2168" spans="1:23" ht="31.5" hidden="1">
      <c r="A2168" s="4347" t="s">
        <v>85</v>
      </c>
      <c r="B2168" s="4355">
        <v>45994</v>
      </c>
      <c r="C2168" s="4366" t="s">
        <v>3930</v>
      </c>
      <c r="D2168" s="4349"/>
      <c r="E2168" s="4351" t="s">
        <v>52</v>
      </c>
      <c r="F2168" s="4351" t="s">
        <v>3956</v>
      </c>
      <c r="I2168" s="4347">
        <v>705</v>
      </c>
      <c r="J2168" s="4368" t="s">
        <v>3957</v>
      </c>
      <c r="K2168" s="4347"/>
      <c r="L2168" s="4347" t="s">
        <v>30</v>
      </c>
      <c r="M2168" s="4347"/>
      <c r="N2168" s="4347"/>
      <c r="O2168" s="4347"/>
      <c r="W2168" s="4782"/>
    </row>
    <row r="2169" spans="1:23" ht="31.5" hidden="1">
      <c r="A2169" s="4347" t="s">
        <v>85</v>
      </c>
      <c r="B2169" s="4355">
        <v>45994</v>
      </c>
      <c r="C2169" s="4366" t="s">
        <v>3930</v>
      </c>
      <c r="D2169" s="4349"/>
      <c r="E2169" s="4351" t="s">
        <v>3207</v>
      </c>
      <c r="F2169" s="4351" t="s">
        <v>52</v>
      </c>
      <c r="I2169" s="4347">
        <v>705</v>
      </c>
      <c r="J2169" s="4368" t="s">
        <v>3958</v>
      </c>
      <c r="K2169" s="4347"/>
      <c r="L2169" s="4347" t="s">
        <v>30</v>
      </c>
      <c r="M2169" s="4347"/>
      <c r="N2169" s="4347"/>
      <c r="O2169" s="4347"/>
      <c r="W2169" s="4782" t="s">
        <v>3959</v>
      </c>
    </row>
    <row r="2170" spans="1:23" ht="31.5" hidden="1">
      <c r="A2170" s="4347" t="s">
        <v>85</v>
      </c>
      <c r="B2170" s="4355">
        <v>45994</v>
      </c>
      <c r="C2170" s="4366" t="s">
        <v>3930</v>
      </c>
      <c r="D2170" s="4349"/>
      <c r="E2170" s="4351" t="s">
        <v>3588</v>
      </c>
      <c r="F2170" s="4351" t="s">
        <v>282</v>
      </c>
      <c r="I2170" s="4347">
        <v>707</v>
      </c>
      <c r="J2170" s="4368" t="s">
        <v>1499</v>
      </c>
      <c r="K2170" s="4347"/>
      <c r="L2170" s="4347" t="s">
        <v>37</v>
      </c>
      <c r="M2170" s="4347"/>
      <c r="N2170" s="4347"/>
      <c r="O2170" s="4347"/>
      <c r="W2170" s="4374"/>
    </row>
    <row r="2171" spans="1:23" ht="31.5" hidden="1">
      <c r="A2171" s="4347" t="s">
        <v>85</v>
      </c>
      <c r="B2171" s="4355">
        <v>45994</v>
      </c>
      <c r="C2171" s="4366" t="s">
        <v>3930</v>
      </c>
      <c r="D2171" s="4349"/>
      <c r="E2171" s="4364" t="s">
        <v>48</v>
      </c>
      <c r="F2171" s="4364" t="s">
        <v>2276</v>
      </c>
      <c r="I2171" s="4347">
        <v>705</v>
      </c>
      <c r="J2171" s="4368" t="s">
        <v>3960</v>
      </c>
      <c r="K2171" s="4347"/>
      <c r="L2171" s="4347" t="s">
        <v>37</v>
      </c>
      <c r="M2171" s="4347"/>
      <c r="N2171" s="4347"/>
      <c r="O2171" s="4347"/>
      <c r="W2171" s="4374"/>
    </row>
    <row r="2172" spans="1:23" ht="31.5" hidden="1">
      <c r="A2172" s="4347" t="s">
        <v>85</v>
      </c>
      <c r="B2172" s="4355">
        <v>45994</v>
      </c>
      <c r="C2172" s="4366" t="s">
        <v>3930</v>
      </c>
      <c r="D2172" s="4349"/>
      <c r="E2172" s="4365" t="s">
        <v>52</v>
      </c>
      <c r="F2172" s="4365" t="s">
        <v>3961</v>
      </c>
      <c r="I2172" s="4347">
        <v>705</v>
      </c>
      <c r="J2172" s="4368" t="s">
        <v>3962</v>
      </c>
      <c r="K2172" s="4347"/>
      <c r="L2172" s="4347"/>
      <c r="M2172" s="4347" t="s">
        <v>37</v>
      </c>
      <c r="N2172" s="4347"/>
      <c r="O2172" s="4347"/>
      <c r="P2172" s="360" t="s">
        <v>0</v>
      </c>
      <c r="Q2172" s="360" t="s">
        <v>31</v>
      </c>
      <c r="R2172" s="360" t="s">
        <v>160</v>
      </c>
      <c r="W2172" s="4376" t="s">
        <v>3963</v>
      </c>
    </row>
    <row r="2173" spans="1:23" ht="31.5" hidden="1">
      <c r="A2173" s="4347" t="s">
        <v>85</v>
      </c>
      <c r="B2173" s="4355">
        <v>45994</v>
      </c>
      <c r="C2173" s="4366" t="s">
        <v>3930</v>
      </c>
      <c r="D2173" s="4349"/>
      <c r="E2173" s="4365" t="s">
        <v>3207</v>
      </c>
      <c r="F2173" s="4365" t="s">
        <v>3964</v>
      </c>
      <c r="I2173" s="4347">
        <v>705</v>
      </c>
      <c r="J2173" s="4368" t="s">
        <v>3965</v>
      </c>
      <c r="K2173" s="4347"/>
      <c r="L2173" s="4347" t="s">
        <v>30</v>
      </c>
      <c r="M2173" s="4347"/>
      <c r="N2173" s="4347"/>
      <c r="O2173" s="4347"/>
      <c r="W2173" s="4376"/>
    </row>
    <row r="2174" spans="1:23" ht="31.5" hidden="1">
      <c r="A2174" s="4347" t="s">
        <v>85</v>
      </c>
      <c r="B2174" s="4355">
        <v>45994</v>
      </c>
      <c r="C2174" s="4366" t="s">
        <v>3930</v>
      </c>
      <c r="D2174" s="4361"/>
      <c r="E2174" s="4365" t="s">
        <v>3964</v>
      </c>
      <c r="F2174" s="4365" t="s">
        <v>3966</v>
      </c>
      <c r="I2174" s="4347">
        <v>705</v>
      </c>
      <c r="J2174" s="4368" t="s">
        <v>3965</v>
      </c>
      <c r="K2174" s="4347"/>
      <c r="L2174" s="4347" t="s">
        <v>30</v>
      </c>
      <c r="M2174" s="4347"/>
      <c r="N2174" s="4347"/>
      <c r="O2174" s="4347"/>
      <c r="W2174" s="4376"/>
    </row>
    <row r="2175" spans="1:23" ht="57" hidden="1">
      <c r="A2175" s="4347" t="s">
        <v>105</v>
      </c>
      <c r="B2175" s="4355">
        <v>45995</v>
      </c>
      <c r="C2175" s="4366" t="s">
        <v>3930</v>
      </c>
      <c r="D2175" s="4361"/>
      <c r="E2175" s="4364" t="s">
        <v>339</v>
      </c>
      <c r="F2175" s="4364" t="s">
        <v>142</v>
      </c>
      <c r="I2175" s="4368">
        <v>705</v>
      </c>
      <c r="J2175" s="4368" t="s">
        <v>3967</v>
      </c>
      <c r="K2175" s="4347"/>
      <c r="L2175" s="4347" t="s">
        <v>37</v>
      </c>
      <c r="M2175" s="4347"/>
      <c r="N2175" s="4347"/>
      <c r="O2175" s="4347" t="s">
        <v>37</v>
      </c>
      <c r="W2175" s="4376" t="s">
        <v>3968</v>
      </c>
    </row>
    <row r="2176" spans="1:23" ht="31.5" hidden="1">
      <c r="A2176" s="4347" t="s">
        <v>105</v>
      </c>
      <c r="B2176" s="4355">
        <v>45995</v>
      </c>
      <c r="C2176" s="4366" t="s">
        <v>3930</v>
      </c>
      <c r="D2176" s="4361"/>
      <c r="E2176" s="4365" t="s">
        <v>80</v>
      </c>
      <c r="F2176" s="4365" t="s">
        <v>79</v>
      </c>
      <c r="I2176" s="4347">
        <v>707</v>
      </c>
      <c r="J2176" s="4368">
        <v>60020</v>
      </c>
      <c r="K2176" s="4347"/>
      <c r="L2176" s="4347" t="s">
        <v>37</v>
      </c>
      <c r="M2176" s="4347"/>
      <c r="N2176" s="4347"/>
      <c r="O2176" s="4347"/>
      <c r="W2176" s="4376"/>
    </row>
    <row r="2177" spans="1:23" ht="31.5" hidden="1">
      <c r="A2177" s="4347" t="s">
        <v>105</v>
      </c>
      <c r="B2177" s="4355">
        <v>45995</v>
      </c>
      <c r="C2177" s="4366" t="s">
        <v>3930</v>
      </c>
      <c r="D2177" s="4354"/>
      <c r="E2177" s="4351" t="s">
        <v>168</v>
      </c>
      <c r="F2177" s="4351" t="s">
        <v>168</v>
      </c>
      <c r="I2177" s="4368">
        <v>705</v>
      </c>
      <c r="J2177" s="4368" t="s">
        <v>3969</v>
      </c>
      <c r="K2177" s="4371" t="s">
        <v>84</v>
      </c>
      <c r="L2177" s="4347" t="s">
        <v>37</v>
      </c>
      <c r="M2177" s="4347"/>
      <c r="N2177" s="4347"/>
      <c r="O2177" s="4347"/>
      <c r="W2177" s="4376"/>
    </row>
    <row r="2178" spans="1:23" ht="31.5" hidden="1">
      <c r="A2178" s="4347" t="s">
        <v>105</v>
      </c>
      <c r="B2178" s="4355">
        <v>45995</v>
      </c>
      <c r="C2178" s="4366" t="s">
        <v>3930</v>
      </c>
      <c r="D2178" s="4361"/>
      <c r="E2178" s="4350" t="s">
        <v>1464</v>
      </c>
      <c r="F2178" s="4350" t="s">
        <v>3225</v>
      </c>
      <c r="I2178" s="4347">
        <v>701</v>
      </c>
      <c r="J2178" s="4347" t="s">
        <v>3697</v>
      </c>
      <c r="K2178" s="4347"/>
      <c r="L2178" s="4347" t="s">
        <v>37</v>
      </c>
      <c r="M2178" s="4347"/>
      <c r="N2178" s="4347"/>
      <c r="O2178" s="4347"/>
      <c r="W2178" s="4376"/>
    </row>
    <row r="2179" spans="1:23" ht="31.5" hidden="1">
      <c r="A2179" s="4347" t="s">
        <v>105</v>
      </c>
      <c r="B2179" s="4355">
        <v>45995</v>
      </c>
      <c r="C2179" s="4366" t="s">
        <v>3930</v>
      </c>
      <c r="D2179" s="4361"/>
      <c r="E2179" s="4350" t="s">
        <v>1465</v>
      </c>
      <c r="F2179" s="4350" t="s">
        <v>3228</v>
      </c>
      <c r="I2179" s="4347">
        <v>701</v>
      </c>
      <c r="J2179" s="4347" t="s">
        <v>3699</v>
      </c>
      <c r="K2179" s="4373"/>
      <c r="L2179" s="4373" t="s">
        <v>37</v>
      </c>
      <c r="M2179" s="4373"/>
      <c r="N2179" s="4373"/>
      <c r="O2179" s="4373"/>
      <c r="W2179" s="4781"/>
    </row>
    <row r="2180" spans="1:23" ht="31.5" hidden="1">
      <c r="A2180" s="4347" t="s">
        <v>105</v>
      </c>
      <c r="B2180" s="4355">
        <v>45995</v>
      </c>
      <c r="C2180" s="4366" t="s">
        <v>3930</v>
      </c>
      <c r="D2180" s="4361"/>
      <c r="E2180" s="4370" t="s">
        <v>169</v>
      </c>
      <c r="F2180" s="4370" t="s">
        <v>2382</v>
      </c>
      <c r="I2180" s="4347">
        <v>701</v>
      </c>
      <c r="J2180" s="4347" t="s">
        <v>3699</v>
      </c>
      <c r="K2180" s="4373"/>
      <c r="L2180" s="4373" t="s">
        <v>37</v>
      </c>
      <c r="M2180" s="4373"/>
      <c r="N2180" s="4373"/>
      <c r="O2180" s="4373"/>
      <c r="W2180" s="4781"/>
    </row>
    <row r="2181" spans="1:23" ht="31.5" hidden="1">
      <c r="A2181" s="4347" t="s">
        <v>105</v>
      </c>
      <c r="B2181" s="4355">
        <v>45995</v>
      </c>
      <c r="C2181" s="4366" t="s">
        <v>3930</v>
      </c>
      <c r="D2181" s="4361"/>
      <c r="E2181" s="4370" t="s">
        <v>1065</v>
      </c>
      <c r="F2181" s="4370" t="s">
        <v>488</v>
      </c>
      <c r="I2181" s="4347">
        <v>701</v>
      </c>
      <c r="J2181" s="4347" t="s">
        <v>3970</v>
      </c>
      <c r="K2181" s="4373"/>
      <c r="L2181" s="4373" t="s">
        <v>37</v>
      </c>
      <c r="M2181" s="4373"/>
      <c r="N2181" s="4373"/>
      <c r="O2181" s="4373"/>
      <c r="W2181" s="4781"/>
    </row>
    <row r="2182" spans="1:23" ht="31.5" hidden="1">
      <c r="A2182" s="3443" t="s">
        <v>1857</v>
      </c>
      <c r="B2182" s="4355">
        <v>45996</v>
      </c>
      <c r="C2182" s="4366" t="s">
        <v>3930</v>
      </c>
      <c r="D2182" s="4349"/>
      <c r="E2182" s="4162" t="s">
        <v>3879</v>
      </c>
      <c r="F2182" s="4162" t="s">
        <v>3971</v>
      </c>
      <c r="I2182" s="4347">
        <v>707</v>
      </c>
      <c r="J2182" s="3614" t="s">
        <v>107</v>
      </c>
      <c r="K2182" s="3614"/>
      <c r="L2182" s="3614" t="s">
        <v>37</v>
      </c>
      <c r="M2182" s="3614"/>
      <c r="N2182" s="3614"/>
      <c r="O2182" s="3614"/>
      <c r="W2182" s="3730"/>
    </row>
    <row r="2183" spans="1:23" ht="31.5" hidden="1">
      <c r="A2183" s="3443" t="s">
        <v>1857</v>
      </c>
      <c r="B2183" s="4355">
        <v>45996</v>
      </c>
      <c r="C2183" s="4366" t="s">
        <v>3930</v>
      </c>
      <c r="D2183" s="4369"/>
      <c r="E2183" s="4281" t="s">
        <v>517</v>
      </c>
      <c r="F2183" s="4281" t="s">
        <v>1516</v>
      </c>
      <c r="I2183" s="3614">
        <v>712</v>
      </c>
      <c r="J2183" s="3614" t="s">
        <v>2197</v>
      </c>
      <c r="K2183" s="3614"/>
      <c r="L2183" s="3614"/>
      <c r="M2183" s="3614" t="s">
        <v>37</v>
      </c>
      <c r="N2183" s="3614"/>
      <c r="O2183" s="3614"/>
      <c r="P2183" s="360" t="s">
        <v>0</v>
      </c>
      <c r="Q2183" s="360" t="s">
        <v>187</v>
      </c>
      <c r="R2183" s="360" t="s">
        <v>32</v>
      </c>
      <c r="W2183" s="3730" t="s">
        <v>3972</v>
      </c>
    </row>
    <row r="2184" spans="1:23" ht="31.5" hidden="1">
      <c r="A2184" s="3443" t="s">
        <v>1857</v>
      </c>
      <c r="B2184" s="4355">
        <v>45996</v>
      </c>
      <c r="C2184" s="4366" t="s">
        <v>3930</v>
      </c>
      <c r="D2184" s="4369"/>
      <c r="E2184" s="4281" t="s">
        <v>1516</v>
      </c>
      <c r="F2184" s="4281" t="s">
        <v>63</v>
      </c>
      <c r="I2184" s="3614">
        <v>712</v>
      </c>
      <c r="J2184" s="3614" t="s">
        <v>2197</v>
      </c>
      <c r="K2184" s="4371" t="s">
        <v>29</v>
      </c>
      <c r="L2184" s="3614"/>
      <c r="M2184" s="3614" t="s">
        <v>37</v>
      </c>
      <c r="N2184" s="3614"/>
      <c r="O2184" s="3614"/>
      <c r="P2184" s="360" t="s">
        <v>0</v>
      </c>
      <c r="Q2184" s="360" t="s">
        <v>187</v>
      </c>
      <c r="R2184" s="360" t="s">
        <v>32</v>
      </c>
      <c r="W2184" s="3730" t="s">
        <v>3972</v>
      </c>
    </row>
    <row r="2185" spans="1:23" ht="31.5" hidden="1">
      <c r="A2185" s="3443" t="s">
        <v>1857</v>
      </c>
      <c r="B2185" s="4355">
        <v>45996</v>
      </c>
      <c r="C2185" s="4366" t="s">
        <v>3930</v>
      </c>
      <c r="D2185" s="4361"/>
      <c r="E2185" s="4162" t="s">
        <v>517</v>
      </c>
      <c r="F2185" s="4162" t="s">
        <v>95</v>
      </c>
      <c r="I2185" s="4347">
        <v>707</v>
      </c>
      <c r="J2185" s="3614" t="s">
        <v>3973</v>
      </c>
      <c r="K2185" s="3614"/>
      <c r="L2185" s="3614" t="s">
        <v>37</v>
      </c>
      <c r="M2185" s="3614"/>
      <c r="N2185" s="3614"/>
      <c r="O2185" s="3614"/>
      <c r="W2185" s="3730"/>
    </row>
    <row r="2186" spans="1:23" ht="31.5" hidden="1">
      <c r="A2186" s="3443" t="s">
        <v>1857</v>
      </c>
      <c r="B2186" s="4355">
        <v>45996</v>
      </c>
      <c r="C2186" s="4366" t="s">
        <v>3930</v>
      </c>
      <c r="D2186" s="4361"/>
      <c r="E2186" s="4239" t="s">
        <v>79</v>
      </c>
      <c r="F2186" s="4239" t="s">
        <v>3476</v>
      </c>
      <c r="I2186" s="4347">
        <v>712</v>
      </c>
      <c r="J2186" s="3614" t="s">
        <v>3974</v>
      </c>
      <c r="K2186" s="3614"/>
      <c r="L2186" s="3614" t="s">
        <v>37</v>
      </c>
      <c r="M2186" s="3614"/>
      <c r="N2186" s="3614"/>
      <c r="O2186" s="3614"/>
      <c r="W2186" s="3730"/>
    </row>
    <row r="2187" spans="1:23" ht="31.5" hidden="1">
      <c r="A2187" s="3443" t="s">
        <v>1857</v>
      </c>
      <c r="B2187" s="4355">
        <v>45996</v>
      </c>
      <c r="C2187" s="4366" t="s">
        <v>3930</v>
      </c>
      <c r="D2187" s="4361"/>
      <c r="E2187" s="4167" t="s">
        <v>168</v>
      </c>
      <c r="F2187" s="4168" t="s">
        <v>44</v>
      </c>
      <c r="I2187" s="4347">
        <v>705</v>
      </c>
      <c r="J2187" s="3614" t="s">
        <v>3975</v>
      </c>
      <c r="K2187" s="3614"/>
      <c r="L2187" s="3614" t="s">
        <v>37</v>
      </c>
      <c r="M2187" s="3614"/>
      <c r="N2187" s="3614"/>
      <c r="O2187" s="3614"/>
      <c r="W2187" s="3730"/>
    </row>
    <row r="2188" spans="1:23" ht="31.5" hidden="1">
      <c r="A2188" s="3443" t="s">
        <v>1857</v>
      </c>
      <c r="B2188" s="4355">
        <v>45996</v>
      </c>
      <c r="C2188" s="4366" t="s">
        <v>3930</v>
      </c>
      <c r="D2188" s="4361"/>
      <c r="E2188" s="4167" t="s">
        <v>48</v>
      </c>
      <c r="F2188" s="4167" t="s">
        <v>164</v>
      </c>
      <c r="I2188" s="4347">
        <v>705</v>
      </c>
      <c r="J2188" s="3614" t="s">
        <v>3976</v>
      </c>
      <c r="K2188" s="3614"/>
      <c r="L2188" s="3614" t="s">
        <v>37</v>
      </c>
      <c r="M2188" s="3614"/>
      <c r="N2188" s="3614"/>
      <c r="O2188" s="3614"/>
      <c r="W2188" s="3730"/>
    </row>
    <row r="2189" spans="1:23" ht="31.5" hidden="1">
      <c r="A2189" s="3443" t="s">
        <v>1857</v>
      </c>
      <c r="B2189" s="4355">
        <v>45996</v>
      </c>
      <c r="C2189" s="4366" t="s">
        <v>3930</v>
      </c>
      <c r="D2189" s="4354"/>
      <c r="E2189" s="4179" t="s">
        <v>1191</v>
      </c>
      <c r="F2189" s="4179" t="s">
        <v>1074</v>
      </c>
      <c r="I2189" s="3614">
        <v>712</v>
      </c>
      <c r="J2189" s="3614" t="s">
        <v>99</v>
      </c>
      <c r="K2189" s="4371" t="s">
        <v>627</v>
      </c>
      <c r="L2189" s="3614" t="s">
        <v>37</v>
      </c>
      <c r="M2189" s="3614"/>
      <c r="N2189" s="3614"/>
      <c r="O2189" s="3614"/>
      <c r="W2189" s="3730"/>
    </row>
    <row r="2190" spans="1:23" ht="31.5" hidden="1">
      <c r="A2190" s="3443" t="s">
        <v>1857</v>
      </c>
      <c r="B2190" s="4355">
        <v>45996</v>
      </c>
      <c r="C2190" s="4366" t="s">
        <v>3930</v>
      </c>
      <c r="D2190" s="4361"/>
      <c r="E2190" s="4162" t="s">
        <v>1065</v>
      </c>
      <c r="F2190" s="4162" t="s">
        <v>3971</v>
      </c>
      <c r="I2190" s="4368">
        <v>707</v>
      </c>
      <c r="J2190" s="3614" t="s">
        <v>3977</v>
      </c>
      <c r="K2190" s="3614"/>
      <c r="L2190" s="3614" t="s">
        <v>37</v>
      </c>
      <c r="M2190" s="3614"/>
      <c r="N2190" s="3614"/>
      <c r="O2190" s="3614"/>
      <c r="W2190" s="3730"/>
    </row>
    <row r="2191" spans="1:23" ht="31.5" hidden="1">
      <c r="A2191" s="3443" t="s">
        <v>1519</v>
      </c>
      <c r="B2191" s="4355">
        <v>45997</v>
      </c>
      <c r="C2191" s="4366" t="s">
        <v>3930</v>
      </c>
      <c r="D2191" s="4354"/>
      <c r="E2191" s="4239" t="s">
        <v>3978</v>
      </c>
      <c r="F2191" s="4239" t="s">
        <v>3979</v>
      </c>
      <c r="I2191" s="4347">
        <v>712</v>
      </c>
      <c r="J2191" s="3614" t="s">
        <v>3980</v>
      </c>
      <c r="K2191" s="4371" t="s">
        <v>627</v>
      </c>
      <c r="L2191" s="3614" t="s">
        <v>37</v>
      </c>
      <c r="M2191" s="3614"/>
      <c r="N2191" s="3614"/>
      <c r="O2191" s="3614"/>
      <c r="W2191" s="3730"/>
    </row>
    <row r="2192" spans="1:23" ht="31.5" hidden="1">
      <c r="A2192" s="3443" t="s">
        <v>1519</v>
      </c>
      <c r="B2192" s="4348">
        <v>45997</v>
      </c>
      <c r="C2192" s="4366" t="s">
        <v>3930</v>
      </c>
      <c r="D2192" s="4445"/>
      <c r="E2192" s="4179" t="s">
        <v>204</v>
      </c>
      <c r="F2192" s="4179" t="s">
        <v>3981</v>
      </c>
      <c r="I2192" s="3614">
        <v>712</v>
      </c>
      <c r="J2192" s="3614" t="s">
        <v>99</v>
      </c>
      <c r="K2192" s="4371" t="s">
        <v>627</v>
      </c>
      <c r="L2192" s="3614" t="s">
        <v>37</v>
      </c>
      <c r="M2192" s="3614"/>
      <c r="N2192" s="3614"/>
      <c r="O2192" s="3614"/>
      <c r="W2192" s="3613"/>
    </row>
    <row r="2193" spans="1:24" ht="31.5" hidden="1">
      <c r="A2193" s="3443" t="s">
        <v>1519</v>
      </c>
      <c r="B2193" s="4348">
        <v>45997</v>
      </c>
      <c r="C2193" s="4366" t="s">
        <v>3930</v>
      </c>
      <c r="D2193" s="4445"/>
      <c r="E2193" s="4162" t="s">
        <v>3982</v>
      </c>
      <c r="F2193" s="4162" t="s">
        <v>3983</v>
      </c>
      <c r="I2193" s="4347">
        <v>707</v>
      </c>
      <c r="J2193" s="3614" t="s">
        <v>2251</v>
      </c>
      <c r="K2193" s="4371" t="s">
        <v>627</v>
      </c>
      <c r="L2193" s="3614" t="s">
        <v>37</v>
      </c>
      <c r="M2193" s="3614"/>
      <c r="N2193" s="3614"/>
      <c r="O2193" s="3614"/>
      <c r="W2193" s="3613"/>
    </row>
    <row r="2194" spans="1:24" ht="31.5" hidden="1">
      <c r="A2194" s="3443" t="s">
        <v>3984</v>
      </c>
      <c r="B2194" s="4348">
        <v>45998</v>
      </c>
      <c r="C2194" s="4366" t="s">
        <v>3930</v>
      </c>
      <c r="D2194" s="4445"/>
      <c r="E2194" s="4162" t="s">
        <v>3985</v>
      </c>
      <c r="F2194" s="4162" t="s">
        <v>3986</v>
      </c>
      <c r="I2194" s="4347">
        <v>707</v>
      </c>
      <c r="J2194" s="3614" t="s">
        <v>2251</v>
      </c>
      <c r="K2194" s="4371" t="s">
        <v>627</v>
      </c>
      <c r="L2194" s="3614" t="s">
        <v>37</v>
      </c>
      <c r="M2194" s="3614"/>
      <c r="N2194" s="3614"/>
      <c r="O2194" s="3614"/>
      <c r="U2194" s="3276"/>
      <c r="V2194" s="3276"/>
      <c r="W2194" s="3730"/>
    </row>
    <row r="2195" spans="1:24" ht="31.5" hidden="1">
      <c r="A2195" s="4347" t="s">
        <v>25</v>
      </c>
      <c r="B2195" s="4348">
        <v>45999</v>
      </c>
      <c r="C2195" s="4366" t="s">
        <v>3935</v>
      </c>
      <c r="D2195" s="4349"/>
      <c r="E2195" s="4350" t="s">
        <v>1464</v>
      </c>
      <c r="F2195" s="4350" t="s">
        <v>3225</v>
      </c>
      <c r="I2195" s="4347">
        <v>701</v>
      </c>
      <c r="J2195" s="4347" t="s">
        <v>3697</v>
      </c>
      <c r="K2195" s="4347"/>
      <c r="L2195" s="4347" t="s">
        <v>37</v>
      </c>
      <c r="M2195" s="4347"/>
      <c r="N2195" s="4347"/>
      <c r="O2195" s="4347"/>
      <c r="S2195" s="4347"/>
      <c r="T2195" s="4347"/>
      <c r="U2195" s="4444"/>
      <c r="V2195" s="4444"/>
      <c r="W2195" s="4375"/>
    </row>
    <row r="2196" spans="1:24" ht="31.5" hidden="1">
      <c r="A2196" s="4347" t="s">
        <v>25</v>
      </c>
      <c r="B2196" s="4348">
        <v>45999</v>
      </c>
      <c r="C2196" s="4366" t="s">
        <v>3935</v>
      </c>
      <c r="D2196" s="4349"/>
      <c r="E2196" s="4350" t="s">
        <v>1465</v>
      </c>
      <c r="F2196" s="4350" t="s">
        <v>3228</v>
      </c>
      <c r="I2196" s="4347">
        <v>701</v>
      </c>
      <c r="J2196" s="4347" t="s">
        <v>3699</v>
      </c>
      <c r="K2196" s="4347"/>
      <c r="L2196" s="4347"/>
      <c r="M2196" s="4347"/>
      <c r="N2196" s="4347"/>
      <c r="O2196" s="4347"/>
      <c r="S2196" s="4347"/>
      <c r="T2196" s="4347"/>
      <c r="U2196" s="4444"/>
      <c r="V2196" s="4444"/>
      <c r="W2196" s="4375"/>
    </row>
    <row r="2197" spans="1:24" ht="31.5" hidden="1">
      <c r="A2197" s="4347" t="s">
        <v>25</v>
      </c>
      <c r="B2197" s="4348">
        <v>45999</v>
      </c>
      <c r="C2197" s="4366" t="s">
        <v>3935</v>
      </c>
      <c r="D2197" s="4445"/>
      <c r="E2197" s="4446" t="s">
        <v>68</v>
      </c>
      <c r="F2197" s="4446" t="s">
        <v>183</v>
      </c>
      <c r="I2197" s="4347">
        <v>707</v>
      </c>
      <c r="J2197" s="4347" t="s">
        <v>585</v>
      </c>
      <c r="K2197" s="4371" t="s">
        <v>84</v>
      </c>
      <c r="L2197" s="4347"/>
      <c r="M2197" s="4347"/>
      <c r="N2197" s="4347"/>
      <c r="O2197" s="4347"/>
      <c r="S2197" s="4347"/>
      <c r="T2197" s="4347"/>
      <c r="U2197" s="4444"/>
      <c r="V2197" s="4444"/>
      <c r="W2197" s="4375"/>
    </row>
    <row r="2198" spans="1:24" ht="85.5" hidden="1">
      <c r="A2198" s="4347" t="s">
        <v>25</v>
      </c>
      <c r="B2198" s="4348">
        <v>45999</v>
      </c>
      <c r="C2198" s="4366" t="s">
        <v>3935</v>
      </c>
      <c r="D2198" s="4349"/>
      <c r="E2198" s="4351" t="s">
        <v>517</v>
      </c>
      <c r="F2198" s="4351" t="s">
        <v>89</v>
      </c>
      <c r="I2198" s="4347">
        <v>712</v>
      </c>
      <c r="J2198" s="4347" t="s">
        <v>3974</v>
      </c>
      <c r="K2198" s="4347"/>
      <c r="L2198" s="4347" t="s">
        <v>37</v>
      </c>
      <c r="M2198" s="4347"/>
      <c r="N2198" s="4347"/>
      <c r="O2198" s="4347" t="s">
        <v>37</v>
      </c>
      <c r="S2198" s="4347"/>
      <c r="T2198" s="4347"/>
      <c r="U2198" s="4444"/>
      <c r="V2198" s="4444"/>
      <c r="W2198" s="4375" t="s">
        <v>3987</v>
      </c>
    </row>
    <row r="2199" spans="1:24" ht="31.5" hidden="1">
      <c r="A2199" s="4347" t="s">
        <v>25</v>
      </c>
      <c r="B2199" s="4348">
        <v>45999</v>
      </c>
      <c r="C2199" s="4366" t="s">
        <v>3935</v>
      </c>
      <c r="D2199" s="4349"/>
      <c r="E2199" s="4358" t="s">
        <v>1145</v>
      </c>
      <c r="F2199" s="4358" t="s">
        <v>368</v>
      </c>
      <c r="I2199" s="4347">
        <v>707</v>
      </c>
      <c r="J2199" s="4347" t="s">
        <v>3988</v>
      </c>
      <c r="K2199" s="4347"/>
      <c r="L2199" s="4347" t="s">
        <v>37</v>
      </c>
      <c r="M2199" s="4347"/>
      <c r="N2199" s="4347"/>
      <c r="O2199" s="4347"/>
      <c r="S2199" s="4347"/>
      <c r="T2199" s="4347"/>
      <c r="U2199" s="4444"/>
      <c r="V2199" s="4444"/>
      <c r="W2199" s="4375"/>
    </row>
    <row r="2200" spans="1:24" ht="31.5" hidden="1">
      <c r="A2200" s="4347" t="s">
        <v>25</v>
      </c>
      <c r="B2200" s="4348">
        <v>45999</v>
      </c>
      <c r="C2200" s="4366" t="s">
        <v>3935</v>
      </c>
      <c r="D2200" s="4349"/>
      <c r="E2200" s="4358" t="s">
        <v>264</v>
      </c>
      <c r="F2200" s="4358" t="s">
        <v>488</v>
      </c>
      <c r="I2200" s="4347">
        <v>707</v>
      </c>
      <c r="J2200" s="4347" t="s">
        <v>2798</v>
      </c>
      <c r="K2200" s="4347"/>
      <c r="L2200" s="4347" t="s">
        <v>37</v>
      </c>
      <c r="M2200" s="4347"/>
      <c r="N2200" s="4347"/>
      <c r="O2200" s="4347"/>
      <c r="S2200" s="4347"/>
      <c r="T2200" s="4347"/>
      <c r="U2200" s="4444"/>
      <c r="V2200" s="4444"/>
      <c r="W2200" s="4375"/>
    </row>
    <row r="2201" spans="1:24" ht="31.5" hidden="1">
      <c r="A2201" s="4347" t="s">
        <v>25</v>
      </c>
      <c r="B2201" s="4348">
        <v>45999</v>
      </c>
      <c r="C2201" s="4366" t="s">
        <v>3935</v>
      </c>
      <c r="D2201" s="4349"/>
      <c r="E2201" s="4351" t="s">
        <v>840</v>
      </c>
      <c r="F2201" s="4351" t="s">
        <v>48</v>
      </c>
      <c r="I2201" s="4347">
        <v>707</v>
      </c>
      <c r="J2201" s="4347" t="s">
        <v>3989</v>
      </c>
      <c r="K2201" s="4347"/>
      <c r="L2201" s="4347" t="s">
        <v>37</v>
      </c>
      <c r="M2201" s="4347"/>
      <c r="N2201" s="4347"/>
      <c r="O2201" s="4347"/>
      <c r="S2201" s="4347"/>
      <c r="T2201" s="4347"/>
      <c r="U2201" s="4444"/>
      <c r="V2201" s="4444"/>
      <c r="W2201" s="4375"/>
    </row>
    <row r="2202" spans="1:24" ht="31.5" hidden="1">
      <c r="A2202" s="4347" t="s">
        <v>25</v>
      </c>
      <c r="B2202" s="4348">
        <v>45999</v>
      </c>
      <c r="C2202" s="4366" t="s">
        <v>3935</v>
      </c>
      <c r="D2202" s="4349"/>
      <c r="E2202" s="4351" t="s">
        <v>1867</v>
      </c>
      <c r="F2202" s="4351" t="s">
        <v>277</v>
      </c>
      <c r="I2202" s="4347">
        <v>707</v>
      </c>
      <c r="J2202" s="4347" t="s">
        <v>278</v>
      </c>
      <c r="K2202" s="4347"/>
      <c r="L2202" s="4347" t="s">
        <v>37</v>
      </c>
      <c r="M2202" s="4347"/>
      <c r="N2202" s="4347"/>
      <c r="O2202" s="4347"/>
      <c r="S2202" s="4347"/>
      <c r="T2202" s="4347"/>
      <c r="U2202" s="4444"/>
      <c r="V2202" s="4444"/>
      <c r="W2202" s="4375"/>
    </row>
    <row r="2203" spans="1:24" ht="31.5" hidden="1">
      <c r="A2203" s="4347" t="s">
        <v>25</v>
      </c>
      <c r="B2203" s="4348">
        <v>45999</v>
      </c>
      <c r="C2203" s="4366" t="s">
        <v>3935</v>
      </c>
      <c r="D2203" s="4445"/>
      <c r="E2203" s="4447" t="s">
        <v>48</v>
      </c>
      <c r="F2203" s="4447" t="s">
        <v>3990</v>
      </c>
      <c r="I2203" s="4347">
        <v>705</v>
      </c>
      <c r="J2203" s="4347" t="s">
        <v>2866</v>
      </c>
      <c r="K2203" s="4371" t="s">
        <v>303</v>
      </c>
      <c r="L2203" s="4347" t="s">
        <v>37</v>
      </c>
      <c r="M2203" s="4347"/>
      <c r="N2203" s="4347"/>
      <c r="O2203" s="4347"/>
      <c r="S2203" s="4347"/>
      <c r="T2203" s="4347"/>
      <c r="U2203" s="4444"/>
      <c r="V2203" s="4444"/>
      <c r="W2203" s="4375"/>
    </row>
    <row r="2204" spans="1:24" ht="31.5" hidden="1">
      <c r="A2204" s="4347" t="s">
        <v>25</v>
      </c>
      <c r="B2204" s="4348">
        <v>45999</v>
      </c>
      <c r="C2204" s="4366" t="s">
        <v>3935</v>
      </c>
      <c r="D2204" s="4445"/>
      <c r="E2204" s="4447" t="s">
        <v>847</v>
      </c>
      <c r="F2204" s="4447" t="s">
        <v>142</v>
      </c>
      <c r="I2204" s="4347">
        <v>705</v>
      </c>
      <c r="J2204" s="4347" t="s">
        <v>2866</v>
      </c>
      <c r="K2204" s="4371" t="s">
        <v>303</v>
      </c>
      <c r="L2204" s="4347" t="s">
        <v>37</v>
      </c>
      <c r="M2204" s="4347"/>
      <c r="N2204" s="4347"/>
      <c r="O2204" s="4347"/>
      <c r="S2204" s="4347"/>
      <c r="T2204" s="4347"/>
      <c r="U2204" s="4444"/>
      <c r="V2204" s="4444"/>
      <c r="W2204" s="4375"/>
    </row>
    <row r="2205" spans="1:24" ht="31.5" hidden="1">
      <c r="A2205" s="4347" t="s">
        <v>25</v>
      </c>
      <c r="B2205" s="4348">
        <v>45999</v>
      </c>
      <c r="C2205" s="4366" t="s">
        <v>3935</v>
      </c>
      <c r="D2205" s="4349"/>
      <c r="E2205" s="4365" t="s">
        <v>48</v>
      </c>
      <c r="F2205" s="4365" t="s">
        <v>165</v>
      </c>
      <c r="I2205" s="4347">
        <v>705</v>
      </c>
      <c r="J2205" s="4347" t="s">
        <v>3991</v>
      </c>
      <c r="K2205" s="4347"/>
      <c r="L2205" s="4347" t="s">
        <v>37</v>
      </c>
      <c r="M2205" s="4347"/>
      <c r="N2205" s="4347"/>
      <c r="O2205" s="4347"/>
      <c r="S2205" s="4347"/>
      <c r="T2205" s="4347"/>
      <c r="U2205" s="4444"/>
      <c r="V2205" s="4444"/>
      <c r="W2205" s="4375"/>
    </row>
    <row r="2206" spans="1:24" ht="31.5" hidden="1">
      <c r="A2206" s="4347" t="s">
        <v>25</v>
      </c>
      <c r="B2206" s="4348">
        <v>45999</v>
      </c>
      <c r="C2206" s="4366" t="s">
        <v>3935</v>
      </c>
      <c r="D2206" s="4349"/>
      <c r="E2206" s="4365" t="s">
        <v>168</v>
      </c>
      <c r="F2206" s="4365" t="s">
        <v>142</v>
      </c>
      <c r="I2206" s="4347">
        <v>705</v>
      </c>
      <c r="J2206" s="4347" t="s">
        <v>3992</v>
      </c>
      <c r="K2206" s="4347"/>
      <c r="L2206" s="4347" t="s">
        <v>37</v>
      </c>
      <c r="M2206" s="4347"/>
      <c r="N2206" s="4347"/>
      <c r="O2206" s="4347"/>
      <c r="P2206" s="3161"/>
      <c r="Q2206" s="3161"/>
      <c r="R2206" s="3161"/>
      <c r="S2206" s="4347"/>
      <c r="T2206" s="4347"/>
      <c r="U2206" s="4444"/>
      <c r="V2206" s="4444"/>
      <c r="W2206" s="4375"/>
    </row>
    <row r="2207" spans="1:24" ht="57" hidden="1">
      <c r="A2207" s="4347" t="s">
        <v>25</v>
      </c>
      <c r="B2207" s="4348">
        <v>45999</v>
      </c>
      <c r="C2207" s="4366" t="s">
        <v>3935</v>
      </c>
      <c r="D2207" s="4445"/>
      <c r="E2207" s="4351" t="s">
        <v>405</v>
      </c>
      <c r="F2207" s="4351" t="s">
        <v>615</v>
      </c>
      <c r="I2207" s="4347">
        <v>707</v>
      </c>
      <c r="J2207" s="4347" t="s">
        <v>566</v>
      </c>
      <c r="K2207" s="4371" t="s">
        <v>84</v>
      </c>
      <c r="L2207" s="4347" t="s">
        <v>37</v>
      </c>
      <c r="M2207" s="4347" t="s">
        <v>37</v>
      </c>
      <c r="N2207" s="4347"/>
      <c r="O2207" s="4347"/>
      <c r="P2207" s="21" t="s">
        <v>122</v>
      </c>
      <c r="Q2207" s="21" t="s">
        <v>123</v>
      </c>
      <c r="R2207" s="21" t="s">
        <v>38</v>
      </c>
      <c r="S2207" s="4347"/>
      <c r="T2207" s="4347"/>
      <c r="U2207" s="4444"/>
      <c r="V2207" s="4444"/>
      <c r="W2207" s="4375" t="s">
        <v>3993</v>
      </c>
      <c r="X2207" s="3160" t="s">
        <v>3994</v>
      </c>
    </row>
    <row r="2208" spans="1:24" ht="57" hidden="1">
      <c r="A2208" s="4347" t="s">
        <v>25</v>
      </c>
      <c r="B2208" s="4348">
        <v>45999</v>
      </c>
      <c r="C2208" s="4366" t="s">
        <v>3935</v>
      </c>
      <c r="D2208" s="4445"/>
      <c r="E2208" s="4351" t="s">
        <v>168</v>
      </c>
      <c r="F2208" s="4351" t="s">
        <v>3995</v>
      </c>
      <c r="I2208" s="4347">
        <v>705</v>
      </c>
      <c r="J2208" s="4347" t="s">
        <v>3996</v>
      </c>
      <c r="K2208" s="4371" t="s">
        <v>84</v>
      </c>
      <c r="L2208" s="4347"/>
      <c r="M2208" s="4347" t="s">
        <v>37</v>
      </c>
      <c r="N2208" s="4347"/>
      <c r="O2208" s="4347"/>
      <c r="P2208" s="360" t="s">
        <v>0</v>
      </c>
      <c r="Q2208" s="360" t="s">
        <v>31</v>
      </c>
      <c r="R2208" s="360" t="s">
        <v>103</v>
      </c>
      <c r="S2208" s="4347"/>
      <c r="T2208" s="4347"/>
      <c r="U2208" s="4444"/>
      <c r="V2208" s="4444"/>
      <c r="W2208" s="4375" t="s">
        <v>3997</v>
      </c>
    </row>
    <row r="2209" spans="1:23" ht="31.5" hidden="1">
      <c r="A2209" s="4347" t="s">
        <v>67</v>
      </c>
      <c r="B2209" s="4348">
        <v>46000</v>
      </c>
      <c r="C2209" s="4366" t="s">
        <v>3935</v>
      </c>
      <c r="D2209" s="4445"/>
      <c r="E2209" s="4446" t="s">
        <v>169</v>
      </c>
      <c r="F2209" s="4446" t="s">
        <v>389</v>
      </c>
      <c r="I2209" s="4347">
        <v>707</v>
      </c>
      <c r="J2209" s="4347" t="s">
        <v>585</v>
      </c>
      <c r="K2209" s="4371" t="s">
        <v>84</v>
      </c>
      <c r="L2209" s="4347" t="s">
        <v>37</v>
      </c>
      <c r="M2209" s="4347"/>
      <c r="N2209" s="4347"/>
      <c r="O2209" s="4347"/>
      <c r="S2209" s="4347"/>
      <c r="T2209" s="4347"/>
      <c r="U2209" s="4347"/>
      <c r="V2209" s="4347"/>
      <c r="W2209" s="4374"/>
    </row>
    <row r="2210" spans="1:23" ht="31.5" hidden="1">
      <c r="A2210" s="4347" t="s">
        <v>67</v>
      </c>
      <c r="B2210" s="4348">
        <v>46000</v>
      </c>
      <c r="C2210" s="4366" t="s">
        <v>3935</v>
      </c>
      <c r="D2210" s="4360"/>
      <c r="E2210" s="4350" t="s">
        <v>1464</v>
      </c>
      <c r="F2210" s="4350" t="s">
        <v>3225</v>
      </c>
      <c r="I2210" s="4347">
        <v>701</v>
      </c>
      <c r="J2210" s="4347" t="s">
        <v>3697</v>
      </c>
      <c r="K2210" s="4347"/>
      <c r="L2210" s="4347"/>
      <c r="M2210" s="4347" t="s">
        <v>37</v>
      </c>
      <c r="N2210" s="4347"/>
      <c r="O2210" s="4347"/>
      <c r="P2210" s="360" t="s">
        <v>71</v>
      </c>
      <c r="Q2210" s="360" t="s">
        <v>138</v>
      </c>
      <c r="R2210" s="360" t="s">
        <v>790</v>
      </c>
      <c r="S2210" s="4347"/>
      <c r="T2210" s="4347"/>
      <c r="U2210" s="4347"/>
      <c r="V2210" s="4347"/>
      <c r="W2210" s="4374" t="s">
        <v>3998</v>
      </c>
    </row>
    <row r="2211" spans="1:23" ht="31.5" hidden="1">
      <c r="A2211" s="4347" t="s">
        <v>67</v>
      </c>
      <c r="B2211" s="4348">
        <v>46000</v>
      </c>
      <c r="C2211" s="4366" t="s">
        <v>3935</v>
      </c>
      <c r="D2211" s="4360"/>
      <c r="E2211" s="4350" t="s">
        <v>1465</v>
      </c>
      <c r="F2211" s="4350" t="s">
        <v>3228</v>
      </c>
      <c r="I2211" s="4347">
        <v>701</v>
      </c>
      <c r="J2211" s="4347" t="s">
        <v>3699</v>
      </c>
      <c r="K2211" s="4347"/>
      <c r="L2211" s="4347"/>
      <c r="M2211" s="4347"/>
      <c r="N2211" s="4347" t="s">
        <v>37</v>
      </c>
      <c r="O2211" s="4347"/>
      <c r="S2211" s="4347"/>
      <c r="T2211" s="4347"/>
      <c r="U2211" s="4444"/>
      <c r="V2211" s="4444"/>
      <c r="W2211" s="4375"/>
    </row>
    <row r="2212" spans="1:23" ht="31.5" hidden="1">
      <c r="A2212" s="4347" t="s">
        <v>67</v>
      </c>
      <c r="B2212" s="4348">
        <v>46000</v>
      </c>
      <c r="C2212" s="4366" t="s">
        <v>3935</v>
      </c>
      <c r="D2212" s="4349"/>
      <c r="E2212" s="4351" t="s">
        <v>1867</v>
      </c>
      <c r="F2212" s="4351" t="s">
        <v>3764</v>
      </c>
      <c r="I2212" s="4347">
        <v>707</v>
      </c>
      <c r="J2212" s="4347">
        <v>60086</v>
      </c>
      <c r="K2212" s="4347"/>
      <c r="L2212" s="4347" t="s">
        <v>37</v>
      </c>
      <c r="M2212" s="4347"/>
      <c r="N2212" s="4347"/>
      <c r="O2212" s="4347"/>
      <c r="S2212" s="4347"/>
      <c r="T2212" s="4347"/>
      <c r="U2212" s="4444"/>
      <c r="V2212" s="4444"/>
      <c r="W2212" s="4375"/>
    </row>
    <row r="2213" spans="1:23" ht="31.5" hidden="1">
      <c r="A2213" s="4347" t="s">
        <v>67</v>
      </c>
      <c r="B2213" s="4348">
        <v>46000</v>
      </c>
      <c r="C2213" s="4366" t="s">
        <v>3935</v>
      </c>
      <c r="D2213" s="4349"/>
      <c r="E2213" s="4351" t="s">
        <v>79</v>
      </c>
      <c r="F2213" s="4351" t="s">
        <v>337</v>
      </c>
      <c r="I2213" s="4347">
        <v>707</v>
      </c>
      <c r="J2213" s="4347" t="s">
        <v>3880</v>
      </c>
      <c r="K2213" s="4347"/>
      <c r="L2213" s="4347" t="s">
        <v>37</v>
      </c>
      <c r="M2213" s="4347"/>
      <c r="N2213" s="4347"/>
      <c r="O2213" s="4347"/>
      <c r="S2213" s="4347"/>
      <c r="T2213" s="4347"/>
      <c r="U2213" s="4444"/>
      <c r="V2213" s="4444"/>
      <c r="W2213" s="4375"/>
    </row>
    <row r="2214" spans="1:23" ht="31.5" hidden="1">
      <c r="A2214" s="4347" t="s">
        <v>67</v>
      </c>
      <c r="B2214" s="4348">
        <v>46000</v>
      </c>
      <c r="C2214" s="4366" t="s">
        <v>3935</v>
      </c>
      <c r="D2214" s="4349"/>
      <c r="E2214" s="4351" t="s">
        <v>1838</v>
      </c>
      <c r="F2214" s="4351" t="s">
        <v>337</v>
      </c>
      <c r="I2214" s="4347">
        <v>707</v>
      </c>
      <c r="J2214" s="4347" t="s">
        <v>902</v>
      </c>
      <c r="K2214" s="4347"/>
      <c r="L2214" s="4347" t="s">
        <v>37</v>
      </c>
      <c r="M2214" s="4347"/>
      <c r="N2214" s="4347"/>
      <c r="O2214" s="4347"/>
      <c r="S2214" s="4347"/>
      <c r="T2214" s="4347"/>
      <c r="U2214" s="4444"/>
      <c r="V2214" s="4444"/>
      <c r="W2214" s="4375"/>
    </row>
    <row r="2215" spans="1:23" ht="31.5" hidden="1">
      <c r="A2215" s="4347" t="s">
        <v>67</v>
      </c>
      <c r="B2215" s="4348">
        <v>46000</v>
      </c>
      <c r="C2215" s="4366" t="s">
        <v>3935</v>
      </c>
      <c r="D2215" s="4349"/>
      <c r="E2215" s="4365" t="s">
        <v>615</v>
      </c>
      <c r="F2215" s="4365" t="s">
        <v>1074</v>
      </c>
      <c r="I2215" s="4347">
        <v>705</v>
      </c>
      <c r="J2215" s="4347" t="s">
        <v>206</v>
      </c>
      <c r="K2215" s="4347"/>
      <c r="L2215" s="4347" t="s">
        <v>37</v>
      </c>
      <c r="M2215" s="4347"/>
      <c r="N2215" s="4347"/>
      <c r="O2215" s="4347"/>
      <c r="S2215" s="4347"/>
      <c r="T2215" s="4347"/>
      <c r="U2215" s="4444"/>
      <c r="V2215" s="4444"/>
      <c r="W2215" s="4375"/>
    </row>
    <row r="2216" spans="1:23" ht="31.5" hidden="1">
      <c r="A2216" s="4347" t="s">
        <v>67</v>
      </c>
      <c r="B2216" s="4348">
        <v>46000</v>
      </c>
      <c r="C2216" s="4366" t="s">
        <v>3935</v>
      </c>
      <c r="D2216" s="4349"/>
      <c r="E2216" s="4351" t="s">
        <v>840</v>
      </c>
      <c r="F2216" s="4351" t="s">
        <v>169</v>
      </c>
      <c r="I2216" s="4347">
        <v>707</v>
      </c>
      <c r="J2216" s="4347" t="s">
        <v>3989</v>
      </c>
      <c r="K2216" s="4347"/>
      <c r="L2216" s="4347" t="s">
        <v>37</v>
      </c>
      <c r="M2216" s="4347"/>
      <c r="N2216" s="4347"/>
      <c r="O2216" s="4347"/>
      <c r="S2216" s="4347"/>
      <c r="T2216" s="4347"/>
      <c r="U2216" s="4444"/>
      <c r="V2216" s="4444"/>
      <c r="W2216" s="4375"/>
    </row>
    <row r="2217" spans="1:23" ht="31.5" hidden="1">
      <c r="A2217" s="4347" t="s">
        <v>67</v>
      </c>
      <c r="B2217" s="4348">
        <v>46000</v>
      </c>
      <c r="C2217" s="4366" t="s">
        <v>3935</v>
      </c>
      <c r="D2217" s="4445"/>
      <c r="E2217" s="4447" t="s">
        <v>89</v>
      </c>
      <c r="F2217" s="4447" t="s">
        <v>3143</v>
      </c>
      <c r="I2217" s="4347">
        <v>705</v>
      </c>
      <c r="J2217" s="4347" t="s">
        <v>3999</v>
      </c>
      <c r="K2217" s="4347"/>
      <c r="L2217" s="4347" t="s">
        <v>37</v>
      </c>
      <c r="M2217" s="4347"/>
      <c r="N2217" s="4347"/>
      <c r="O2217" s="4347"/>
      <c r="S2217" s="4347"/>
      <c r="T2217" s="4347"/>
      <c r="U2217" s="4444"/>
      <c r="V2217" s="4444"/>
      <c r="W2217" s="4375"/>
    </row>
    <row r="2218" spans="1:23" ht="31.5" hidden="1">
      <c r="A2218" s="4347" t="s">
        <v>67</v>
      </c>
      <c r="B2218" s="4348">
        <v>46000</v>
      </c>
      <c r="C2218" s="4366" t="s">
        <v>3935</v>
      </c>
      <c r="D2218" s="4445"/>
      <c r="E2218" s="4447" t="s">
        <v>450</v>
      </c>
      <c r="F2218" s="4447" t="s">
        <v>3012</v>
      </c>
      <c r="I2218" s="4347">
        <v>705</v>
      </c>
      <c r="J2218" s="4347" t="s">
        <v>4000</v>
      </c>
      <c r="K2218" s="4371" t="s">
        <v>29</v>
      </c>
      <c r="L2218" s="4347" t="s">
        <v>37</v>
      </c>
      <c r="M2218" s="4347"/>
      <c r="N2218" s="4347"/>
      <c r="O2218" s="4347"/>
      <c r="S2218" s="4347"/>
      <c r="T2218" s="4347"/>
      <c r="U2218" s="4444"/>
      <c r="V2218" s="4444"/>
      <c r="W2218" s="4375"/>
    </row>
    <row r="2219" spans="1:23" ht="31.5" hidden="1">
      <c r="A2219" s="4347" t="s">
        <v>85</v>
      </c>
      <c r="B2219" s="4348">
        <v>46001</v>
      </c>
      <c r="C2219" s="4366" t="s">
        <v>3935</v>
      </c>
      <c r="D2219" s="4349"/>
      <c r="E2219" s="4365" t="s">
        <v>204</v>
      </c>
      <c r="F2219" s="4365" t="s">
        <v>1509</v>
      </c>
      <c r="I2219" s="4347">
        <v>705</v>
      </c>
      <c r="J2219" s="4347" t="s">
        <v>206</v>
      </c>
      <c r="K2219" s="4347"/>
      <c r="L2219" s="4347" t="s">
        <v>37</v>
      </c>
      <c r="M2219" s="4347"/>
      <c r="N2219" s="4347"/>
      <c r="O2219" s="4347"/>
      <c r="S2219" s="4347"/>
      <c r="T2219" s="4347"/>
      <c r="U2219" s="4444"/>
      <c r="V2219" s="4444"/>
      <c r="W2219" s="4375"/>
    </row>
    <row r="2220" spans="1:23" ht="31.5" hidden="1">
      <c r="A2220" s="4347" t="s">
        <v>85</v>
      </c>
      <c r="B2220" s="4348">
        <v>46001</v>
      </c>
      <c r="C2220" s="4366" t="s">
        <v>3935</v>
      </c>
      <c r="D2220" s="4445"/>
      <c r="E2220" s="4447" t="s">
        <v>68</v>
      </c>
      <c r="F2220" s="4447" t="s">
        <v>4001</v>
      </c>
      <c r="I2220" s="4347">
        <v>705</v>
      </c>
      <c r="J2220" s="4347" t="s">
        <v>4000</v>
      </c>
      <c r="K2220" s="4371" t="s">
        <v>29</v>
      </c>
      <c r="L2220" s="4347" t="s">
        <v>37</v>
      </c>
      <c r="M2220" s="4347"/>
      <c r="N2220" s="4347"/>
      <c r="O2220" s="4347"/>
      <c r="S2220" s="4347"/>
      <c r="T2220" s="4347"/>
      <c r="U2220" s="4347"/>
      <c r="V2220" s="4347"/>
      <c r="W2220" s="4374"/>
    </row>
    <row r="2221" spans="1:23" ht="31.5" hidden="1">
      <c r="A2221" s="4347" t="s">
        <v>85</v>
      </c>
      <c r="B2221" s="4348">
        <v>46001</v>
      </c>
      <c r="C2221" s="4366" t="s">
        <v>3935</v>
      </c>
      <c r="D2221" s="4349"/>
      <c r="E2221" s="4350" t="s">
        <v>1464</v>
      </c>
      <c r="F2221" s="4350" t="s">
        <v>3225</v>
      </c>
      <c r="I2221" s="4347">
        <v>701</v>
      </c>
      <c r="J2221" s="4347" t="s">
        <v>3697</v>
      </c>
      <c r="K2221" s="4347"/>
      <c r="L2221" s="4347" t="s">
        <v>37</v>
      </c>
      <c r="M2221" s="4347"/>
      <c r="N2221" s="4347"/>
      <c r="O2221" s="4347"/>
      <c r="S2221" s="4347"/>
      <c r="T2221" s="4347"/>
      <c r="U2221" s="4347"/>
      <c r="V2221" s="4347"/>
      <c r="W2221" s="4374"/>
    </row>
    <row r="2222" spans="1:23" ht="31.5" hidden="1">
      <c r="A2222" s="4347" t="s">
        <v>85</v>
      </c>
      <c r="B2222" s="4348">
        <v>46001</v>
      </c>
      <c r="C2222" s="4366" t="s">
        <v>3935</v>
      </c>
      <c r="D2222" s="4349"/>
      <c r="E2222" s="4350" t="s">
        <v>1465</v>
      </c>
      <c r="F2222" s="4350" t="s">
        <v>3228</v>
      </c>
      <c r="I2222" s="4347">
        <v>701</v>
      </c>
      <c r="J2222" s="4347" t="s">
        <v>3699</v>
      </c>
      <c r="K2222" s="4347"/>
      <c r="L2222" s="4347" t="s">
        <v>37</v>
      </c>
      <c r="M2222" s="4347"/>
      <c r="N2222" s="4347"/>
      <c r="O2222" s="4347"/>
      <c r="S2222" s="4347"/>
      <c r="T2222" s="4347"/>
      <c r="U2222" s="4444"/>
      <c r="V2222" s="4444"/>
      <c r="W2222" s="4375"/>
    </row>
    <row r="2223" spans="1:23" ht="31.5" hidden="1">
      <c r="A2223" s="4347" t="s">
        <v>85</v>
      </c>
      <c r="B2223" s="4348">
        <v>46001</v>
      </c>
      <c r="C2223" s="4366" t="s">
        <v>3935</v>
      </c>
      <c r="D2223" s="4349"/>
      <c r="E2223" s="4353" t="s">
        <v>52</v>
      </c>
      <c r="F2223" s="4353" t="s">
        <v>731</v>
      </c>
      <c r="I2223" s="4347">
        <v>705</v>
      </c>
      <c r="J2223" s="4347" t="s">
        <v>4002</v>
      </c>
      <c r="K2223" s="4347"/>
      <c r="L2223" s="4347" t="s">
        <v>37</v>
      </c>
      <c r="M2223" s="4347"/>
      <c r="N2223" s="4347"/>
      <c r="O2223" s="4347"/>
      <c r="S2223" s="4347"/>
      <c r="T2223" s="4347"/>
      <c r="U2223" s="4444"/>
      <c r="V2223" s="4444"/>
      <c r="W2223" s="4375"/>
    </row>
    <row r="2224" spans="1:23" ht="31.5" hidden="1">
      <c r="A2224" s="4347" t="s">
        <v>85</v>
      </c>
      <c r="B2224" s="4348">
        <v>46001</v>
      </c>
      <c r="C2224" s="4366" t="s">
        <v>3935</v>
      </c>
      <c r="D2224" s="4349"/>
      <c r="E2224" s="4353" t="s">
        <v>273</v>
      </c>
      <c r="F2224" s="4353" t="s">
        <v>142</v>
      </c>
      <c r="I2224" s="4347">
        <v>705</v>
      </c>
      <c r="J2224" s="4347" t="s">
        <v>197</v>
      </c>
      <c r="K2224" s="4347"/>
      <c r="L2224" s="4347" t="s">
        <v>37</v>
      </c>
      <c r="M2224" s="4347"/>
      <c r="N2224" s="4347"/>
      <c r="O2224" s="4347"/>
      <c r="S2224" s="4347"/>
      <c r="T2224" s="4347"/>
      <c r="U2224" s="4444"/>
      <c r="V2224" s="4444"/>
      <c r="W2224" s="4375"/>
    </row>
    <row r="2225" spans="1:23" ht="31.5" hidden="1">
      <c r="A2225" s="4347" t="s">
        <v>85</v>
      </c>
      <c r="B2225" s="4348">
        <v>46001</v>
      </c>
      <c r="C2225" s="4366" t="s">
        <v>3935</v>
      </c>
      <c r="D2225" s="4349"/>
      <c r="E2225" s="4351" t="s">
        <v>1554</v>
      </c>
      <c r="F2225" s="4351" t="s">
        <v>169</v>
      </c>
      <c r="I2225" s="4347">
        <v>707</v>
      </c>
      <c r="J2225" s="4347" t="s">
        <v>4003</v>
      </c>
      <c r="K2225" s="4347"/>
      <c r="L2225" s="4347" t="s">
        <v>37</v>
      </c>
      <c r="M2225" s="4347"/>
      <c r="N2225" s="4347"/>
      <c r="O2225" s="4347"/>
      <c r="S2225" s="4347"/>
      <c r="T2225" s="4347"/>
      <c r="U2225" s="4444"/>
      <c r="V2225" s="4444"/>
      <c r="W2225" s="4375"/>
    </row>
    <row r="2226" spans="1:23" ht="31.5" hidden="1">
      <c r="A2226" s="4347" t="s">
        <v>85</v>
      </c>
      <c r="B2226" s="4348">
        <v>46001</v>
      </c>
      <c r="C2226" s="4366" t="s">
        <v>3935</v>
      </c>
      <c r="D2226" s="4349"/>
      <c r="E2226" s="4448" t="s">
        <v>48</v>
      </c>
      <c r="F2226" s="4448" t="s">
        <v>153</v>
      </c>
      <c r="I2226" s="4347">
        <v>705</v>
      </c>
      <c r="J2226" s="4347" t="s">
        <v>410</v>
      </c>
      <c r="K2226" s="4347"/>
      <c r="L2226" s="4347" t="s">
        <v>37</v>
      </c>
      <c r="M2226" s="4347"/>
      <c r="N2226" s="4347"/>
      <c r="O2226" s="4347"/>
      <c r="S2226" s="4347"/>
      <c r="T2226" s="4347"/>
      <c r="U2226" s="4444"/>
      <c r="V2226" s="4444"/>
      <c r="W2226" s="4375"/>
    </row>
    <row r="2227" spans="1:23" ht="31.5" hidden="1">
      <c r="A2227" s="4347" t="s">
        <v>85</v>
      </c>
      <c r="B2227" s="4355">
        <v>46001</v>
      </c>
      <c r="C2227" s="4366" t="s">
        <v>3935</v>
      </c>
      <c r="D2227" s="4349"/>
      <c r="E2227" s="4351" t="s">
        <v>337</v>
      </c>
      <c r="F2227" s="4351" t="s">
        <v>3353</v>
      </c>
      <c r="I2227" s="4347">
        <v>707</v>
      </c>
      <c r="J2227" s="4347" t="s">
        <v>4004</v>
      </c>
      <c r="K2227" s="4347"/>
      <c r="L2227" s="4347" t="s">
        <v>37</v>
      </c>
      <c r="M2227" s="4347"/>
      <c r="N2227" s="4347"/>
      <c r="O2227" s="4347"/>
      <c r="S2227" s="4347"/>
      <c r="T2227" s="4347"/>
      <c r="U2227" s="4347"/>
      <c r="V2227" s="4347"/>
      <c r="W2227" s="4374"/>
    </row>
    <row r="2228" spans="1:23" ht="31.5" hidden="1">
      <c r="A2228" s="4347" t="s">
        <v>85</v>
      </c>
      <c r="B2228" s="4348">
        <v>46001</v>
      </c>
      <c r="C2228" s="4366" t="s">
        <v>3935</v>
      </c>
      <c r="D2228" s="4360"/>
      <c r="E2228" s="4363" t="s">
        <v>48</v>
      </c>
      <c r="F2228" s="4363" t="s">
        <v>275</v>
      </c>
      <c r="I2228" s="4347">
        <v>705</v>
      </c>
      <c r="J2228" s="4368" t="s">
        <v>4005</v>
      </c>
      <c r="K2228" s="4347"/>
      <c r="L2228" s="4347"/>
      <c r="M2228" s="4347" t="s">
        <v>37</v>
      </c>
      <c r="N2228" s="4347"/>
      <c r="O2228" s="4347"/>
      <c r="P2228" s="360" t="s">
        <v>0</v>
      </c>
      <c r="Q2228" s="360" t="s">
        <v>31</v>
      </c>
      <c r="R2228" s="360" t="s">
        <v>103</v>
      </c>
      <c r="S2228" s="4347" t="s">
        <v>37</v>
      </c>
      <c r="T2228" s="4347"/>
      <c r="U2228" s="4444"/>
      <c r="V2228" s="4444"/>
      <c r="W2228" s="4375" t="s">
        <v>4006</v>
      </c>
    </row>
    <row r="2229" spans="1:23" ht="31.5" hidden="1">
      <c r="A2229" s="4347" t="s">
        <v>85</v>
      </c>
      <c r="B2229" s="4348">
        <v>46001</v>
      </c>
      <c r="C2229" s="4366" t="s">
        <v>3935</v>
      </c>
      <c r="D2229" s="4445"/>
      <c r="E2229" s="4351" t="s">
        <v>48</v>
      </c>
      <c r="F2229" s="4351" t="s">
        <v>79</v>
      </c>
      <c r="I2229" s="4347">
        <v>705</v>
      </c>
      <c r="J2229" s="4347" t="s">
        <v>4007</v>
      </c>
      <c r="K2229" s="4371" t="s">
        <v>84</v>
      </c>
      <c r="L2229" s="4347" t="s">
        <v>37</v>
      </c>
      <c r="M2229" s="4347"/>
      <c r="N2229" s="4347"/>
      <c r="O2229" s="4347"/>
      <c r="S2229" s="4347"/>
      <c r="T2229" s="4347"/>
      <c r="U2229" s="4444"/>
      <c r="V2229" s="4444"/>
      <c r="W2229" s="4375"/>
    </row>
    <row r="2230" spans="1:23" ht="31.5" hidden="1">
      <c r="A2230" s="4347" t="s">
        <v>85</v>
      </c>
      <c r="B2230" s="4348">
        <v>46001</v>
      </c>
      <c r="C2230" s="4366" t="s">
        <v>3935</v>
      </c>
      <c r="D2230" s="4349"/>
      <c r="E2230" s="4359" t="s">
        <v>450</v>
      </c>
      <c r="F2230" s="4359" t="s">
        <v>263</v>
      </c>
      <c r="I2230" s="4347">
        <v>705</v>
      </c>
      <c r="J2230" s="4347" t="s">
        <v>3319</v>
      </c>
      <c r="K2230" s="4372"/>
      <c r="L2230" s="4347" t="s">
        <v>37</v>
      </c>
      <c r="M2230" s="4347"/>
      <c r="N2230" s="4347"/>
      <c r="O2230" s="4347"/>
      <c r="S2230" s="4347"/>
      <c r="T2230" s="4347"/>
      <c r="U2230" s="4444"/>
      <c r="V2230" s="4444"/>
      <c r="W2230" s="4375"/>
    </row>
    <row r="2231" spans="1:23" ht="31.5" hidden="1">
      <c r="A2231" s="4347" t="s">
        <v>105</v>
      </c>
      <c r="B2231" s="4355">
        <v>46001</v>
      </c>
      <c r="C2231" s="4366" t="s">
        <v>3935</v>
      </c>
      <c r="D2231" s="4349"/>
      <c r="E2231" s="4363" t="s">
        <v>48</v>
      </c>
      <c r="F2231" s="4363" t="s">
        <v>275</v>
      </c>
      <c r="I2231" s="4347">
        <v>705</v>
      </c>
      <c r="J2231" s="4368" t="s">
        <v>4005</v>
      </c>
      <c r="K2231" s="4347"/>
      <c r="L2231" s="4347" t="s">
        <v>37</v>
      </c>
      <c r="M2231" s="4347"/>
      <c r="N2231" s="4347"/>
      <c r="O2231" s="4347"/>
      <c r="S2231" s="4347"/>
      <c r="T2231" s="4347" t="s">
        <v>37</v>
      </c>
      <c r="U2231" s="4347"/>
      <c r="V2231" s="4347"/>
      <c r="W2231" s="4374" t="s">
        <v>4008</v>
      </c>
    </row>
    <row r="2232" spans="1:23" ht="31.5" hidden="1">
      <c r="A2232" s="4347" t="s">
        <v>105</v>
      </c>
      <c r="B2232" s="4348">
        <v>46002</v>
      </c>
      <c r="C2232" s="4366" t="s">
        <v>3935</v>
      </c>
      <c r="D2232" s="4349"/>
      <c r="E2232" s="4448" t="s">
        <v>175</v>
      </c>
      <c r="F2232" s="4448" t="s">
        <v>3803</v>
      </c>
      <c r="I2232" s="4347">
        <v>705</v>
      </c>
      <c r="J2232" s="4347" t="s">
        <v>410</v>
      </c>
      <c r="K2232" s="4347"/>
      <c r="L2232" s="4347" t="s">
        <v>37</v>
      </c>
      <c r="M2232" s="4347"/>
      <c r="N2232" s="4347"/>
      <c r="O2232" s="4347"/>
      <c r="S2232" s="4347"/>
      <c r="T2232" s="4347"/>
      <c r="U2232" s="4347"/>
      <c r="V2232" s="4347"/>
      <c r="W2232" s="4374"/>
    </row>
    <row r="2233" spans="1:23" ht="31.5" hidden="1">
      <c r="A2233" s="4347" t="s">
        <v>105</v>
      </c>
      <c r="B2233" s="4348">
        <v>46002</v>
      </c>
      <c r="C2233" s="4366" t="s">
        <v>3935</v>
      </c>
      <c r="D2233" s="4360"/>
      <c r="E2233" s="4363" t="s">
        <v>282</v>
      </c>
      <c r="F2233" s="4363" t="s">
        <v>4009</v>
      </c>
      <c r="I2233" s="4347">
        <v>705</v>
      </c>
      <c r="J2233" s="4368" t="s">
        <v>4005</v>
      </c>
      <c r="K2233" s="4347"/>
      <c r="L2233" s="4347" t="s">
        <v>37</v>
      </c>
      <c r="M2233" s="4347"/>
      <c r="N2233" s="4347"/>
      <c r="O2233" s="4347"/>
      <c r="S2233" s="4347" t="s">
        <v>30</v>
      </c>
      <c r="T2233" s="4347"/>
      <c r="U2233" s="4444"/>
      <c r="V2233" s="4444"/>
      <c r="W2233" s="4375"/>
    </row>
    <row r="2234" spans="1:23" ht="31.5" hidden="1">
      <c r="A2234" s="4347" t="s">
        <v>105</v>
      </c>
      <c r="B2234" s="4348">
        <v>46002</v>
      </c>
      <c r="C2234" s="4366" t="s">
        <v>3935</v>
      </c>
      <c r="D2234" s="4349"/>
      <c r="E2234" s="4359" t="s">
        <v>148</v>
      </c>
      <c r="F2234" s="4359" t="s">
        <v>389</v>
      </c>
      <c r="I2234" s="4347">
        <v>705</v>
      </c>
      <c r="J2234" s="4347" t="s">
        <v>3319</v>
      </c>
      <c r="K2234" s="4372"/>
      <c r="L2234" s="4347" t="s">
        <v>37</v>
      </c>
      <c r="M2234" s="4347"/>
      <c r="N2234" s="4347"/>
      <c r="O2234" s="4347"/>
      <c r="S2234" s="4347"/>
      <c r="T2234" s="4347"/>
      <c r="U2234" s="4444"/>
      <c r="V2234" s="4444"/>
      <c r="W2234" s="4375"/>
    </row>
    <row r="2235" spans="1:23" ht="31.5" hidden="1">
      <c r="A2235" s="4347" t="s">
        <v>105</v>
      </c>
      <c r="B2235" s="4348">
        <v>46002</v>
      </c>
      <c r="C2235" s="4366" t="s">
        <v>3935</v>
      </c>
      <c r="D2235" s="4349"/>
      <c r="E2235" s="4351" t="s">
        <v>169</v>
      </c>
      <c r="F2235" s="4351" t="s">
        <v>80</v>
      </c>
      <c r="I2235" s="4347">
        <v>707</v>
      </c>
      <c r="J2235" s="4347">
        <v>60105</v>
      </c>
      <c r="K2235" s="4347"/>
      <c r="L2235" s="4347" t="s">
        <v>37</v>
      </c>
      <c r="M2235" s="4347"/>
      <c r="N2235" s="4347"/>
      <c r="O2235" s="4347"/>
      <c r="S2235" s="4347"/>
      <c r="T2235" s="4347"/>
      <c r="U2235" s="4444"/>
      <c r="V2235" s="4444"/>
      <c r="W2235" s="4375"/>
    </row>
    <row r="2236" spans="1:23" ht="31.5" hidden="1">
      <c r="A2236" s="4347" t="s">
        <v>105</v>
      </c>
      <c r="B2236" s="4348">
        <v>46002</v>
      </c>
      <c r="C2236" s="4366" t="s">
        <v>3935</v>
      </c>
      <c r="D2236" s="4349"/>
      <c r="E2236" s="4351" t="s">
        <v>840</v>
      </c>
      <c r="F2236" s="4351" t="s">
        <v>169</v>
      </c>
      <c r="I2236" s="4347">
        <v>707</v>
      </c>
      <c r="J2236" s="4347" t="s">
        <v>4010</v>
      </c>
      <c r="K2236" s="4347"/>
      <c r="L2236" s="4347" t="s">
        <v>37</v>
      </c>
      <c r="M2236" s="4347"/>
      <c r="N2236" s="4347"/>
      <c r="O2236" s="4347"/>
      <c r="S2236" s="4347"/>
      <c r="T2236" s="4347"/>
      <c r="U2236" s="4444"/>
      <c r="V2236" s="4444"/>
      <c r="W2236" s="4375"/>
    </row>
    <row r="2237" spans="1:23" ht="31.5" hidden="1">
      <c r="A2237" s="4347" t="s">
        <v>105</v>
      </c>
      <c r="B2237" s="4348">
        <v>46002</v>
      </c>
      <c r="C2237" s="4366" t="s">
        <v>3935</v>
      </c>
      <c r="D2237" s="4349"/>
      <c r="E2237" s="4365" t="s">
        <v>48</v>
      </c>
      <c r="F2237" s="4365" t="s">
        <v>165</v>
      </c>
      <c r="I2237" s="4347">
        <v>705</v>
      </c>
      <c r="J2237" s="4347" t="s">
        <v>1255</v>
      </c>
      <c r="K2237" s="4347"/>
      <c r="L2237" s="4347" t="s">
        <v>37</v>
      </c>
      <c r="M2237" s="4347"/>
      <c r="N2237" s="4347"/>
      <c r="O2237" s="4347"/>
      <c r="S2237" s="4347"/>
      <c r="T2237" s="4347"/>
      <c r="U2237" s="4444"/>
      <c r="V2237" s="4444"/>
      <c r="W2237" s="4375"/>
    </row>
    <row r="2238" spans="1:23" ht="31.5" hidden="1">
      <c r="A2238" s="4347" t="s">
        <v>105</v>
      </c>
      <c r="B2238" s="4348">
        <v>46002</v>
      </c>
      <c r="C2238" s="4366" t="s">
        <v>3935</v>
      </c>
      <c r="D2238" s="4349"/>
      <c r="E2238" s="4365" t="s">
        <v>168</v>
      </c>
      <c r="F2238" s="4365" t="s">
        <v>142</v>
      </c>
      <c r="I2238" s="4347">
        <v>705</v>
      </c>
      <c r="J2238" s="4347" t="s">
        <v>4011</v>
      </c>
      <c r="K2238" s="4347"/>
      <c r="L2238" s="4347" t="s">
        <v>37</v>
      </c>
      <c r="M2238" s="4347"/>
      <c r="N2238" s="4347"/>
      <c r="O2238" s="4347"/>
      <c r="S2238" s="4347"/>
      <c r="T2238" s="4347"/>
      <c r="U2238" s="4444"/>
      <c r="V2238" s="4444"/>
      <c r="W2238" s="4375"/>
    </row>
    <row r="2239" spans="1:23" ht="31.5" hidden="1">
      <c r="A2239" s="4347" t="s">
        <v>105</v>
      </c>
      <c r="B2239" s="4348">
        <v>46002</v>
      </c>
      <c r="C2239" s="4366" t="s">
        <v>3935</v>
      </c>
      <c r="D2239" s="4349"/>
      <c r="E2239" s="4351" t="s">
        <v>879</v>
      </c>
      <c r="F2239" s="4351" t="s">
        <v>79</v>
      </c>
      <c r="I2239" s="4347">
        <v>707</v>
      </c>
      <c r="J2239" s="4347" t="s">
        <v>1704</v>
      </c>
      <c r="K2239" s="4347"/>
      <c r="L2239" s="4347" t="s">
        <v>37</v>
      </c>
      <c r="M2239" s="4347"/>
      <c r="N2239" s="4347"/>
      <c r="O2239" s="4347"/>
      <c r="S2239" s="4347"/>
      <c r="T2239" s="4347"/>
      <c r="U2239" s="4444"/>
      <c r="V2239" s="4444"/>
      <c r="W2239" s="4375"/>
    </row>
    <row r="2240" spans="1:23" ht="31.5" hidden="1">
      <c r="A2240" s="4347" t="s">
        <v>105</v>
      </c>
      <c r="B2240" s="4348">
        <v>46002</v>
      </c>
      <c r="C2240" s="4366" t="s">
        <v>3935</v>
      </c>
      <c r="D2240" s="4349"/>
      <c r="E2240" s="4363" t="s">
        <v>282</v>
      </c>
      <c r="F2240" s="4363" t="s">
        <v>4009</v>
      </c>
      <c r="I2240" s="4347">
        <v>705</v>
      </c>
      <c r="J2240" s="4368" t="s">
        <v>4005</v>
      </c>
      <c r="K2240" s="4347"/>
      <c r="L2240" s="4347" t="s">
        <v>37</v>
      </c>
      <c r="M2240" s="4347"/>
      <c r="N2240" s="4347"/>
      <c r="O2240" s="4347"/>
      <c r="S2240" s="4347"/>
      <c r="T2240" s="4347"/>
      <c r="U2240" s="4444"/>
      <c r="V2240" s="4444"/>
      <c r="W2240" s="4375"/>
    </row>
    <row r="2241" spans="1:23" ht="31.5" hidden="1">
      <c r="A2241" s="4347" t="s">
        <v>132</v>
      </c>
      <c r="B2241" s="4348">
        <v>46003</v>
      </c>
      <c r="C2241" s="4366" t="s">
        <v>3935</v>
      </c>
      <c r="D2241" s="4361"/>
      <c r="E2241" s="4351" t="s">
        <v>1059</v>
      </c>
      <c r="F2241" s="4351" t="s">
        <v>148</v>
      </c>
      <c r="I2241" s="4347">
        <v>712</v>
      </c>
      <c r="J2241" s="4347" t="s">
        <v>206</v>
      </c>
      <c r="K2241" s="4347"/>
      <c r="L2241" s="4347" t="s">
        <v>37</v>
      </c>
      <c r="M2241" s="4347"/>
      <c r="N2241" s="4347"/>
      <c r="O2241" s="4347"/>
      <c r="S2241" s="4347"/>
      <c r="T2241" s="4347"/>
      <c r="U2241" s="4444"/>
      <c r="V2241" s="4444"/>
      <c r="W2241" s="4375"/>
    </row>
    <row r="2242" spans="1:23" ht="31.5" hidden="1">
      <c r="A2242" s="4347" t="s">
        <v>132</v>
      </c>
      <c r="B2242" s="4348">
        <v>46003</v>
      </c>
      <c r="C2242" s="4366" t="s">
        <v>3935</v>
      </c>
      <c r="D2242" s="4445"/>
      <c r="E2242" s="4351" t="s">
        <v>1014</v>
      </c>
      <c r="F2242" s="4351" t="s">
        <v>89</v>
      </c>
      <c r="I2242" s="4347">
        <v>712</v>
      </c>
      <c r="J2242" s="4347" t="s">
        <v>121</v>
      </c>
      <c r="K2242" s="4371" t="s">
        <v>84</v>
      </c>
      <c r="L2242" s="4347" t="s">
        <v>37</v>
      </c>
      <c r="M2242" s="4347"/>
      <c r="N2242" s="4347"/>
      <c r="O2242" s="4347"/>
      <c r="S2242" s="4347"/>
      <c r="T2242" s="4347"/>
      <c r="U2242" s="4347"/>
      <c r="V2242" s="4347"/>
      <c r="W2242" s="4374"/>
    </row>
    <row r="2243" spans="1:23" ht="31.5" hidden="1">
      <c r="A2243" s="4347" t="s">
        <v>132</v>
      </c>
      <c r="B2243" s="4348">
        <v>46003</v>
      </c>
      <c r="C2243" s="4366" t="s">
        <v>3935</v>
      </c>
      <c r="D2243" s="4349"/>
      <c r="E2243" s="4356" t="s">
        <v>405</v>
      </c>
      <c r="F2243" s="4351" t="s">
        <v>450</v>
      </c>
      <c r="I2243" s="4347">
        <v>712</v>
      </c>
      <c r="J2243" s="4347" t="s">
        <v>4012</v>
      </c>
      <c r="K2243" s="4347"/>
      <c r="L2243" s="4347" t="s">
        <v>37</v>
      </c>
      <c r="M2243" s="4347"/>
      <c r="N2243" s="4347"/>
      <c r="O2243" s="4347"/>
      <c r="S2243" s="4347"/>
      <c r="T2243" s="4347"/>
      <c r="U2243" s="4444"/>
      <c r="V2243" s="4444"/>
      <c r="W2243" s="4375"/>
    </row>
    <row r="2244" spans="1:23" ht="31.5" hidden="1">
      <c r="A2244" s="4347" t="s">
        <v>132</v>
      </c>
      <c r="B2244" s="4348">
        <v>46003</v>
      </c>
      <c r="C2244" s="4366" t="s">
        <v>3935</v>
      </c>
      <c r="D2244" s="4349"/>
      <c r="E2244" s="4449" t="s">
        <v>169</v>
      </c>
      <c r="F2244" s="4450" t="s">
        <v>56</v>
      </c>
      <c r="I2244" s="4347">
        <v>707</v>
      </c>
      <c r="J2244" s="4347" t="s">
        <v>4013</v>
      </c>
      <c r="K2244" s="4347"/>
      <c r="L2244" s="4347" t="s">
        <v>37</v>
      </c>
      <c r="M2244" s="4347"/>
      <c r="N2244" s="4347"/>
      <c r="O2244" s="4347"/>
      <c r="S2244" s="4347"/>
      <c r="T2244" s="4347"/>
      <c r="U2244" s="4444"/>
      <c r="V2244" s="4444"/>
      <c r="W2244" s="4375"/>
    </row>
    <row r="2245" spans="1:23" ht="31.5" hidden="1">
      <c r="A2245" s="4347" t="s">
        <v>132</v>
      </c>
      <c r="B2245" s="4348">
        <v>46003</v>
      </c>
      <c r="C2245" s="4366" t="s">
        <v>3935</v>
      </c>
      <c r="D2245" s="4361"/>
      <c r="E2245" s="4450" t="s">
        <v>79</v>
      </c>
      <c r="F2245" s="4450" t="s">
        <v>389</v>
      </c>
      <c r="I2245" s="4347">
        <v>707</v>
      </c>
      <c r="J2245" s="4347" t="s">
        <v>4014</v>
      </c>
      <c r="K2245" s="4347"/>
      <c r="L2245" s="4347" t="s">
        <v>37</v>
      </c>
      <c r="M2245" s="4347"/>
      <c r="N2245" s="4347"/>
      <c r="O2245" s="4347"/>
      <c r="S2245" s="4347"/>
      <c r="T2245" s="4347"/>
      <c r="U2245" s="4444"/>
      <c r="V2245" s="4444"/>
      <c r="W2245" s="4375"/>
    </row>
    <row r="2246" spans="1:23" ht="114" hidden="1">
      <c r="A2246" s="4347" t="s">
        <v>132</v>
      </c>
      <c r="B2246" s="4355">
        <v>46003</v>
      </c>
      <c r="C2246" s="4366" t="s">
        <v>3935</v>
      </c>
      <c r="D2246" s="4361"/>
      <c r="E2246" s="4351" t="s">
        <v>3971</v>
      </c>
      <c r="F2246" s="4351" t="s">
        <v>1065</v>
      </c>
      <c r="I2246" s="4347">
        <v>707</v>
      </c>
      <c r="J2246" s="4347" t="s">
        <v>2682</v>
      </c>
      <c r="K2246" s="4347"/>
      <c r="L2246" s="4756" t="s">
        <v>37</v>
      </c>
      <c r="M2246" s="4347"/>
      <c r="N2246" s="4347"/>
      <c r="O2246" s="4347"/>
      <c r="P2246" s="360" t="s">
        <v>71</v>
      </c>
      <c r="Q2246" s="360" t="s">
        <v>371</v>
      </c>
      <c r="R2246" s="360" t="s">
        <v>38</v>
      </c>
      <c r="S2246" s="4347"/>
      <c r="T2246" s="4347"/>
      <c r="U2246" s="4347"/>
      <c r="V2246" s="4347"/>
      <c r="W2246" s="4376" t="s">
        <v>4015</v>
      </c>
    </row>
    <row r="2247" spans="1:23" ht="31.5" hidden="1">
      <c r="A2247" s="4347" t="s">
        <v>25</v>
      </c>
      <c r="B2247" s="4348">
        <v>46006</v>
      </c>
      <c r="C2247" s="3165" t="s">
        <v>4016</v>
      </c>
      <c r="D2247" s="4349"/>
      <c r="E2247" s="4350" t="s">
        <v>97</v>
      </c>
      <c r="F2247" s="4350" t="s">
        <v>659</v>
      </c>
      <c r="I2247" s="4347">
        <v>712</v>
      </c>
      <c r="J2247" s="3160" t="s">
        <v>356</v>
      </c>
      <c r="L2247" s="3160" t="s">
        <v>30</v>
      </c>
    </row>
    <row r="2248" spans="1:23" ht="31.5" hidden="1">
      <c r="A2248" s="4347" t="s">
        <v>25</v>
      </c>
      <c r="B2248" s="4348">
        <v>46006</v>
      </c>
      <c r="C2248" s="3165" t="s">
        <v>4016</v>
      </c>
      <c r="D2248" s="4349"/>
      <c r="E2248" s="4973" t="s">
        <v>1464</v>
      </c>
      <c r="F2248" s="4973" t="s">
        <v>3838</v>
      </c>
      <c r="I2248" s="4347">
        <v>701</v>
      </c>
      <c r="J2248" s="3160" t="s">
        <v>4017</v>
      </c>
      <c r="L2248" s="3160" t="s">
        <v>30</v>
      </c>
    </row>
    <row r="2249" spans="1:23" ht="31.5" hidden="1">
      <c r="A2249" s="4347" t="s">
        <v>25</v>
      </c>
      <c r="B2249" s="4348">
        <v>46006</v>
      </c>
      <c r="C2249" s="3165" t="s">
        <v>4016</v>
      </c>
      <c r="D2249" s="4445"/>
      <c r="E2249" s="4967" t="s">
        <v>1554</v>
      </c>
      <c r="F2249" s="4967" t="s">
        <v>497</v>
      </c>
      <c r="I2249" s="4347">
        <v>707</v>
      </c>
      <c r="J2249" s="3160" t="s">
        <v>4018</v>
      </c>
      <c r="K2249" s="4371" t="s">
        <v>84</v>
      </c>
      <c r="M2249" s="3160" t="s">
        <v>30</v>
      </c>
    </row>
    <row r="2250" spans="1:23" ht="31.5" hidden="1">
      <c r="A2250" s="4347" t="s">
        <v>25</v>
      </c>
      <c r="B2250" s="4348">
        <v>46006</v>
      </c>
      <c r="C2250" s="3165" t="s">
        <v>4016</v>
      </c>
      <c r="D2250" s="4349"/>
      <c r="E2250" s="4351" t="s">
        <v>4019</v>
      </c>
      <c r="F2250" s="4351" t="s">
        <v>544</v>
      </c>
      <c r="I2250" s="4347">
        <v>707</v>
      </c>
      <c r="J2250" s="3160" t="s">
        <v>2682</v>
      </c>
      <c r="L2250" s="3160" t="s">
        <v>30</v>
      </c>
    </row>
    <row r="2251" spans="1:23" ht="31.5" hidden="1">
      <c r="A2251" s="4347" t="s">
        <v>25</v>
      </c>
      <c r="B2251" s="4348">
        <v>46006</v>
      </c>
      <c r="C2251" s="3165" t="s">
        <v>4016</v>
      </c>
      <c r="D2251" s="4349"/>
      <c r="E2251" s="4969" t="s">
        <v>3597</v>
      </c>
      <c r="F2251" s="4969" t="s">
        <v>4020</v>
      </c>
      <c r="I2251" s="4347">
        <v>705</v>
      </c>
      <c r="J2251" s="3160" t="s">
        <v>4021</v>
      </c>
      <c r="L2251" s="3160" t="s">
        <v>30</v>
      </c>
    </row>
    <row r="2252" spans="1:23" ht="31.5" hidden="1">
      <c r="A2252" s="4347" t="s">
        <v>25</v>
      </c>
      <c r="B2252" s="4348">
        <v>46006</v>
      </c>
      <c r="C2252" s="3165" t="s">
        <v>4016</v>
      </c>
      <c r="D2252" s="4349"/>
      <c r="E2252" s="4969" t="s">
        <v>1091</v>
      </c>
      <c r="F2252" s="4969" t="s">
        <v>273</v>
      </c>
      <c r="I2252" s="4347">
        <v>705</v>
      </c>
      <c r="J2252" s="3160" t="s">
        <v>4022</v>
      </c>
      <c r="L2252" s="3160" t="s">
        <v>30</v>
      </c>
    </row>
    <row r="2253" spans="1:23" ht="31.5" hidden="1">
      <c r="A2253" s="4347" t="s">
        <v>25</v>
      </c>
      <c r="B2253" s="4348">
        <v>46006</v>
      </c>
      <c r="C2253" s="3165" t="s">
        <v>4016</v>
      </c>
      <c r="D2253" s="4349"/>
      <c r="E2253" s="4358" t="s">
        <v>273</v>
      </c>
      <c r="F2253" s="4358" t="s">
        <v>44</v>
      </c>
      <c r="I2253" s="4347">
        <v>705</v>
      </c>
      <c r="J2253" s="3160" t="s">
        <v>4023</v>
      </c>
      <c r="L2253" s="3160" t="s">
        <v>30</v>
      </c>
    </row>
    <row r="2254" spans="1:23" ht="31.5" hidden="1">
      <c r="A2254" s="4347" t="s">
        <v>25</v>
      </c>
      <c r="B2254" s="4348">
        <v>46006</v>
      </c>
      <c r="C2254" s="3165" t="s">
        <v>4016</v>
      </c>
      <c r="D2254" s="4349"/>
      <c r="E2254" s="4358" t="s">
        <v>48</v>
      </c>
      <c r="F2254" s="4358" t="s">
        <v>116</v>
      </c>
      <c r="I2254" s="4347">
        <v>705</v>
      </c>
      <c r="J2254" s="3160" t="s">
        <v>4024</v>
      </c>
      <c r="L2254" s="3160" t="s">
        <v>30</v>
      </c>
    </row>
    <row r="2255" spans="1:23" ht="31.5" hidden="1">
      <c r="A2255" s="4347" t="s">
        <v>25</v>
      </c>
      <c r="B2255" s="4348">
        <v>46006</v>
      </c>
      <c r="C2255" s="3165" t="s">
        <v>4016</v>
      </c>
      <c r="D2255" s="4360"/>
      <c r="E2255" s="4351" t="s">
        <v>450</v>
      </c>
      <c r="F2255" s="4351" t="s">
        <v>63</v>
      </c>
      <c r="I2255" s="4347">
        <v>712</v>
      </c>
      <c r="J2255" s="3160" t="s">
        <v>4012</v>
      </c>
      <c r="M2255" s="3160" t="s">
        <v>30</v>
      </c>
      <c r="P2255" s="360" t="s">
        <v>0</v>
      </c>
      <c r="Q2255" s="360" t="s">
        <v>31</v>
      </c>
      <c r="R2255" s="360" t="s">
        <v>32</v>
      </c>
      <c r="W2255" s="3160" t="s">
        <v>4025</v>
      </c>
    </row>
    <row r="2256" spans="1:23" ht="31.5" hidden="1">
      <c r="A2256" s="4347" t="s">
        <v>25</v>
      </c>
      <c r="B2256" s="4348">
        <v>46006</v>
      </c>
      <c r="C2256" s="3165" t="s">
        <v>4016</v>
      </c>
      <c r="D2256" s="4349"/>
      <c r="E2256" s="4968" t="s">
        <v>3597</v>
      </c>
      <c r="F2256" s="4968" t="s">
        <v>44</v>
      </c>
      <c r="I2256" s="4347">
        <v>705</v>
      </c>
      <c r="J2256" s="3160" t="s">
        <v>4026</v>
      </c>
      <c r="L2256" s="3160" t="s">
        <v>30</v>
      </c>
    </row>
    <row r="2257" spans="1:23" ht="31.5" hidden="1">
      <c r="A2257" s="4347" t="s">
        <v>25</v>
      </c>
      <c r="B2257" s="4348">
        <v>46006</v>
      </c>
      <c r="C2257" s="3165" t="s">
        <v>4016</v>
      </c>
      <c r="D2257" s="4349"/>
      <c r="E2257" s="4968" t="s">
        <v>48</v>
      </c>
      <c r="F2257" s="4968" t="s">
        <v>373</v>
      </c>
      <c r="I2257" s="4347">
        <v>705</v>
      </c>
      <c r="J2257" s="3160" t="s">
        <v>4026</v>
      </c>
      <c r="L2257" s="3160" t="s">
        <v>30</v>
      </c>
    </row>
    <row r="2258" spans="1:23" ht="31.5" hidden="1">
      <c r="A2258" s="4347" t="s">
        <v>25</v>
      </c>
      <c r="B2258" s="4348">
        <v>46006</v>
      </c>
      <c r="C2258" s="3165" t="s">
        <v>4016</v>
      </c>
      <c r="D2258" s="4445"/>
      <c r="E2258" s="4351" t="s">
        <v>4027</v>
      </c>
      <c r="F2258" s="4351" t="s">
        <v>4028</v>
      </c>
      <c r="I2258" s="4347">
        <v>712</v>
      </c>
      <c r="J2258" s="3160" t="s">
        <v>4029</v>
      </c>
      <c r="K2258" s="4371" t="s">
        <v>84</v>
      </c>
      <c r="L2258" s="3160" t="s">
        <v>30</v>
      </c>
    </row>
    <row r="2259" spans="1:23" ht="31.5" hidden="1">
      <c r="A2259" s="4347" t="s">
        <v>67</v>
      </c>
      <c r="B2259" s="4348">
        <v>46007</v>
      </c>
      <c r="C2259" s="3165" t="s">
        <v>4016</v>
      </c>
      <c r="D2259" s="4445"/>
      <c r="E2259" s="4350" t="s">
        <v>450</v>
      </c>
      <c r="F2259" s="4350" t="s">
        <v>3548</v>
      </c>
      <c r="I2259" s="4347">
        <v>712</v>
      </c>
      <c r="J2259" s="3160" t="s">
        <v>356</v>
      </c>
      <c r="K2259" s="4371" t="s">
        <v>10</v>
      </c>
      <c r="L2259" s="3160" t="s">
        <v>30</v>
      </c>
    </row>
    <row r="2260" spans="1:23" ht="31.5" hidden="1">
      <c r="A2260" s="4347" t="s">
        <v>67</v>
      </c>
      <c r="B2260" s="4348">
        <v>46007</v>
      </c>
      <c r="C2260" s="3165" t="s">
        <v>4016</v>
      </c>
      <c r="D2260" s="4349"/>
      <c r="E2260" s="4973" t="s">
        <v>148</v>
      </c>
      <c r="F2260" s="4973" t="s">
        <v>3911</v>
      </c>
      <c r="I2260" s="4347">
        <v>701</v>
      </c>
      <c r="J2260" s="3160" t="s">
        <v>4017</v>
      </c>
      <c r="L2260" s="3160" t="s">
        <v>30</v>
      </c>
    </row>
    <row r="2261" spans="1:23" ht="31.5" hidden="1">
      <c r="A2261" s="4347" t="s">
        <v>67</v>
      </c>
      <c r="B2261" s="4348">
        <v>46007</v>
      </c>
      <c r="C2261" s="3165" t="s">
        <v>4016</v>
      </c>
      <c r="D2261" s="4349"/>
      <c r="E2261" s="4967" t="s">
        <v>491</v>
      </c>
      <c r="F2261" s="4967" t="s">
        <v>4030</v>
      </c>
      <c r="I2261" s="4347">
        <v>707</v>
      </c>
      <c r="J2261" s="3160" t="s">
        <v>88</v>
      </c>
      <c r="L2261" s="3160" t="s">
        <v>30</v>
      </c>
    </row>
    <row r="2262" spans="1:23" ht="31.5" hidden="1">
      <c r="A2262" s="4347" t="s">
        <v>67</v>
      </c>
      <c r="B2262" s="4348">
        <v>46007</v>
      </c>
      <c r="C2262" s="3165" t="s">
        <v>4016</v>
      </c>
      <c r="D2262" s="4445"/>
      <c r="E2262" s="4351" t="s">
        <v>615</v>
      </c>
      <c r="F2262" s="4351" t="s">
        <v>2739</v>
      </c>
      <c r="I2262" s="4347">
        <v>712</v>
      </c>
      <c r="J2262" s="3160" t="s">
        <v>4031</v>
      </c>
      <c r="K2262" s="3511" t="s">
        <v>2146</v>
      </c>
      <c r="L2262" s="3160" t="s">
        <v>30</v>
      </c>
    </row>
    <row r="2263" spans="1:23" ht="31.5" hidden="1">
      <c r="A2263" s="4759" t="s">
        <v>67</v>
      </c>
      <c r="B2263" s="4964">
        <v>46007</v>
      </c>
      <c r="C2263" s="3165" t="s">
        <v>4016</v>
      </c>
      <c r="D2263" s="4445"/>
      <c r="E2263" s="4351" t="s">
        <v>89</v>
      </c>
      <c r="F2263" s="4351" t="s">
        <v>106</v>
      </c>
      <c r="I2263" s="4347">
        <v>712</v>
      </c>
      <c r="J2263" s="3160" t="s">
        <v>121</v>
      </c>
      <c r="K2263" s="4371" t="s">
        <v>84</v>
      </c>
      <c r="L2263" s="3160" t="s">
        <v>30</v>
      </c>
    </row>
    <row r="2264" spans="1:23" ht="52.5" hidden="1">
      <c r="A2264" s="4347" t="s">
        <v>67</v>
      </c>
      <c r="B2264" s="4348">
        <v>46007</v>
      </c>
      <c r="C2264" s="3165" t="s">
        <v>4016</v>
      </c>
      <c r="D2264" s="4966"/>
      <c r="E2264" s="4351" t="s">
        <v>79</v>
      </c>
      <c r="F2264" s="4351" t="s">
        <v>169</v>
      </c>
      <c r="I2264" s="4347">
        <v>707</v>
      </c>
      <c r="J2264" s="3160">
        <v>60072</v>
      </c>
      <c r="M2264" s="3160" t="s">
        <v>30</v>
      </c>
      <c r="P2264" s="360" t="s">
        <v>0</v>
      </c>
      <c r="Q2264" s="360" t="s">
        <v>31</v>
      </c>
      <c r="R2264" s="360" t="s">
        <v>38</v>
      </c>
      <c r="W2264" s="3160" t="s">
        <v>4032</v>
      </c>
    </row>
    <row r="2265" spans="1:23" ht="31.5" hidden="1">
      <c r="A2265" s="4347" t="s">
        <v>67</v>
      </c>
      <c r="B2265" s="4348">
        <v>46007</v>
      </c>
      <c r="C2265" s="3165" t="s">
        <v>4016</v>
      </c>
      <c r="D2265" s="4965"/>
      <c r="E2265" s="4970" t="s">
        <v>258</v>
      </c>
      <c r="F2265" s="4970" t="s">
        <v>684</v>
      </c>
      <c r="I2265" s="4347">
        <v>705</v>
      </c>
      <c r="J2265" s="3160" t="s">
        <v>4033</v>
      </c>
      <c r="L2265" s="3160" t="s">
        <v>30</v>
      </c>
    </row>
    <row r="2266" spans="1:23" ht="31.5" hidden="1">
      <c r="A2266" s="4347" t="s">
        <v>67</v>
      </c>
      <c r="B2266" s="4348">
        <v>46007</v>
      </c>
      <c r="C2266" s="3165" t="s">
        <v>4016</v>
      </c>
      <c r="D2266" s="4349"/>
      <c r="E2266" s="4970" t="s">
        <v>392</v>
      </c>
      <c r="F2266" s="4970" t="s">
        <v>142</v>
      </c>
      <c r="I2266" s="4347">
        <v>705</v>
      </c>
      <c r="J2266" s="3160" t="s">
        <v>3219</v>
      </c>
      <c r="L2266" s="3160" t="s">
        <v>30</v>
      </c>
    </row>
    <row r="2267" spans="1:23" ht="31.5" hidden="1">
      <c r="A2267" s="4347" t="s">
        <v>67</v>
      </c>
      <c r="B2267" s="4348">
        <v>46007</v>
      </c>
      <c r="C2267" s="3165" t="s">
        <v>4016</v>
      </c>
      <c r="D2267" s="4349"/>
      <c r="E2267" s="4365" t="s">
        <v>63</v>
      </c>
      <c r="F2267" s="4365" t="s">
        <v>2769</v>
      </c>
      <c r="I2267" s="4347">
        <v>712</v>
      </c>
      <c r="J2267" s="3160" t="s">
        <v>4034</v>
      </c>
      <c r="L2267" s="3160" t="s">
        <v>30</v>
      </c>
    </row>
    <row r="2268" spans="1:23" ht="31.5" hidden="1">
      <c r="A2268" s="4347" t="s">
        <v>67</v>
      </c>
      <c r="B2268" s="4348">
        <v>46007</v>
      </c>
      <c r="C2268" s="3165" t="s">
        <v>4016</v>
      </c>
      <c r="D2268" s="4349"/>
      <c r="E2268" s="4365" t="s">
        <v>68</v>
      </c>
      <c r="F2268" s="4365" t="s">
        <v>3911</v>
      </c>
      <c r="I2268" s="4347">
        <v>712</v>
      </c>
      <c r="J2268" s="3160" t="s">
        <v>4034</v>
      </c>
      <c r="L2268" s="3160" t="s">
        <v>30</v>
      </c>
    </row>
    <row r="2269" spans="1:23" ht="31.5" hidden="1">
      <c r="A2269" s="4347" t="s">
        <v>85</v>
      </c>
      <c r="B2269" s="4348">
        <v>46008</v>
      </c>
      <c r="C2269" s="3165" t="s">
        <v>4016</v>
      </c>
      <c r="D2269" s="4349"/>
      <c r="E2269" s="4973" t="s">
        <v>450</v>
      </c>
      <c r="F2269" s="4973" t="s">
        <v>106</v>
      </c>
      <c r="I2269" s="4347">
        <v>701</v>
      </c>
      <c r="J2269" s="3160" t="s">
        <v>4017</v>
      </c>
      <c r="L2269" s="3160" t="s">
        <v>30</v>
      </c>
    </row>
    <row r="2270" spans="1:23" ht="31.5" hidden="1">
      <c r="A2270" s="4347" t="s">
        <v>85</v>
      </c>
      <c r="B2270" s="4348">
        <v>46008</v>
      </c>
      <c r="C2270" s="3165" t="s">
        <v>4016</v>
      </c>
      <c r="D2270" s="4349"/>
      <c r="E2270" s="4365" t="s">
        <v>450</v>
      </c>
      <c r="F2270" s="4365" t="s">
        <v>590</v>
      </c>
      <c r="I2270" s="4347">
        <v>712</v>
      </c>
      <c r="J2270" s="3160" t="s">
        <v>4034</v>
      </c>
      <c r="L2270" s="3160" t="s">
        <v>30</v>
      </c>
    </row>
    <row r="2271" spans="1:23" ht="31.5" hidden="1">
      <c r="A2271" s="4347" t="s">
        <v>85</v>
      </c>
      <c r="B2271" s="4348">
        <v>46008</v>
      </c>
      <c r="C2271" s="3165" t="s">
        <v>4016</v>
      </c>
      <c r="D2271" s="4349"/>
      <c r="E2271" s="4351" t="s">
        <v>1014</v>
      </c>
      <c r="F2271" s="4351" t="s">
        <v>2267</v>
      </c>
      <c r="I2271" s="4347">
        <v>712</v>
      </c>
      <c r="J2271" s="3160" t="s">
        <v>4035</v>
      </c>
      <c r="L2271" s="3160" t="s">
        <v>30</v>
      </c>
    </row>
    <row r="2272" spans="1:23" ht="31.5" hidden="1">
      <c r="A2272" s="4347" t="s">
        <v>85</v>
      </c>
      <c r="B2272" s="4348">
        <v>46008</v>
      </c>
      <c r="C2272" s="3165" t="s">
        <v>4016</v>
      </c>
      <c r="D2272" s="4349"/>
      <c r="E2272" s="4446" t="s">
        <v>273</v>
      </c>
      <c r="F2272" s="4446" t="s">
        <v>4036</v>
      </c>
      <c r="I2272" s="4347">
        <v>705</v>
      </c>
      <c r="J2272" s="3160" t="s">
        <v>4037</v>
      </c>
      <c r="M2272" s="3160" t="s">
        <v>30</v>
      </c>
      <c r="P2272" s="360" t="s">
        <v>122</v>
      </c>
      <c r="Q2272" s="360" t="s">
        <v>4038</v>
      </c>
      <c r="R2272" s="360" t="s">
        <v>160</v>
      </c>
      <c r="W2272" s="3160" t="s">
        <v>4039</v>
      </c>
    </row>
    <row r="2273" spans="1:23" ht="31.5" hidden="1">
      <c r="A2273" s="4347" t="s">
        <v>85</v>
      </c>
      <c r="B2273" s="4348">
        <v>46008</v>
      </c>
      <c r="C2273" s="3165" t="s">
        <v>4016</v>
      </c>
      <c r="D2273" s="4349"/>
      <c r="E2273" s="4446" t="s">
        <v>48</v>
      </c>
      <c r="F2273" s="4446" t="s">
        <v>3200</v>
      </c>
      <c r="I2273" s="4347">
        <v>705</v>
      </c>
      <c r="J2273" s="3160" t="s">
        <v>4037</v>
      </c>
      <c r="N2273" s="3160" t="s">
        <v>30</v>
      </c>
    </row>
    <row r="2274" spans="1:23" ht="31.5" hidden="1">
      <c r="A2274" s="4347" t="s">
        <v>85</v>
      </c>
      <c r="B2274" s="4348">
        <v>46008</v>
      </c>
      <c r="C2274" s="3165" t="s">
        <v>4016</v>
      </c>
      <c r="D2274" s="4349"/>
      <c r="E2274" s="4974" t="s">
        <v>169</v>
      </c>
      <c r="F2274" s="4974" t="s">
        <v>56</v>
      </c>
      <c r="I2274" s="4347">
        <v>707</v>
      </c>
      <c r="J2274" s="3160" t="s">
        <v>2866</v>
      </c>
      <c r="L2274" s="3160" t="s">
        <v>30</v>
      </c>
    </row>
    <row r="2275" spans="1:23" ht="31.5" hidden="1">
      <c r="A2275" s="4347" t="s">
        <v>85</v>
      </c>
      <c r="B2275" s="4348">
        <v>46008</v>
      </c>
      <c r="C2275" s="3165" t="s">
        <v>4016</v>
      </c>
      <c r="D2275" s="4349"/>
      <c r="E2275" s="4974" t="s">
        <v>79</v>
      </c>
      <c r="F2275" s="4974" t="s">
        <v>488</v>
      </c>
      <c r="I2275" s="4347">
        <v>707</v>
      </c>
      <c r="J2275" s="3160" t="s">
        <v>4040</v>
      </c>
      <c r="L2275" s="3160" t="s">
        <v>30</v>
      </c>
    </row>
    <row r="2276" spans="1:23" ht="31.5" hidden="1">
      <c r="A2276" s="4347" t="s">
        <v>85</v>
      </c>
      <c r="B2276" s="4348">
        <v>46008</v>
      </c>
      <c r="C2276" s="3165" t="s">
        <v>4016</v>
      </c>
      <c r="D2276" s="4360"/>
      <c r="E2276" s="4971" t="s">
        <v>1091</v>
      </c>
      <c r="F2276" s="4971" t="s">
        <v>2276</v>
      </c>
      <c r="I2276" s="4347">
        <v>705</v>
      </c>
      <c r="J2276" s="3160" t="s">
        <v>4041</v>
      </c>
      <c r="M2276" s="3160" t="s">
        <v>30</v>
      </c>
      <c r="P2276" s="360" t="s">
        <v>122</v>
      </c>
      <c r="Q2276" s="360" t="s">
        <v>110</v>
      </c>
      <c r="R2276" s="360" t="s">
        <v>160</v>
      </c>
      <c r="W2276" s="3160" t="s">
        <v>4042</v>
      </c>
    </row>
    <row r="2277" spans="1:23" ht="31.5" hidden="1">
      <c r="A2277" s="4347" t="s">
        <v>85</v>
      </c>
      <c r="B2277" s="4348">
        <v>46008</v>
      </c>
      <c r="C2277" s="3165" t="s">
        <v>4016</v>
      </c>
      <c r="D2277" s="4349"/>
      <c r="E2277" s="4971" t="s">
        <v>339</v>
      </c>
      <c r="F2277" s="4971" t="s">
        <v>142</v>
      </c>
      <c r="I2277" s="4347">
        <v>705</v>
      </c>
      <c r="J2277" s="3160" t="s">
        <v>4041</v>
      </c>
      <c r="L2277" s="3160" t="s">
        <v>30</v>
      </c>
    </row>
    <row r="2278" spans="1:23" ht="31.5" hidden="1">
      <c r="A2278" s="4347" t="s">
        <v>85</v>
      </c>
      <c r="B2278" s="4348">
        <v>46008</v>
      </c>
      <c r="C2278" s="3165" t="s">
        <v>4016</v>
      </c>
      <c r="D2278" s="4349"/>
      <c r="E2278" s="4972" t="s">
        <v>273</v>
      </c>
      <c r="F2278" s="4972" t="s">
        <v>584</v>
      </c>
      <c r="I2278" s="4347">
        <v>703</v>
      </c>
      <c r="J2278" s="3160" t="s">
        <v>4043</v>
      </c>
      <c r="L2278" s="3160" t="s">
        <v>30</v>
      </c>
    </row>
    <row r="2279" spans="1:23" ht="31.5" hidden="1">
      <c r="A2279" s="4347" t="s">
        <v>85</v>
      </c>
      <c r="B2279" s="4348">
        <v>46008</v>
      </c>
      <c r="C2279" s="3165" t="s">
        <v>4016</v>
      </c>
      <c r="D2279" s="4349"/>
      <c r="E2279" s="4972" t="s">
        <v>586</v>
      </c>
      <c r="F2279" s="4972" t="s">
        <v>389</v>
      </c>
      <c r="I2279" s="4347">
        <v>703</v>
      </c>
      <c r="J2279" s="3160" t="s">
        <v>4043</v>
      </c>
      <c r="L2279" s="3160" t="s">
        <v>30</v>
      </c>
    </row>
    <row r="2280" spans="1:23" ht="31.5" hidden="1">
      <c r="A2280" s="4347" t="s">
        <v>105</v>
      </c>
      <c r="B2280" s="4348">
        <v>46009</v>
      </c>
      <c r="C2280" s="3165" t="s">
        <v>4016</v>
      </c>
      <c r="D2280" s="4349"/>
      <c r="E2280" s="4351" t="s">
        <v>1091</v>
      </c>
      <c r="F2280" s="4351" t="s">
        <v>48</v>
      </c>
      <c r="I2280" s="4347">
        <v>705</v>
      </c>
      <c r="J2280" s="3160" t="s">
        <v>3219</v>
      </c>
      <c r="L2280" s="3160" t="s">
        <v>30</v>
      </c>
    </row>
    <row r="2281" spans="1:23" ht="31.5" hidden="1">
      <c r="A2281" s="4347" t="s">
        <v>105</v>
      </c>
      <c r="B2281" s="4348">
        <v>46009</v>
      </c>
      <c r="C2281" s="3165" t="s">
        <v>4016</v>
      </c>
      <c r="D2281" s="4349"/>
      <c r="E2281" s="4351" t="s">
        <v>1071</v>
      </c>
      <c r="F2281" s="4351" t="s">
        <v>491</v>
      </c>
      <c r="I2281" s="4347">
        <v>705</v>
      </c>
      <c r="J2281" s="3160" t="s">
        <v>4044</v>
      </c>
      <c r="L2281" s="3160" t="s">
        <v>30</v>
      </c>
    </row>
    <row r="2282" spans="1:23" ht="31.5" hidden="1">
      <c r="A2282" s="4347" t="s">
        <v>105</v>
      </c>
      <c r="B2282" s="4348">
        <v>46009</v>
      </c>
      <c r="C2282" s="3165" t="s">
        <v>4016</v>
      </c>
      <c r="D2282" s="4360"/>
      <c r="E2282" s="4359" t="s">
        <v>3465</v>
      </c>
      <c r="F2282" s="4359" t="s">
        <v>659</v>
      </c>
      <c r="I2282" s="4347">
        <v>712</v>
      </c>
      <c r="J2282" s="3160" t="s">
        <v>451</v>
      </c>
    </row>
    <row r="2283" spans="1:23" ht="31.5" hidden="1">
      <c r="A2283" s="4347" t="s">
        <v>132</v>
      </c>
      <c r="B2283" s="4348">
        <v>46010</v>
      </c>
      <c r="C2283" s="3165" t="s">
        <v>4016</v>
      </c>
      <c r="D2283" s="4966"/>
      <c r="E2283" s="4359" t="s">
        <v>1153</v>
      </c>
      <c r="F2283" s="4359" t="s">
        <v>4045</v>
      </c>
      <c r="I2283" s="4347">
        <v>712</v>
      </c>
      <c r="J2283" s="3160" t="s">
        <v>451</v>
      </c>
    </row>
    <row r="2284" spans="1:23" ht="31.5" hidden="1">
      <c r="A2284" s="4347" t="s">
        <v>132</v>
      </c>
      <c r="B2284" s="4348">
        <v>46010</v>
      </c>
      <c r="C2284" s="3165" t="s">
        <v>4016</v>
      </c>
      <c r="D2284" s="4965"/>
      <c r="E2284" s="4448" t="s">
        <v>304</v>
      </c>
      <c r="F2284" s="4448" t="s">
        <v>2569</v>
      </c>
      <c r="I2284" s="4347">
        <v>705</v>
      </c>
      <c r="J2284" s="3160" t="s">
        <v>4046</v>
      </c>
    </row>
    <row r="2285" spans="1:23" ht="31.5" hidden="1">
      <c r="A2285" s="4347" t="s">
        <v>132</v>
      </c>
      <c r="B2285" s="4348">
        <v>46010</v>
      </c>
      <c r="C2285" s="3165" t="s">
        <v>4016</v>
      </c>
      <c r="D2285" s="4965"/>
      <c r="E2285" s="4448" t="s">
        <v>669</v>
      </c>
      <c r="F2285" s="4448" t="s">
        <v>130</v>
      </c>
      <c r="I2285" s="4347">
        <v>705</v>
      </c>
      <c r="J2285" s="3160" t="s">
        <v>4046</v>
      </c>
    </row>
    <row r="2286" spans="1:23" ht="31.5" hidden="1">
      <c r="A2286" s="4347" t="s">
        <v>132</v>
      </c>
      <c r="B2286" s="4348">
        <v>46010</v>
      </c>
      <c r="C2286" s="3165" t="s">
        <v>4016</v>
      </c>
      <c r="D2286" s="5084"/>
      <c r="E2286" s="4359" t="s">
        <v>4047</v>
      </c>
      <c r="F2286" s="4359" t="s">
        <v>650</v>
      </c>
      <c r="I2286" s="4347">
        <v>712</v>
      </c>
      <c r="J2286" s="3160" t="s">
        <v>495</v>
      </c>
      <c r="K2286" s="4371" t="s">
        <v>84</v>
      </c>
    </row>
    <row r="2287" spans="1:23" ht="31.5" hidden="1">
      <c r="A2287" s="4347" t="s">
        <v>132</v>
      </c>
      <c r="B2287" s="4348">
        <v>46010</v>
      </c>
      <c r="C2287" s="3165" t="s">
        <v>4016</v>
      </c>
      <c r="D2287" s="5084"/>
      <c r="E2287" s="4359" t="s">
        <v>4048</v>
      </c>
      <c r="F2287" s="4359" t="s">
        <v>1187</v>
      </c>
      <c r="I2287" s="4347">
        <v>712</v>
      </c>
      <c r="J2287" s="3160" t="s">
        <v>451</v>
      </c>
      <c r="K2287" s="4371" t="s">
        <v>29</v>
      </c>
    </row>
    <row r="2288" spans="1:23" ht="31.5" hidden="1">
      <c r="A2288" s="4347" t="s">
        <v>132</v>
      </c>
      <c r="B2288" s="4348">
        <v>46010</v>
      </c>
      <c r="C2288" s="3165" t="s">
        <v>4016</v>
      </c>
      <c r="D2288" s="4349"/>
      <c r="E2288" s="4351" t="s">
        <v>596</v>
      </c>
      <c r="F2288" s="4351" t="s">
        <v>392</v>
      </c>
      <c r="I2288" s="4347">
        <v>705</v>
      </c>
      <c r="J2288" s="3160" t="s">
        <v>4049</v>
      </c>
      <c r="L2288" s="3160" t="s">
        <v>30</v>
      </c>
    </row>
    <row r="2289" spans="1:12" ht="31.5" hidden="1">
      <c r="A2289" s="4347" t="s">
        <v>132</v>
      </c>
      <c r="B2289" s="4348">
        <v>46010</v>
      </c>
      <c r="C2289" s="3165" t="s">
        <v>4016</v>
      </c>
      <c r="D2289" s="4349"/>
      <c r="E2289" s="4446" t="s">
        <v>596</v>
      </c>
      <c r="F2289" s="4446" t="s">
        <v>273</v>
      </c>
      <c r="I2289" s="4347">
        <v>705</v>
      </c>
      <c r="J2289" s="3160" t="s">
        <v>4050</v>
      </c>
      <c r="L2289" s="3160" t="s">
        <v>30</v>
      </c>
    </row>
    <row r="2290" spans="1:12" ht="31.5" hidden="1">
      <c r="A2290" s="4347" t="s">
        <v>132</v>
      </c>
      <c r="B2290" s="4348">
        <v>46010</v>
      </c>
      <c r="C2290" s="3165" t="s">
        <v>4016</v>
      </c>
      <c r="D2290" s="4349"/>
      <c r="E2290" s="4446" t="s">
        <v>273</v>
      </c>
      <c r="F2290" s="4446" t="s">
        <v>130</v>
      </c>
      <c r="I2290" s="4347">
        <v>705</v>
      </c>
      <c r="J2290" s="3160" t="s">
        <v>3365</v>
      </c>
      <c r="L2290" s="3160" t="s">
        <v>30</v>
      </c>
    </row>
    <row r="2291" spans="1:12" ht="31.5" hidden="1">
      <c r="A2291" s="4347" t="s">
        <v>132</v>
      </c>
      <c r="B2291" s="4348">
        <v>46010</v>
      </c>
      <c r="C2291" s="3165" t="s">
        <v>4016</v>
      </c>
      <c r="D2291" s="4349"/>
      <c r="E2291" s="4351" t="s">
        <v>491</v>
      </c>
      <c r="F2291" s="4351" t="s">
        <v>273</v>
      </c>
      <c r="I2291" s="4347">
        <v>705</v>
      </c>
      <c r="J2291" s="3160" t="s">
        <v>4051</v>
      </c>
      <c r="L2291" s="3160" t="s">
        <v>30</v>
      </c>
    </row>
    <row r="2292" spans="1:12" ht="31.5" hidden="1">
      <c r="A2292" s="4347" t="s">
        <v>1519</v>
      </c>
      <c r="B2292" s="4348">
        <v>46011</v>
      </c>
      <c r="C2292" s="3165" t="s">
        <v>4016</v>
      </c>
      <c r="D2292" s="5084"/>
      <c r="E2292" s="4359" t="s">
        <v>405</v>
      </c>
      <c r="F2292" s="4359" t="s">
        <v>389</v>
      </c>
      <c r="I2292" s="4347">
        <v>712</v>
      </c>
      <c r="J2292" s="3160" t="s">
        <v>495</v>
      </c>
      <c r="K2292" s="4371" t="s">
        <v>84</v>
      </c>
    </row>
  </sheetData>
  <autoFilter ref="A3:KF2292" xr:uid="{ABA7CA2D-828C-47C4-8706-915A4836375B}">
    <filterColumn colId="8">
      <filters>
        <filter val="Transmettre a djeridi Ahmed STP"/>
      </filters>
    </filterColumn>
  </autoFilter>
  <phoneticPr fontId="174" type="noConversion"/>
  <conditionalFormatting sqref="N1626 O1735 P2143:R2154 P2156:R2168 P2170:R2179 P2228:R2244 P2247:R2254 P2256:R2263 P2265:R2271 P2273:R2275 P2277:R1048576 P1318:R1429">
    <cfRule type="expression" dxfId="148" priority="156">
      <formula>$M1318&lt;&gt;""</formula>
    </cfRule>
  </conditionalFormatting>
  <conditionalFormatting sqref="N1645 N1732 N1739:N1740 O1760:Q1760 P1767:R1817 Q1834:R1834 P1835:R1837 P1839:R1843 P1845:R1845 P1847:R1864 P1867:R1874 P1876:R1894 P1897:R1908 P1910:R1912 P1939:R1941 P1943:R1944 P1946:R1963 P1965:R1967 P1969:R1973 P1975:R1977 P1979:R1981 P1985:R1985 P1987:R1996 P1998:R2024 P2026:R2040 P2043:R2051 P2053:R2078 P2080:R2082 P2084:R2098 P2100:R2102 P2104:R2111 P2116:R2120 P2122:R2125 P2127:R2132 P2134:R2134 P2137:R2141 P2208:R2208 P2210:R2226">
    <cfRule type="expression" dxfId="147" priority="157">
      <formula>$M1645&lt;&gt;""</formula>
    </cfRule>
  </conditionalFormatting>
  <conditionalFormatting sqref="N1672">
    <cfRule type="expression" dxfId="146" priority="155">
      <formula>$M1672&lt;&gt;""</formula>
    </cfRule>
  </conditionalFormatting>
  <conditionalFormatting sqref="O306">
    <cfRule type="expression" dxfId="145" priority="249">
      <formula>$M306&lt;&gt;""</formula>
    </cfRule>
  </conditionalFormatting>
  <conditionalFormatting sqref="O311:O312 P1317 R1317 P1430 R1430">
    <cfRule type="expression" dxfId="144" priority="247">
      <formula>$M311&lt;&gt;""</formula>
    </cfRule>
  </conditionalFormatting>
  <conditionalFormatting sqref="O1664">
    <cfRule type="expression" dxfId="143" priority="154">
      <formula>$M1664&lt;&gt;""</formula>
    </cfRule>
  </conditionalFormatting>
  <conditionalFormatting sqref="O1766:R1766">
    <cfRule type="expression" dxfId="142" priority="117">
      <formula>$M1766&lt;&gt;""</formula>
    </cfRule>
  </conditionalFormatting>
  <conditionalFormatting sqref="P1:R1">
    <cfRule type="expression" dxfId="141" priority="254">
      <formula>$M1&lt;&gt;""</formula>
    </cfRule>
  </conditionalFormatting>
  <conditionalFormatting sqref="P3:R147">
    <cfRule type="expression" dxfId="140" priority="1">
      <formula>$M3&lt;&gt;""</formula>
    </cfRule>
  </conditionalFormatting>
  <conditionalFormatting sqref="P149:R850">
    <cfRule type="expression" dxfId="139" priority="174">
      <formula>$M149&lt;&gt;""</formula>
    </cfRule>
  </conditionalFormatting>
  <conditionalFormatting sqref="P851:R853 P855:R862 P864:R866 P888:R895 P899:R899">
    <cfRule type="expression" dxfId="138" priority="525">
      <formula>$L851&lt;&gt;""</formula>
    </cfRule>
  </conditionalFormatting>
  <conditionalFormatting sqref="P854:R854">
    <cfRule type="expression" dxfId="137" priority="188">
      <formula>$M854&lt;&gt;""</formula>
    </cfRule>
  </conditionalFormatting>
  <conditionalFormatting sqref="P863:R863">
    <cfRule type="expression" dxfId="136" priority="195">
      <formula>$M863&lt;&gt;""</formula>
    </cfRule>
  </conditionalFormatting>
  <conditionalFormatting sqref="P867:R867">
    <cfRule type="expression" dxfId="135" priority="194">
      <formula>$M867&lt;&gt;""</formula>
    </cfRule>
  </conditionalFormatting>
  <conditionalFormatting sqref="P868:R873">
    <cfRule type="expression" dxfId="134" priority="183">
      <formula>$L868&lt;&gt;""</formula>
    </cfRule>
  </conditionalFormatting>
  <conditionalFormatting sqref="P874:R875">
    <cfRule type="expression" dxfId="133" priority="173">
      <formula>$M874&lt;&gt;""</formula>
    </cfRule>
  </conditionalFormatting>
  <conditionalFormatting sqref="P876:R885">
    <cfRule type="expression" dxfId="132" priority="186">
      <formula>$L876&lt;&gt;""</formula>
    </cfRule>
  </conditionalFormatting>
  <conditionalFormatting sqref="P886:R887">
    <cfRule type="expression" dxfId="131" priority="192">
      <formula>$M886&lt;&gt;""</formula>
    </cfRule>
  </conditionalFormatting>
  <conditionalFormatting sqref="P896:R898">
    <cfRule type="expression" dxfId="130" priority="189">
      <formula>$M896&lt;&gt;""</formula>
    </cfRule>
  </conditionalFormatting>
  <conditionalFormatting sqref="P900:R1316">
    <cfRule type="expression" dxfId="129" priority="169">
      <formula>$M900&lt;&gt;""</formula>
    </cfRule>
  </conditionalFormatting>
  <conditionalFormatting sqref="P1431:R1734">
    <cfRule type="expression" dxfId="128" priority="126">
      <formula>$M1431&lt;&gt;""</formula>
    </cfRule>
  </conditionalFormatting>
  <conditionalFormatting sqref="P1734:R1734">
    <cfRule type="expression" dxfId="127" priority="528">
      <formula>$M1735&lt;&gt;""</formula>
    </cfRule>
  </conditionalFormatting>
  <conditionalFormatting sqref="P1736:R1759">
    <cfRule type="expression" dxfId="126" priority="46">
      <formula>$M1736&lt;&gt;""</formula>
    </cfRule>
  </conditionalFormatting>
  <conditionalFormatting sqref="P1761:R1765">
    <cfRule type="expression" dxfId="125" priority="124">
      <formula>$M1761&lt;&gt;""</formula>
    </cfRule>
  </conditionalFormatting>
  <conditionalFormatting sqref="P1819:R1833">
    <cfRule type="expression" dxfId="124" priority="104">
      <formula>$M1819&lt;&gt;""</formula>
    </cfRule>
  </conditionalFormatting>
  <conditionalFormatting sqref="P1838:R1838">
    <cfRule type="expression" dxfId="123" priority="108">
      <formula>$M1823&lt;&gt;""</formula>
    </cfRule>
  </conditionalFormatting>
  <conditionalFormatting sqref="P1844:R1844">
    <cfRule type="expression" dxfId="122" priority="107">
      <formula>$M1829&lt;&gt;""</formula>
    </cfRule>
  </conditionalFormatting>
  <conditionalFormatting sqref="P1846:R1846">
    <cfRule type="expression" dxfId="121" priority="52">
      <formula>$M1831&lt;&gt;""</formula>
    </cfRule>
  </conditionalFormatting>
  <conditionalFormatting sqref="P1865:R1866">
    <cfRule type="expression" dxfId="120" priority="53">
      <formula>$M1850&lt;&gt;""</formula>
    </cfRule>
  </conditionalFormatting>
  <conditionalFormatting sqref="P1875:R1875">
    <cfRule type="expression" dxfId="119" priority="105">
      <formula>$M1860&lt;&gt;""</formula>
    </cfRule>
  </conditionalFormatting>
  <conditionalFormatting sqref="P1895:R1896">
    <cfRule type="expression" dxfId="118" priority="102">
      <formula>$M1880&lt;&gt;""</formula>
    </cfRule>
  </conditionalFormatting>
  <conditionalFormatting sqref="P1909:R1909">
    <cfRule type="expression" dxfId="117" priority="101">
      <formula>$M1895&lt;&gt;""</formula>
    </cfRule>
  </conditionalFormatting>
  <conditionalFormatting sqref="P1913:R1916">
    <cfRule type="expression" dxfId="116" priority="54">
      <formula>$M1900&lt;&gt;""</formula>
    </cfRule>
  </conditionalFormatting>
  <conditionalFormatting sqref="P1917:R1918">
    <cfRule type="expression" dxfId="115" priority="57">
      <formula>$M1903&lt;&gt;""</formula>
    </cfRule>
  </conditionalFormatting>
  <conditionalFormatting sqref="P1920:R1925">
    <cfRule type="expression" dxfId="114" priority="58">
      <formula>$M1906&lt;&gt;""</formula>
    </cfRule>
  </conditionalFormatting>
  <conditionalFormatting sqref="P1926:R1937">
    <cfRule type="expression" dxfId="113" priority="62">
      <formula>$M1926&lt;&gt;""</formula>
    </cfRule>
  </conditionalFormatting>
  <conditionalFormatting sqref="P1927:R1928">
    <cfRule type="expression" dxfId="112" priority="63">
      <formula>$M1914&lt;&gt;""</formula>
    </cfRule>
  </conditionalFormatting>
  <conditionalFormatting sqref="P1936:R1936">
    <cfRule type="expression" dxfId="111" priority="61">
      <formula>$M1923&lt;&gt;""</formula>
    </cfRule>
  </conditionalFormatting>
  <conditionalFormatting sqref="P1938:R1938">
    <cfRule type="expression" dxfId="110" priority="96">
      <formula>$M1924&lt;&gt;""</formula>
    </cfRule>
  </conditionalFormatting>
  <conditionalFormatting sqref="P1942:R1942">
    <cfRule type="expression" dxfId="109" priority="95">
      <formula>$M1928&lt;&gt;""</formula>
    </cfRule>
  </conditionalFormatting>
  <conditionalFormatting sqref="P1945:R1945">
    <cfRule type="expression" dxfId="108" priority="94">
      <formula>$M1931&lt;&gt;""</formula>
    </cfRule>
  </conditionalFormatting>
  <conditionalFormatting sqref="P1964:R1964">
    <cfRule type="expression" dxfId="107" priority="92">
      <formula>$M1952&lt;&gt;""</formula>
    </cfRule>
  </conditionalFormatting>
  <conditionalFormatting sqref="P1968:R1968">
    <cfRule type="expression" dxfId="106" priority="91">
      <formula>$M1955&lt;&gt;""</formula>
    </cfRule>
  </conditionalFormatting>
  <conditionalFormatting sqref="P1974:R1974">
    <cfRule type="expression" dxfId="105" priority="89">
      <formula>$M1960&lt;&gt;""</formula>
    </cfRule>
  </conditionalFormatting>
  <conditionalFormatting sqref="P1978:R1978">
    <cfRule type="expression" dxfId="104" priority="88">
      <formula>$M1964&lt;&gt;""</formula>
    </cfRule>
  </conditionalFormatting>
  <conditionalFormatting sqref="P1982:R1984">
    <cfRule type="expression" dxfId="103" priority="85">
      <formula>$M1968&lt;&gt;""</formula>
    </cfRule>
  </conditionalFormatting>
  <conditionalFormatting sqref="P1997:R1997">
    <cfRule type="expression" dxfId="102" priority="83">
      <formula>$M1983&lt;&gt;""</formula>
    </cfRule>
  </conditionalFormatting>
  <conditionalFormatting sqref="P2025:R2025">
    <cfRule type="expression" dxfId="101" priority="81">
      <formula>$M2011&lt;&gt;""</formula>
    </cfRule>
  </conditionalFormatting>
  <conditionalFormatting sqref="P2041:R2042">
    <cfRule type="expression" dxfId="100" priority="67">
      <formula>$M2027&lt;&gt;""</formula>
    </cfRule>
  </conditionalFormatting>
  <conditionalFormatting sqref="P2052:R2052">
    <cfRule type="expression" dxfId="99" priority="79">
      <formula>$M2038&lt;&gt;""</formula>
    </cfRule>
  </conditionalFormatting>
  <conditionalFormatting sqref="P2079:R2079">
    <cfRule type="expression" dxfId="98" priority="76">
      <formula>$M2065&lt;&gt;""</formula>
    </cfRule>
  </conditionalFormatting>
  <conditionalFormatting sqref="P2083:R2083">
    <cfRule type="expression" dxfId="97" priority="78">
      <formula>$M2069&lt;&gt;""</formula>
    </cfRule>
  </conditionalFormatting>
  <conditionalFormatting sqref="P2099:R2099">
    <cfRule type="expression" dxfId="96" priority="77">
      <formula>$M2085&lt;&gt;""</formula>
    </cfRule>
  </conditionalFormatting>
  <conditionalFormatting sqref="P2103:R2103">
    <cfRule type="expression" dxfId="95" priority="75">
      <formula>$M2089&lt;&gt;""</formula>
    </cfRule>
  </conditionalFormatting>
  <conditionalFormatting sqref="P2112:R2115">
    <cfRule type="expression" dxfId="94" priority="65">
      <formula>$M2098&lt;&gt;""</formula>
    </cfRule>
  </conditionalFormatting>
  <conditionalFormatting sqref="P2121:R2121">
    <cfRule type="expression" dxfId="93" priority="72">
      <formula>$M2107&lt;&gt;""</formula>
    </cfRule>
  </conditionalFormatting>
  <conditionalFormatting sqref="P2126:R2126">
    <cfRule type="expression" dxfId="92" priority="71">
      <formula>$M2112&lt;&gt;""</formula>
    </cfRule>
  </conditionalFormatting>
  <conditionalFormatting sqref="P2133:R2133">
    <cfRule type="expression" dxfId="91" priority="70">
      <formula>$M2119&lt;&gt;""</formula>
    </cfRule>
  </conditionalFormatting>
  <conditionalFormatting sqref="P2135:R2136">
    <cfRule type="expression" dxfId="90" priority="68">
      <formula>$M2121&lt;&gt;""</formula>
    </cfRule>
  </conditionalFormatting>
  <conditionalFormatting sqref="P2142:R2142">
    <cfRule type="expression" dxfId="89" priority="43">
      <formula>$M2128&lt;&gt;""</formula>
    </cfRule>
  </conditionalFormatting>
  <conditionalFormatting sqref="P2155:R2155">
    <cfRule type="expression" dxfId="88" priority="42">
      <formula>$M2142&lt;&gt;""</formula>
    </cfRule>
  </conditionalFormatting>
  <conditionalFormatting sqref="P2169:R2169">
    <cfRule type="expression" dxfId="87" priority="41">
      <formula>$M2156&lt;&gt;""</formula>
    </cfRule>
  </conditionalFormatting>
  <conditionalFormatting sqref="P2180:R2181">
    <cfRule type="expression" dxfId="86" priority="40">
      <formula>$M2168&lt;&gt;""</formula>
    </cfRule>
  </conditionalFormatting>
  <conditionalFormatting sqref="P2182:R2206">
    <cfRule type="expression" dxfId="85" priority="35">
      <formula>$M2182&lt;&gt;""</formula>
    </cfRule>
  </conditionalFormatting>
  <conditionalFormatting sqref="P2207:R2207">
    <cfRule type="expression" dxfId="84" priority="39">
      <formula>$M2193&lt;&gt;""</formula>
    </cfRule>
  </conditionalFormatting>
  <conditionalFormatting sqref="P2209:R2209">
    <cfRule type="expression" dxfId="83" priority="38">
      <formula>$M2196&lt;&gt;""</formula>
    </cfRule>
  </conditionalFormatting>
  <conditionalFormatting sqref="P2227:R2227">
    <cfRule type="expression" dxfId="82" priority="37">
      <formula>$M2214&lt;&gt;""</formula>
    </cfRule>
  </conditionalFormatting>
  <conditionalFormatting sqref="P2245:R2246">
    <cfRule type="expression" dxfId="81" priority="34">
      <formula>$M2232&lt;&gt;""</formula>
    </cfRule>
  </conditionalFormatting>
  <conditionalFormatting sqref="P2255:R2255">
    <cfRule type="expression" dxfId="80" priority="6">
      <formula>$M2242&lt;&gt;""</formula>
    </cfRule>
  </conditionalFormatting>
  <conditionalFormatting sqref="P2264:R2264">
    <cfRule type="expression" dxfId="79" priority="5">
      <formula>$M2251&lt;&gt;""</formula>
    </cfRule>
  </conditionalFormatting>
  <conditionalFormatting sqref="P2272:R2272">
    <cfRule type="expression" dxfId="78" priority="2">
      <formula>$M2259&lt;&gt;""</formula>
    </cfRule>
  </conditionalFormatting>
  <conditionalFormatting sqref="P2276:R2276">
    <cfRule type="expression" dxfId="77" priority="3">
      <formula>$M2263&lt;&gt;""</formula>
    </cfRule>
  </conditionalFormatting>
  <dataValidations count="7">
    <dataValidation type="list" allowBlank="1" showInputMessage="1" showErrorMessage="1" sqref="R6 R8 R1 R16 R11:R12 R19 R30:R31 R490 R42:R43 R40 R52 R58 R60 R62 R64 R67:R69 R33:R38 R77 R83:R84 R98:R99 R107 R110 R104 R86 R89 R72 R222 R1204 R227 R244 R236 R231:R232 R242 R247 R257:R258 R285 R270:R271 R273 R262 R264 R293 R304 R315 R302 R324 R330 R334 R337 R348 R355 R377 R381 R387 R392 R395 R401 R412 R438 R440 R454:R455 R474 R467 R458 R482 R498:R500 R505:R507 R511 R513:R515 R517 R522:R523 R528 R531:R533 R554 R563:R565 R535:R536 R612 R572:R573 R576:R577 R585:R586 R589:R593 R597 R601 R604 R608 R623 R632 R634 R648 R650:R651 R654 R659:R660 R668:R670 R672 R1090:R1091 R679 R684 R698 R696 R723 R702 R709 R732 R743 R745:R746 R750:R751 R757 R726 R797 R791 R775 R780:R781 R786 R816 R820 R824 R833:R834 R843 R841 R863 R867 R886:R887 R896:R898 R854 R874:R875 R965 R957 R968 R981 R991 R994:R995 R1001 R1015 R1020 R1023 R1042 R1062 R1064:R1065 R1069:R1070 R1080 R1108 R1113:R1114 R1126 R1132 R1135:R1138 R1144:R1145 R1147 R1149:R1150 R1157 R1173 R1175 R1178 R1181 R1183 R149:R205 R1224:R1226 R1492 R1240 R1262 R1266:R1267 R1269:R1270 R1273 R1275 R1277 R1296 R1311 R1313 R1316 R1318 R1373:R1374 R1383 R1388:R1389 R1404 R1426:R1427 R1429 R1431 R1440 R1462 R1465 R1476 R1479 R1481 R1486:R1487 R1502:R1503 R1508:R1509 R1520 R1525 R1531:R1533 R1542 R1587 R1592:R1596 R1601:R1602 R1613 R1625:R1626 R1631 R1641 R1628 R1649 R1653 R1657 R1670:R1672 R1678 R1692:R1695 R1702:R1703 R1726 R1731:R1732 R1754 R1762 R1766 R1734 R1789 R1786 R1809:R1811 R1875 R1799 R1838 R1844 R1865:R1866 R1833 R1895:R1896 R1909 R1945 R1927:R1928 R1938 R1942 R1913:R1918 R1920:R1925 R1964 R1968 R1997 R1978 R1982:R1984 R1974 R2025 R2041:R2042 R2052 R2083 R2099 R2079 R2103 R2121 R2126 R2133 R2135:R2136 R2112:R2115 R1936 R1846 R1806:R1807 R1739:R1740 R1685 R1644:R1645 R1636 R1217:R1219 R1155 R675 R625:R627 R610 R557:R558 R560 R546:R548 R113:R147 R2142 R2155 R2169 R2180:R2181 R2206:R2207 R2209 R2227 R2245:R2246 R2255 R2264 R2272 R2276" xr:uid="{C997B4C7-E621-4F87-9E8F-68612DAB11EB}">
      <formula1>agences</formula1>
    </dataValidation>
    <dataValidation type="list" allowBlank="1" showInputMessage="1" showErrorMessage="1" sqref="Q6 Q8 Q11" xr:uid="{1063D1D2-974B-4343-96DE-3539F08C90EA}">
      <formula1>INDIRECT($N6)</formula1>
    </dataValidation>
    <dataValidation type="list" allowBlank="1" showInputMessage="1" showErrorMessage="1" sqref="P6 P8 P1 P42:P43 P11:P12 P19 P30:P31 P490 P16 P40 P52 P58 P60 P62 P64 P67:P69 P33:P38 P77 P83:P84 P98:P99 P107 P110 P104 P86 P89 P72 P1204 P183 P168:P173 P185 P222 P205 P227 P244 P236 P231:P232 P242 P247 P257:P258 P285 P270:P271 P273 P262 P264 P293 P304 P315 P302 P324 P330 P334 P337 P348 P355 P377 P381 P387 P392 P395 P401 P412 P438 P440 P454:P455 P474 P467 P458 P482 P498:P500 P505:P507 P511 P513:P515 P517 P522:P523 P528 P531:P533 P554 P563:P565 P535:P536 P612 P572:P573 P576:P577 P585:P586 P589:P593 P597 P601 P604 P608 P623 P632 P634 P648 P650:P651 P654 P659:P660 P668:P670 P672 P1090:P1091 P679 P684 P698 P696 P723 P702 P709 P732 P743 P745:P746 P750:P751 P757 P726 P797 P791 P775 P780:P781 P786 P816 P820 P824 P833:P834 P843 P841 P863 P867 P886:P887 P896:P898 P854 P874:P875 P965 P957 P968 P981 P991 P994:P995 P1001 P1015 P1020 P1023 P1042 P1062 P1064:P1065 P1069:P1070 P1080 P1108 P1113:P1114 P1126 P1132 P1135:P1138 P1144:P1145 P1147 P1149:P1150 P1157 P1173 P1175 P1178 P1181 P1183 P149:P163 P1492 P1224:P1225 P1240 P1262 P1266:P1267 P1269:P1270 P1273 P1275 P1277 P1296 P1311 P1316 P1318 P1429 P1431 P1440 P1462 P1465 P1476 P1479 P1481 P1486:P1487 P1502:P1503 P1508:P1509 P1520 P1525 P1531:P1533 P1542 P1587 P1592:P1596 P1601:P1602 P1613 P1625:P1626 P1631 P1641 P1628 P1649 P1653 P1657 P1670:P1672 P1678 P1692:P1695 P1702:P1703 P1726 P1731:P1732 P1754 P1762 P1766 P1734 P1789 P1786 P1809:P1811 P1799 P1838 P1844 P1865:P1866 P1875 P1833 P1895:P1896 P1909 P1945 P1927:P1928 P1938 P1942 P1913:P1918 P1920:P1925 P1964 P1968 P1997 P1978 P1982:P1984 P1974 P2025 P2041:P2042 P2052 P2083 P2099 P2079 P2103 P2121 P2126 P2133 P2135:P2136 P2112:P2115 P1936 P1846 P1806:P1807 P1739:P1740 P1685 P1644:P1645 P1636 P1217:P1219 P1155 P675 P625:P627 P610 P557:P558 P560 P546:P548 P113:P147 P2142 P2155 P2169 P2180:P2181 P2206:P2207 P2209 P2227 P2245:P2246 P2255 P2264 P2276 P2272" xr:uid="{CB8FACB3-0481-4E8E-8217-16FEBBC116CD}">
      <formula1>cause</formula1>
    </dataValidation>
    <dataValidation type="list" allowBlank="1" showInputMessage="1" showErrorMessage="1" sqref="Q1 Q12 Q19 Q30:Q31 Q490 Q42:Q43 Q16 Q40 Q52 Q58 Q60 Q62 Q64 Q67:Q69 Q33:Q38 Q77 Q83:Q84 Q98:Q99 Q107 Q110 Q113:Q115 Q86 Q89 Q104 Q121:Q122 Q124:Q125 Q128 Q133:Q137 Q140:Q141 Q149:Q151 Q158 Q146 Q169 Q171 Q173 Q183 Q185 Q222 Q205 Q227 Q244 Q236 Q231:Q232 Q242 Q247 Q285 Q257:Q258 Q270:Q271 Q273 Q262 Q264 Q293 Q304 Q315 Q302 Q324 Q330 Q334 Q337 Q348 Q355 Q377 Q381 Q387 Q392 Q395 Q401 Q412 Q438 Q440 Q454:Q455 Q474 Q467 Q458 Q482 Q498:Q500 Q505:Q507 Q511 Q513:Q515 Q517 Q522:Q523 Q528 Q531:Q533 Q554 Q563:Q565 Q535:Q536 Q612 Q572:Q573 Q576:Q577 Q585:Q586 Q589:Q593 Q597 Q601 Q604 Q608 Q623 Q632 Q634 Q648 Q650:Q651 Q654 Q659:Q660 Q668:Q670 Q672 Q1090:Q1091 Q679 Q684 Q698 Q696 Q723 Q702 Q709 Q732 Q743 Q745:Q746 Q750:Q751 Q757 Q726 Q797 Q791 Q775 Q780:Q781 Q786 Q816 Q820 Q824 Q833:Q834 Q843 Q841 Q863 Q867 Q886:Q887 Q896:Q898 Q854 Q874:Q875 Q965 Q957 Q968 Q981 Q991 Q994:Q995 Q1001 Q1015 Q1020 Q1023 Q1042 Q1062 Q1064:Q1065 Q1069:Q1070 Q1080 Q1108 Q1113:Q1114 Q1126 Q1132 Q1135:Q1138 Q1144:Q1145 Q1147 Q1149:Q1150 Q1157 Q1173 Q1175 Q1178 Q1181 Q1183 Q1204 Q160 Q1492 Q1224:Q1225 Q1240 Q1262 Q1266:Q1267 Q1269:Q1270 Q1273 Q1275 Q1277 Q1296 Q1311 Q1313 Q1316 Q1318 Q1373:Q1374 Q1383 Q1388:Q1389 Q1404 Q1426:Q1427 Q1429 Q1431 Q1440 Q1462 Q1465 Q1476 Q1479 Q1481 Q1486:Q1487 Q1502:Q1503 Q1508:Q1509 Q1520 Q1525 Q1531:Q1533 Q1542 Q1587 Q1592:Q1596 Q1601:Q1602 Q1613 Q1625:Q1626 Q1631 Q1641 Q1628 Q1649 Q1653 Q1657 Q1670:Q1672 Q1678 Q1692:Q1695 Q1702:Q1703 Q1726 Q1731:Q1732 Q1754 Q1762 Q1766 Q1734 Q1789 Q1786 Q1809:Q1811 Q1799 Q1838 Q1844 Q1865:Q1866 Q1875 Q1833 Q1895:Q1896 Q1909 Q1945 Q1927:Q1928 Q1938 Q1942 Q1913:Q1918 Q1920:Q1925 Q1964 Q1968 Q1997 Q1978 Q1982:Q1984 Q1974 Q2025 Q2041:Q2042 Q2052 Q2083 Q2099 Q2079 Q2103 Q2121 Q2126 Q2133 Q2135:Q2136 Q2112:Q2115 Q1936 Q1846 Q1806:Q1807 Q1739:Q1740 Q1685 Q1644:Q1645 Q1636 Q1217:Q1219 Q1155 Q675 Q625:Q627 Q610 Q557:Q558 Q560 Q546:Q548 Q72 Q131 Q2142 Q2155 Q2169 Q2180:Q2181 Q2206:Q2207 Q2209 Q2227 Q2245:Q2246 Q2255 Q2264 Q2272 Q2276" xr:uid="{2C3C1E23-8DC9-4ADA-9F76-B904EC482EFD}">
      <formula1>INDIRECT(P1)</formula1>
    </dataValidation>
    <dataValidation type="list" allowBlank="1" showInputMessage="1" showErrorMessage="1" sqref="Q116:Q117" xr:uid="{6F2FD285-8687-4831-9326-95F1F696D93E}">
      <formula1>INDIRECT(P115)</formula1>
    </dataValidation>
    <dataValidation type="list" allowBlank="1" showInputMessage="1" showErrorMessage="1" sqref="Q118:Q120 Q123 Q126:Q127 Q206 Q138:Q139 Q162 Q142:Q145 Q147 Q201:Q204 Q129:Q130 Q132" xr:uid="{C66CF377-F4EF-4F37-911C-7D6EF59D2905}">
      <formula1>INDIRECT(P116)</formula1>
    </dataValidation>
    <dataValidation type="list" allowBlank="1" showInputMessage="1" showErrorMessage="1" sqref="Q152:Q157 Q186:Q200 Q163:Q168 Q170 Q172 Q174:Q182 Q184 Q159 Q161" xr:uid="{7B95E384-DAAE-412B-924B-09B01B0267D2}">
      <formula1>INDIRECT(P149)</formula1>
    </dataValidation>
  </dataValidations>
  <pageMargins left="0.7" right="0.7" top="0.75" bottom="0.75" header="0.3" footer="0.3"/>
  <pageSetup paperSize="9" orientation="portrait" r:id="rId1"/>
  <customProperties>
    <customPr name="_pios_id" r:id="rId2"/>
  </customPropertie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486A5-1B83-478C-8223-41E5F232F4F5}">
  <sheetPr codeName="Feuil7"/>
  <dimension ref="A3:C11"/>
  <sheetViews>
    <sheetView workbookViewId="0">
      <selection activeCell="G20" sqref="G20"/>
    </sheetView>
  </sheetViews>
  <sheetFormatPr baseColWidth="10" defaultColWidth="11.42578125" defaultRowHeight="15"/>
  <cols>
    <col min="1" max="1" width="22.42578125" bestFit="1" customWidth="1"/>
    <col min="2" max="2" width="13.42578125" bestFit="1" customWidth="1"/>
    <col min="3" max="3" width="15.5703125" bestFit="1" customWidth="1"/>
    <col min="4" max="4" width="13.5703125" bestFit="1" customWidth="1"/>
  </cols>
  <sheetData>
    <row r="3" spans="1:3">
      <c r="A3" s="3908" t="s">
        <v>4052</v>
      </c>
      <c r="B3" s="36" t="s">
        <v>4053</v>
      </c>
      <c r="C3" s="36" t="s">
        <v>4054</v>
      </c>
    </row>
    <row r="4" spans="1:3">
      <c r="A4" s="36" t="s">
        <v>4055</v>
      </c>
      <c r="B4" s="36">
        <v>13</v>
      </c>
      <c r="C4" s="36">
        <v>19</v>
      </c>
    </row>
    <row r="5" spans="1:3">
      <c r="A5" s="36" t="s">
        <v>4056</v>
      </c>
      <c r="B5" s="36">
        <v>3</v>
      </c>
      <c r="C5" s="36">
        <v>17</v>
      </c>
    </row>
    <row r="6" spans="1:3">
      <c r="A6" s="36" t="s">
        <v>4057</v>
      </c>
      <c r="B6" s="36">
        <v>2</v>
      </c>
      <c r="C6" s="36">
        <v>9</v>
      </c>
    </row>
    <row r="7" spans="1:3">
      <c r="A7" s="36" t="s">
        <v>4058</v>
      </c>
      <c r="B7" s="36">
        <v>6</v>
      </c>
      <c r="C7" s="36">
        <v>27</v>
      </c>
    </row>
    <row r="8" spans="1:3">
      <c r="A8" s="36" t="s">
        <v>4059</v>
      </c>
      <c r="B8" s="36">
        <v>5</v>
      </c>
      <c r="C8" s="36">
        <v>26</v>
      </c>
    </row>
    <row r="9" spans="1:3">
      <c r="A9" s="36" t="s">
        <v>4060</v>
      </c>
      <c r="B9" s="36">
        <v>1</v>
      </c>
      <c r="C9" s="36">
        <v>20</v>
      </c>
    </row>
    <row r="10" spans="1:3">
      <c r="A10" s="36" t="s">
        <v>4061</v>
      </c>
      <c r="B10" s="36">
        <v>3</v>
      </c>
      <c r="C10" s="36">
        <v>13</v>
      </c>
    </row>
    <row r="11" spans="1:3">
      <c r="A11" s="36" t="s">
        <v>4062</v>
      </c>
      <c r="B11" s="36">
        <v>33</v>
      </c>
      <c r="C11" s="36">
        <v>131</v>
      </c>
    </row>
  </sheetData>
  <pageMargins left="0.7" right="0.7" top="0.75" bottom="0.75" header="0.3" footer="0.3"/>
  <customProperties>
    <customPr name="_pios_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F2ACE-465B-4CA0-9A86-F5542C2EB17C}">
  <sheetPr codeName="Feuil8"/>
  <dimension ref="A1:W190"/>
  <sheetViews>
    <sheetView topLeftCell="A82" zoomScale="40" zoomScaleNormal="40" workbookViewId="0">
      <selection activeCell="I19" sqref="I19"/>
    </sheetView>
  </sheetViews>
  <sheetFormatPr baseColWidth="10" defaultColWidth="11.42578125" defaultRowHeight="15"/>
  <cols>
    <col min="1" max="1" width="54.5703125" customWidth="1"/>
    <col min="2" max="2" width="44.42578125" customWidth="1"/>
    <col min="3" max="3" width="30.42578125" customWidth="1"/>
    <col min="4" max="4" width="19.5703125" customWidth="1"/>
    <col min="5" max="5" width="62.5703125" customWidth="1"/>
    <col min="6" max="6" width="48.5703125" customWidth="1"/>
    <col min="7" max="7" width="21.5703125" customWidth="1"/>
    <col min="8" max="8" width="128.5703125" customWidth="1"/>
    <col min="9" max="9" width="27" customWidth="1"/>
    <col min="10" max="10" width="20.42578125" customWidth="1"/>
    <col min="11" max="11" width="22" customWidth="1"/>
    <col min="12" max="12" width="20.5703125" customWidth="1"/>
    <col min="13" max="13" width="36.5703125" customWidth="1"/>
    <col min="14" max="14" width="33.5703125" customWidth="1"/>
    <col min="15" max="15" width="40.42578125" customWidth="1"/>
    <col min="16" max="16" width="60.42578125" customWidth="1"/>
    <col min="17" max="18" width="15.42578125" customWidth="1"/>
    <col min="19" max="19" width="40.42578125" customWidth="1"/>
    <col min="20" max="20" width="44.42578125" customWidth="1"/>
    <col min="21" max="21" width="130.42578125" customWidth="1"/>
    <col min="22" max="22" width="90.42578125" customWidth="1"/>
    <col min="23" max="23" width="117" customWidth="1"/>
  </cols>
  <sheetData>
    <row r="1" spans="1:23" ht="63">
      <c r="A1" s="1045" t="s">
        <v>2</v>
      </c>
      <c r="B1" s="1045" t="s">
        <v>3</v>
      </c>
      <c r="C1" s="3904" t="s">
        <v>4</v>
      </c>
      <c r="D1" s="3904" t="s">
        <v>4063</v>
      </c>
      <c r="E1" s="3905" t="s">
        <v>6</v>
      </c>
      <c r="F1" s="3905" t="s">
        <v>7</v>
      </c>
      <c r="G1" s="1045" t="s">
        <v>8</v>
      </c>
      <c r="H1" s="1045" t="s">
        <v>9</v>
      </c>
      <c r="I1" s="1045" t="s">
        <v>10</v>
      </c>
      <c r="J1" s="1045" t="s">
        <v>11</v>
      </c>
      <c r="K1" s="1045" t="s">
        <v>12</v>
      </c>
      <c r="L1" s="1045" t="s">
        <v>13</v>
      </c>
      <c r="M1" s="1045" t="s">
        <v>14</v>
      </c>
      <c r="N1" s="3906" t="s">
        <v>15</v>
      </c>
      <c r="O1" s="3906" t="s">
        <v>16</v>
      </c>
      <c r="P1" s="3906" t="s">
        <v>17</v>
      </c>
      <c r="Q1" s="1045" t="s">
        <v>18</v>
      </c>
      <c r="R1" s="1045" t="s">
        <v>19</v>
      </c>
      <c r="S1" s="1045" t="s">
        <v>20</v>
      </c>
      <c r="T1" s="3906" t="s">
        <v>1039</v>
      </c>
      <c r="U1" s="3907" t="s">
        <v>21</v>
      </c>
      <c r="V1" s="3907" t="s">
        <v>22</v>
      </c>
      <c r="W1" s="3906" t="s">
        <v>23</v>
      </c>
    </row>
    <row r="2" spans="1:23" ht="28.5">
      <c r="A2" s="76" t="s">
        <v>25</v>
      </c>
      <c r="B2" s="1300">
        <v>45663</v>
      </c>
      <c r="C2" s="3189">
        <f t="shared" ref="C2:C27" si="0">_xlfn.ISOWEEKNUM(B2)</f>
        <v>2</v>
      </c>
      <c r="D2" s="3190"/>
      <c r="E2" s="1524" t="s">
        <v>258</v>
      </c>
      <c r="F2" s="1524" t="s">
        <v>1064</v>
      </c>
      <c r="G2" s="3443">
        <v>712</v>
      </c>
      <c r="H2" s="1001" t="s">
        <v>121</v>
      </c>
      <c r="I2" s="1001"/>
      <c r="J2" s="1001" t="s">
        <v>37</v>
      </c>
      <c r="K2" s="33"/>
      <c r="L2" s="33"/>
      <c r="M2" s="33"/>
      <c r="N2" s="33"/>
      <c r="O2" s="33"/>
      <c r="P2" s="33"/>
      <c r="Q2" s="33"/>
      <c r="R2" s="33"/>
      <c r="S2" s="33"/>
      <c r="T2" s="71"/>
      <c r="U2" s="593"/>
      <c r="V2" s="49"/>
      <c r="W2" s="48"/>
    </row>
    <row r="3" spans="1:23" ht="78.75">
      <c r="A3" s="1941" t="s">
        <v>105</v>
      </c>
      <c r="B3" s="1300">
        <v>45666</v>
      </c>
      <c r="C3" s="3189">
        <f t="shared" si="0"/>
        <v>2</v>
      </c>
      <c r="D3" s="3189"/>
      <c r="E3" s="1650" t="s">
        <v>89</v>
      </c>
      <c r="F3" s="1651" t="s">
        <v>183</v>
      </c>
      <c r="G3" s="3443">
        <v>712</v>
      </c>
      <c r="H3" s="923" t="s">
        <v>1103</v>
      </c>
      <c r="I3" s="923"/>
      <c r="J3" s="923"/>
      <c r="K3" s="71" t="s">
        <v>37</v>
      </c>
      <c r="L3" s="71"/>
      <c r="M3" s="71"/>
      <c r="N3" s="21" t="s">
        <v>0</v>
      </c>
      <c r="O3" s="21" t="s">
        <v>31</v>
      </c>
      <c r="P3" s="21" t="s">
        <v>38</v>
      </c>
      <c r="Q3" s="71"/>
      <c r="R3" s="71"/>
      <c r="S3" s="71"/>
      <c r="T3" s="93"/>
      <c r="U3" s="593" t="s">
        <v>1104</v>
      </c>
      <c r="V3" s="49"/>
      <c r="W3" s="48" t="s">
        <v>1105</v>
      </c>
    </row>
    <row r="4" spans="1:23" ht="79.5" thickBot="1">
      <c r="A4" s="1938" t="s">
        <v>105</v>
      </c>
      <c r="B4" s="1312">
        <v>45666</v>
      </c>
      <c r="C4" s="3197">
        <f t="shared" si="0"/>
        <v>2</v>
      </c>
      <c r="D4" s="3197"/>
      <c r="E4" s="3186" t="s">
        <v>392</v>
      </c>
      <c r="F4" s="3198" t="s">
        <v>263</v>
      </c>
      <c r="G4" s="3443">
        <v>712</v>
      </c>
      <c r="H4" s="957" t="s">
        <v>1113</v>
      </c>
      <c r="I4" s="957"/>
      <c r="J4" s="957"/>
      <c r="K4" s="91" t="s">
        <v>37</v>
      </c>
      <c r="L4" s="91"/>
      <c r="M4" s="91"/>
      <c r="N4" s="35" t="s">
        <v>0</v>
      </c>
      <c r="O4" s="35" t="s">
        <v>31</v>
      </c>
      <c r="P4" s="35" t="s">
        <v>1114</v>
      </c>
      <c r="Q4" s="91"/>
      <c r="R4" s="91"/>
      <c r="S4" s="91"/>
      <c r="T4" s="116"/>
      <c r="U4" s="3202" t="s">
        <v>1115</v>
      </c>
      <c r="V4" s="49"/>
      <c r="W4" s="48"/>
    </row>
    <row r="5" spans="1:23" ht="28.5">
      <c r="A5" s="76" t="s">
        <v>132</v>
      </c>
      <c r="B5" s="1300">
        <v>45667</v>
      </c>
      <c r="C5" s="3189">
        <f t="shared" si="0"/>
        <v>2</v>
      </c>
      <c r="D5" s="3189"/>
      <c r="E5" s="1650" t="s">
        <v>169</v>
      </c>
      <c r="F5" s="1650" t="s">
        <v>1123</v>
      </c>
      <c r="G5" s="3443">
        <v>712</v>
      </c>
      <c r="H5" s="923" t="s">
        <v>1124</v>
      </c>
      <c r="I5" s="923"/>
      <c r="J5" s="923" t="s">
        <v>30</v>
      </c>
      <c r="K5" s="71"/>
      <c r="L5" s="593"/>
      <c r="M5" s="593"/>
      <c r="N5" s="71"/>
      <c r="O5" s="71"/>
      <c r="P5" s="71"/>
      <c r="Q5" s="3154"/>
      <c r="R5" s="71"/>
      <c r="S5" s="71"/>
      <c r="T5" s="71"/>
      <c r="U5" s="593"/>
      <c r="V5" s="49"/>
      <c r="W5" s="3204" t="s">
        <v>1125</v>
      </c>
    </row>
    <row r="6" spans="1:23" ht="53.25" thickBot="1">
      <c r="A6" s="118" t="s">
        <v>132</v>
      </c>
      <c r="B6" s="1390">
        <v>45667</v>
      </c>
      <c r="C6" s="3189">
        <f t="shared" si="0"/>
        <v>2</v>
      </c>
      <c r="D6" s="3190"/>
      <c r="E6" s="3188" t="s">
        <v>148</v>
      </c>
      <c r="F6" s="3188" t="s">
        <v>466</v>
      </c>
      <c r="G6" s="3443">
        <v>712</v>
      </c>
      <c r="H6" s="1001" t="s">
        <v>1113</v>
      </c>
      <c r="I6" s="1001"/>
      <c r="J6" s="1001"/>
      <c r="K6" s="33" t="s">
        <v>30</v>
      </c>
      <c r="L6" s="1040"/>
      <c r="M6" s="1040"/>
      <c r="N6" s="35" t="s">
        <v>0</v>
      </c>
      <c r="O6" s="35" t="s">
        <v>31</v>
      </c>
      <c r="P6" s="35" t="s">
        <v>1114</v>
      </c>
      <c r="Q6" s="3200"/>
      <c r="R6" s="33"/>
      <c r="S6" s="33"/>
      <c r="T6" s="33"/>
      <c r="U6" s="1040" t="s">
        <v>1126</v>
      </c>
      <c r="V6" s="49"/>
      <c r="W6" s="48"/>
    </row>
    <row r="7" spans="1:23" ht="52.5">
      <c r="A7" s="76" t="s">
        <v>132</v>
      </c>
      <c r="B7" s="1300">
        <v>45667</v>
      </c>
      <c r="C7" s="3189">
        <f t="shared" si="0"/>
        <v>2</v>
      </c>
      <c r="D7" s="3189"/>
      <c r="E7" s="1194" t="s">
        <v>89</v>
      </c>
      <c r="F7" s="1194" t="s">
        <v>1127</v>
      </c>
      <c r="G7" s="3443">
        <v>712</v>
      </c>
      <c r="H7" s="923" t="s">
        <v>1128</v>
      </c>
      <c r="I7" s="3183" t="s">
        <v>29</v>
      </c>
      <c r="J7" s="923"/>
      <c r="K7" s="71" t="s">
        <v>30</v>
      </c>
      <c r="L7" s="593"/>
      <c r="M7" s="593"/>
      <c r="N7" s="21" t="s">
        <v>0</v>
      </c>
      <c r="O7" s="21" t="s">
        <v>31</v>
      </c>
      <c r="P7" s="21" t="s">
        <v>1114</v>
      </c>
      <c r="Q7" s="3154"/>
      <c r="R7" s="71"/>
      <c r="S7" s="71"/>
      <c r="T7" s="71"/>
      <c r="U7" s="593" t="s">
        <v>1129</v>
      </c>
      <c r="V7" s="49"/>
      <c r="W7" s="48"/>
    </row>
    <row r="8" spans="1:23" ht="28.5">
      <c r="A8" s="76" t="s">
        <v>132</v>
      </c>
      <c r="B8" s="1300">
        <v>45667</v>
      </c>
      <c r="C8" s="3189">
        <f t="shared" si="0"/>
        <v>2</v>
      </c>
      <c r="D8" s="3189"/>
      <c r="E8" s="1194" t="s">
        <v>1135</v>
      </c>
      <c r="F8" s="1194" t="s">
        <v>1136</v>
      </c>
      <c r="G8" s="3443">
        <v>712</v>
      </c>
      <c r="H8" s="923" t="s">
        <v>377</v>
      </c>
      <c r="I8" s="3183" t="s">
        <v>29</v>
      </c>
      <c r="J8" s="923" t="s">
        <v>37</v>
      </c>
      <c r="K8" s="71"/>
      <c r="L8" s="71"/>
      <c r="M8" s="71"/>
      <c r="N8" s="71"/>
      <c r="O8" s="71"/>
      <c r="P8" s="71"/>
      <c r="Q8" s="71"/>
      <c r="R8" s="71"/>
      <c r="S8" s="71"/>
      <c r="T8" s="71"/>
      <c r="U8" s="593"/>
      <c r="V8" s="49"/>
      <c r="W8" s="48"/>
    </row>
    <row r="9" spans="1:23" ht="28.5">
      <c r="A9" s="162" t="s">
        <v>25</v>
      </c>
      <c r="B9" s="1301">
        <v>45670</v>
      </c>
      <c r="C9" s="3191">
        <f t="shared" si="0"/>
        <v>3</v>
      </c>
      <c r="D9" s="3744"/>
      <c r="E9" s="3232" t="s">
        <v>1140</v>
      </c>
      <c r="F9" s="3232" t="s">
        <v>517</v>
      </c>
      <c r="G9" s="3443">
        <v>712</v>
      </c>
      <c r="H9" s="3233" t="s">
        <v>1141</v>
      </c>
      <c r="I9" s="3176" t="s">
        <v>174</v>
      </c>
      <c r="J9" s="1005" t="s">
        <v>37</v>
      </c>
      <c r="K9" s="1593"/>
      <c r="L9" s="1594"/>
      <c r="M9" s="1594"/>
      <c r="N9" s="1594"/>
      <c r="O9" s="1594"/>
      <c r="P9" s="1594"/>
      <c r="Q9" s="1594"/>
      <c r="R9" s="1594"/>
      <c r="S9" s="1594"/>
      <c r="T9" s="1594"/>
      <c r="U9" s="3201"/>
      <c r="V9" s="3276"/>
      <c r="W9" s="3277"/>
    </row>
    <row r="10" spans="1:23" ht="53.25" thickBot="1">
      <c r="A10" s="710" t="s">
        <v>25</v>
      </c>
      <c r="B10" s="1312">
        <v>45670</v>
      </c>
      <c r="C10" s="3189">
        <f t="shared" si="0"/>
        <v>3</v>
      </c>
      <c r="D10" s="3190"/>
      <c r="E10" s="1514" t="s">
        <v>1153</v>
      </c>
      <c r="F10" s="1514" t="s">
        <v>517</v>
      </c>
      <c r="G10" s="3443">
        <v>712</v>
      </c>
      <c r="H10" s="3252" t="s">
        <v>1154</v>
      </c>
      <c r="I10" s="3236" t="s">
        <v>29</v>
      </c>
      <c r="J10" s="958"/>
      <c r="K10" s="957" t="s">
        <v>37</v>
      </c>
      <c r="L10" s="3202"/>
      <c r="M10" s="3202"/>
      <c r="N10" s="35" t="s">
        <v>0</v>
      </c>
      <c r="O10" s="35" t="s">
        <v>31</v>
      </c>
      <c r="P10" s="35" t="s">
        <v>1155</v>
      </c>
      <c r="Q10" s="3242" t="s">
        <v>37</v>
      </c>
      <c r="R10" s="91"/>
      <c r="S10" s="91"/>
      <c r="T10" s="91"/>
      <c r="U10" s="91" t="s">
        <v>1156</v>
      </c>
      <c r="V10" s="3160"/>
      <c r="W10" s="3156"/>
    </row>
    <row r="11" spans="1:23" ht="28.5">
      <c r="A11" s="2052" t="s">
        <v>67</v>
      </c>
      <c r="B11" s="1940">
        <v>45671</v>
      </c>
      <c r="C11" s="3189">
        <f t="shared" si="0"/>
        <v>3</v>
      </c>
      <c r="D11" s="3743"/>
      <c r="E11" s="3237" t="s">
        <v>1157</v>
      </c>
      <c r="F11" s="3237" t="s">
        <v>1158</v>
      </c>
      <c r="G11" s="3443">
        <v>712</v>
      </c>
      <c r="H11" s="3245" t="s">
        <v>1159</v>
      </c>
      <c r="I11" s="1593"/>
      <c r="J11" s="1593" t="s">
        <v>37</v>
      </c>
      <c r="K11" s="1593"/>
      <c r="L11" s="1594"/>
      <c r="M11" s="1594"/>
      <c r="N11" s="1594"/>
      <c r="O11" s="1594"/>
      <c r="P11" s="1594"/>
      <c r="Q11" s="1594"/>
      <c r="R11" s="1594"/>
      <c r="S11" s="1594"/>
      <c r="T11" s="1594"/>
      <c r="U11" s="1594"/>
      <c r="V11" s="3160"/>
      <c r="W11" s="3156"/>
    </row>
    <row r="12" spans="1:23" ht="131.25">
      <c r="A12" s="76" t="s">
        <v>67</v>
      </c>
      <c r="B12" s="1300">
        <v>45671</v>
      </c>
      <c r="C12" s="3189">
        <f t="shared" si="0"/>
        <v>3</v>
      </c>
      <c r="D12" s="3189"/>
      <c r="E12" s="1194" t="s">
        <v>1160</v>
      </c>
      <c r="F12" s="1194" t="s">
        <v>1161</v>
      </c>
      <c r="G12" s="3443">
        <v>712</v>
      </c>
      <c r="H12" s="3238" t="s">
        <v>1162</v>
      </c>
      <c r="I12" s="923"/>
      <c r="J12" s="923"/>
      <c r="K12" s="923" t="s">
        <v>37</v>
      </c>
      <c r="L12" s="593"/>
      <c r="M12" s="593"/>
      <c r="N12" s="21" t="s">
        <v>109</v>
      </c>
      <c r="O12" s="21" t="s">
        <v>757</v>
      </c>
      <c r="P12" s="21" t="s">
        <v>160</v>
      </c>
      <c r="Q12" s="3154" t="s">
        <v>37</v>
      </c>
      <c r="R12" s="71"/>
      <c r="S12" s="71"/>
      <c r="T12" s="71"/>
      <c r="U12" s="71" t="s">
        <v>1163</v>
      </c>
      <c r="V12" s="3160"/>
      <c r="W12" s="3156"/>
    </row>
    <row r="13" spans="1:23" ht="29.25" thickBot="1">
      <c r="A13" s="76" t="s">
        <v>67</v>
      </c>
      <c r="B13" s="1300">
        <v>45671</v>
      </c>
      <c r="C13" s="3189">
        <f t="shared" si="0"/>
        <v>3</v>
      </c>
      <c r="D13" s="3190"/>
      <c r="E13" s="1514" t="s">
        <v>1153</v>
      </c>
      <c r="F13" s="1514" t="s">
        <v>517</v>
      </c>
      <c r="G13" s="3443">
        <v>712</v>
      </c>
      <c r="H13" s="3304" t="s">
        <v>743</v>
      </c>
      <c r="I13" s="3236" t="s">
        <v>29</v>
      </c>
      <c r="J13" s="958" t="s">
        <v>37</v>
      </c>
      <c r="K13" s="957"/>
      <c r="L13" s="91"/>
      <c r="M13" s="2347"/>
      <c r="N13" s="2347"/>
      <c r="O13" s="2347"/>
      <c r="P13" s="2347"/>
      <c r="Q13" s="91"/>
      <c r="R13" s="91" t="s">
        <v>30</v>
      </c>
      <c r="S13" s="91"/>
      <c r="T13" s="91"/>
      <c r="U13" s="91"/>
      <c r="V13" s="3284"/>
      <c r="W13" s="3295"/>
    </row>
    <row r="14" spans="1:23" ht="52.5">
      <c r="A14" s="76" t="s">
        <v>67</v>
      </c>
      <c r="B14" s="1300">
        <v>45671</v>
      </c>
      <c r="C14" s="3189">
        <f t="shared" si="0"/>
        <v>3</v>
      </c>
      <c r="D14" s="3189"/>
      <c r="E14" s="1194" t="s">
        <v>1165</v>
      </c>
      <c r="F14" s="1194" t="s">
        <v>1166</v>
      </c>
      <c r="G14" s="3443">
        <v>712</v>
      </c>
      <c r="H14" s="3233" t="s">
        <v>157</v>
      </c>
      <c r="I14" s="1009"/>
      <c r="J14" s="1009"/>
      <c r="K14" s="1009"/>
      <c r="L14" s="1041" t="s">
        <v>30</v>
      </c>
      <c r="M14" s="1041"/>
      <c r="N14" s="119" t="s">
        <v>109</v>
      </c>
      <c r="O14" s="119" t="s">
        <v>300</v>
      </c>
      <c r="P14" s="119" t="s">
        <v>1155</v>
      </c>
      <c r="Q14" s="97"/>
      <c r="R14" s="71" t="s">
        <v>37</v>
      </c>
      <c r="S14" s="71"/>
      <c r="T14" s="71"/>
      <c r="U14" s="71" t="s">
        <v>1167</v>
      </c>
      <c r="V14" s="3276"/>
      <c r="W14" s="3277"/>
    </row>
    <row r="15" spans="1:23" ht="28.5">
      <c r="A15" s="2052" t="s">
        <v>85</v>
      </c>
      <c r="B15" s="2970">
        <v>45672</v>
      </c>
      <c r="C15" s="3189">
        <f t="shared" si="0"/>
        <v>3</v>
      </c>
      <c r="D15" s="3190"/>
      <c r="E15" s="3246" t="s">
        <v>669</v>
      </c>
      <c r="F15" s="3246" t="s">
        <v>1179</v>
      </c>
      <c r="G15" s="3443">
        <v>712</v>
      </c>
      <c r="H15" s="3238" t="s">
        <v>1180</v>
      </c>
      <c r="I15" s="3247" t="s">
        <v>84</v>
      </c>
      <c r="J15" s="924" t="s">
        <v>37</v>
      </c>
      <c r="K15" s="923"/>
      <c r="L15" s="71"/>
      <c r="M15" s="71"/>
      <c r="N15" s="71"/>
      <c r="O15" s="71"/>
      <c r="P15" s="71"/>
      <c r="Q15" s="71"/>
      <c r="R15" s="71"/>
      <c r="S15" s="71"/>
      <c r="T15" s="593"/>
      <c r="U15" s="71"/>
      <c r="V15" s="3160"/>
      <c r="W15" s="3156"/>
    </row>
    <row r="16" spans="1:23" ht="28.5">
      <c r="A16" s="76" t="s">
        <v>105</v>
      </c>
      <c r="B16" s="1300">
        <v>45673</v>
      </c>
      <c r="C16" s="3189">
        <f t="shared" si="0"/>
        <v>3</v>
      </c>
      <c r="D16" s="3189"/>
      <c r="E16" s="1194" t="s">
        <v>1160</v>
      </c>
      <c r="F16" s="1194" t="s">
        <v>1161</v>
      </c>
      <c r="G16" s="3443">
        <v>712</v>
      </c>
      <c r="H16" s="3238" t="s">
        <v>1162</v>
      </c>
      <c r="I16" s="3183" t="s">
        <v>84</v>
      </c>
      <c r="J16" s="924" t="s">
        <v>37</v>
      </c>
      <c r="K16" s="923"/>
      <c r="L16" s="71"/>
      <c r="M16" s="71"/>
      <c r="N16" s="71"/>
      <c r="O16" s="71"/>
      <c r="P16" s="71"/>
      <c r="Q16" s="71"/>
      <c r="R16" s="71"/>
      <c r="S16" s="71"/>
      <c r="T16" s="71"/>
      <c r="U16" s="33"/>
      <c r="V16" s="3160"/>
      <c r="W16" s="3156"/>
    </row>
    <row r="17" spans="1:23" ht="29.25" thickBot="1">
      <c r="A17" s="2052" t="s">
        <v>105</v>
      </c>
      <c r="B17" s="1940">
        <v>45673</v>
      </c>
      <c r="C17" s="3190">
        <f t="shared" si="0"/>
        <v>3</v>
      </c>
      <c r="D17" s="3743"/>
      <c r="E17" s="3237" t="s">
        <v>1191</v>
      </c>
      <c r="F17" s="3237" t="s">
        <v>1192</v>
      </c>
      <c r="G17" s="3443">
        <v>712</v>
      </c>
      <c r="H17" s="1593" t="s">
        <v>1159</v>
      </c>
      <c r="I17" s="3255"/>
      <c r="J17" s="924" t="s">
        <v>37</v>
      </c>
      <c r="K17" s="1593"/>
      <c r="L17" s="1594"/>
      <c r="M17" s="1594"/>
      <c r="N17" s="1594"/>
      <c r="O17" s="1594"/>
      <c r="P17" s="1594"/>
      <c r="Q17" s="1594"/>
      <c r="R17" s="1594"/>
      <c r="S17" s="1594"/>
      <c r="T17" s="1594"/>
      <c r="U17" s="1594"/>
      <c r="V17" s="3284"/>
      <c r="W17" s="3295"/>
    </row>
    <row r="18" spans="1:23" ht="28.5">
      <c r="A18" s="1941" t="s">
        <v>1193</v>
      </c>
      <c r="B18" s="1300">
        <v>45674</v>
      </c>
      <c r="C18" s="3189">
        <f t="shared" si="0"/>
        <v>3</v>
      </c>
      <c r="D18" s="3189"/>
      <c r="E18" s="439" t="s">
        <v>1195</v>
      </c>
      <c r="F18" s="3256" t="s">
        <v>1196</v>
      </c>
      <c r="G18" s="3443">
        <v>712</v>
      </c>
      <c r="H18" s="923" t="s">
        <v>1197</v>
      </c>
      <c r="I18" s="3183" t="s">
        <v>84</v>
      </c>
      <c r="J18" s="924" t="s">
        <v>37</v>
      </c>
      <c r="K18" s="923"/>
      <c r="L18" s="71"/>
      <c r="M18" s="71"/>
      <c r="N18" s="71"/>
      <c r="O18" s="71"/>
      <c r="P18" s="71"/>
      <c r="Q18" s="71"/>
      <c r="R18" s="71"/>
      <c r="S18" s="71"/>
      <c r="T18" s="593"/>
      <c r="U18" s="93"/>
      <c r="V18" s="3308"/>
      <c r="W18" s="3156"/>
    </row>
    <row r="19" spans="1:23" ht="28.5">
      <c r="A19" s="1941" t="s">
        <v>1193</v>
      </c>
      <c r="B19" s="1300">
        <v>45674</v>
      </c>
      <c r="C19" s="3189">
        <f t="shared" si="0"/>
        <v>3</v>
      </c>
      <c r="D19" s="3189"/>
      <c r="E19" s="1194" t="s">
        <v>1165</v>
      </c>
      <c r="F19" s="1557" t="s">
        <v>1166</v>
      </c>
      <c r="G19" s="3443">
        <v>712</v>
      </c>
      <c r="H19" s="3234" t="s">
        <v>157</v>
      </c>
      <c r="I19" s="3183" t="s">
        <v>84</v>
      </c>
      <c r="J19" s="924" t="s">
        <v>37</v>
      </c>
      <c r="K19" s="923"/>
      <c r="L19" s="71"/>
      <c r="M19" s="71"/>
      <c r="N19" s="71"/>
      <c r="O19" s="71"/>
      <c r="P19" s="71"/>
      <c r="Q19" s="71"/>
      <c r="R19" s="71"/>
      <c r="S19" s="71"/>
      <c r="T19" s="593"/>
      <c r="U19" s="93"/>
      <c r="V19" s="3308"/>
      <c r="W19" s="3156"/>
    </row>
    <row r="20" spans="1:23" ht="29.25" thickBot="1">
      <c r="A20" s="1938" t="s">
        <v>1193</v>
      </c>
      <c r="B20" s="1312">
        <v>45674</v>
      </c>
      <c r="C20" s="3197">
        <f t="shared" si="0"/>
        <v>3</v>
      </c>
      <c r="D20" s="3197"/>
      <c r="E20" s="1514" t="s">
        <v>669</v>
      </c>
      <c r="F20" s="1552" t="s">
        <v>405</v>
      </c>
      <c r="G20" s="3443">
        <v>712</v>
      </c>
      <c r="H20" s="3252">
        <v>60086</v>
      </c>
      <c r="I20" s="3173" t="s">
        <v>84</v>
      </c>
      <c r="J20" s="958" t="s">
        <v>37</v>
      </c>
      <c r="K20" s="957"/>
      <c r="L20" s="91"/>
      <c r="M20" s="91"/>
      <c r="N20" s="91"/>
      <c r="O20" s="91"/>
      <c r="P20" s="91"/>
      <c r="Q20" s="91"/>
      <c r="R20" s="91"/>
      <c r="S20" s="91"/>
      <c r="T20" s="3202"/>
      <c r="U20" s="116"/>
      <c r="V20" s="3309"/>
      <c r="W20" s="3295"/>
    </row>
    <row r="21" spans="1:23" ht="29.25" thickBot="1">
      <c r="A21" s="76" t="s">
        <v>143</v>
      </c>
      <c r="B21" s="1300">
        <v>45675</v>
      </c>
      <c r="C21" s="3197">
        <f t="shared" si="0"/>
        <v>3</v>
      </c>
      <c r="D21" s="3190"/>
      <c r="E21" s="990" t="s">
        <v>1198</v>
      </c>
      <c r="F21" s="990" t="s">
        <v>263</v>
      </c>
      <c r="G21" s="3443">
        <v>712</v>
      </c>
      <c r="H21" s="3238" t="s">
        <v>1200</v>
      </c>
      <c r="I21" s="3183" t="s">
        <v>84</v>
      </c>
      <c r="J21" s="3250" t="s">
        <v>37</v>
      </c>
      <c r="K21" s="923"/>
      <c r="L21" s="71"/>
      <c r="M21" s="71"/>
      <c r="N21" s="71"/>
      <c r="O21" s="71"/>
      <c r="P21" s="71"/>
      <c r="Q21" s="71"/>
      <c r="R21" s="71"/>
      <c r="S21" s="71"/>
      <c r="T21" s="71"/>
      <c r="U21" s="97"/>
      <c r="V21" s="3160"/>
      <c r="W21" s="3156"/>
    </row>
    <row r="22" spans="1:23" ht="53.25" thickBot="1">
      <c r="A22" s="76" t="s">
        <v>25</v>
      </c>
      <c r="B22" s="1300">
        <v>45677</v>
      </c>
      <c r="C22" s="3197">
        <f t="shared" si="0"/>
        <v>4</v>
      </c>
      <c r="D22" s="3190"/>
      <c r="E22" s="990" t="s">
        <v>148</v>
      </c>
      <c r="F22" s="990" t="s">
        <v>1123</v>
      </c>
      <c r="G22" s="3443">
        <v>712</v>
      </c>
      <c r="H22" s="3238" t="s">
        <v>1200</v>
      </c>
      <c r="I22" s="923"/>
      <c r="J22" s="1520"/>
      <c r="K22" s="71" t="s">
        <v>37</v>
      </c>
      <c r="L22" s="71"/>
      <c r="M22" s="71"/>
      <c r="N22" s="21" t="s">
        <v>0</v>
      </c>
      <c r="O22" s="21" t="s">
        <v>31</v>
      </c>
      <c r="P22" s="21" t="s">
        <v>1155</v>
      </c>
      <c r="Q22" s="71"/>
      <c r="R22" s="71"/>
      <c r="S22" s="71"/>
      <c r="T22" s="71"/>
      <c r="U22" s="97" t="s">
        <v>1208</v>
      </c>
      <c r="V22" s="3160"/>
      <c r="W22" s="3156"/>
    </row>
    <row r="23" spans="1:23" ht="53.25" thickBot="1">
      <c r="A23" s="710" t="s">
        <v>25</v>
      </c>
      <c r="B23" s="1312">
        <v>45677</v>
      </c>
      <c r="C23" s="3197">
        <f t="shared" si="0"/>
        <v>4</v>
      </c>
      <c r="D23" s="3197"/>
      <c r="E23" s="1514" t="s">
        <v>1220</v>
      </c>
      <c r="F23" s="1514" t="s">
        <v>1221</v>
      </c>
      <c r="G23" s="3443">
        <v>712</v>
      </c>
      <c r="H23" s="3252" t="s">
        <v>1222</v>
      </c>
      <c r="I23" s="957"/>
      <c r="J23" s="3173" t="s">
        <v>1119</v>
      </c>
      <c r="K23" s="957"/>
      <c r="L23" s="91"/>
      <c r="M23" s="91"/>
      <c r="N23" s="91"/>
      <c r="O23" s="91"/>
      <c r="P23" s="91"/>
      <c r="Q23" s="91"/>
      <c r="R23" s="91"/>
      <c r="S23" s="91"/>
      <c r="T23" s="91"/>
      <c r="U23" s="91"/>
      <c r="V23" s="3284"/>
      <c r="W23" s="3295"/>
    </row>
    <row r="24" spans="1:23" ht="29.25" thickBot="1">
      <c r="A24" s="162" t="s">
        <v>67</v>
      </c>
      <c r="B24" s="1301">
        <v>45678</v>
      </c>
      <c r="C24" s="3197">
        <f t="shared" si="0"/>
        <v>4</v>
      </c>
      <c r="D24" s="3743"/>
      <c r="E24" s="1185" t="s">
        <v>1223</v>
      </c>
      <c r="F24" s="1185" t="s">
        <v>1224</v>
      </c>
      <c r="G24" s="3443">
        <v>712</v>
      </c>
      <c r="H24" s="3245" t="s">
        <v>1222</v>
      </c>
      <c r="I24" s="1009"/>
      <c r="J24" s="3267" t="s">
        <v>1274</v>
      </c>
      <c r="K24" s="1009"/>
      <c r="L24" s="97"/>
      <c r="M24" s="97"/>
      <c r="N24" s="97"/>
      <c r="O24" s="97"/>
      <c r="P24" s="97"/>
      <c r="Q24" s="97"/>
      <c r="R24" s="97"/>
      <c r="S24" s="97"/>
      <c r="T24" s="97"/>
      <c r="U24" s="97"/>
      <c r="V24" s="3276"/>
      <c r="W24" s="3277"/>
    </row>
    <row r="25" spans="1:23" ht="53.25" thickBot="1">
      <c r="A25" s="710" t="s">
        <v>67</v>
      </c>
      <c r="B25" s="1312">
        <v>45678</v>
      </c>
      <c r="C25" s="3197">
        <f t="shared" si="0"/>
        <v>4</v>
      </c>
      <c r="D25" s="3197"/>
      <c r="E25" s="1514" t="s">
        <v>264</v>
      </c>
      <c r="F25" s="1514" t="s">
        <v>1153</v>
      </c>
      <c r="G25" s="3443">
        <v>712</v>
      </c>
      <c r="H25" s="3252" t="s">
        <v>1231</v>
      </c>
      <c r="I25" s="957"/>
      <c r="J25" s="3251"/>
      <c r="K25" s="957" t="s">
        <v>30</v>
      </c>
      <c r="L25" s="91"/>
      <c r="M25" s="91"/>
      <c r="N25" s="35" t="s">
        <v>0</v>
      </c>
      <c r="O25" s="35" t="s">
        <v>31</v>
      </c>
      <c r="P25" s="35" t="s">
        <v>1155</v>
      </c>
      <c r="Q25" s="91" t="s">
        <v>37</v>
      </c>
      <c r="R25" s="91"/>
      <c r="S25" s="91"/>
      <c r="T25" s="91"/>
      <c r="U25" s="91" t="s">
        <v>1232</v>
      </c>
      <c r="V25" s="3284"/>
      <c r="W25" s="3295" t="s">
        <v>1233</v>
      </c>
    </row>
    <row r="26" spans="1:23" ht="52.5">
      <c r="A26" s="1941" t="s">
        <v>132</v>
      </c>
      <c r="B26" s="1300">
        <v>45681</v>
      </c>
      <c r="C26" s="3189">
        <f t="shared" si="0"/>
        <v>4</v>
      </c>
      <c r="D26" s="3189"/>
      <c r="E26" s="439" t="s">
        <v>675</v>
      </c>
      <c r="F26" s="3256" t="s">
        <v>392</v>
      </c>
      <c r="G26" s="3443">
        <v>712</v>
      </c>
      <c r="H26" s="3238" t="s">
        <v>1248</v>
      </c>
      <c r="I26" s="3238"/>
      <c r="J26" s="3238"/>
      <c r="K26" s="918" t="s">
        <v>30</v>
      </c>
      <c r="L26" s="71"/>
      <c r="M26" s="33"/>
      <c r="N26" s="24" t="s">
        <v>0</v>
      </c>
      <c r="O26" s="24" t="s">
        <v>110</v>
      </c>
      <c r="P26" s="24" t="s">
        <v>1155</v>
      </c>
      <c r="Q26" s="71"/>
      <c r="R26" s="71"/>
      <c r="S26" s="71"/>
      <c r="T26" s="71"/>
      <c r="U26" s="71" t="s">
        <v>1249</v>
      </c>
      <c r="V26" s="3160"/>
      <c r="W26" s="3283"/>
    </row>
    <row r="27" spans="1:23" ht="29.25" thickBot="1">
      <c r="A27" s="1938" t="s">
        <v>132</v>
      </c>
      <c r="B27" s="1312">
        <v>45681</v>
      </c>
      <c r="C27" s="3197">
        <f t="shared" si="0"/>
        <v>4</v>
      </c>
      <c r="D27" s="3197"/>
      <c r="E27" s="1514" t="s">
        <v>1239</v>
      </c>
      <c r="F27" s="3280" t="s">
        <v>79</v>
      </c>
      <c r="G27" s="3443">
        <v>712</v>
      </c>
      <c r="H27" s="3252">
        <v>60020</v>
      </c>
      <c r="I27" s="57"/>
      <c r="J27" s="3252" t="s">
        <v>37</v>
      </c>
      <c r="K27" s="957"/>
      <c r="L27" s="91"/>
      <c r="M27" s="91"/>
      <c r="N27" s="91"/>
      <c r="O27" s="91"/>
      <c r="P27" s="91"/>
      <c r="Q27" s="91"/>
      <c r="R27" s="91"/>
      <c r="S27" s="91"/>
      <c r="T27" s="91"/>
      <c r="U27" s="91"/>
      <c r="V27" s="3284"/>
      <c r="W27" s="3285"/>
    </row>
    <row r="28" spans="1:23" ht="28.5">
      <c r="A28" s="118" t="s">
        <v>25</v>
      </c>
      <c r="B28" s="1390">
        <v>45684</v>
      </c>
      <c r="C28" s="3165" t="s">
        <v>262</v>
      </c>
      <c r="D28" s="3165"/>
      <c r="E28" s="987" t="s">
        <v>1272</v>
      </c>
      <c r="F28" s="987" t="s">
        <v>1273</v>
      </c>
      <c r="G28" s="3443">
        <v>712</v>
      </c>
      <c r="H28" s="3245" t="s">
        <v>377</v>
      </c>
      <c r="I28" s="3183" t="s">
        <v>1274</v>
      </c>
      <c r="J28" s="33" t="s">
        <v>30</v>
      </c>
      <c r="K28" s="71"/>
      <c r="L28" s="71"/>
      <c r="M28" s="71"/>
      <c r="N28" s="3160"/>
      <c r="O28" s="3160"/>
      <c r="P28" s="3160"/>
      <c r="Q28" s="3160"/>
      <c r="R28" s="3160"/>
      <c r="S28" s="3160"/>
      <c r="T28" s="3160"/>
      <c r="U28" s="71" t="s">
        <v>1275</v>
      </c>
      <c r="V28" s="3160"/>
      <c r="W28" s="3156"/>
    </row>
    <row r="29" spans="1:23" ht="28.5">
      <c r="A29" s="118" t="s">
        <v>180</v>
      </c>
      <c r="B29" s="1390">
        <v>45685</v>
      </c>
      <c r="C29" s="3165" t="s">
        <v>262</v>
      </c>
      <c r="D29" s="3354"/>
      <c r="E29" s="3292" t="s">
        <v>383</v>
      </c>
      <c r="F29" s="3292" t="s">
        <v>1300</v>
      </c>
      <c r="G29" s="3443">
        <v>712</v>
      </c>
      <c r="H29" s="3234" t="s">
        <v>1301</v>
      </c>
      <c r="I29" s="1525"/>
      <c r="J29" s="3160"/>
      <c r="K29" s="3160"/>
      <c r="L29" s="71" t="s">
        <v>37</v>
      </c>
      <c r="M29" s="71"/>
      <c r="N29" s="71"/>
      <c r="O29" s="71"/>
      <c r="P29" s="71"/>
      <c r="Q29" s="71"/>
      <c r="R29" s="3160"/>
      <c r="S29" s="3160"/>
      <c r="T29" s="3160"/>
      <c r="U29" s="3288" t="s">
        <v>1302</v>
      </c>
      <c r="V29" s="3160"/>
      <c r="W29" s="3156"/>
    </row>
    <row r="30" spans="1:23" ht="52.5">
      <c r="A30" s="2052" t="s">
        <v>1314</v>
      </c>
      <c r="B30" s="1940">
        <v>45686</v>
      </c>
      <c r="C30" s="3165" t="s">
        <v>262</v>
      </c>
      <c r="D30" s="3354"/>
      <c r="E30" s="3292" t="s">
        <v>1315</v>
      </c>
      <c r="F30" s="3292" t="s">
        <v>1316</v>
      </c>
      <c r="G30" s="3443">
        <v>712</v>
      </c>
      <c r="H30" s="3233" t="s">
        <v>1317</v>
      </c>
      <c r="I30" s="3263"/>
      <c r="J30" s="3276" t="s">
        <v>37</v>
      </c>
      <c r="K30" s="1594"/>
      <c r="L30" s="1594"/>
      <c r="M30" s="1594" t="s">
        <v>37</v>
      </c>
      <c r="N30" s="360" t="s">
        <v>0</v>
      </c>
      <c r="O30" s="360" t="s">
        <v>31</v>
      </c>
      <c r="P30" s="360" t="s">
        <v>1155</v>
      </c>
      <c r="Q30" s="3276"/>
      <c r="R30" s="3276"/>
      <c r="S30" s="3276"/>
      <c r="T30" s="3276"/>
      <c r="U30" s="1594" t="s">
        <v>1318</v>
      </c>
      <c r="V30" s="3276"/>
      <c r="W30" s="3277"/>
    </row>
    <row r="31" spans="1:23" ht="52.5">
      <c r="A31" s="76" t="s">
        <v>1314</v>
      </c>
      <c r="B31" s="1300">
        <v>45686</v>
      </c>
      <c r="C31" s="3165" t="s">
        <v>262</v>
      </c>
      <c r="D31" s="3165"/>
      <c r="E31" s="3293" t="s">
        <v>1266</v>
      </c>
      <c r="F31" s="3293" t="s">
        <v>1319</v>
      </c>
      <c r="G31" s="3443">
        <v>712</v>
      </c>
      <c r="H31" s="3238" t="s">
        <v>1317</v>
      </c>
      <c r="I31" s="1520"/>
      <c r="J31" s="3160"/>
      <c r="K31" s="71" t="s">
        <v>37</v>
      </c>
      <c r="L31" s="3160"/>
      <c r="M31" s="71" t="s">
        <v>30</v>
      </c>
      <c r="N31" s="360" t="s">
        <v>0</v>
      </c>
      <c r="O31" s="360" t="s">
        <v>31</v>
      </c>
      <c r="P31" s="360" t="s">
        <v>1155</v>
      </c>
      <c r="Q31" s="3160"/>
      <c r="R31" s="3160"/>
      <c r="S31" s="3160"/>
      <c r="T31" s="3160"/>
      <c r="U31" s="1594" t="s">
        <v>1320</v>
      </c>
      <c r="V31" s="3160"/>
      <c r="W31" s="3156"/>
    </row>
    <row r="32" spans="1:23" ht="78.75">
      <c r="A32" s="162" t="s">
        <v>105</v>
      </c>
      <c r="B32" s="1940">
        <v>45687</v>
      </c>
      <c r="C32" s="3165" t="s">
        <v>262</v>
      </c>
      <c r="D32" s="3165"/>
      <c r="E32" s="3293" t="s">
        <v>1315</v>
      </c>
      <c r="F32" s="3293" t="s">
        <v>462</v>
      </c>
      <c r="G32" s="3443">
        <v>712</v>
      </c>
      <c r="H32" s="3245" t="s">
        <v>1301</v>
      </c>
      <c r="I32" s="1511"/>
      <c r="J32" s="3276"/>
      <c r="K32" s="97"/>
      <c r="L32" s="97" t="s">
        <v>37</v>
      </c>
      <c r="M32" s="97"/>
      <c r="N32" s="97"/>
      <c r="O32" s="97"/>
      <c r="P32" s="97"/>
      <c r="Q32" s="3276"/>
      <c r="R32" s="3276"/>
      <c r="S32" s="3276"/>
      <c r="T32" s="3276"/>
      <c r="U32" s="97" t="s">
        <v>1336</v>
      </c>
      <c r="V32" s="3276"/>
      <c r="W32" s="3277"/>
    </row>
    <row r="33" spans="1:23" ht="52.5">
      <c r="A33" s="162" t="s">
        <v>105</v>
      </c>
      <c r="B33" s="1301">
        <v>45687</v>
      </c>
      <c r="C33" s="3165" t="s">
        <v>262</v>
      </c>
      <c r="D33" s="3165"/>
      <c r="E33" s="3293" t="s">
        <v>462</v>
      </c>
      <c r="F33" s="3293" t="s">
        <v>1300</v>
      </c>
      <c r="G33" s="3443">
        <v>712</v>
      </c>
      <c r="H33" s="3238" t="s">
        <v>1301</v>
      </c>
      <c r="I33" s="3183" t="s">
        <v>84</v>
      </c>
      <c r="J33" s="3276"/>
      <c r="K33" s="71" t="s">
        <v>37</v>
      </c>
      <c r="L33" s="71"/>
      <c r="M33" s="71"/>
      <c r="N33" s="360" t="s">
        <v>122</v>
      </c>
      <c r="O33" s="360" t="s">
        <v>123</v>
      </c>
      <c r="P33" s="360" t="s">
        <v>1155</v>
      </c>
      <c r="Q33" s="3160" t="s">
        <v>37</v>
      </c>
      <c r="R33" s="3160"/>
      <c r="S33" s="3160"/>
      <c r="T33" s="3160"/>
      <c r="U33" s="71" t="s">
        <v>1337</v>
      </c>
      <c r="V33" s="3160" t="s">
        <v>1338</v>
      </c>
      <c r="W33" s="3156"/>
    </row>
    <row r="34" spans="1:23" ht="28.5">
      <c r="A34" s="118" t="s">
        <v>105</v>
      </c>
      <c r="B34" s="1390">
        <v>45687</v>
      </c>
      <c r="C34" s="3165" t="s">
        <v>262</v>
      </c>
      <c r="D34" s="3354"/>
      <c r="E34" s="1524" t="s">
        <v>450</v>
      </c>
      <c r="F34" s="1524" t="s">
        <v>1354</v>
      </c>
      <c r="G34" s="3443">
        <v>712</v>
      </c>
      <c r="H34" s="3234" t="s">
        <v>1355</v>
      </c>
      <c r="I34" s="1594"/>
      <c r="J34" s="3160"/>
      <c r="K34" s="1594"/>
      <c r="L34" s="1594" t="s">
        <v>30</v>
      </c>
      <c r="M34" s="33"/>
      <c r="N34" s="3160"/>
      <c r="O34" s="3160"/>
      <c r="P34" s="3160"/>
      <c r="Q34" s="3160"/>
      <c r="R34" s="3160"/>
      <c r="S34" s="3160"/>
      <c r="T34" s="3160"/>
      <c r="U34" s="33" t="s">
        <v>1356</v>
      </c>
      <c r="V34" s="3160"/>
      <c r="W34" s="3156"/>
    </row>
    <row r="35" spans="1:23" ht="28.5">
      <c r="A35" s="162" t="s">
        <v>132</v>
      </c>
      <c r="B35" s="1301">
        <v>45688</v>
      </c>
      <c r="C35" s="3165" t="s">
        <v>262</v>
      </c>
      <c r="D35" s="3355"/>
      <c r="E35" s="1185" t="s">
        <v>517</v>
      </c>
      <c r="F35" s="1185" t="s">
        <v>89</v>
      </c>
      <c r="G35" s="3443">
        <v>712</v>
      </c>
      <c r="H35" s="3301" t="s">
        <v>1364</v>
      </c>
      <c r="I35" s="71"/>
      <c r="J35" s="71" t="s">
        <v>30</v>
      </c>
      <c r="K35" s="3154"/>
      <c r="L35" s="71"/>
      <c r="M35" s="71"/>
      <c r="N35" s="3160"/>
      <c r="O35" s="3160"/>
      <c r="P35" s="3160"/>
      <c r="Q35" s="3160"/>
      <c r="R35" s="3160"/>
      <c r="S35" s="3160"/>
      <c r="T35" s="3160"/>
      <c r="U35" s="97"/>
      <c r="V35" s="3160"/>
      <c r="W35" s="3156"/>
    </row>
    <row r="36" spans="1:23" ht="52.5">
      <c r="A36" s="162" t="s">
        <v>132</v>
      </c>
      <c r="B36" s="1301">
        <v>45688</v>
      </c>
      <c r="C36" s="3165" t="s">
        <v>262</v>
      </c>
      <c r="D36" s="3165"/>
      <c r="E36" s="3293" t="s">
        <v>462</v>
      </c>
      <c r="F36" s="3293" t="s">
        <v>1300</v>
      </c>
      <c r="G36" s="3443">
        <v>712</v>
      </c>
      <c r="H36" s="3238" t="s">
        <v>1301</v>
      </c>
      <c r="I36" s="3183" t="s">
        <v>84</v>
      </c>
      <c r="J36" s="3160"/>
      <c r="K36" s="71" t="s">
        <v>30</v>
      </c>
      <c r="L36" s="71" t="s">
        <v>30</v>
      </c>
      <c r="M36" s="71"/>
      <c r="N36" s="360" t="s">
        <v>0</v>
      </c>
      <c r="O36" s="360"/>
      <c r="P36" s="360"/>
      <c r="Q36" s="3160"/>
      <c r="R36" s="3160"/>
      <c r="S36" s="3160"/>
      <c r="T36" s="3160"/>
      <c r="U36" s="71" t="s">
        <v>1368</v>
      </c>
      <c r="V36" s="3160"/>
      <c r="W36" s="3156"/>
    </row>
    <row r="37" spans="1:23" ht="28.5">
      <c r="A37" s="162" t="s">
        <v>132</v>
      </c>
      <c r="B37" s="1301">
        <v>45688</v>
      </c>
      <c r="C37" s="3165" t="s">
        <v>262</v>
      </c>
      <c r="D37" s="3165"/>
      <c r="E37" s="3293" t="s">
        <v>1369</v>
      </c>
      <c r="F37" s="3293" t="s">
        <v>1370</v>
      </c>
      <c r="G37" s="3443">
        <v>712</v>
      </c>
      <c r="H37" s="3238" t="s">
        <v>1371</v>
      </c>
      <c r="I37" s="3183" t="s">
        <v>84</v>
      </c>
      <c r="J37" s="3160"/>
      <c r="K37" s="71"/>
      <c r="L37" s="71" t="s">
        <v>30</v>
      </c>
      <c r="M37" s="71"/>
      <c r="N37" s="3160"/>
      <c r="O37" s="3160"/>
      <c r="P37" s="3160"/>
      <c r="Q37" s="3160"/>
      <c r="R37" s="3160"/>
      <c r="S37" s="3160"/>
      <c r="T37" s="3160"/>
      <c r="U37" s="71"/>
      <c r="V37" s="3160"/>
      <c r="W37" s="3156"/>
    </row>
    <row r="38" spans="1:23" ht="28.5">
      <c r="A38" s="162" t="s">
        <v>132</v>
      </c>
      <c r="B38" s="1301">
        <v>45688</v>
      </c>
      <c r="C38" s="3165" t="s">
        <v>262</v>
      </c>
      <c r="D38" s="3165"/>
      <c r="E38" s="3293" t="s">
        <v>1372</v>
      </c>
      <c r="F38" s="3293" t="s">
        <v>1373</v>
      </c>
      <c r="G38" s="3443">
        <v>712</v>
      </c>
      <c r="H38" s="3238" t="s">
        <v>1374</v>
      </c>
      <c r="I38" s="923"/>
      <c r="J38" s="3160"/>
      <c r="K38" s="71" t="s">
        <v>30</v>
      </c>
      <c r="L38" s="71"/>
      <c r="M38" s="71"/>
      <c r="N38" s="3160"/>
      <c r="O38" s="3160"/>
      <c r="P38" s="3160"/>
      <c r="Q38" s="3160"/>
      <c r="R38" s="3160"/>
      <c r="S38" s="3160"/>
      <c r="T38" s="3160"/>
      <c r="U38" s="71" t="s">
        <v>1375</v>
      </c>
      <c r="V38" s="3160"/>
      <c r="W38" s="3156"/>
    </row>
    <row r="39" spans="1:23" ht="28.5">
      <c r="A39" s="118" t="s">
        <v>105</v>
      </c>
      <c r="B39" s="1390">
        <v>45687</v>
      </c>
      <c r="C39" s="3165" t="s">
        <v>262</v>
      </c>
      <c r="D39" s="3368"/>
      <c r="E39" s="1607" t="s">
        <v>450</v>
      </c>
      <c r="F39" s="1607" t="s">
        <v>1354</v>
      </c>
      <c r="G39" s="3443">
        <v>712</v>
      </c>
      <c r="H39" s="3234" t="s">
        <v>1355</v>
      </c>
      <c r="I39" s="71"/>
      <c r="J39" s="3160"/>
      <c r="K39" s="71"/>
      <c r="L39" s="71" t="s">
        <v>30</v>
      </c>
      <c r="M39" s="71"/>
      <c r="N39" s="3160"/>
      <c r="O39" s="3160"/>
      <c r="P39" s="3160"/>
      <c r="Q39" s="3160"/>
      <c r="R39" s="3160"/>
      <c r="S39" s="3160"/>
      <c r="T39" s="3160"/>
      <c r="U39" s="33" t="s">
        <v>1360</v>
      </c>
      <c r="V39" s="3160"/>
      <c r="W39" s="3156"/>
    </row>
    <row r="40" spans="1:23" ht="28.5">
      <c r="A40" s="1937" t="s">
        <v>25</v>
      </c>
      <c r="B40" s="1390">
        <v>45691</v>
      </c>
      <c r="C40" s="3165" t="s">
        <v>291</v>
      </c>
      <c r="D40" s="3354"/>
      <c r="E40" s="1524" t="s">
        <v>405</v>
      </c>
      <c r="F40" s="1524" t="s">
        <v>89</v>
      </c>
      <c r="G40" s="3443">
        <v>712</v>
      </c>
      <c r="H40" s="3234" t="s">
        <v>743</v>
      </c>
      <c r="I40" s="3171" t="s">
        <v>84</v>
      </c>
      <c r="J40" s="1001" t="s">
        <v>37</v>
      </c>
      <c r="K40" s="33"/>
      <c r="L40" s="3160"/>
      <c r="M40" s="3160"/>
      <c r="N40" s="3160"/>
      <c r="O40" s="3160"/>
      <c r="P40" s="3160"/>
      <c r="Q40" s="33"/>
      <c r="R40" s="33"/>
      <c r="S40" s="33"/>
      <c r="T40" s="33"/>
      <c r="U40" s="3286"/>
      <c r="V40" s="3160"/>
      <c r="W40" s="3283"/>
    </row>
    <row r="41" spans="1:23" ht="28.5">
      <c r="A41" s="1937" t="s">
        <v>25</v>
      </c>
      <c r="B41" s="1390">
        <v>45691</v>
      </c>
      <c r="C41" s="3165" t="s">
        <v>291</v>
      </c>
      <c r="D41" s="3165"/>
      <c r="E41" s="1194" t="s">
        <v>89</v>
      </c>
      <c r="F41" s="1194" t="s">
        <v>79</v>
      </c>
      <c r="G41" s="3443">
        <v>712</v>
      </c>
      <c r="H41" s="3238" t="s">
        <v>1388</v>
      </c>
      <c r="I41" s="1520"/>
      <c r="J41" s="923" t="s">
        <v>30</v>
      </c>
      <c r="K41" s="71"/>
      <c r="L41" s="3160"/>
      <c r="M41" s="3160"/>
      <c r="N41" s="3160"/>
      <c r="O41" s="3160"/>
      <c r="P41" s="3160"/>
      <c r="Q41" s="71"/>
      <c r="R41" s="71"/>
      <c r="S41" s="71"/>
      <c r="T41" s="71"/>
      <c r="U41" s="3286" t="s">
        <v>1389</v>
      </c>
      <c r="V41" s="3160"/>
      <c r="W41" s="3283"/>
    </row>
    <row r="42" spans="1:23" ht="57">
      <c r="A42" s="1937" t="s">
        <v>25</v>
      </c>
      <c r="B42" s="1390">
        <v>45691</v>
      </c>
      <c r="C42" s="3165" t="s">
        <v>291</v>
      </c>
      <c r="D42" s="3165"/>
      <c r="E42" s="3026" t="s">
        <v>1153</v>
      </c>
      <c r="F42" s="3026" t="s">
        <v>1396</v>
      </c>
      <c r="G42" s="3443">
        <v>712</v>
      </c>
      <c r="H42" s="3238" t="s">
        <v>1397</v>
      </c>
      <c r="I42" s="3171" t="s">
        <v>84</v>
      </c>
      <c r="J42" s="923"/>
      <c r="K42" s="71" t="s">
        <v>37</v>
      </c>
      <c r="L42" s="3160"/>
      <c r="M42" s="3160"/>
      <c r="N42" s="360" t="s">
        <v>0</v>
      </c>
      <c r="O42" s="360" t="s">
        <v>31</v>
      </c>
      <c r="P42" s="360" t="s">
        <v>1155</v>
      </c>
      <c r="Q42" s="71" t="s">
        <v>37</v>
      </c>
      <c r="R42" s="71"/>
      <c r="S42" s="71"/>
      <c r="T42" s="71"/>
      <c r="U42" s="3286" t="s">
        <v>1398</v>
      </c>
      <c r="V42" s="3160"/>
      <c r="W42" s="3283"/>
    </row>
    <row r="43" spans="1:23" ht="29.25" thickBot="1">
      <c r="A43" s="1938" t="s">
        <v>25</v>
      </c>
      <c r="B43" s="1312">
        <v>45691</v>
      </c>
      <c r="C43" s="3165" t="s">
        <v>291</v>
      </c>
      <c r="D43" s="3354"/>
      <c r="E43" s="3312" t="s">
        <v>1399</v>
      </c>
      <c r="F43" s="3312" t="s">
        <v>1400</v>
      </c>
      <c r="G43" s="3443">
        <v>712</v>
      </c>
      <c r="H43" s="3252" t="s">
        <v>1397</v>
      </c>
      <c r="I43" s="1603"/>
      <c r="J43" s="957"/>
      <c r="K43" s="91"/>
      <c r="L43" s="3284" t="s">
        <v>30</v>
      </c>
      <c r="M43" s="3284"/>
      <c r="N43" s="3160"/>
      <c r="O43" s="3284"/>
      <c r="P43" s="3284"/>
      <c r="Q43" s="91"/>
      <c r="R43" s="91"/>
      <c r="S43" s="91"/>
      <c r="T43" s="91"/>
      <c r="U43" s="3313"/>
      <c r="V43" s="3284"/>
      <c r="W43" s="3285"/>
    </row>
    <row r="44" spans="1:23" ht="57">
      <c r="A44" s="1935" t="s">
        <v>67</v>
      </c>
      <c r="B44" s="1936">
        <v>45692</v>
      </c>
      <c r="C44" s="3165" t="s">
        <v>291</v>
      </c>
      <c r="D44" s="3355"/>
      <c r="E44" s="1528" t="s">
        <v>89</v>
      </c>
      <c r="F44" s="1528" t="s">
        <v>1403</v>
      </c>
      <c r="G44" s="3443">
        <v>712</v>
      </c>
      <c r="H44" s="3270" t="s">
        <v>1404</v>
      </c>
      <c r="I44" s="3316" t="s">
        <v>84</v>
      </c>
      <c r="J44" s="918"/>
      <c r="K44" s="64" t="s">
        <v>37</v>
      </c>
      <c r="L44" s="3281"/>
      <c r="M44" s="3281"/>
      <c r="N44" s="360" t="s">
        <v>0</v>
      </c>
      <c r="O44" s="360" t="s">
        <v>187</v>
      </c>
      <c r="P44" s="360" t="s">
        <v>1155</v>
      </c>
      <c r="Q44" s="64"/>
      <c r="R44" s="64"/>
      <c r="S44" s="64"/>
      <c r="T44" s="64"/>
      <c r="U44" s="3325" t="s">
        <v>1405</v>
      </c>
      <c r="V44" s="3281"/>
      <c r="W44" s="3282"/>
    </row>
    <row r="45" spans="1:23" ht="28.5">
      <c r="A45" s="1942" t="s">
        <v>67</v>
      </c>
      <c r="B45" s="1301">
        <v>45692</v>
      </c>
      <c r="C45" s="3165" t="s">
        <v>291</v>
      </c>
      <c r="D45" s="3355"/>
      <c r="E45" s="1185" t="s">
        <v>1153</v>
      </c>
      <c r="F45" s="1185" t="s">
        <v>1406</v>
      </c>
      <c r="G45" s="3443">
        <v>712</v>
      </c>
      <c r="H45" s="3245" t="s">
        <v>1407</v>
      </c>
      <c r="I45" s="3176" t="s">
        <v>84</v>
      </c>
      <c r="J45" s="1009" t="s">
        <v>37</v>
      </c>
      <c r="K45" s="97"/>
      <c r="L45" s="3160" t="s">
        <v>37</v>
      </c>
      <c r="M45" s="3160"/>
      <c r="N45" s="3160"/>
      <c r="O45" s="3160"/>
      <c r="P45" s="3160"/>
      <c r="Q45" s="97"/>
      <c r="R45" s="97" t="s">
        <v>37</v>
      </c>
      <c r="S45" s="97"/>
      <c r="T45" s="1041"/>
      <c r="U45" s="3288"/>
      <c r="V45" s="3160"/>
      <c r="W45" s="3283"/>
    </row>
    <row r="46" spans="1:23" ht="28.5">
      <c r="A46" s="1942" t="s">
        <v>67</v>
      </c>
      <c r="B46" s="1301">
        <v>45692</v>
      </c>
      <c r="C46" s="3165" t="s">
        <v>291</v>
      </c>
      <c r="D46" s="3355"/>
      <c r="E46" s="1185" t="s">
        <v>1408</v>
      </c>
      <c r="F46" s="1185" t="s">
        <v>1153</v>
      </c>
      <c r="G46" s="3443">
        <v>712</v>
      </c>
      <c r="H46" s="3245" t="s">
        <v>1407</v>
      </c>
      <c r="I46" s="3176" t="s">
        <v>84</v>
      </c>
      <c r="J46" s="1009" t="s">
        <v>37</v>
      </c>
      <c r="K46" s="97"/>
      <c r="L46" s="3160" t="s">
        <v>37</v>
      </c>
      <c r="M46" s="3160"/>
      <c r="N46" s="3160"/>
      <c r="O46" s="3160"/>
      <c r="P46" s="3160"/>
      <c r="Q46" s="97"/>
      <c r="R46" s="97" t="s">
        <v>37</v>
      </c>
      <c r="S46" s="97"/>
      <c r="T46" s="1041"/>
      <c r="U46" s="3288"/>
      <c r="V46" s="3160"/>
      <c r="W46" s="3283"/>
    </row>
    <row r="47" spans="1:23" ht="29.25" thickBot="1">
      <c r="A47" s="1962" t="s">
        <v>67</v>
      </c>
      <c r="B47" s="1312">
        <v>45692</v>
      </c>
      <c r="C47" s="3165" t="s">
        <v>291</v>
      </c>
      <c r="D47" s="3354"/>
      <c r="E47" s="1514" t="s">
        <v>1412</v>
      </c>
      <c r="F47" s="3328" t="s">
        <v>1413</v>
      </c>
      <c r="G47" s="3443">
        <v>712</v>
      </c>
      <c r="H47" s="3252" t="s">
        <v>1414</v>
      </c>
      <c r="I47" s="1603"/>
      <c r="J47" s="957" t="s">
        <v>37</v>
      </c>
      <c r="K47" s="91"/>
      <c r="L47" s="3284"/>
      <c r="M47" s="3284"/>
      <c r="N47" s="3284"/>
      <c r="O47" s="3284"/>
      <c r="P47" s="3284"/>
      <c r="Q47" s="91"/>
      <c r="R47" s="91"/>
      <c r="S47" s="91"/>
      <c r="T47" s="91"/>
      <c r="U47" s="3313"/>
      <c r="V47" s="3284"/>
      <c r="W47" s="3285"/>
    </row>
    <row r="48" spans="1:23" ht="29.25" thickBot="1">
      <c r="A48" s="1941" t="s">
        <v>85</v>
      </c>
      <c r="B48" s="1300">
        <v>45693</v>
      </c>
      <c r="C48" s="3165" t="s">
        <v>291</v>
      </c>
      <c r="D48" s="3165"/>
      <c r="E48" s="1194" t="s">
        <v>1153</v>
      </c>
      <c r="F48" s="1194" t="s">
        <v>156</v>
      </c>
      <c r="G48" s="3443">
        <v>712</v>
      </c>
      <c r="H48" s="3238" t="s">
        <v>1404</v>
      </c>
      <c r="I48" s="3183" t="s">
        <v>84</v>
      </c>
      <c r="J48" s="923" t="s">
        <v>37</v>
      </c>
      <c r="K48" s="71"/>
      <c r="L48" s="3160"/>
      <c r="M48" s="3160"/>
      <c r="N48" s="3160"/>
      <c r="O48" s="3160"/>
      <c r="P48" s="3160"/>
      <c r="Q48" s="71"/>
      <c r="R48" s="71"/>
      <c r="S48" s="71"/>
      <c r="T48" s="71"/>
      <c r="U48" s="3319"/>
      <c r="V48" s="3160"/>
      <c r="W48" s="3283"/>
    </row>
    <row r="49" spans="1:23" ht="29.25" thickBot="1">
      <c r="A49" s="1962" t="s">
        <v>85</v>
      </c>
      <c r="B49" s="1312">
        <v>45693</v>
      </c>
      <c r="C49" s="3165" t="s">
        <v>291</v>
      </c>
      <c r="D49" s="3354"/>
      <c r="E49" s="1514" t="s">
        <v>156</v>
      </c>
      <c r="F49" s="3328" t="s">
        <v>1160</v>
      </c>
      <c r="G49" s="3443">
        <v>712</v>
      </c>
      <c r="H49" s="3252" t="s">
        <v>1407</v>
      </c>
      <c r="I49" s="3173" t="s">
        <v>84</v>
      </c>
      <c r="J49" s="957"/>
      <c r="K49" s="91"/>
      <c r="L49" s="3284" t="s">
        <v>30</v>
      </c>
      <c r="M49" s="3284"/>
      <c r="N49" s="3160"/>
      <c r="O49" s="3160"/>
      <c r="P49" s="3160"/>
      <c r="Q49" s="91"/>
      <c r="R49" s="91"/>
      <c r="S49" s="91"/>
      <c r="T49" s="91"/>
      <c r="U49" s="3318" t="s">
        <v>1416</v>
      </c>
      <c r="V49" s="3284"/>
      <c r="W49" s="3285"/>
    </row>
    <row r="50" spans="1:23" ht="57.75" thickBot="1">
      <c r="A50" s="1941" t="s">
        <v>105</v>
      </c>
      <c r="B50" s="1300">
        <v>45693</v>
      </c>
      <c r="C50" s="3165" t="s">
        <v>291</v>
      </c>
      <c r="D50" s="3165"/>
      <c r="E50" s="1194" t="s">
        <v>1408</v>
      </c>
      <c r="F50" s="1194" t="s">
        <v>1418</v>
      </c>
      <c r="G50" s="3443">
        <v>712</v>
      </c>
      <c r="H50" s="3238" t="s">
        <v>1419</v>
      </c>
      <c r="I50" s="3183" t="s">
        <v>84</v>
      </c>
      <c r="J50" s="923"/>
      <c r="K50" s="71" t="s">
        <v>37</v>
      </c>
      <c r="L50" s="3160"/>
      <c r="M50" s="3160"/>
      <c r="N50" s="360" t="s">
        <v>0</v>
      </c>
      <c r="O50" s="360" t="s">
        <v>31</v>
      </c>
      <c r="P50" s="360" t="s">
        <v>1155</v>
      </c>
      <c r="Q50" s="71"/>
      <c r="R50" s="71" t="s">
        <v>37</v>
      </c>
      <c r="S50" s="71"/>
      <c r="T50" s="71"/>
      <c r="U50" s="3319" t="s">
        <v>1420</v>
      </c>
      <c r="V50" s="3160"/>
      <c r="W50" s="3283"/>
    </row>
    <row r="51" spans="1:23" ht="29.25" thickBot="1">
      <c r="A51" s="1941" t="s">
        <v>105</v>
      </c>
      <c r="B51" s="1300">
        <v>45693</v>
      </c>
      <c r="C51" s="3165" t="s">
        <v>291</v>
      </c>
      <c r="D51" s="3165"/>
      <c r="E51" s="1194" t="s">
        <v>1421</v>
      </c>
      <c r="F51" s="1194" t="s">
        <v>1422</v>
      </c>
      <c r="G51" s="3443">
        <v>712</v>
      </c>
      <c r="H51" s="3238" t="s">
        <v>1419</v>
      </c>
      <c r="I51" s="923"/>
      <c r="J51" s="923"/>
      <c r="K51" s="71"/>
      <c r="L51" s="3160" t="s">
        <v>30</v>
      </c>
      <c r="M51" s="3160"/>
      <c r="N51" s="3160"/>
      <c r="O51" s="3160"/>
      <c r="P51" s="3160"/>
      <c r="Q51" s="71" t="s">
        <v>37</v>
      </c>
      <c r="R51" s="71"/>
      <c r="S51" s="71"/>
      <c r="T51" s="71"/>
      <c r="U51" s="3319" t="s">
        <v>1423</v>
      </c>
      <c r="V51" s="3160"/>
      <c r="W51" s="3283"/>
    </row>
    <row r="52" spans="1:23" ht="28.5">
      <c r="A52" s="1941" t="s">
        <v>132</v>
      </c>
      <c r="B52" s="1300">
        <v>45695</v>
      </c>
      <c r="C52" s="3165" t="s">
        <v>291</v>
      </c>
      <c r="D52" s="3165"/>
      <c r="E52" s="987" t="s">
        <v>1443</v>
      </c>
      <c r="F52" s="987" t="s">
        <v>1422</v>
      </c>
      <c r="G52" s="3443">
        <v>712</v>
      </c>
      <c r="H52" s="3238" t="s">
        <v>1419</v>
      </c>
      <c r="I52" s="1520"/>
      <c r="J52" s="923" t="s">
        <v>37</v>
      </c>
      <c r="K52" s="71"/>
      <c r="L52" s="3160"/>
      <c r="M52" s="3160"/>
      <c r="N52" s="3160"/>
      <c r="O52" s="3160"/>
      <c r="P52" s="3160"/>
      <c r="Q52" s="71"/>
      <c r="R52" s="71" t="s">
        <v>37</v>
      </c>
      <c r="S52" s="71"/>
      <c r="T52" s="71"/>
      <c r="U52" s="3322"/>
      <c r="V52" s="3160"/>
      <c r="W52" s="3283"/>
    </row>
    <row r="53" spans="1:23" ht="28.5">
      <c r="A53" s="1941" t="s">
        <v>132</v>
      </c>
      <c r="B53" s="1300">
        <v>45695</v>
      </c>
      <c r="C53" s="3165" t="s">
        <v>291</v>
      </c>
      <c r="D53" s="3165"/>
      <c r="E53" s="1194" t="s">
        <v>169</v>
      </c>
      <c r="F53" s="1194" t="s">
        <v>450</v>
      </c>
      <c r="G53" s="3443">
        <v>712</v>
      </c>
      <c r="H53" s="3238" t="s">
        <v>1448</v>
      </c>
      <c r="I53" s="3183" t="s">
        <v>84</v>
      </c>
      <c r="J53" s="923" t="s">
        <v>37</v>
      </c>
      <c r="K53" s="71"/>
      <c r="L53" s="3160"/>
      <c r="M53" s="3160"/>
      <c r="N53" s="3160"/>
      <c r="O53" s="3160"/>
      <c r="P53" s="3160"/>
      <c r="Q53" s="71"/>
      <c r="R53" s="71"/>
      <c r="S53" s="71"/>
      <c r="T53" s="71"/>
      <c r="U53" s="3322"/>
      <c r="V53" s="3160"/>
      <c r="W53" s="3283"/>
    </row>
    <row r="54" spans="1:23" ht="28.5">
      <c r="A54" s="1941" t="s">
        <v>132</v>
      </c>
      <c r="B54" s="1300">
        <v>45695</v>
      </c>
      <c r="C54" s="3165" t="s">
        <v>291</v>
      </c>
      <c r="D54" s="3165"/>
      <c r="E54" s="1194" t="s">
        <v>1413</v>
      </c>
      <c r="F54" s="1194" t="s">
        <v>169</v>
      </c>
      <c r="G54" s="3443">
        <v>712</v>
      </c>
      <c r="H54" s="3238" t="s">
        <v>1449</v>
      </c>
      <c r="I54" s="1520"/>
      <c r="J54" s="923" t="s">
        <v>30</v>
      </c>
      <c r="K54" s="71"/>
      <c r="L54" s="3160"/>
      <c r="M54" s="3160"/>
      <c r="N54" s="3160"/>
      <c r="O54" s="3160"/>
      <c r="P54" s="3160"/>
      <c r="Q54" s="71"/>
      <c r="R54" s="71"/>
      <c r="S54" s="71"/>
      <c r="T54" s="71"/>
      <c r="U54" s="3322" t="s">
        <v>1450</v>
      </c>
      <c r="V54" s="3160"/>
      <c r="W54" s="3283"/>
    </row>
    <row r="55" spans="1:23" ht="28.5">
      <c r="A55" s="1941" t="s">
        <v>132</v>
      </c>
      <c r="B55" s="1300">
        <v>45695</v>
      </c>
      <c r="C55" s="3165" t="s">
        <v>291</v>
      </c>
      <c r="D55" s="3165"/>
      <c r="E55" s="1194" t="s">
        <v>169</v>
      </c>
      <c r="F55" s="1194" t="s">
        <v>450</v>
      </c>
      <c r="G55" s="3443">
        <v>712</v>
      </c>
      <c r="H55" s="3238" t="s">
        <v>1451</v>
      </c>
      <c r="I55" s="3183" t="s">
        <v>84</v>
      </c>
      <c r="J55" s="923" t="s">
        <v>30</v>
      </c>
      <c r="K55" s="71"/>
      <c r="L55" s="3160"/>
      <c r="M55" s="3160"/>
      <c r="N55" s="3160"/>
      <c r="O55" s="3160"/>
      <c r="P55" s="3160"/>
      <c r="Q55" s="71"/>
      <c r="R55" s="71"/>
      <c r="S55" s="71"/>
      <c r="T55" s="71"/>
      <c r="U55" s="3322" t="s">
        <v>1452</v>
      </c>
      <c r="V55" s="3160"/>
      <c r="W55" s="3283"/>
    </row>
    <row r="56" spans="1:23" ht="28.5">
      <c r="A56" s="1941" t="s">
        <v>25</v>
      </c>
      <c r="B56" s="1300">
        <v>45698</v>
      </c>
      <c r="C56" s="3165" t="s">
        <v>322</v>
      </c>
      <c r="D56" s="3165"/>
      <c r="E56" s="1194" t="s">
        <v>79</v>
      </c>
      <c r="F56" s="1557" t="s">
        <v>169</v>
      </c>
      <c r="G56" s="3443">
        <v>712</v>
      </c>
      <c r="H56" s="3330" t="s">
        <v>743</v>
      </c>
      <c r="I56" s="3171" t="s">
        <v>84</v>
      </c>
      <c r="J56" s="923" t="s">
        <v>37</v>
      </c>
      <c r="K56" s="71"/>
      <c r="L56" s="71"/>
      <c r="M56" s="71"/>
      <c r="N56" s="71"/>
      <c r="O56" s="71"/>
      <c r="P56" s="71"/>
      <c r="Q56" s="71"/>
      <c r="R56" s="93"/>
      <c r="S56" s="3160"/>
      <c r="T56" s="3160"/>
      <c r="U56" s="3340"/>
      <c r="V56" s="3160"/>
      <c r="W56" s="3156"/>
    </row>
    <row r="57" spans="1:23" ht="28.5">
      <c r="A57" s="1941" t="s">
        <v>67</v>
      </c>
      <c r="B57" s="1300">
        <v>45699</v>
      </c>
      <c r="C57" s="3165" t="s">
        <v>322</v>
      </c>
      <c r="D57" s="3165"/>
      <c r="E57" s="1194" t="s">
        <v>169</v>
      </c>
      <c r="F57" s="1557" t="s">
        <v>89</v>
      </c>
      <c r="G57" s="3443">
        <v>712</v>
      </c>
      <c r="H57" s="3330" t="s">
        <v>1471</v>
      </c>
      <c r="I57" s="3171" t="s">
        <v>84</v>
      </c>
      <c r="J57" s="923" t="s">
        <v>37</v>
      </c>
      <c r="K57" s="71"/>
      <c r="L57" s="71"/>
      <c r="M57" s="71"/>
      <c r="N57" s="71"/>
      <c r="O57" s="71"/>
      <c r="P57" s="71"/>
      <c r="Q57" s="71"/>
      <c r="R57" s="93"/>
      <c r="S57" s="3160"/>
      <c r="T57" s="3160"/>
      <c r="U57" s="3340"/>
      <c r="V57" s="3160"/>
      <c r="W57" s="3156"/>
    </row>
    <row r="58" spans="1:23" ht="28.5">
      <c r="A58" s="1941" t="s">
        <v>67</v>
      </c>
      <c r="B58" s="1300">
        <v>45699</v>
      </c>
      <c r="C58" s="3165" t="s">
        <v>322</v>
      </c>
      <c r="D58" s="3165"/>
      <c r="E58" s="1194" t="s">
        <v>182</v>
      </c>
      <c r="F58" s="1557" t="s">
        <v>263</v>
      </c>
      <c r="G58" s="3443">
        <v>712</v>
      </c>
      <c r="H58" s="3330" t="s">
        <v>1472</v>
      </c>
      <c r="I58" s="3183" t="s">
        <v>29</v>
      </c>
      <c r="J58" s="923" t="s">
        <v>37</v>
      </c>
      <c r="K58" s="71"/>
      <c r="L58" s="71"/>
      <c r="M58" s="71"/>
      <c r="N58" s="71"/>
      <c r="O58" s="71"/>
      <c r="P58" s="71"/>
      <c r="Q58" s="71"/>
      <c r="R58" s="93"/>
      <c r="S58" s="3160"/>
      <c r="T58" s="3160"/>
      <c r="U58" s="3340"/>
      <c r="V58" s="3160"/>
      <c r="W58" s="3156"/>
    </row>
    <row r="59" spans="1:23" ht="28.5">
      <c r="A59" s="1941" t="s">
        <v>85</v>
      </c>
      <c r="B59" s="1300">
        <v>45700</v>
      </c>
      <c r="C59" s="3165" t="s">
        <v>322</v>
      </c>
      <c r="D59" s="3165"/>
      <c r="E59" s="1194" t="s">
        <v>148</v>
      </c>
      <c r="F59" s="1557" t="s">
        <v>1446</v>
      </c>
      <c r="G59" s="3443">
        <v>712</v>
      </c>
      <c r="H59" s="3330" t="s">
        <v>1472</v>
      </c>
      <c r="I59" s="3238"/>
      <c r="J59" s="923" t="s">
        <v>37</v>
      </c>
      <c r="K59" s="71"/>
      <c r="L59" s="71"/>
      <c r="M59" s="71"/>
      <c r="N59" s="71"/>
      <c r="O59" s="71"/>
      <c r="P59" s="71"/>
      <c r="Q59" s="71"/>
      <c r="R59" s="93"/>
      <c r="S59" s="3160"/>
      <c r="T59" s="3160"/>
      <c r="U59" s="3340"/>
      <c r="V59" s="3160"/>
      <c r="W59" s="3156"/>
    </row>
    <row r="60" spans="1:23" ht="28.5">
      <c r="A60" s="1941" t="s">
        <v>105</v>
      </c>
      <c r="B60" s="1300">
        <v>45701</v>
      </c>
      <c r="C60" s="3165" t="s">
        <v>322</v>
      </c>
      <c r="D60" s="3165"/>
      <c r="E60" s="1194" t="s">
        <v>89</v>
      </c>
      <c r="F60" s="1195" t="s">
        <v>1501</v>
      </c>
      <c r="G60" s="3443">
        <v>712</v>
      </c>
      <c r="H60" s="3330" t="s">
        <v>1222</v>
      </c>
      <c r="I60" s="3238"/>
      <c r="J60" s="923" t="s">
        <v>37</v>
      </c>
      <c r="K60" s="71"/>
      <c r="L60" s="71"/>
      <c r="M60" s="71"/>
      <c r="N60" s="71"/>
      <c r="O60" s="71"/>
      <c r="P60" s="71"/>
      <c r="Q60" s="71"/>
      <c r="R60" s="593"/>
      <c r="S60" s="3160"/>
      <c r="T60" s="3160"/>
      <c r="U60" s="3345"/>
      <c r="V60" s="3160"/>
      <c r="W60" s="3156"/>
    </row>
    <row r="61" spans="1:23" ht="28.5">
      <c r="A61" s="1941" t="s">
        <v>132</v>
      </c>
      <c r="B61" s="1300">
        <v>45702</v>
      </c>
      <c r="C61" s="3165" t="s">
        <v>322</v>
      </c>
      <c r="D61" s="3165"/>
      <c r="E61" s="1194" t="s">
        <v>517</v>
      </c>
      <c r="F61" s="1195" t="s">
        <v>89</v>
      </c>
      <c r="G61" s="3443">
        <v>712</v>
      </c>
      <c r="H61" s="3330" t="s">
        <v>1515</v>
      </c>
      <c r="I61" s="3183" t="s">
        <v>84</v>
      </c>
      <c r="J61" s="923" t="s">
        <v>37</v>
      </c>
      <c r="K61" s="71"/>
      <c r="L61" s="71"/>
      <c r="M61" s="71"/>
      <c r="N61" s="71"/>
      <c r="O61" s="71"/>
      <c r="P61" s="71"/>
      <c r="Q61" s="71"/>
      <c r="R61" s="593"/>
      <c r="S61" s="3160"/>
      <c r="T61" s="3160"/>
      <c r="U61" s="3345"/>
      <c r="V61" s="3160"/>
      <c r="W61" s="3156"/>
    </row>
    <row r="62" spans="1:23" ht="28.5">
      <c r="A62" s="1937" t="s">
        <v>132</v>
      </c>
      <c r="B62" s="1390">
        <v>45702</v>
      </c>
      <c r="C62" s="3165" t="s">
        <v>322</v>
      </c>
      <c r="D62" s="3354"/>
      <c r="E62" s="1524" t="s">
        <v>182</v>
      </c>
      <c r="F62" s="1598" t="s">
        <v>1516</v>
      </c>
      <c r="G62" s="3443">
        <v>712</v>
      </c>
      <c r="H62" s="3333" t="s">
        <v>377</v>
      </c>
      <c r="I62" s="3234"/>
      <c r="J62" s="1001" t="s">
        <v>37</v>
      </c>
      <c r="K62" s="33"/>
      <c r="L62" s="33"/>
      <c r="M62" s="33"/>
      <c r="N62" s="33"/>
      <c r="O62" s="33"/>
      <c r="P62" s="33"/>
      <c r="Q62" s="33"/>
      <c r="R62" s="1040"/>
      <c r="S62" s="3160"/>
      <c r="T62" s="3160"/>
      <c r="U62" s="3343"/>
      <c r="V62" s="3160"/>
      <c r="W62" s="3156"/>
    </row>
    <row r="63" spans="1:23" ht="31.5">
      <c r="A63" s="3383" t="s">
        <v>85</v>
      </c>
      <c r="B63" s="3384">
        <v>45721</v>
      </c>
      <c r="C63" s="3379" t="s">
        <v>569</v>
      </c>
      <c r="D63" s="3754"/>
      <c r="E63" s="3420" t="s">
        <v>169</v>
      </c>
      <c r="F63" s="3421" t="s">
        <v>169</v>
      </c>
      <c r="G63" s="3443">
        <v>712</v>
      </c>
      <c r="H63" s="3395" t="s">
        <v>1237</v>
      </c>
      <c r="I63" s="3390" t="s">
        <v>174</v>
      </c>
      <c r="J63" s="3395" t="s">
        <v>30</v>
      </c>
      <c r="K63" s="3405"/>
      <c r="L63" s="3396"/>
      <c r="M63" s="3396"/>
      <c r="N63" s="3396"/>
      <c r="O63" s="3396"/>
      <c r="P63" s="3396"/>
      <c r="Q63" s="3405"/>
      <c r="R63" s="3396"/>
      <c r="S63" s="3396"/>
      <c r="T63" s="3396"/>
      <c r="U63" s="3438"/>
      <c r="V63" s="3396"/>
      <c r="W63" s="3397"/>
    </row>
    <row r="64" spans="1:23" ht="31.5">
      <c r="A64" s="3388" t="s">
        <v>132</v>
      </c>
      <c r="B64" s="3384">
        <v>45723</v>
      </c>
      <c r="C64" s="3379" t="s">
        <v>569</v>
      </c>
      <c r="D64" s="3754"/>
      <c r="E64" s="3420" t="s">
        <v>169</v>
      </c>
      <c r="F64" s="3421" t="s">
        <v>169</v>
      </c>
      <c r="G64" s="3443">
        <v>712</v>
      </c>
      <c r="H64" s="3395" t="s">
        <v>1649</v>
      </c>
      <c r="I64" s="3386"/>
      <c r="J64" s="3395" t="s">
        <v>30</v>
      </c>
      <c r="K64" s="3401"/>
      <c r="L64" s="3393"/>
      <c r="M64" s="3393"/>
      <c r="N64" s="3393"/>
      <c r="O64" s="3393"/>
      <c r="P64" s="3393"/>
      <c r="Q64" s="3401"/>
      <c r="R64" s="3393"/>
      <c r="S64" s="3393"/>
      <c r="T64" s="3393"/>
      <c r="U64" s="3442"/>
      <c r="V64" s="3393"/>
      <c r="W64" s="3394"/>
    </row>
    <row r="65" spans="1:23" ht="72">
      <c r="A65" s="3388" t="s">
        <v>132</v>
      </c>
      <c r="B65" s="3384">
        <v>45723</v>
      </c>
      <c r="C65" s="3379" t="s">
        <v>569</v>
      </c>
      <c r="D65" s="3754"/>
      <c r="E65" s="3420" t="s">
        <v>339</v>
      </c>
      <c r="F65" s="3421" t="s">
        <v>204</v>
      </c>
      <c r="G65" s="3443">
        <v>712</v>
      </c>
      <c r="H65" s="3395" t="s">
        <v>1627</v>
      </c>
      <c r="I65" s="3383"/>
      <c r="J65" s="3401" t="s">
        <v>37</v>
      </c>
      <c r="K65" s="3389"/>
      <c r="L65" s="3396"/>
      <c r="M65" s="3396"/>
      <c r="N65" s="3396"/>
      <c r="O65" s="3396"/>
      <c r="P65" s="3396"/>
      <c r="Q65" s="3405"/>
      <c r="R65" s="3396"/>
      <c r="S65" s="3396"/>
      <c r="T65" s="3396"/>
      <c r="U65" s="3438" t="s">
        <v>1657</v>
      </c>
      <c r="V65" s="3396"/>
      <c r="W65" s="3397"/>
    </row>
    <row r="66" spans="1:23" ht="28.5">
      <c r="A66" s="3456" t="s">
        <v>85</v>
      </c>
      <c r="B66" s="3457">
        <v>45728</v>
      </c>
      <c r="C66" s="3476">
        <v>11</v>
      </c>
      <c r="D66" s="3476"/>
      <c r="E66" s="4389" t="s">
        <v>80</v>
      </c>
      <c r="F66" s="4389" t="s">
        <v>204</v>
      </c>
      <c r="G66" s="3443">
        <v>712</v>
      </c>
      <c r="H66" s="3458">
        <v>60093</v>
      </c>
      <c r="I66" s="3458"/>
      <c r="J66" s="1891" t="s">
        <v>30</v>
      </c>
      <c r="K66" s="1891"/>
      <c r="L66" s="3276"/>
      <c r="M66" s="2958"/>
      <c r="N66" s="3276"/>
      <c r="O66" s="3276"/>
      <c r="P66" s="3276"/>
      <c r="Q66" s="3276"/>
      <c r="R66" s="3276"/>
      <c r="S66" s="2958"/>
      <c r="T66" s="3276"/>
      <c r="U66" s="2958"/>
      <c r="V66" s="3276"/>
      <c r="W66" s="3277"/>
    </row>
    <row r="67" spans="1:23" ht="85.5">
      <c r="A67" s="3480" t="s">
        <v>132</v>
      </c>
      <c r="B67" s="3444">
        <v>45730</v>
      </c>
      <c r="C67" s="3471">
        <v>11</v>
      </c>
      <c r="D67" s="3471"/>
      <c r="E67" s="4379" t="s">
        <v>258</v>
      </c>
      <c r="F67" s="4396" t="s">
        <v>204</v>
      </c>
      <c r="G67" s="3443">
        <v>712</v>
      </c>
      <c r="H67" s="3446" t="s">
        <v>1499</v>
      </c>
      <c r="I67" s="3446"/>
      <c r="J67" s="1357"/>
      <c r="K67" s="1357" t="s">
        <v>30</v>
      </c>
      <c r="L67" s="3160"/>
      <c r="M67" s="3504"/>
      <c r="N67" s="21" t="s">
        <v>0</v>
      </c>
      <c r="O67" s="21" t="s">
        <v>31</v>
      </c>
      <c r="P67" s="21" t="s">
        <v>1651</v>
      </c>
      <c r="Q67" s="3254"/>
      <c r="R67" s="3160"/>
      <c r="S67" s="2959"/>
      <c r="T67" s="3160"/>
      <c r="U67" s="3470" t="s">
        <v>1689</v>
      </c>
      <c r="V67" s="3160"/>
      <c r="W67" s="3283" t="s">
        <v>1690</v>
      </c>
    </row>
    <row r="68" spans="1:23" ht="28.5">
      <c r="A68" s="3480" t="s">
        <v>132</v>
      </c>
      <c r="B68" s="3444">
        <v>45730</v>
      </c>
      <c r="C68" s="3471">
        <v>11</v>
      </c>
      <c r="D68" s="3471"/>
      <c r="E68" s="4379" t="s">
        <v>306</v>
      </c>
      <c r="F68" s="4396" t="s">
        <v>1691</v>
      </c>
      <c r="G68" s="3443">
        <v>712</v>
      </c>
      <c r="H68" s="3446" t="s">
        <v>1692</v>
      </c>
      <c r="I68" s="3446"/>
      <c r="J68" s="1357" t="s">
        <v>37</v>
      </c>
      <c r="K68" s="1357"/>
      <c r="L68" s="3160"/>
      <c r="M68" s="2959"/>
      <c r="N68" s="3276"/>
      <c r="O68" s="3276"/>
      <c r="P68" s="3276"/>
      <c r="Q68" s="3160"/>
      <c r="R68" s="3160"/>
      <c r="S68" s="2959"/>
      <c r="T68" s="3160"/>
      <c r="U68" s="2959"/>
      <c r="V68" s="3160"/>
      <c r="W68" s="3283"/>
    </row>
    <row r="69" spans="1:23" ht="57">
      <c r="A69" s="3500" t="s">
        <v>132</v>
      </c>
      <c r="B69" s="3463">
        <v>45730</v>
      </c>
      <c r="C69" s="3471">
        <v>11</v>
      </c>
      <c r="D69" s="3757"/>
      <c r="E69" s="4397" t="s">
        <v>924</v>
      </c>
      <c r="F69" s="4398" t="s">
        <v>216</v>
      </c>
      <c r="G69" s="3443">
        <v>712</v>
      </c>
      <c r="H69" s="3501" t="s">
        <v>1695</v>
      </c>
      <c r="I69" s="3464"/>
      <c r="J69" s="1921"/>
      <c r="K69" s="1921"/>
      <c r="L69" s="3273"/>
      <c r="M69" s="3469" t="s">
        <v>37</v>
      </c>
      <c r="N69" s="3273"/>
      <c r="O69" s="3273"/>
      <c r="P69" s="3273"/>
      <c r="Q69" s="3273"/>
      <c r="R69" s="3273"/>
      <c r="S69" s="3469"/>
      <c r="T69" s="3273"/>
      <c r="U69" s="3475" t="s">
        <v>1696</v>
      </c>
      <c r="V69" s="3273"/>
      <c r="W69" s="3300"/>
    </row>
    <row r="70" spans="1:23" ht="28.5">
      <c r="A70" s="3456" t="s">
        <v>105</v>
      </c>
      <c r="B70" s="3457">
        <v>45736</v>
      </c>
      <c r="C70" s="3513" t="s">
        <v>709</v>
      </c>
      <c r="D70" s="3513"/>
      <c r="E70" s="3456" t="s">
        <v>258</v>
      </c>
      <c r="F70" s="3456" t="s">
        <v>204</v>
      </c>
      <c r="G70" s="3443">
        <v>712</v>
      </c>
      <c r="H70" s="3456" t="s">
        <v>318</v>
      </c>
      <c r="I70" s="3166"/>
      <c r="J70" s="3456" t="s">
        <v>37</v>
      </c>
      <c r="K70" s="3456"/>
      <c r="L70" s="3456"/>
      <c r="M70" s="3456"/>
      <c r="N70" s="3160"/>
      <c r="O70" s="3160"/>
      <c r="P70" s="3160"/>
      <c r="Q70" s="3456"/>
      <c r="R70" s="3160"/>
      <c r="S70" s="3160"/>
      <c r="T70" s="3160"/>
      <c r="U70" s="3456"/>
      <c r="V70" s="3160"/>
      <c r="W70" s="3156"/>
    </row>
    <row r="71" spans="1:23" ht="29.25" thickBot="1">
      <c r="A71" s="3447" t="s">
        <v>105</v>
      </c>
      <c r="B71" s="3448">
        <v>45736</v>
      </c>
      <c r="C71" s="3513" t="s">
        <v>709</v>
      </c>
      <c r="D71" s="3520"/>
      <c r="E71" s="3447" t="s">
        <v>1726</v>
      </c>
      <c r="F71" s="3447" t="s">
        <v>1691</v>
      </c>
      <c r="G71" s="3443">
        <v>712</v>
      </c>
      <c r="H71" s="3447" t="s">
        <v>1485</v>
      </c>
      <c r="I71" s="3166"/>
      <c r="J71" s="3447" t="s">
        <v>37</v>
      </c>
      <c r="K71" s="3447"/>
      <c r="L71" s="3447"/>
      <c r="M71" s="3447"/>
      <c r="N71" s="3160"/>
      <c r="O71" s="3160"/>
      <c r="P71" s="3160"/>
      <c r="Q71" s="3447"/>
      <c r="R71" s="3160"/>
      <c r="S71" s="3160"/>
      <c r="T71" s="3160"/>
      <c r="U71" s="3447"/>
      <c r="V71" s="3160"/>
      <c r="W71" s="3156"/>
    </row>
    <row r="72" spans="1:23" ht="29.25" thickBot="1">
      <c r="A72" s="3443" t="s">
        <v>132</v>
      </c>
      <c r="B72" s="3444">
        <v>45737</v>
      </c>
      <c r="C72" s="3513" t="s">
        <v>709</v>
      </c>
      <c r="D72" s="3513"/>
      <c r="E72" s="3443" t="s">
        <v>1727</v>
      </c>
      <c r="F72" s="3443" t="s">
        <v>1691</v>
      </c>
      <c r="G72" s="3443">
        <v>712</v>
      </c>
      <c r="H72" s="3443" t="s">
        <v>151</v>
      </c>
      <c r="I72" s="3166"/>
      <c r="J72" s="3443" t="s">
        <v>37</v>
      </c>
      <c r="K72" s="3443"/>
      <c r="L72" s="3443"/>
      <c r="M72" s="3443"/>
      <c r="N72" s="3160"/>
      <c r="O72" s="3160"/>
      <c r="P72" s="3160"/>
      <c r="Q72" s="3443"/>
      <c r="R72" s="3160"/>
      <c r="S72" s="3160"/>
      <c r="T72" s="3160"/>
      <c r="U72" s="3443"/>
      <c r="V72" s="3160"/>
      <c r="W72" s="3156"/>
    </row>
    <row r="73" spans="1:23" ht="85.5">
      <c r="A73" s="3480" t="s">
        <v>25</v>
      </c>
      <c r="B73" s="3611">
        <v>45747</v>
      </c>
      <c r="C73" s="3165" t="s">
        <v>882</v>
      </c>
      <c r="D73" s="3165"/>
      <c r="E73" s="3443" t="s">
        <v>1810</v>
      </c>
      <c r="F73" s="3531" t="s">
        <v>1825</v>
      </c>
      <c r="G73" s="3443">
        <v>712</v>
      </c>
      <c r="H73" s="3534" t="s">
        <v>1826</v>
      </c>
      <c r="I73" s="3511" t="s">
        <v>84</v>
      </c>
      <c r="J73" s="3443"/>
      <c r="K73" s="3443" t="s">
        <v>37</v>
      </c>
      <c r="L73" s="3443"/>
      <c r="M73" s="3160"/>
      <c r="N73" s="34" t="s">
        <v>122</v>
      </c>
      <c r="O73" s="34" t="s">
        <v>123</v>
      </c>
      <c r="P73" s="34" t="s">
        <v>1155</v>
      </c>
      <c r="Q73" s="3160"/>
      <c r="R73" s="3160"/>
      <c r="S73" s="3160"/>
      <c r="T73" s="3160"/>
      <c r="U73" s="3522" t="s">
        <v>1827</v>
      </c>
      <c r="V73" s="3160"/>
      <c r="W73" s="3156"/>
    </row>
    <row r="74" spans="1:23" ht="28.5">
      <c r="A74" s="3480" t="s">
        <v>25</v>
      </c>
      <c r="B74" s="3611">
        <v>45747</v>
      </c>
      <c r="C74" s="3165" t="s">
        <v>882</v>
      </c>
      <c r="D74" s="3165"/>
      <c r="E74" s="3443" t="s">
        <v>1819</v>
      </c>
      <c r="F74" s="3531" t="s">
        <v>1698</v>
      </c>
      <c r="G74" s="3443">
        <v>712</v>
      </c>
      <c r="H74" s="3534" t="s">
        <v>1831</v>
      </c>
      <c r="I74" s="3443"/>
      <c r="J74" s="3443" t="s">
        <v>37</v>
      </c>
      <c r="K74" s="3443"/>
      <c r="L74" s="3443"/>
      <c r="M74" s="3160"/>
      <c r="N74" s="3160"/>
      <c r="O74" s="3160"/>
      <c r="P74" s="3160"/>
      <c r="Q74" s="3160"/>
      <c r="R74" s="3160"/>
      <c r="S74" s="3160"/>
      <c r="T74" s="3160"/>
      <c r="U74" s="3522"/>
      <c r="V74" s="3160"/>
      <c r="W74" s="3156"/>
    </row>
    <row r="75" spans="1:23" ht="28.5">
      <c r="A75" s="3480" t="s">
        <v>67</v>
      </c>
      <c r="B75" s="3611">
        <v>45748</v>
      </c>
      <c r="C75" s="3165" t="s">
        <v>882</v>
      </c>
      <c r="D75" s="3165"/>
      <c r="E75" s="3443" t="s">
        <v>1198</v>
      </c>
      <c r="F75" s="3531" t="s">
        <v>1834</v>
      </c>
      <c r="G75" s="3443">
        <v>712</v>
      </c>
      <c r="H75" s="3534" t="s">
        <v>1826</v>
      </c>
      <c r="I75" s="3511" t="s">
        <v>84</v>
      </c>
      <c r="J75" s="3443"/>
      <c r="K75" s="3443"/>
      <c r="L75" s="3443" t="s">
        <v>30</v>
      </c>
      <c r="M75" s="3160"/>
      <c r="N75" s="3160"/>
      <c r="O75" s="3160"/>
      <c r="P75" s="3160"/>
      <c r="Q75" s="3160"/>
      <c r="R75" s="3160"/>
      <c r="S75" s="3160"/>
      <c r="T75" s="3160"/>
      <c r="U75" s="3522" t="s">
        <v>1835</v>
      </c>
      <c r="V75" s="3160"/>
      <c r="W75" s="3156"/>
    </row>
    <row r="76" spans="1:23" ht="28.5">
      <c r="A76" s="3493" t="s">
        <v>85</v>
      </c>
      <c r="B76" s="3457">
        <v>45749</v>
      </c>
      <c r="C76" s="3165" t="s">
        <v>882</v>
      </c>
      <c r="D76" s="3355"/>
      <c r="E76" s="3456" t="s">
        <v>204</v>
      </c>
      <c r="F76" s="3599" t="s">
        <v>148</v>
      </c>
      <c r="G76" s="3443">
        <v>712</v>
      </c>
      <c r="H76" s="3605">
        <v>1486</v>
      </c>
      <c r="I76" s="3456"/>
      <c r="J76" s="3456" t="s">
        <v>37</v>
      </c>
      <c r="K76" s="3456"/>
      <c r="L76" s="3456"/>
      <c r="M76" s="3160"/>
      <c r="N76" s="3160"/>
      <c r="O76" s="3160"/>
      <c r="P76" s="3160"/>
      <c r="Q76" s="3160"/>
      <c r="R76" s="3160"/>
      <c r="S76" s="3160"/>
      <c r="T76" s="3160"/>
      <c r="U76" s="3609"/>
      <c r="V76" s="3160"/>
      <c r="W76" s="3156"/>
    </row>
    <row r="77" spans="1:23" ht="29.25" thickBot="1">
      <c r="A77" s="3480" t="s">
        <v>85</v>
      </c>
      <c r="B77" s="3444">
        <v>45749</v>
      </c>
      <c r="C77" s="3165" t="s">
        <v>882</v>
      </c>
      <c r="D77" s="3165"/>
      <c r="E77" s="3443" t="s">
        <v>1810</v>
      </c>
      <c r="F77" s="3531" t="s">
        <v>1845</v>
      </c>
      <c r="G77" s="3443">
        <v>712</v>
      </c>
      <c r="H77" s="3534" t="s">
        <v>1843</v>
      </c>
      <c r="I77" s="3511" t="s">
        <v>84</v>
      </c>
      <c r="J77" s="3443" t="s">
        <v>37</v>
      </c>
      <c r="K77" s="3443"/>
      <c r="L77" s="3443" t="s">
        <v>37</v>
      </c>
      <c r="M77" s="3160"/>
      <c r="N77" s="3160"/>
      <c r="O77" s="3160"/>
      <c r="P77" s="3160"/>
      <c r="Q77" s="3160"/>
      <c r="R77" s="3160"/>
      <c r="S77" s="3160"/>
      <c r="T77" s="3160"/>
      <c r="U77" s="3522"/>
      <c r="V77" s="3160"/>
      <c r="W77" s="3156"/>
    </row>
    <row r="78" spans="1:23" ht="57">
      <c r="A78" s="3480" t="s">
        <v>105</v>
      </c>
      <c r="B78" s="3444">
        <v>45750</v>
      </c>
      <c r="C78" s="3165" t="s">
        <v>882</v>
      </c>
      <c r="D78" s="3165"/>
      <c r="E78" s="3443" t="s">
        <v>1198</v>
      </c>
      <c r="F78" s="3531" t="s">
        <v>1850</v>
      </c>
      <c r="G78" s="3443">
        <v>712</v>
      </c>
      <c r="H78" s="3534" t="s">
        <v>1826</v>
      </c>
      <c r="I78" s="3443"/>
      <c r="J78" s="3443"/>
      <c r="K78" s="3443" t="s">
        <v>37</v>
      </c>
      <c r="L78" s="3443" t="s">
        <v>30</v>
      </c>
      <c r="M78" s="3160"/>
      <c r="N78" s="34" t="s">
        <v>231</v>
      </c>
      <c r="O78" s="34" t="s">
        <v>232</v>
      </c>
      <c r="P78" s="34" t="s">
        <v>1155</v>
      </c>
      <c r="Q78" s="3160"/>
      <c r="R78" s="3160"/>
      <c r="S78" s="3160"/>
      <c r="T78" s="3160"/>
      <c r="U78" s="3522" t="s">
        <v>1851</v>
      </c>
      <c r="V78" s="3160"/>
      <c r="W78" s="3156"/>
    </row>
    <row r="79" spans="1:23" ht="29.25" thickBot="1">
      <c r="A79" s="3598" t="s">
        <v>1519</v>
      </c>
      <c r="B79" s="3506">
        <v>45752</v>
      </c>
      <c r="C79" s="3165" t="s">
        <v>882</v>
      </c>
      <c r="D79" s="3368"/>
      <c r="E79" s="3505" t="s">
        <v>1864</v>
      </c>
      <c r="F79" s="3602" t="s">
        <v>148</v>
      </c>
      <c r="G79" s="3443">
        <v>712</v>
      </c>
      <c r="H79" s="3607" t="s">
        <v>824</v>
      </c>
      <c r="I79" s="3505"/>
      <c r="J79" s="3505"/>
      <c r="K79" s="3505"/>
      <c r="L79" s="3505"/>
      <c r="M79" s="3160"/>
      <c r="N79" s="3160"/>
      <c r="O79" s="3160"/>
      <c r="P79" s="3160"/>
      <c r="Q79" s="3160"/>
      <c r="R79" s="3160"/>
      <c r="S79" s="3160"/>
      <c r="T79" s="3160"/>
      <c r="U79" s="3610"/>
      <c r="V79" s="3160"/>
      <c r="W79" s="3156"/>
    </row>
    <row r="80" spans="1:23" ht="28.5">
      <c r="A80" s="3480" t="s">
        <v>85</v>
      </c>
      <c r="B80" s="3444">
        <v>45756</v>
      </c>
      <c r="C80" s="3355" t="s">
        <v>952</v>
      </c>
      <c r="D80" s="3355"/>
      <c r="E80" s="3625" t="s">
        <v>1935</v>
      </c>
      <c r="F80" s="3654" t="s">
        <v>1936</v>
      </c>
      <c r="G80" s="3443">
        <v>712</v>
      </c>
      <c r="H80" s="3443" t="s">
        <v>743</v>
      </c>
      <c r="I80" s="3511" t="s">
        <v>4064</v>
      </c>
      <c r="J80" s="3443" t="s">
        <v>37</v>
      </c>
      <c r="K80" s="3443"/>
      <c r="L80" s="3443"/>
      <c r="M80" s="3443"/>
      <c r="N80" s="3443"/>
      <c r="O80" s="3443"/>
      <c r="P80" s="3443"/>
      <c r="Q80" s="3160"/>
      <c r="R80" s="3160"/>
      <c r="S80" s="3160"/>
      <c r="T80" s="3160"/>
      <c r="U80" s="3522"/>
      <c r="V80" s="3254"/>
      <c r="W80" s="3283"/>
    </row>
    <row r="81" spans="1:23" ht="57.75" thickBot="1">
      <c r="A81" s="3494" t="s">
        <v>85</v>
      </c>
      <c r="B81" s="3448">
        <v>45756</v>
      </c>
      <c r="C81" s="3372" t="s">
        <v>952</v>
      </c>
      <c r="D81" s="3372"/>
      <c r="E81" s="3626" t="s">
        <v>169</v>
      </c>
      <c r="F81" s="3655" t="s">
        <v>1937</v>
      </c>
      <c r="G81" s="3443">
        <v>712</v>
      </c>
      <c r="H81" s="3447" t="s">
        <v>743</v>
      </c>
      <c r="I81" s="3608" t="s">
        <v>4064</v>
      </c>
      <c r="J81" s="3447"/>
      <c r="K81" s="3447" t="s">
        <v>37</v>
      </c>
      <c r="L81" s="3447"/>
      <c r="M81" s="3447"/>
      <c r="N81" s="35" t="s">
        <v>0</v>
      </c>
      <c r="O81" s="35" t="s">
        <v>110</v>
      </c>
      <c r="P81" s="35" t="s">
        <v>1155</v>
      </c>
      <c r="Q81" s="3284"/>
      <c r="R81" s="3284"/>
      <c r="S81" s="3284"/>
      <c r="T81" s="3284"/>
      <c r="U81" s="3547" t="s">
        <v>1938</v>
      </c>
      <c r="V81" s="3672" t="s">
        <v>1939</v>
      </c>
      <c r="W81" s="3285"/>
    </row>
    <row r="82" spans="1:23" ht="28.5">
      <c r="A82" s="3656" t="s">
        <v>1940</v>
      </c>
      <c r="B82" s="3657">
        <v>45757</v>
      </c>
      <c r="C82" s="3356" t="s">
        <v>952</v>
      </c>
      <c r="D82" s="3375"/>
      <c r="E82" s="3662" t="s">
        <v>89</v>
      </c>
      <c r="F82" s="3663" t="s">
        <v>1941</v>
      </c>
      <c r="G82" s="3443">
        <v>712</v>
      </c>
      <c r="H82" s="3666" t="s">
        <v>743</v>
      </c>
      <c r="I82" s="3667" t="s">
        <v>4064</v>
      </c>
      <c r="J82" s="3503" t="s">
        <v>37</v>
      </c>
      <c r="K82" s="3668"/>
      <c r="L82" s="3668"/>
      <c r="M82" s="3668"/>
      <c r="N82" s="3668"/>
      <c r="O82" s="3668"/>
      <c r="P82" s="3668"/>
      <c r="Q82" s="3281"/>
      <c r="R82" s="3281"/>
      <c r="S82" s="3281"/>
      <c r="T82" s="3281"/>
      <c r="U82" s="3669"/>
      <c r="V82" s="3307"/>
      <c r="W82" s="3277"/>
    </row>
    <row r="83" spans="1:23" ht="29.25" thickBot="1">
      <c r="A83" s="3494" t="s">
        <v>132</v>
      </c>
      <c r="B83" s="3448">
        <v>45758</v>
      </c>
      <c r="C83" s="3372" t="s">
        <v>952</v>
      </c>
      <c r="D83" s="3372"/>
      <c r="E83" s="3626" t="s">
        <v>1213</v>
      </c>
      <c r="F83" s="3655" t="s">
        <v>1962</v>
      </c>
      <c r="G83" s="3443">
        <v>712</v>
      </c>
      <c r="H83" s="3546" t="s">
        <v>743</v>
      </c>
      <c r="I83" s="3608" t="s">
        <v>4064</v>
      </c>
      <c r="J83" s="3508" t="s">
        <v>37</v>
      </c>
      <c r="K83" s="3447"/>
      <c r="L83" s="3447"/>
      <c r="M83" s="3447"/>
      <c r="N83" s="3447"/>
      <c r="O83" s="3447"/>
      <c r="P83" s="3447"/>
      <c r="Q83" s="3284"/>
      <c r="R83" s="3284"/>
      <c r="S83" s="3284"/>
      <c r="T83" s="3284"/>
      <c r="U83" s="3547"/>
      <c r="V83" s="3254"/>
      <c r="W83" s="3156"/>
    </row>
    <row r="84" spans="1:23" ht="28.5">
      <c r="A84" s="3477" t="s">
        <v>25</v>
      </c>
      <c r="B84" s="3478">
        <v>45761</v>
      </c>
      <c r="C84" s="3165" t="s">
        <v>1963</v>
      </c>
      <c r="D84" s="3355"/>
      <c r="E84" s="3676" t="s">
        <v>450</v>
      </c>
      <c r="F84" s="3677" t="s">
        <v>1965</v>
      </c>
      <c r="G84" s="3443">
        <v>712</v>
      </c>
      <c r="H84" s="3666" t="s">
        <v>1966</v>
      </c>
      <c r="I84" s="3668"/>
      <c r="J84" s="3668" t="s">
        <v>37</v>
      </c>
      <c r="K84" s="3503"/>
      <c r="L84" s="3503"/>
      <c r="M84" s="3503"/>
      <c r="N84" s="3276"/>
      <c r="O84" s="3276"/>
      <c r="P84" s="3276"/>
      <c r="Q84" s="3503"/>
      <c r="R84" s="3503"/>
      <c r="S84" s="3503"/>
      <c r="T84" s="3276"/>
      <c r="U84" s="3521"/>
      <c r="V84" s="3160"/>
      <c r="W84" s="3156"/>
    </row>
    <row r="85" spans="1:23" ht="28.5">
      <c r="A85" s="3480" t="s">
        <v>67</v>
      </c>
      <c r="B85" s="3444">
        <v>45762</v>
      </c>
      <c r="C85" s="3165" t="s">
        <v>1963</v>
      </c>
      <c r="D85" s="3165"/>
      <c r="E85" s="3683" t="s">
        <v>1985</v>
      </c>
      <c r="F85" s="3701" t="s">
        <v>1986</v>
      </c>
      <c r="G85" s="3443">
        <v>712</v>
      </c>
      <c r="H85" s="3443" t="s">
        <v>743</v>
      </c>
      <c r="I85" s="3443"/>
      <c r="J85" s="3462" t="s">
        <v>37</v>
      </c>
      <c r="K85" s="3443"/>
      <c r="L85" s="3443"/>
      <c r="M85" s="3443"/>
      <c r="N85" s="3160"/>
      <c r="O85" s="3160"/>
      <c r="P85" s="3160"/>
      <c r="Q85" s="3443"/>
      <c r="R85" s="3443"/>
      <c r="S85" s="3443"/>
      <c r="T85" s="3160"/>
      <c r="U85" s="3507"/>
      <c r="V85" s="3160"/>
      <c r="W85" s="3283"/>
    </row>
    <row r="86" spans="1:23" ht="28.5">
      <c r="A86" s="3456" t="s">
        <v>85</v>
      </c>
      <c r="B86" s="3457">
        <v>45763</v>
      </c>
      <c r="C86" s="3355" t="s">
        <v>1963</v>
      </c>
      <c r="D86" s="3355"/>
      <c r="E86" s="3685" t="s">
        <v>1997</v>
      </c>
      <c r="F86" s="3685" t="s">
        <v>1998</v>
      </c>
      <c r="G86" s="3443">
        <v>712</v>
      </c>
      <c r="H86" s="3607" t="s">
        <v>1999</v>
      </c>
      <c r="I86" s="3505"/>
      <c r="J86" s="3505" t="s">
        <v>37</v>
      </c>
      <c r="K86" s="3456"/>
      <c r="L86" s="3505"/>
      <c r="M86" s="3505"/>
      <c r="N86" s="3276"/>
      <c r="O86" s="3276"/>
      <c r="P86" s="3276"/>
      <c r="Q86" s="3505"/>
      <c r="R86" s="3505"/>
      <c r="S86" s="3505"/>
      <c r="T86" s="3276"/>
      <c r="U86" s="3697" t="s">
        <v>2000</v>
      </c>
      <c r="V86" s="3276"/>
      <c r="W86" s="3277"/>
    </row>
    <row r="87" spans="1:23" ht="28.5">
      <c r="A87" s="3456" t="s">
        <v>85</v>
      </c>
      <c r="B87" s="3457">
        <v>45763</v>
      </c>
      <c r="C87" s="3165" t="s">
        <v>1963</v>
      </c>
      <c r="D87" s="3355"/>
      <c r="E87" s="3685" t="s">
        <v>1191</v>
      </c>
      <c r="F87" s="3685" t="s">
        <v>2001</v>
      </c>
      <c r="G87" s="3443">
        <v>712</v>
      </c>
      <c r="H87" s="3443" t="s">
        <v>50</v>
      </c>
      <c r="I87" s="3511" t="s">
        <v>84</v>
      </c>
      <c r="J87" s="3443" t="s">
        <v>37</v>
      </c>
      <c r="K87" s="3443"/>
      <c r="L87" s="3443"/>
      <c r="M87" s="3443"/>
      <c r="N87" s="3160"/>
      <c r="O87" s="3160"/>
      <c r="P87" s="3160"/>
      <c r="Q87" s="3443"/>
      <c r="R87" s="3443"/>
      <c r="S87" s="3443"/>
      <c r="T87" s="3160"/>
      <c r="U87" s="3507" t="s">
        <v>2002</v>
      </c>
      <c r="V87" s="3160"/>
      <c r="W87" s="3156"/>
    </row>
    <row r="88" spans="1:23" ht="28.5">
      <c r="A88" s="3480" t="s">
        <v>105</v>
      </c>
      <c r="B88" s="3444">
        <v>45764</v>
      </c>
      <c r="C88" s="3165" t="s">
        <v>1963</v>
      </c>
      <c r="D88" s="3165"/>
      <c r="E88" s="3553" t="s">
        <v>306</v>
      </c>
      <c r="F88" s="3711" t="s">
        <v>2035</v>
      </c>
      <c r="G88" s="3443">
        <v>712</v>
      </c>
      <c r="H88" s="3605" t="s">
        <v>2036</v>
      </c>
      <c r="I88" s="3456"/>
      <c r="J88" s="3443" t="s">
        <v>37</v>
      </c>
      <c r="K88" s="3456"/>
      <c r="L88" s="3443"/>
      <c r="M88" s="3443"/>
      <c r="N88" s="3160"/>
      <c r="O88" s="3160"/>
      <c r="P88" s="3160"/>
      <c r="Q88" s="3443"/>
      <c r="R88" s="3443"/>
      <c r="S88" s="3443"/>
      <c r="T88" s="3160"/>
      <c r="U88" s="3507"/>
      <c r="V88" s="3160"/>
      <c r="W88" s="3283"/>
    </row>
    <row r="89" spans="1:23" ht="28.5">
      <c r="A89" s="3480" t="s">
        <v>105</v>
      </c>
      <c r="B89" s="3444">
        <v>45764</v>
      </c>
      <c r="C89" s="3165" t="s">
        <v>1963</v>
      </c>
      <c r="D89" s="3165"/>
      <c r="E89" s="3623" t="s">
        <v>1811</v>
      </c>
      <c r="F89" s="3652" t="s">
        <v>2042</v>
      </c>
      <c r="G89" s="3443">
        <v>712</v>
      </c>
      <c r="H89" s="3605" t="s">
        <v>589</v>
      </c>
      <c r="I89" s="3456"/>
      <c r="J89" s="3599"/>
      <c r="K89" s="3443" t="s">
        <v>37</v>
      </c>
      <c r="L89" s="3443"/>
      <c r="M89" s="3443"/>
      <c r="N89" s="20" t="s">
        <v>122</v>
      </c>
      <c r="O89" s="21" t="s">
        <v>123</v>
      </c>
      <c r="P89" s="20" t="s">
        <v>32</v>
      </c>
      <c r="Q89" s="3443"/>
      <c r="R89" s="3443"/>
      <c r="S89" s="3443"/>
      <c r="T89" s="3160"/>
      <c r="U89" s="3507" t="s">
        <v>2043</v>
      </c>
      <c r="V89" s="3160"/>
      <c r="W89" s="3283"/>
    </row>
    <row r="90" spans="1:23" ht="28.5">
      <c r="A90" s="3480" t="s">
        <v>105</v>
      </c>
      <c r="B90" s="3444">
        <v>45764</v>
      </c>
      <c r="C90" s="3165" t="s">
        <v>1963</v>
      </c>
      <c r="D90" s="3165"/>
      <c r="E90" s="3623" t="s">
        <v>304</v>
      </c>
      <c r="F90" s="3652" t="s">
        <v>808</v>
      </c>
      <c r="G90" s="3443">
        <v>712</v>
      </c>
      <c r="H90" s="3605" t="s">
        <v>2044</v>
      </c>
      <c r="I90" s="3456"/>
      <c r="J90" s="3443" t="s">
        <v>37</v>
      </c>
      <c r="K90" s="3443"/>
      <c r="L90" s="3443"/>
      <c r="M90" s="3443"/>
      <c r="N90" s="3160"/>
      <c r="O90" s="3276"/>
      <c r="P90" s="3160"/>
      <c r="Q90" s="3443"/>
      <c r="R90" s="3443"/>
      <c r="S90" s="3443"/>
      <c r="T90" s="3160"/>
      <c r="U90" s="3507" t="s">
        <v>2045</v>
      </c>
      <c r="V90" s="3160"/>
      <c r="W90" s="3283"/>
    </row>
    <row r="91" spans="1:23" ht="28.5">
      <c r="A91" s="3480" t="s">
        <v>105</v>
      </c>
      <c r="B91" s="3444">
        <v>45764</v>
      </c>
      <c r="C91" s="3165" t="s">
        <v>1963</v>
      </c>
      <c r="D91" s="3165"/>
      <c r="E91" s="3443" t="s">
        <v>1811</v>
      </c>
      <c r="F91" s="3516" t="s">
        <v>2047</v>
      </c>
      <c r="G91" s="3443">
        <v>712</v>
      </c>
      <c r="H91" s="3605" t="s">
        <v>2048</v>
      </c>
      <c r="I91" s="3673" t="s">
        <v>84</v>
      </c>
      <c r="J91" s="3599"/>
      <c r="K91" s="3443"/>
      <c r="L91" s="3443" t="s">
        <v>37</v>
      </c>
      <c r="M91" s="3443"/>
      <c r="N91" s="3160"/>
      <c r="O91" s="3160"/>
      <c r="P91" s="3160"/>
      <c r="Q91" s="3443"/>
      <c r="R91" s="3443"/>
      <c r="S91" s="3443"/>
      <c r="T91" s="3160"/>
      <c r="U91" s="3507" t="s">
        <v>2049</v>
      </c>
      <c r="V91" s="3160"/>
      <c r="W91" s="3283"/>
    </row>
    <row r="92" spans="1:23" ht="29.25" thickBot="1">
      <c r="A92" s="3480" t="s">
        <v>105</v>
      </c>
      <c r="B92" s="3444">
        <v>45764</v>
      </c>
      <c r="C92" s="3165" t="s">
        <v>1963</v>
      </c>
      <c r="D92" s="3165"/>
      <c r="E92" s="3443" t="s">
        <v>169</v>
      </c>
      <c r="F92" s="3516" t="s">
        <v>1160</v>
      </c>
      <c r="G92" s="3443">
        <v>712</v>
      </c>
      <c r="H92" s="3605" t="s">
        <v>387</v>
      </c>
      <c r="I92" s="3673" t="s">
        <v>84</v>
      </c>
      <c r="J92" s="3599" t="s">
        <v>37</v>
      </c>
      <c r="K92" s="3443"/>
      <c r="L92" s="3443"/>
      <c r="M92" s="3443"/>
      <c r="N92" s="3160"/>
      <c r="O92" s="3160"/>
      <c r="P92" s="3160"/>
      <c r="Q92" s="3443"/>
      <c r="R92" s="3443"/>
      <c r="S92" s="3443" t="s">
        <v>37</v>
      </c>
      <c r="T92" s="3160"/>
      <c r="U92" s="3507" t="s">
        <v>2049</v>
      </c>
      <c r="V92" s="3160"/>
      <c r="W92" s="3283"/>
    </row>
    <row r="93" spans="1:23" ht="28.5">
      <c r="A93" s="3477" t="s">
        <v>132</v>
      </c>
      <c r="B93" s="3674">
        <v>45765</v>
      </c>
      <c r="C93" s="3356" t="s">
        <v>1963</v>
      </c>
      <c r="D93" s="3356"/>
      <c r="E93" s="3503" t="s">
        <v>169</v>
      </c>
      <c r="F93" s="3515" t="s">
        <v>2057</v>
      </c>
      <c r="G93" s="3443">
        <v>712</v>
      </c>
      <c r="H93" s="3503" t="s">
        <v>2058</v>
      </c>
      <c r="I93" s="3694" t="s">
        <v>84</v>
      </c>
      <c r="J93" s="3503" t="s">
        <v>37</v>
      </c>
      <c r="K93" s="3503"/>
      <c r="L93" s="3503"/>
      <c r="M93" s="3503"/>
      <c r="N93" s="3281"/>
      <c r="O93" s="3281"/>
      <c r="P93" s="3281"/>
      <c r="Q93" s="3503"/>
      <c r="R93" s="3503"/>
      <c r="S93" s="3503"/>
      <c r="T93" s="3281"/>
      <c r="U93" s="3521"/>
      <c r="V93" s="3281"/>
      <c r="W93" s="3282"/>
    </row>
    <row r="94" spans="1:23" ht="28.5">
      <c r="A94" s="3480" t="s">
        <v>132</v>
      </c>
      <c r="B94" s="3611">
        <v>45765</v>
      </c>
      <c r="C94" s="3165" t="s">
        <v>1963</v>
      </c>
      <c r="D94" s="3165"/>
      <c r="E94" s="3443" t="s">
        <v>2060</v>
      </c>
      <c r="F94" s="3516" t="s">
        <v>2061</v>
      </c>
      <c r="G94" s="3443">
        <v>712</v>
      </c>
      <c r="H94" s="3443" t="s">
        <v>2062</v>
      </c>
      <c r="I94" s="3695" t="s">
        <v>2658</v>
      </c>
      <c r="J94" s="3443" t="s">
        <v>37</v>
      </c>
      <c r="K94" s="3443"/>
      <c r="L94" s="3443"/>
      <c r="M94" s="3443"/>
      <c r="N94" s="3160"/>
      <c r="O94" s="3160"/>
      <c r="P94" s="3160"/>
      <c r="Q94" s="3443"/>
      <c r="R94" s="3443"/>
      <c r="S94" s="3443"/>
      <c r="T94" s="3160"/>
      <c r="U94" s="3522"/>
      <c r="V94" s="3160"/>
      <c r="W94" s="3283"/>
    </row>
    <row r="95" spans="1:23" ht="28.5">
      <c r="A95" s="3480" t="s">
        <v>132</v>
      </c>
      <c r="B95" s="3611">
        <v>45765</v>
      </c>
      <c r="C95" s="3165" t="s">
        <v>1963</v>
      </c>
      <c r="D95" s="3165"/>
      <c r="E95" s="3553" t="s">
        <v>1116</v>
      </c>
      <c r="F95" s="3711" t="s">
        <v>1986</v>
      </c>
      <c r="G95" s="3443">
        <v>712</v>
      </c>
      <c r="H95" s="3443" t="s">
        <v>2036</v>
      </c>
      <c r="I95" s="3443"/>
      <c r="J95" s="3443" t="s">
        <v>37</v>
      </c>
      <c r="K95" s="3443"/>
      <c r="L95" s="3443"/>
      <c r="M95" s="3443"/>
      <c r="N95" s="3160"/>
      <c r="O95" s="3160"/>
      <c r="P95" s="3160"/>
      <c r="Q95" s="3443"/>
      <c r="R95" s="3443"/>
      <c r="S95" s="3443"/>
      <c r="T95" s="3160"/>
      <c r="U95" s="3522"/>
      <c r="V95" s="3160"/>
      <c r="W95" s="3283"/>
    </row>
    <row r="96" spans="1:23" ht="29.25" thickBot="1">
      <c r="A96" s="3500" t="s">
        <v>132</v>
      </c>
      <c r="B96" s="3675">
        <v>45765</v>
      </c>
      <c r="C96" s="3165" t="s">
        <v>1963</v>
      </c>
      <c r="D96" s="3354"/>
      <c r="E96" s="3689" t="s">
        <v>2082</v>
      </c>
      <c r="F96" s="3714" t="s">
        <v>1160</v>
      </c>
      <c r="G96" s="3443">
        <v>712</v>
      </c>
      <c r="H96" s="3462" t="s">
        <v>1695</v>
      </c>
      <c r="I96" s="3632" t="s">
        <v>1613</v>
      </c>
      <c r="J96" s="3462" t="s">
        <v>37</v>
      </c>
      <c r="K96" s="3462"/>
      <c r="L96" s="3462"/>
      <c r="M96" s="3462"/>
      <c r="N96" s="3160"/>
      <c r="O96" s="3160"/>
      <c r="P96" s="3160"/>
      <c r="Q96" s="3462"/>
      <c r="R96" s="3462"/>
      <c r="S96" s="3462" t="s">
        <v>37</v>
      </c>
      <c r="T96" s="3160"/>
      <c r="U96" s="3544"/>
      <c r="V96" s="3160"/>
      <c r="W96" s="3283"/>
    </row>
    <row r="97" spans="1:23" ht="28.5">
      <c r="A97" s="3685" t="s">
        <v>25</v>
      </c>
      <c r="B97" s="3457">
        <v>45768</v>
      </c>
      <c r="C97" s="3355" t="s">
        <v>2084</v>
      </c>
      <c r="D97" s="3368"/>
      <c r="E97" s="3718" t="s">
        <v>2086</v>
      </c>
      <c r="F97" s="3719" t="s">
        <v>2087</v>
      </c>
      <c r="G97" s="3443">
        <v>712</v>
      </c>
      <c r="H97" s="3727" t="s">
        <v>2088</v>
      </c>
      <c r="I97" s="3695" t="s">
        <v>2658</v>
      </c>
      <c r="J97" s="3718" t="s">
        <v>37</v>
      </c>
      <c r="K97" s="3718"/>
      <c r="L97" s="3718"/>
      <c r="M97" s="3718"/>
      <c r="N97" s="3718"/>
      <c r="O97" s="3718"/>
      <c r="P97" s="3276"/>
      <c r="Q97" s="3718"/>
      <c r="R97" s="3276"/>
      <c r="S97" s="3276"/>
      <c r="T97" s="3276"/>
      <c r="U97" s="3729"/>
      <c r="V97" s="3276"/>
      <c r="W97" s="3277"/>
    </row>
    <row r="98" spans="1:23" ht="57">
      <c r="A98" s="3443" t="s">
        <v>25</v>
      </c>
      <c r="B98" s="3444">
        <v>45768</v>
      </c>
      <c r="C98" s="3355" t="s">
        <v>2084</v>
      </c>
      <c r="D98" s="3368"/>
      <c r="E98" s="3720" t="s">
        <v>2095</v>
      </c>
      <c r="F98" s="3720" t="s">
        <v>2096</v>
      </c>
      <c r="G98" s="3443">
        <v>712</v>
      </c>
      <c r="H98" s="3728" t="s">
        <v>2097</v>
      </c>
      <c r="I98" s="3511" t="s">
        <v>10</v>
      </c>
      <c r="J98" s="3689"/>
      <c r="K98" s="3689" t="s">
        <v>30</v>
      </c>
      <c r="L98" s="3689"/>
      <c r="M98" s="3689"/>
      <c r="N98" s="21" t="s">
        <v>231</v>
      </c>
      <c r="O98" s="21" t="s">
        <v>232</v>
      </c>
      <c r="P98" s="21" t="s">
        <v>160</v>
      </c>
      <c r="Q98" s="3689"/>
      <c r="R98" s="3160"/>
      <c r="S98" s="3160"/>
      <c r="T98" s="3160"/>
      <c r="U98" s="3731" t="s">
        <v>2098</v>
      </c>
      <c r="V98" s="3160"/>
      <c r="W98" s="3156"/>
    </row>
    <row r="99" spans="1:23" ht="28.5">
      <c r="A99" s="3480" t="s">
        <v>67</v>
      </c>
      <c r="B99" s="3444">
        <v>45769</v>
      </c>
      <c r="C99" s="3355" t="s">
        <v>2084</v>
      </c>
      <c r="D99" s="3368"/>
      <c r="E99" s="3720" t="s">
        <v>1399</v>
      </c>
      <c r="F99" s="3739" t="s">
        <v>2106</v>
      </c>
      <c r="G99" s="3443">
        <v>712</v>
      </c>
      <c r="H99" s="3728" t="s">
        <v>2097</v>
      </c>
      <c r="I99" s="3511" t="s">
        <v>2107</v>
      </c>
      <c r="J99" s="3689" t="s">
        <v>37</v>
      </c>
      <c r="K99" s="3689"/>
      <c r="L99" s="3689"/>
      <c r="M99" s="3689"/>
      <c r="N99" s="3689"/>
      <c r="O99" s="3689"/>
      <c r="P99" s="3160"/>
      <c r="Q99" s="3689"/>
      <c r="R99" s="3160"/>
      <c r="S99" s="3160"/>
      <c r="T99" s="3160"/>
      <c r="U99" s="3731"/>
      <c r="V99" s="3254"/>
      <c r="W99" s="3156"/>
    </row>
    <row r="100" spans="1:23" ht="28.5">
      <c r="A100" s="3443" t="s">
        <v>2116</v>
      </c>
      <c r="B100" s="3444">
        <v>45770</v>
      </c>
      <c r="C100" s="3355" t="s">
        <v>2084</v>
      </c>
      <c r="D100" s="3355"/>
      <c r="E100" s="3536" t="s">
        <v>89</v>
      </c>
      <c r="F100" s="3536" t="s">
        <v>2125</v>
      </c>
      <c r="G100" s="3443">
        <v>712</v>
      </c>
      <c r="H100" s="3728" t="s">
        <v>2126</v>
      </c>
      <c r="I100" s="3511" t="s">
        <v>10</v>
      </c>
      <c r="J100" s="3689"/>
      <c r="K100" s="3689"/>
      <c r="L100" s="3689" t="s">
        <v>37</v>
      </c>
      <c r="M100" s="3689"/>
      <c r="N100" s="3689"/>
      <c r="O100" s="3689"/>
      <c r="P100" s="3160"/>
      <c r="Q100" s="3689"/>
      <c r="R100" s="3160"/>
      <c r="S100" s="3160"/>
      <c r="T100" s="3160"/>
      <c r="U100" s="3732"/>
      <c r="V100" s="3160"/>
      <c r="W100" s="3156"/>
    </row>
    <row r="101" spans="1:23" ht="57">
      <c r="A101" s="3507" t="s">
        <v>105</v>
      </c>
      <c r="B101" s="3717">
        <v>45771</v>
      </c>
      <c r="C101" s="3355" t="s">
        <v>2084</v>
      </c>
      <c r="D101" s="3355"/>
      <c r="E101" s="3456" t="s">
        <v>2140</v>
      </c>
      <c r="F101" s="3456" t="s">
        <v>2141</v>
      </c>
      <c r="G101" s="3443">
        <v>712</v>
      </c>
      <c r="H101" s="3456" t="s">
        <v>2142</v>
      </c>
      <c r="I101" s="3456"/>
      <c r="J101" s="3456" t="s">
        <v>37</v>
      </c>
      <c r="K101" s="3456"/>
      <c r="L101" s="3456"/>
      <c r="M101" s="3456" t="s">
        <v>37</v>
      </c>
      <c r="N101" s="21"/>
      <c r="O101" s="21"/>
      <c r="P101" s="21"/>
      <c r="Q101" s="3456"/>
      <c r="R101" s="3160"/>
      <c r="S101" s="3160"/>
      <c r="T101" s="3160"/>
      <c r="U101" s="3512" t="s">
        <v>2143</v>
      </c>
      <c r="V101" s="3160"/>
      <c r="W101" s="3156"/>
    </row>
    <row r="102" spans="1:23" ht="28.5">
      <c r="A102" s="3443" t="s">
        <v>105</v>
      </c>
      <c r="B102" s="3444">
        <v>45771</v>
      </c>
      <c r="C102" s="3355" t="s">
        <v>2084</v>
      </c>
      <c r="D102" s="3355"/>
      <c r="E102" s="3443" t="s">
        <v>1571</v>
      </c>
      <c r="F102" s="3443" t="s">
        <v>169</v>
      </c>
      <c r="G102" s="3443">
        <v>712</v>
      </c>
      <c r="H102" s="3443" t="s">
        <v>2154</v>
      </c>
      <c r="I102" s="3511" t="s">
        <v>174</v>
      </c>
      <c r="J102" s="3443" t="s">
        <v>37</v>
      </c>
      <c r="K102" s="3443"/>
      <c r="L102" s="3443"/>
      <c r="M102" s="3443"/>
      <c r="N102" s="3443"/>
      <c r="O102" s="3443"/>
      <c r="P102" s="3160"/>
      <c r="Q102" s="3443"/>
      <c r="R102" s="3160"/>
      <c r="S102" s="3160"/>
      <c r="T102" s="3160"/>
      <c r="U102" s="3507"/>
      <c r="V102" s="3160"/>
      <c r="W102" s="3156"/>
    </row>
    <row r="103" spans="1:23" ht="85.5">
      <c r="A103" s="3443" t="s">
        <v>105</v>
      </c>
      <c r="B103" s="3444">
        <v>45771</v>
      </c>
      <c r="C103" s="3165" t="s">
        <v>2084</v>
      </c>
      <c r="D103" s="3165"/>
      <c r="E103" s="3583" t="s">
        <v>148</v>
      </c>
      <c r="F103" s="3583" t="s">
        <v>2158</v>
      </c>
      <c r="G103" s="3443">
        <v>712</v>
      </c>
      <c r="H103" s="3443" t="s">
        <v>2159</v>
      </c>
      <c r="I103" s="3443"/>
      <c r="J103" s="3443"/>
      <c r="K103" s="3443" t="s">
        <v>37</v>
      </c>
      <c r="L103" s="3443"/>
      <c r="M103" s="3443"/>
      <c r="N103" s="20" t="s">
        <v>109</v>
      </c>
      <c r="O103" s="21" t="s">
        <v>300</v>
      </c>
      <c r="P103" s="20" t="s">
        <v>32</v>
      </c>
      <c r="Q103" s="3443" t="s">
        <v>37</v>
      </c>
      <c r="R103" s="3160"/>
      <c r="S103" s="3160"/>
      <c r="T103" s="3160"/>
      <c r="U103" s="3507" t="s">
        <v>2160</v>
      </c>
      <c r="V103" s="3254"/>
      <c r="W103" s="3156"/>
    </row>
    <row r="104" spans="1:23" ht="28.5">
      <c r="A104" s="3443" t="s">
        <v>105</v>
      </c>
      <c r="B104" s="3444">
        <v>45771</v>
      </c>
      <c r="C104" s="3355" t="s">
        <v>2084</v>
      </c>
      <c r="D104" s="3355"/>
      <c r="E104" s="3583" t="s">
        <v>2161</v>
      </c>
      <c r="F104" s="3583" t="s">
        <v>2162</v>
      </c>
      <c r="G104" s="3443">
        <v>712</v>
      </c>
      <c r="H104" s="3443" t="s">
        <v>2163</v>
      </c>
      <c r="I104" s="3443"/>
      <c r="J104" s="3443"/>
      <c r="K104" s="3443"/>
      <c r="L104" s="3443" t="s">
        <v>37</v>
      </c>
      <c r="M104" s="3443"/>
      <c r="N104" s="3443"/>
      <c r="O104" s="3443"/>
      <c r="P104" s="3160"/>
      <c r="Q104" s="3443"/>
      <c r="R104" s="3160"/>
      <c r="S104" s="3160"/>
      <c r="T104" s="3160"/>
      <c r="U104" s="3507"/>
      <c r="V104" s="3254"/>
      <c r="W104" s="3156"/>
    </row>
    <row r="105" spans="1:23" ht="57">
      <c r="A105" s="3480" t="s">
        <v>132</v>
      </c>
      <c r="B105" s="3444">
        <v>45772</v>
      </c>
      <c r="C105" s="3355" t="s">
        <v>2084</v>
      </c>
      <c r="D105" s="3355"/>
      <c r="E105" s="3443" t="s">
        <v>89</v>
      </c>
      <c r="F105" s="3443" t="s">
        <v>169</v>
      </c>
      <c r="G105" s="3443">
        <v>712</v>
      </c>
      <c r="H105" s="3443" t="s">
        <v>2171</v>
      </c>
      <c r="I105" s="3443"/>
      <c r="J105" s="3443"/>
      <c r="K105" s="3443"/>
      <c r="L105" s="3443" t="s">
        <v>37</v>
      </c>
      <c r="M105" s="3443"/>
      <c r="N105" s="20"/>
      <c r="O105" s="20"/>
      <c r="P105" s="20"/>
      <c r="Q105" s="3443"/>
      <c r="R105" s="3160"/>
      <c r="S105" s="3160"/>
      <c r="T105" s="3160"/>
      <c r="U105" s="3522" t="s">
        <v>2172</v>
      </c>
      <c r="V105" s="3160"/>
      <c r="W105" s="3156"/>
    </row>
    <row r="106" spans="1:23" ht="29.25" thickBot="1">
      <c r="A106" s="3508" t="s">
        <v>143</v>
      </c>
      <c r="B106" s="3451">
        <v>45773</v>
      </c>
      <c r="C106" s="3372" t="s">
        <v>2084</v>
      </c>
      <c r="D106" s="3372"/>
      <c r="E106" s="3508" t="s">
        <v>2196</v>
      </c>
      <c r="F106" s="3508" t="s">
        <v>2052</v>
      </c>
      <c r="G106" s="3443">
        <v>712</v>
      </c>
      <c r="H106" s="3508" t="s">
        <v>2197</v>
      </c>
      <c r="I106" s="3734" t="s">
        <v>84</v>
      </c>
      <c r="J106" s="3508" t="s">
        <v>37</v>
      </c>
      <c r="K106" s="3508"/>
      <c r="L106" s="3508"/>
      <c r="M106" s="3508"/>
      <c r="N106" s="3508"/>
      <c r="O106" s="3508"/>
      <c r="P106" s="3735"/>
      <c r="Q106" s="3508"/>
      <c r="R106" s="3735"/>
      <c r="S106" s="3735"/>
      <c r="T106" s="3735"/>
      <c r="U106" s="3733"/>
      <c r="V106" s="3254"/>
      <c r="W106" s="3156"/>
    </row>
    <row r="107" spans="1:23" ht="28.5">
      <c r="A107" s="3614" t="s">
        <v>25</v>
      </c>
      <c r="B107" s="3444">
        <v>45775</v>
      </c>
      <c r="C107" s="3355" t="s">
        <v>2198</v>
      </c>
      <c r="D107" s="3165"/>
      <c r="E107" s="3614" t="s">
        <v>2052</v>
      </c>
      <c r="F107" s="3614" t="s">
        <v>2200</v>
      </c>
      <c r="G107" s="3443">
        <v>712</v>
      </c>
      <c r="H107" s="3614" t="s">
        <v>2197</v>
      </c>
      <c r="I107" s="3614"/>
      <c r="J107" s="3614" t="s">
        <v>37</v>
      </c>
      <c r="K107" s="3614"/>
      <c r="L107" s="3160"/>
      <c r="M107" s="3614"/>
      <c r="N107" s="3160"/>
      <c r="O107" s="3160"/>
      <c r="P107" s="3160"/>
      <c r="Q107" s="3160"/>
      <c r="R107" s="3160"/>
      <c r="S107" s="3160"/>
      <c r="T107" s="3160"/>
      <c r="U107" s="3732"/>
      <c r="V107" s="3160"/>
      <c r="W107" s="3156"/>
    </row>
    <row r="108" spans="1:23" ht="28.5">
      <c r="A108" s="3443" t="s">
        <v>25</v>
      </c>
      <c r="B108" s="3444">
        <v>45775</v>
      </c>
      <c r="C108" s="3355" t="s">
        <v>2198</v>
      </c>
      <c r="D108" s="3165"/>
      <c r="E108" s="3614" t="s">
        <v>2052</v>
      </c>
      <c r="F108" s="3614" t="s">
        <v>169</v>
      </c>
      <c r="G108" s="3443">
        <v>712</v>
      </c>
      <c r="H108" s="3614" t="s">
        <v>387</v>
      </c>
      <c r="I108" s="49"/>
      <c r="J108" s="3614" t="s">
        <v>37</v>
      </c>
      <c r="K108" s="49"/>
      <c r="L108" s="3160"/>
      <c r="M108" s="49"/>
      <c r="N108" s="3160"/>
      <c r="O108" s="3160"/>
      <c r="P108" s="3160"/>
      <c r="Q108" s="3160"/>
      <c r="R108" s="3160"/>
      <c r="S108" s="3160"/>
      <c r="T108" s="3160"/>
      <c r="U108" s="49"/>
      <c r="V108" s="3160"/>
      <c r="W108" s="3156"/>
    </row>
    <row r="109" spans="1:23" ht="28.5">
      <c r="A109" s="3480" t="s">
        <v>67</v>
      </c>
      <c r="B109" s="3444">
        <v>45776</v>
      </c>
      <c r="C109" s="3355" t="s">
        <v>2198</v>
      </c>
      <c r="D109" s="3165"/>
      <c r="E109" s="3614" t="s">
        <v>450</v>
      </c>
      <c r="F109" s="3614" t="s">
        <v>2220</v>
      </c>
      <c r="G109" s="3443">
        <v>712</v>
      </c>
      <c r="H109" s="3614" t="s">
        <v>2221</v>
      </c>
      <c r="I109" s="49"/>
      <c r="J109" s="3614" t="s">
        <v>37</v>
      </c>
      <c r="K109" s="49"/>
      <c r="L109" s="3160"/>
      <c r="M109" s="49"/>
      <c r="N109" s="3160"/>
      <c r="O109" s="3160"/>
      <c r="P109" s="3160"/>
      <c r="Q109" s="3160"/>
      <c r="R109" s="3160"/>
      <c r="S109" s="3160"/>
      <c r="T109" s="3160"/>
      <c r="U109" s="49"/>
      <c r="V109" s="3160"/>
      <c r="W109" s="3156"/>
    </row>
    <row r="110" spans="1:23" ht="29.25" thickBot="1">
      <c r="A110" s="3480" t="s">
        <v>67</v>
      </c>
      <c r="B110" s="3444">
        <v>45776</v>
      </c>
      <c r="C110" s="3355" t="s">
        <v>2198</v>
      </c>
      <c r="D110" s="3165"/>
      <c r="E110" s="3614" t="s">
        <v>2222</v>
      </c>
      <c r="F110" s="3614" t="s">
        <v>2223</v>
      </c>
      <c r="G110" s="3443">
        <v>712</v>
      </c>
      <c r="H110" s="3614" t="s">
        <v>2224</v>
      </c>
      <c r="I110" s="49"/>
      <c r="J110" s="3614" t="s">
        <v>37</v>
      </c>
      <c r="K110" s="49"/>
      <c r="L110" s="3160"/>
      <c r="M110" s="49"/>
      <c r="N110" s="3160"/>
      <c r="O110" s="3160"/>
      <c r="P110" s="3160"/>
      <c r="Q110" s="3160"/>
      <c r="R110" s="3160"/>
      <c r="S110" s="3160"/>
      <c r="T110" s="3160"/>
      <c r="U110" s="49"/>
      <c r="V110" s="3160"/>
      <c r="W110" s="3156"/>
    </row>
    <row r="111" spans="1:23" ht="57">
      <c r="A111" s="3456" t="s">
        <v>85</v>
      </c>
      <c r="B111" s="3457">
        <v>45777</v>
      </c>
      <c r="C111" s="3355" t="s">
        <v>2198</v>
      </c>
      <c r="D111" s="3165"/>
      <c r="E111" s="3758" t="s">
        <v>2231</v>
      </c>
      <c r="F111" s="3758" t="s">
        <v>2232</v>
      </c>
      <c r="G111" s="3443">
        <v>712</v>
      </c>
      <c r="H111" s="3762" t="s">
        <v>99</v>
      </c>
      <c r="J111" s="3763"/>
      <c r="K111" s="3763" t="s">
        <v>30</v>
      </c>
      <c r="L111" s="3160"/>
      <c r="M111" s="3763"/>
      <c r="N111" s="20" t="s">
        <v>231</v>
      </c>
      <c r="O111" s="20" t="s">
        <v>232</v>
      </c>
      <c r="P111" s="20" t="s">
        <v>32</v>
      </c>
      <c r="Q111" s="3160"/>
      <c r="R111" s="3160"/>
      <c r="S111" s="3160"/>
      <c r="T111" s="3160"/>
      <c r="U111" s="3763" t="s">
        <v>2233</v>
      </c>
      <c r="V111" s="3160"/>
      <c r="W111" s="3156"/>
    </row>
    <row r="112" spans="1:23" ht="28.5">
      <c r="A112" s="3443" t="s">
        <v>85</v>
      </c>
      <c r="B112" s="3759">
        <v>45777</v>
      </c>
      <c r="C112" s="3355" t="s">
        <v>2198</v>
      </c>
      <c r="D112" s="3165"/>
      <c r="E112" s="3614" t="s">
        <v>421</v>
      </c>
      <c r="F112" s="3614" t="s">
        <v>2236</v>
      </c>
      <c r="G112" s="3443">
        <v>712</v>
      </c>
      <c r="H112" s="3614" t="s">
        <v>2237</v>
      </c>
      <c r="J112" s="3507" t="s">
        <v>37</v>
      </c>
      <c r="K112" s="3507"/>
      <c r="L112" s="3160"/>
      <c r="M112" s="3507"/>
      <c r="N112" s="3160"/>
      <c r="O112" s="3160"/>
      <c r="P112" s="3160"/>
      <c r="Q112" s="3160"/>
      <c r="R112" s="3160"/>
      <c r="S112" s="3160"/>
      <c r="T112" s="3160"/>
      <c r="U112" s="3507"/>
      <c r="V112" s="3160"/>
      <c r="W112" s="3156"/>
    </row>
    <row r="113" spans="1:23" ht="28.5">
      <c r="A113" s="3443" t="s">
        <v>85</v>
      </c>
      <c r="B113" s="3759">
        <v>45777</v>
      </c>
      <c r="C113" s="3355" t="s">
        <v>2198</v>
      </c>
      <c r="D113" s="3165"/>
      <c r="E113" s="3614" t="s">
        <v>2239</v>
      </c>
      <c r="F113" s="3614" t="s">
        <v>2240</v>
      </c>
      <c r="G113" s="3443">
        <v>712</v>
      </c>
      <c r="H113" s="3443" t="s">
        <v>2224</v>
      </c>
      <c r="I113" s="3443"/>
      <c r="J113" s="3507" t="s">
        <v>37</v>
      </c>
      <c r="K113" s="3507"/>
      <c r="L113" s="3160"/>
      <c r="M113" s="3507"/>
      <c r="N113" s="3160"/>
      <c r="O113" s="3160"/>
      <c r="P113" s="3160"/>
      <c r="Q113" s="3160"/>
      <c r="R113" s="3160"/>
      <c r="S113" s="3160"/>
      <c r="T113" s="3160"/>
      <c r="U113" s="3507"/>
      <c r="V113" s="3160"/>
      <c r="W113" s="3156"/>
    </row>
    <row r="114" spans="1:23" ht="28.5">
      <c r="A114" s="3443" t="s">
        <v>132</v>
      </c>
      <c r="B114" s="3444">
        <v>45779</v>
      </c>
      <c r="C114" s="3355" t="s">
        <v>2198</v>
      </c>
      <c r="D114" s="3165"/>
      <c r="E114" s="3758" t="s">
        <v>2253</v>
      </c>
      <c r="F114" s="3758" t="s">
        <v>2232</v>
      </c>
      <c r="G114" s="3443">
        <v>712</v>
      </c>
      <c r="H114" s="3762" t="s">
        <v>99</v>
      </c>
      <c r="J114" s="3764" t="s">
        <v>37</v>
      </c>
      <c r="L114" s="3160"/>
      <c r="N114" s="3160"/>
      <c r="O114" s="3160"/>
      <c r="P114" s="3160"/>
      <c r="Q114" s="3160"/>
      <c r="R114" s="3160"/>
      <c r="S114" s="3160"/>
      <c r="T114" s="3160"/>
      <c r="V114" s="3160"/>
      <c r="W114" s="3156"/>
    </row>
    <row r="115" spans="1:23" ht="28.5">
      <c r="A115" s="3443" t="s">
        <v>132</v>
      </c>
      <c r="B115" s="3444">
        <v>45779</v>
      </c>
      <c r="C115" s="3355" t="s">
        <v>2198</v>
      </c>
      <c r="D115" s="3165"/>
      <c r="E115" s="3614" t="s">
        <v>2240</v>
      </c>
      <c r="F115" s="3614" t="s">
        <v>2255</v>
      </c>
      <c r="G115" s="3443">
        <v>712</v>
      </c>
      <c r="H115" s="3443" t="s">
        <v>2224</v>
      </c>
      <c r="I115" s="3443"/>
      <c r="J115" s="3443"/>
      <c r="K115" s="3443" t="s">
        <v>30</v>
      </c>
      <c r="L115" s="3160"/>
      <c r="M115" s="3443"/>
      <c r="N115" s="20" t="s">
        <v>0</v>
      </c>
      <c r="O115" s="20" t="s">
        <v>31</v>
      </c>
      <c r="P115" s="20" t="s">
        <v>32</v>
      </c>
      <c r="Q115" s="3160"/>
      <c r="R115" s="3160"/>
      <c r="S115" s="3160"/>
      <c r="T115" s="3160"/>
      <c r="U115" s="3507" t="s">
        <v>2256</v>
      </c>
      <c r="V115" s="3160"/>
      <c r="W115" s="3156"/>
    </row>
    <row r="116" spans="1:23" ht="28.5">
      <c r="A116" s="3443" t="s">
        <v>25</v>
      </c>
      <c r="B116" s="3444">
        <v>45782</v>
      </c>
      <c r="C116" s="4406">
        <v>19</v>
      </c>
      <c r="D116" s="3614"/>
      <c r="E116" s="3614" t="s">
        <v>2263</v>
      </c>
      <c r="F116" s="3614" t="s">
        <v>2264</v>
      </c>
      <c r="G116" s="3443">
        <v>712</v>
      </c>
      <c r="H116" s="3443" t="s">
        <v>2224</v>
      </c>
      <c r="I116" s="3635"/>
      <c r="J116" s="49"/>
      <c r="K116" s="3443"/>
      <c r="L116" s="3443" t="s">
        <v>37</v>
      </c>
      <c r="M116" s="49"/>
      <c r="N116" s="49"/>
      <c r="O116" s="49"/>
      <c r="P116" s="49"/>
      <c r="Q116" s="49"/>
      <c r="R116" s="49"/>
      <c r="S116" s="49"/>
      <c r="T116" s="49"/>
      <c r="U116" s="1357" t="s">
        <v>2266</v>
      </c>
      <c r="V116" s="49"/>
      <c r="W116" s="3156"/>
    </row>
    <row r="117" spans="1:23" ht="28.5">
      <c r="A117" s="3443" t="s">
        <v>25</v>
      </c>
      <c r="B117" s="3444">
        <v>45782</v>
      </c>
      <c r="C117" s="4406">
        <v>19</v>
      </c>
      <c r="D117" s="3614"/>
      <c r="E117" s="3614" t="s">
        <v>2267</v>
      </c>
      <c r="F117" s="3614" t="s">
        <v>2268</v>
      </c>
      <c r="G117" s="3443">
        <v>712</v>
      </c>
      <c r="H117" s="3443" t="s">
        <v>2270</v>
      </c>
      <c r="I117" s="3635"/>
      <c r="J117" s="3443" t="s">
        <v>37</v>
      </c>
      <c r="K117" s="49"/>
      <c r="L117" s="49"/>
      <c r="M117" s="49"/>
      <c r="N117" s="49"/>
      <c r="O117" s="49"/>
      <c r="P117" s="49"/>
      <c r="Q117" s="49"/>
      <c r="R117" s="49"/>
      <c r="S117" s="49"/>
      <c r="T117" s="49"/>
      <c r="U117" s="49"/>
      <c r="V117" s="49"/>
      <c r="W117" s="3156"/>
    </row>
    <row r="118" spans="1:23" ht="28.5">
      <c r="A118" s="3443" t="s">
        <v>25</v>
      </c>
      <c r="B118" s="3444">
        <v>45782</v>
      </c>
      <c r="C118" s="4406">
        <v>19</v>
      </c>
      <c r="D118" s="3689"/>
      <c r="E118" s="3689" t="s">
        <v>2222</v>
      </c>
      <c r="F118" s="3614" t="s">
        <v>148</v>
      </c>
      <c r="G118" s="3443">
        <v>712</v>
      </c>
      <c r="H118" s="3443" t="s">
        <v>2171</v>
      </c>
      <c r="I118" s="3635"/>
      <c r="J118" s="3443" t="s">
        <v>37</v>
      </c>
      <c r="K118" s="49"/>
      <c r="L118" s="49"/>
      <c r="M118" s="49"/>
      <c r="N118" s="49"/>
      <c r="O118" s="49"/>
      <c r="P118" s="49"/>
      <c r="Q118" s="49"/>
      <c r="R118" s="49"/>
      <c r="S118" s="49"/>
      <c r="T118" s="49"/>
      <c r="U118" s="49"/>
      <c r="V118" s="49"/>
      <c r="W118" s="3156"/>
    </row>
    <row r="119" spans="1:23" ht="28.5">
      <c r="A119" s="3443" t="s">
        <v>25</v>
      </c>
      <c r="B119" s="3444">
        <v>45782</v>
      </c>
      <c r="C119" s="4406">
        <v>19</v>
      </c>
      <c r="D119" s="3689"/>
      <c r="E119" s="3689" t="s">
        <v>1571</v>
      </c>
      <c r="F119" s="3614" t="s">
        <v>169</v>
      </c>
      <c r="G119" s="3443">
        <v>712</v>
      </c>
      <c r="H119" s="3443" t="s">
        <v>2154</v>
      </c>
      <c r="I119" s="3511" t="s">
        <v>174</v>
      </c>
      <c r="J119" s="3443" t="s">
        <v>37</v>
      </c>
      <c r="K119" s="49"/>
      <c r="L119" s="49"/>
      <c r="M119" s="49"/>
      <c r="N119" s="49"/>
      <c r="O119" s="49"/>
      <c r="P119" s="49"/>
      <c r="Q119" s="49"/>
      <c r="R119" s="49"/>
      <c r="S119" s="49"/>
      <c r="T119" s="49"/>
      <c r="U119" s="49"/>
      <c r="V119" s="49"/>
      <c r="W119" s="3156"/>
    </row>
    <row r="120" spans="1:23" ht="28.5">
      <c r="A120" s="3443" t="s">
        <v>67</v>
      </c>
      <c r="B120" s="3444">
        <v>45783</v>
      </c>
      <c r="C120" s="4406">
        <v>19</v>
      </c>
      <c r="D120" s="3614"/>
      <c r="E120" s="3614" t="s">
        <v>450</v>
      </c>
      <c r="F120" s="3614" t="s">
        <v>2273</v>
      </c>
      <c r="G120" s="3443">
        <v>712</v>
      </c>
      <c r="H120" s="3443" t="s">
        <v>2274</v>
      </c>
      <c r="I120" s="49"/>
      <c r="J120" s="3462" t="s">
        <v>37</v>
      </c>
      <c r="K120" s="49"/>
      <c r="L120" s="49"/>
      <c r="M120" s="49"/>
      <c r="N120" s="49"/>
      <c r="O120" s="49"/>
      <c r="P120" s="49"/>
      <c r="Q120" s="49"/>
      <c r="R120" s="49"/>
      <c r="S120" s="49"/>
      <c r="T120" s="49"/>
      <c r="U120" s="49"/>
      <c r="V120" s="49"/>
      <c r="W120" s="3156"/>
    </row>
    <row r="121" spans="1:23" ht="28.5">
      <c r="A121" s="3443" t="s">
        <v>85</v>
      </c>
      <c r="B121" s="3444">
        <v>45784</v>
      </c>
      <c r="C121" s="4406">
        <v>19</v>
      </c>
      <c r="D121" s="3614"/>
      <c r="E121" s="3614" t="s">
        <v>1116</v>
      </c>
      <c r="F121" s="3614" t="s">
        <v>2278</v>
      </c>
      <c r="G121" s="3443">
        <v>712</v>
      </c>
      <c r="H121" s="3443" t="s">
        <v>2274</v>
      </c>
      <c r="I121" s="3511" t="s">
        <v>84</v>
      </c>
      <c r="J121" s="49"/>
      <c r="K121" s="49"/>
      <c r="L121" s="3462" t="s">
        <v>37</v>
      </c>
      <c r="M121" s="49"/>
      <c r="N121" s="49"/>
      <c r="O121" s="49"/>
      <c r="P121" s="49"/>
      <c r="Q121" s="49"/>
      <c r="R121" s="49"/>
      <c r="S121" s="49"/>
      <c r="T121" s="49"/>
      <c r="U121" s="49"/>
      <c r="V121" s="49"/>
      <c r="W121" s="3156"/>
    </row>
    <row r="122" spans="1:23" ht="28.5">
      <c r="A122" s="3443" t="s">
        <v>85</v>
      </c>
      <c r="B122" s="3444">
        <v>45784</v>
      </c>
      <c r="C122" s="4406">
        <v>19</v>
      </c>
      <c r="D122" s="3614"/>
      <c r="E122" s="3614" t="s">
        <v>2232</v>
      </c>
      <c r="F122" s="3614" t="s">
        <v>659</v>
      </c>
      <c r="G122" s="3443">
        <v>712</v>
      </c>
      <c r="H122" s="3443" t="s">
        <v>99</v>
      </c>
      <c r="I122" s="49"/>
      <c r="J122" s="3443" t="s">
        <v>37</v>
      </c>
      <c r="K122" s="49"/>
      <c r="L122" s="49"/>
      <c r="M122" s="49"/>
      <c r="N122" s="49"/>
      <c r="O122" s="49"/>
      <c r="P122" s="49"/>
      <c r="Q122" s="49"/>
      <c r="R122" s="49"/>
      <c r="S122" s="49"/>
      <c r="T122" s="49"/>
      <c r="U122" s="49"/>
      <c r="V122" s="49"/>
      <c r="W122" s="3156"/>
    </row>
    <row r="123" spans="1:23" ht="28.5">
      <c r="A123" s="3480" t="s">
        <v>105</v>
      </c>
      <c r="B123" s="3444">
        <v>45785</v>
      </c>
      <c r="C123" s="4406">
        <v>19</v>
      </c>
      <c r="D123" s="3614"/>
      <c r="E123" s="3614" t="s">
        <v>450</v>
      </c>
      <c r="F123" s="3643" t="s">
        <v>2284</v>
      </c>
      <c r="G123" s="3443">
        <v>712</v>
      </c>
      <c r="H123" s="3443" t="s">
        <v>99</v>
      </c>
      <c r="I123" s="49"/>
      <c r="J123" s="3443" t="s">
        <v>37</v>
      </c>
      <c r="K123" s="49"/>
      <c r="L123" s="49"/>
      <c r="M123" s="49"/>
      <c r="N123" s="49"/>
      <c r="O123" s="49"/>
      <c r="P123" s="50"/>
      <c r="Q123" s="213"/>
      <c r="R123" s="49"/>
      <c r="S123" s="49"/>
      <c r="T123" s="211"/>
      <c r="U123" s="231"/>
      <c r="V123" s="49"/>
      <c r="W123" s="3283"/>
    </row>
    <row r="124" spans="1:23" ht="28.5">
      <c r="A124" s="3443" t="s">
        <v>25</v>
      </c>
      <c r="B124" s="3506">
        <v>45789</v>
      </c>
      <c r="C124" s="3355" t="s">
        <v>2296</v>
      </c>
      <c r="D124" s="3165"/>
      <c r="E124" s="3614" t="s">
        <v>2303</v>
      </c>
      <c r="F124" s="3614" t="s">
        <v>183</v>
      </c>
      <c r="G124" s="3443">
        <v>712</v>
      </c>
      <c r="H124" s="3443" t="s">
        <v>2154</v>
      </c>
      <c r="I124" s="3511" t="s">
        <v>174</v>
      </c>
      <c r="J124" s="3443" t="s">
        <v>30</v>
      </c>
      <c r="K124" s="3443"/>
      <c r="L124" s="3160"/>
      <c r="M124" s="3160"/>
      <c r="N124" s="3160"/>
      <c r="O124" s="3160"/>
      <c r="P124" s="3160"/>
      <c r="Q124" s="3160"/>
      <c r="R124" s="3160"/>
      <c r="S124" s="3160"/>
      <c r="T124" s="3160"/>
      <c r="U124" s="3507"/>
      <c r="V124" s="3160"/>
      <c r="W124" s="3156"/>
    </row>
    <row r="125" spans="1:23" ht="28.5">
      <c r="A125" s="3443" t="s">
        <v>25</v>
      </c>
      <c r="B125" s="3506">
        <v>45789</v>
      </c>
      <c r="C125" s="3355" t="s">
        <v>2296</v>
      </c>
      <c r="D125" s="3165"/>
      <c r="E125" s="3784" t="s">
        <v>1160</v>
      </c>
      <c r="F125" s="3784" t="s">
        <v>183</v>
      </c>
      <c r="G125" s="3443">
        <v>712</v>
      </c>
      <c r="H125" s="3443" t="s">
        <v>589</v>
      </c>
      <c r="I125" s="3443"/>
      <c r="J125" s="3443" t="s">
        <v>30</v>
      </c>
      <c r="K125" s="3443"/>
      <c r="L125" s="3160"/>
      <c r="M125" s="3160"/>
      <c r="N125" s="3160"/>
      <c r="O125" s="3160"/>
      <c r="P125" s="3160"/>
      <c r="Q125" s="3160"/>
      <c r="R125" s="3160"/>
      <c r="S125" s="3160"/>
      <c r="T125" s="3160"/>
      <c r="U125" s="3507"/>
      <c r="V125" s="3160"/>
      <c r="W125" s="3156"/>
    </row>
    <row r="126" spans="1:23" ht="28.5">
      <c r="A126" s="3443" t="s">
        <v>25</v>
      </c>
      <c r="B126" s="3506">
        <v>45789</v>
      </c>
      <c r="C126" s="3355" t="s">
        <v>2296</v>
      </c>
      <c r="D126" s="3165"/>
      <c r="E126" s="3784" t="s">
        <v>169</v>
      </c>
      <c r="F126" s="3785" t="s">
        <v>2309</v>
      </c>
      <c r="G126" s="3443">
        <v>712</v>
      </c>
      <c r="H126" s="3443" t="s">
        <v>589</v>
      </c>
      <c r="I126" s="3462"/>
      <c r="J126" s="3443" t="s">
        <v>30</v>
      </c>
      <c r="K126" s="3462"/>
      <c r="L126" s="3160"/>
      <c r="M126" s="3160"/>
      <c r="N126" s="3160"/>
      <c r="O126" s="3160"/>
      <c r="P126" s="3160"/>
      <c r="Q126" s="3160"/>
      <c r="R126" s="3160"/>
      <c r="S126" s="3160"/>
      <c r="T126" s="3160"/>
      <c r="U126" s="3636"/>
      <c r="V126" s="3160"/>
      <c r="W126" s="3156"/>
    </row>
    <row r="127" spans="1:23" ht="28.5">
      <c r="A127" s="3480" t="s">
        <v>85</v>
      </c>
      <c r="B127" s="3444">
        <v>45791</v>
      </c>
      <c r="C127" s="3165" t="s">
        <v>2296</v>
      </c>
      <c r="D127" s="3165"/>
      <c r="E127" s="3787" t="s">
        <v>2333</v>
      </c>
      <c r="F127" s="3791" t="s">
        <v>2334</v>
      </c>
      <c r="G127" s="3443">
        <v>712</v>
      </c>
      <c r="H127" s="3443" t="s">
        <v>2335</v>
      </c>
      <c r="I127" s="3511"/>
      <c r="J127" s="3443" t="s">
        <v>30</v>
      </c>
      <c r="K127" s="3443"/>
      <c r="L127" s="3160"/>
      <c r="M127" s="3160"/>
      <c r="N127" s="3160"/>
      <c r="O127" s="3160"/>
      <c r="P127" s="3793"/>
      <c r="Q127" s="3254"/>
      <c r="R127" s="3160"/>
      <c r="S127" s="3160"/>
      <c r="T127" s="3253"/>
      <c r="U127" s="3797"/>
      <c r="V127" s="3254"/>
      <c r="W127" s="3156"/>
    </row>
    <row r="128" spans="1:23" ht="28.5">
      <c r="A128" s="3531" t="s">
        <v>67</v>
      </c>
      <c r="B128" s="3444">
        <v>45797</v>
      </c>
      <c r="C128" s="3828">
        <v>21</v>
      </c>
      <c r="D128" s="3614"/>
      <c r="E128" s="3678" t="s">
        <v>148</v>
      </c>
      <c r="F128" s="3614" t="s">
        <v>79</v>
      </c>
      <c r="G128" s="3443">
        <v>712</v>
      </c>
      <c r="H128" s="3443" t="s">
        <v>206</v>
      </c>
      <c r="I128" s="3443"/>
      <c r="J128" s="3443"/>
      <c r="K128" s="3443" t="s">
        <v>30</v>
      </c>
      <c r="L128" s="3443"/>
      <c r="M128" s="3531"/>
      <c r="N128" s="21" t="s">
        <v>231</v>
      </c>
      <c r="O128" s="21" t="s">
        <v>232</v>
      </c>
      <c r="P128" s="21" t="s">
        <v>32</v>
      </c>
      <c r="Q128" s="3443" t="s">
        <v>37</v>
      </c>
      <c r="R128" s="3443"/>
      <c r="S128" s="3443"/>
      <c r="T128" s="3443"/>
      <c r="U128" s="3443"/>
      <c r="V128" s="3443"/>
      <c r="W128" s="3507" t="s">
        <v>2380</v>
      </c>
    </row>
    <row r="129" spans="1:23" ht="28.5">
      <c r="A129" s="3480" t="s">
        <v>85</v>
      </c>
      <c r="B129" s="3444">
        <v>45798</v>
      </c>
      <c r="C129" s="3689">
        <v>21</v>
      </c>
      <c r="D129" s="3787"/>
      <c r="E129" s="3787" t="s">
        <v>2389</v>
      </c>
      <c r="F129" s="3787" t="s">
        <v>169</v>
      </c>
      <c r="G129" s="3443">
        <v>712</v>
      </c>
      <c r="H129" s="3443" t="s">
        <v>2391</v>
      </c>
      <c r="I129" s="3443"/>
      <c r="J129" s="3443"/>
      <c r="K129" s="3443" t="s">
        <v>30</v>
      </c>
      <c r="L129" s="3443"/>
      <c r="M129" s="3443"/>
      <c r="N129" s="20" t="s">
        <v>231</v>
      </c>
      <c r="O129" s="21" t="s">
        <v>232</v>
      </c>
      <c r="P129" s="20" t="s">
        <v>32</v>
      </c>
      <c r="Q129" s="3443"/>
      <c r="R129" s="3443"/>
      <c r="S129" s="3443"/>
      <c r="T129" s="3443"/>
      <c r="U129" s="3443"/>
      <c r="V129" s="3443"/>
      <c r="W129" s="3522" t="s">
        <v>2392</v>
      </c>
    </row>
    <row r="130" spans="1:23" ht="28.5">
      <c r="A130" s="3480" t="s">
        <v>105</v>
      </c>
      <c r="B130" s="3444">
        <v>45799</v>
      </c>
      <c r="C130" s="3614">
        <v>21</v>
      </c>
      <c r="D130" s="3813"/>
      <c r="E130" s="3813" t="s">
        <v>2397</v>
      </c>
      <c r="F130" s="3813" t="s">
        <v>914</v>
      </c>
      <c r="G130" s="3443">
        <v>712</v>
      </c>
      <c r="H130" s="3443" t="s">
        <v>1141</v>
      </c>
      <c r="I130" s="3511" t="s">
        <v>84</v>
      </c>
      <c r="J130" s="3443" t="s">
        <v>37</v>
      </c>
      <c r="K130" s="3443"/>
      <c r="L130" s="3443"/>
      <c r="M130" s="3443"/>
      <c r="N130" s="3443"/>
      <c r="O130" s="3443"/>
      <c r="P130" s="3443"/>
      <c r="Q130" s="3443"/>
      <c r="R130" s="3443"/>
      <c r="S130" s="3443"/>
      <c r="T130" s="3443"/>
      <c r="U130" s="3443"/>
      <c r="V130" s="3443"/>
      <c r="W130" s="3522"/>
    </row>
    <row r="131" spans="1:23" ht="28.5">
      <c r="A131" s="3480" t="s">
        <v>105</v>
      </c>
      <c r="B131" s="3444">
        <v>45799</v>
      </c>
      <c r="C131" s="3614">
        <v>21</v>
      </c>
      <c r="D131" s="3618"/>
      <c r="E131" s="3618" t="s">
        <v>79</v>
      </c>
      <c r="F131" s="3618" t="s">
        <v>2398</v>
      </c>
      <c r="G131" s="3443">
        <v>712</v>
      </c>
      <c r="H131" s="3443" t="s">
        <v>2399</v>
      </c>
      <c r="I131" s="3443"/>
      <c r="J131" s="3443"/>
      <c r="K131" s="3462" t="s">
        <v>37</v>
      </c>
      <c r="L131" s="3462"/>
      <c r="M131" s="3443"/>
      <c r="N131" s="21" t="s">
        <v>122</v>
      </c>
      <c r="O131" s="21" t="s">
        <v>110</v>
      </c>
      <c r="P131" s="21" t="s">
        <v>32</v>
      </c>
      <c r="Q131" s="3443"/>
      <c r="R131" s="3443"/>
      <c r="S131" s="3443"/>
      <c r="T131" s="3443"/>
      <c r="U131" s="3443"/>
      <c r="V131" s="3443"/>
      <c r="W131" s="3522" t="s">
        <v>2400</v>
      </c>
    </row>
    <row r="132" spans="1:23" ht="57">
      <c r="A132" s="3480" t="s">
        <v>105</v>
      </c>
      <c r="B132" s="3444">
        <v>45799</v>
      </c>
      <c r="C132" s="3614">
        <v>21</v>
      </c>
      <c r="D132" s="3618"/>
      <c r="E132" s="3618" t="s">
        <v>1698</v>
      </c>
      <c r="F132" s="3618" t="s">
        <v>314</v>
      </c>
      <c r="G132" s="3443">
        <v>712</v>
      </c>
      <c r="H132" s="3443" t="s">
        <v>2401</v>
      </c>
      <c r="I132" s="3443"/>
      <c r="J132" s="3443" t="s">
        <v>37</v>
      </c>
      <c r="K132" s="3443"/>
      <c r="L132" s="3443"/>
      <c r="M132" s="3443"/>
      <c r="N132" s="360" t="s">
        <v>109</v>
      </c>
      <c r="O132" s="360" t="s">
        <v>1109</v>
      </c>
      <c r="P132" s="360" t="s">
        <v>32</v>
      </c>
      <c r="Q132" s="3443" t="s">
        <v>37</v>
      </c>
      <c r="R132" s="3443"/>
      <c r="S132" s="3443"/>
      <c r="T132" s="3443"/>
      <c r="U132" s="3443"/>
      <c r="V132" s="3443"/>
      <c r="W132" s="3522" t="s">
        <v>2402</v>
      </c>
    </row>
    <row r="133" spans="1:23" ht="57">
      <c r="A133" s="3480" t="s">
        <v>105</v>
      </c>
      <c r="B133" s="3611">
        <v>45799</v>
      </c>
      <c r="C133" s="3614">
        <v>21</v>
      </c>
      <c r="D133" s="3623"/>
      <c r="E133" s="3623" t="s">
        <v>2403</v>
      </c>
      <c r="F133" s="3623" t="s">
        <v>1074</v>
      </c>
      <c r="G133" s="3443">
        <v>712</v>
      </c>
      <c r="H133" s="3443" t="s">
        <v>2404</v>
      </c>
      <c r="I133" s="3443"/>
      <c r="J133" s="3443"/>
      <c r="K133" s="3462"/>
      <c r="L133" s="3462" t="s">
        <v>37</v>
      </c>
      <c r="M133" s="3443" t="s">
        <v>37</v>
      </c>
      <c r="N133" s="3443"/>
      <c r="O133" s="3443"/>
      <c r="P133" s="3443"/>
      <c r="Q133" s="3443"/>
      <c r="R133" s="3443"/>
      <c r="S133" s="3443"/>
      <c r="T133" s="3443"/>
      <c r="U133" s="3443"/>
      <c r="V133" s="3443"/>
      <c r="W133" s="3522" t="s">
        <v>2405</v>
      </c>
    </row>
    <row r="134" spans="1:23" ht="28.5">
      <c r="A134" s="3599" t="s">
        <v>132</v>
      </c>
      <c r="B134" s="3457">
        <v>45800</v>
      </c>
      <c r="C134" s="3685">
        <v>21</v>
      </c>
      <c r="D134" s="3816"/>
      <c r="E134" s="3816" t="s">
        <v>517</v>
      </c>
      <c r="F134" s="3817" t="s">
        <v>2411</v>
      </c>
      <c r="G134" s="3443">
        <v>712</v>
      </c>
      <c r="H134" s="3456" t="s">
        <v>1141</v>
      </c>
      <c r="I134" s="3673" t="s">
        <v>84</v>
      </c>
      <c r="J134" s="3456" t="s">
        <v>30</v>
      </c>
      <c r="K134" s="3456"/>
      <c r="L134" s="3456"/>
      <c r="M134" s="3456"/>
      <c r="N134" s="3456"/>
      <c r="O134" s="3456"/>
      <c r="P134" s="3456"/>
      <c r="Q134" s="3456"/>
      <c r="R134" s="3456"/>
      <c r="S134" s="3456"/>
      <c r="T134" s="3456"/>
      <c r="U134" s="3456"/>
      <c r="V134" s="3456"/>
      <c r="W134" s="3609"/>
    </row>
    <row r="135" spans="1:23" ht="28.5">
      <c r="A135" s="3599" t="s">
        <v>132</v>
      </c>
      <c r="B135" s="3457">
        <v>45800</v>
      </c>
      <c r="C135" s="3827">
        <v>21</v>
      </c>
      <c r="D135" s="3819"/>
      <c r="E135" s="3819" t="s">
        <v>2412</v>
      </c>
      <c r="F135" s="3820" t="s">
        <v>2413</v>
      </c>
      <c r="G135" s="3443">
        <v>712</v>
      </c>
      <c r="H135" s="3456" t="s">
        <v>2401</v>
      </c>
      <c r="I135" s="3673" t="s">
        <v>84</v>
      </c>
      <c r="J135" s="3456" t="s">
        <v>37</v>
      </c>
      <c r="K135" s="3456"/>
      <c r="L135" s="3456"/>
      <c r="M135" s="3456"/>
      <c r="N135" s="3456"/>
      <c r="O135" s="3456"/>
      <c r="P135" s="3456"/>
      <c r="Q135" s="3456"/>
      <c r="R135" s="3456"/>
      <c r="S135" s="3456"/>
      <c r="T135" s="3456"/>
      <c r="U135" s="3456"/>
      <c r="V135" s="3456"/>
      <c r="W135" s="3512" t="s">
        <v>2414</v>
      </c>
    </row>
    <row r="136" spans="1:23" ht="57">
      <c r="A136" s="3599" t="s">
        <v>132</v>
      </c>
      <c r="B136" s="3457">
        <v>45800</v>
      </c>
      <c r="C136" s="3827">
        <v>21</v>
      </c>
      <c r="D136" s="3628"/>
      <c r="E136" s="3628" t="s">
        <v>204</v>
      </c>
      <c r="F136" s="3628" t="s">
        <v>2417</v>
      </c>
      <c r="G136" s="3443">
        <v>712</v>
      </c>
      <c r="H136" s="3456" t="s">
        <v>2404</v>
      </c>
      <c r="I136" s="3822" t="s">
        <v>2418</v>
      </c>
      <c r="J136" s="3456"/>
      <c r="K136" s="3462"/>
      <c r="L136" s="3462" t="s">
        <v>37</v>
      </c>
      <c r="M136" s="3456"/>
      <c r="N136" s="3456"/>
      <c r="O136" s="3456"/>
      <c r="P136" s="3456"/>
      <c r="Q136" s="3456"/>
      <c r="R136" s="3456"/>
      <c r="S136" s="3456"/>
      <c r="T136" s="3456"/>
      <c r="U136" s="3456"/>
      <c r="V136" s="3456"/>
      <c r="W136" s="3512" t="s">
        <v>2419</v>
      </c>
    </row>
    <row r="137" spans="1:23" ht="28.5">
      <c r="A137" s="3480" t="s">
        <v>25</v>
      </c>
      <c r="B137" s="3444">
        <v>45803</v>
      </c>
      <c r="C137" s="3165" t="s">
        <v>2433</v>
      </c>
      <c r="D137" s="3165"/>
      <c r="E137" s="3614" t="s">
        <v>2303</v>
      </c>
      <c r="F137" s="3643" t="s">
        <v>1145</v>
      </c>
      <c r="G137" s="3443">
        <v>712</v>
      </c>
      <c r="H137" s="3443" t="s">
        <v>2154</v>
      </c>
      <c r="I137" s="3511" t="s">
        <v>174</v>
      </c>
      <c r="J137" s="3443" t="s">
        <v>30</v>
      </c>
      <c r="K137" s="3443"/>
      <c r="L137" s="3160"/>
      <c r="M137" s="3443"/>
      <c r="N137" s="3614"/>
      <c r="O137" s="3614"/>
      <c r="P137" s="3614"/>
      <c r="Q137" s="3443"/>
      <c r="R137" s="3443"/>
      <c r="S137" s="3443"/>
      <c r="T137" s="3443"/>
      <c r="U137" s="3443"/>
      <c r="V137" s="3443"/>
      <c r="W137" s="3522"/>
    </row>
    <row r="138" spans="1:23" ht="28.5">
      <c r="A138" s="3480" t="s">
        <v>25</v>
      </c>
      <c r="B138" s="3444">
        <v>45803</v>
      </c>
      <c r="C138" s="3165" t="s">
        <v>2433</v>
      </c>
      <c r="D138" s="3165"/>
      <c r="E138" s="3615" t="s">
        <v>79</v>
      </c>
      <c r="F138" s="3641" t="s">
        <v>516</v>
      </c>
      <c r="G138" s="3443">
        <v>712</v>
      </c>
      <c r="H138" s="3443" t="s">
        <v>2442</v>
      </c>
      <c r="I138" s="3511" t="s">
        <v>84</v>
      </c>
      <c r="J138" s="3443" t="s">
        <v>30</v>
      </c>
      <c r="K138" s="3443"/>
      <c r="L138" s="3160"/>
      <c r="M138" s="3443"/>
      <c r="N138" s="3614"/>
      <c r="O138" s="3614"/>
      <c r="P138" s="3614"/>
      <c r="Q138" s="3443"/>
      <c r="R138" s="3443"/>
      <c r="S138" s="3443"/>
      <c r="T138" s="3443"/>
      <c r="U138" s="3443"/>
      <c r="V138" s="3443"/>
      <c r="W138" s="3522"/>
    </row>
    <row r="139" spans="1:23" ht="28.5">
      <c r="A139" s="3443" t="s">
        <v>67</v>
      </c>
      <c r="B139" s="3506">
        <v>45804</v>
      </c>
      <c r="C139" s="3165" t="s">
        <v>2433</v>
      </c>
      <c r="D139" s="3165"/>
      <c r="E139" s="3615" t="s">
        <v>517</v>
      </c>
      <c r="F139" s="3615" t="s">
        <v>2460</v>
      </c>
      <c r="G139" s="3443">
        <v>712</v>
      </c>
      <c r="H139" s="3443" t="s">
        <v>2442</v>
      </c>
      <c r="I139" s="3443"/>
      <c r="J139" s="3443" t="s">
        <v>37</v>
      </c>
      <c r="K139" s="3443"/>
      <c r="L139" s="3160"/>
      <c r="M139" s="3443"/>
      <c r="N139" s="3443"/>
      <c r="O139" s="3443"/>
      <c r="P139" s="3443"/>
      <c r="Q139" s="3443"/>
      <c r="R139" s="3443"/>
      <c r="S139" s="3443"/>
      <c r="T139" s="3443"/>
      <c r="U139" s="3443"/>
      <c r="V139" s="3443"/>
      <c r="W139" s="3507"/>
    </row>
    <row r="140" spans="1:23" ht="28.5">
      <c r="A140" s="3443" t="s">
        <v>67</v>
      </c>
      <c r="B140" s="3506">
        <v>45804</v>
      </c>
      <c r="C140" s="3165" t="s">
        <v>2433</v>
      </c>
      <c r="D140" s="3165"/>
      <c r="E140" s="3443" t="s">
        <v>97</v>
      </c>
      <c r="F140" s="3443" t="s">
        <v>89</v>
      </c>
      <c r="G140" s="3443">
        <v>712</v>
      </c>
      <c r="H140" s="3443" t="s">
        <v>2468</v>
      </c>
      <c r="I140" s="3511" t="s">
        <v>2469</v>
      </c>
      <c r="J140" s="3443" t="s">
        <v>37</v>
      </c>
      <c r="K140" s="3443"/>
      <c r="L140" s="3160"/>
      <c r="M140" s="3443"/>
      <c r="N140" s="3443"/>
      <c r="O140" s="3443"/>
      <c r="P140" s="3443"/>
      <c r="Q140" s="3443"/>
      <c r="R140" s="3443"/>
      <c r="S140" s="3443"/>
      <c r="T140" s="3443"/>
      <c r="U140" s="3443"/>
      <c r="V140" s="3443"/>
      <c r="W140" s="3507"/>
    </row>
    <row r="141" spans="1:23" ht="28.5">
      <c r="A141" s="3443" t="s">
        <v>67</v>
      </c>
      <c r="B141" s="3506">
        <v>45804</v>
      </c>
      <c r="C141" s="3165" t="s">
        <v>2433</v>
      </c>
      <c r="D141" s="3165"/>
      <c r="E141" s="3443" t="s">
        <v>89</v>
      </c>
      <c r="F141" s="3443" t="s">
        <v>450</v>
      </c>
      <c r="G141" s="3443">
        <v>712</v>
      </c>
      <c r="H141" s="3443" t="s">
        <v>2470</v>
      </c>
      <c r="I141" s="3511" t="s">
        <v>2469</v>
      </c>
      <c r="J141" s="3443"/>
      <c r="K141" s="3443" t="s">
        <v>30</v>
      </c>
      <c r="L141" s="3160"/>
      <c r="M141" s="3443"/>
      <c r="N141" s="3618"/>
      <c r="O141" s="3618"/>
      <c r="P141" s="3618"/>
      <c r="Q141" s="3443"/>
      <c r="R141" s="3443"/>
      <c r="S141" s="3443"/>
      <c r="T141" s="3443"/>
      <c r="U141" s="3443"/>
      <c r="V141" s="3443"/>
      <c r="W141" s="3507"/>
    </row>
    <row r="142" spans="1:23" ht="57">
      <c r="A142" s="3443" t="s">
        <v>67</v>
      </c>
      <c r="B142" s="3506">
        <v>45804</v>
      </c>
      <c r="C142" s="3165" t="s">
        <v>2433</v>
      </c>
      <c r="D142" s="3165"/>
      <c r="E142" s="3443" t="s">
        <v>450</v>
      </c>
      <c r="F142" s="3531" t="s">
        <v>2471</v>
      </c>
      <c r="G142" s="3443">
        <v>712</v>
      </c>
      <c r="H142" s="3443" t="s">
        <v>495</v>
      </c>
      <c r="I142" s="3443"/>
      <c r="J142" s="3443" t="s">
        <v>37</v>
      </c>
      <c r="K142" s="3443"/>
      <c r="L142" s="3160"/>
      <c r="M142" s="3443"/>
      <c r="N142" s="360" t="s">
        <v>109</v>
      </c>
      <c r="O142" s="360" t="s">
        <v>300</v>
      </c>
      <c r="P142" s="360" t="s">
        <v>32</v>
      </c>
      <c r="Q142" s="3443"/>
      <c r="R142" s="3443"/>
      <c r="S142" s="3443"/>
      <c r="T142" s="3443"/>
      <c r="U142" s="3507" t="s">
        <v>2472</v>
      </c>
      <c r="V142" s="3443"/>
      <c r="W142" s="3507"/>
    </row>
    <row r="143" spans="1:23" ht="28.5">
      <c r="A143" s="3462" t="s">
        <v>67</v>
      </c>
      <c r="B143" s="3506">
        <v>45804</v>
      </c>
      <c r="C143" s="3165" t="s">
        <v>2433</v>
      </c>
      <c r="D143" s="3165"/>
      <c r="E143" s="3833" t="s">
        <v>1091</v>
      </c>
      <c r="F143" s="3833" t="s">
        <v>659</v>
      </c>
      <c r="G143" s="3443">
        <v>712</v>
      </c>
      <c r="H143" s="3462" t="s">
        <v>2171</v>
      </c>
      <c r="I143" s="3462"/>
      <c r="J143" s="3462" t="s">
        <v>37</v>
      </c>
      <c r="K143" s="3462"/>
      <c r="L143" s="3160"/>
      <c r="M143" s="3462"/>
      <c r="N143" s="3462"/>
      <c r="O143" s="3462"/>
      <c r="P143" s="3462"/>
      <c r="Q143" s="3462"/>
      <c r="R143" s="3462"/>
      <c r="S143" s="3462"/>
      <c r="T143" s="3462"/>
      <c r="U143" s="3462"/>
      <c r="V143" s="3462"/>
      <c r="W143" s="3636"/>
    </row>
    <row r="144" spans="1:23" ht="28.5">
      <c r="A144" s="3462" t="s">
        <v>67</v>
      </c>
      <c r="B144" s="3506">
        <v>45804</v>
      </c>
      <c r="C144" s="3354" t="s">
        <v>2433</v>
      </c>
      <c r="D144" s="3354"/>
      <c r="E144" s="3689" t="s">
        <v>2303</v>
      </c>
      <c r="F144" s="3689" t="s">
        <v>1145</v>
      </c>
      <c r="G144" s="3443">
        <v>712</v>
      </c>
      <c r="H144" s="3462" t="s">
        <v>2479</v>
      </c>
      <c r="I144" s="3632" t="s">
        <v>174</v>
      </c>
      <c r="J144" s="3462" t="s">
        <v>37</v>
      </c>
      <c r="K144" s="3462"/>
      <c r="L144" s="3273"/>
      <c r="M144" s="3462"/>
      <c r="N144" s="3462"/>
      <c r="O144" s="3462"/>
      <c r="P144" s="3462"/>
      <c r="Q144" s="3462"/>
      <c r="R144" s="3462"/>
      <c r="S144" s="3462"/>
      <c r="T144" s="3462"/>
      <c r="U144" s="3462"/>
      <c r="V144" s="3462"/>
      <c r="W144" s="3636"/>
    </row>
    <row r="145" spans="1:23" ht="28.5">
      <c r="A145" s="3480" t="s">
        <v>85</v>
      </c>
      <c r="B145" s="3506">
        <v>45805</v>
      </c>
      <c r="C145" s="3165" t="s">
        <v>2433</v>
      </c>
      <c r="D145" s="3165"/>
      <c r="E145" s="3615" t="s">
        <v>1116</v>
      </c>
      <c r="F145" s="3641" t="s">
        <v>2483</v>
      </c>
      <c r="G145" s="3443">
        <v>712</v>
      </c>
      <c r="H145" s="3443" t="s">
        <v>2442</v>
      </c>
      <c r="I145" s="3443"/>
      <c r="J145" s="3443" t="s">
        <v>37</v>
      </c>
      <c r="K145" s="3443"/>
      <c r="L145" s="3160"/>
      <c r="M145" s="3443"/>
      <c r="N145" s="3443"/>
      <c r="O145" s="3443"/>
      <c r="P145" s="3443"/>
      <c r="Q145" s="3443"/>
      <c r="R145" s="3443"/>
      <c r="S145" s="3443"/>
      <c r="T145" s="3443"/>
      <c r="U145" s="3443"/>
      <c r="V145" s="3443"/>
      <c r="W145" s="3522"/>
    </row>
    <row r="146" spans="1:23" ht="28.5">
      <c r="A146" s="3480" t="s">
        <v>85</v>
      </c>
      <c r="B146" s="3506">
        <v>45805</v>
      </c>
      <c r="C146" s="3165" t="s">
        <v>2433</v>
      </c>
      <c r="D146" s="3165"/>
      <c r="E146" s="3623" t="s">
        <v>450</v>
      </c>
      <c r="F146" s="3652" t="s">
        <v>2484</v>
      </c>
      <c r="G146" s="3443">
        <v>712</v>
      </c>
      <c r="H146" s="3443" t="s">
        <v>2485</v>
      </c>
      <c r="I146" s="3443"/>
      <c r="J146" s="3443" t="s">
        <v>37</v>
      </c>
      <c r="K146" s="3443"/>
      <c r="L146" s="3160"/>
      <c r="M146" s="3443"/>
      <c r="N146" s="3462"/>
      <c r="O146" s="3462"/>
      <c r="P146" s="3462"/>
      <c r="Q146" s="3443"/>
      <c r="R146" s="3443"/>
      <c r="S146" s="3443"/>
      <c r="T146" s="3443"/>
      <c r="U146" s="3443"/>
      <c r="V146" s="3443"/>
      <c r="W146" s="3522"/>
    </row>
    <row r="147" spans="1:23" ht="57">
      <c r="A147" s="3480" t="s">
        <v>85</v>
      </c>
      <c r="B147" s="3506">
        <v>45805</v>
      </c>
      <c r="C147" s="3165" t="s">
        <v>2433</v>
      </c>
      <c r="D147" s="3165"/>
      <c r="E147" s="3614" t="s">
        <v>169</v>
      </c>
      <c r="F147" s="3643" t="s">
        <v>2475</v>
      </c>
      <c r="G147" s="3443">
        <v>712</v>
      </c>
      <c r="H147" s="3443" t="s">
        <v>99</v>
      </c>
      <c r="I147" s="3511" t="s">
        <v>84</v>
      </c>
      <c r="J147" s="3443" t="s">
        <v>37</v>
      </c>
      <c r="K147" s="3443"/>
      <c r="L147" s="3160"/>
      <c r="M147" s="3531"/>
      <c r="N147" s="21"/>
      <c r="O147" s="21"/>
      <c r="P147" s="21"/>
      <c r="Q147" s="3534"/>
      <c r="R147" s="3443"/>
      <c r="S147" s="3443"/>
      <c r="T147" s="3443"/>
      <c r="U147" s="3443"/>
      <c r="V147" s="3443"/>
      <c r="W147" s="3522" t="s">
        <v>2491</v>
      </c>
    </row>
    <row r="148" spans="1:23" ht="28.5">
      <c r="A148" s="3480" t="s">
        <v>85</v>
      </c>
      <c r="B148" s="3506">
        <v>45805</v>
      </c>
      <c r="C148" s="3165" t="s">
        <v>2433</v>
      </c>
      <c r="D148" s="3165"/>
      <c r="E148" s="3614" t="s">
        <v>169</v>
      </c>
      <c r="F148" s="3643" t="s">
        <v>339</v>
      </c>
      <c r="G148" s="3443">
        <v>712</v>
      </c>
      <c r="H148" s="3443" t="s">
        <v>274</v>
      </c>
      <c r="I148" s="3511" t="s">
        <v>84</v>
      </c>
      <c r="J148" s="3443" t="s">
        <v>37</v>
      </c>
      <c r="K148" s="3443"/>
      <c r="L148" s="3160"/>
      <c r="M148" s="3443"/>
      <c r="N148" s="3443"/>
      <c r="O148" s="3443"/>
      <c r="P148" s="3443"/>
      <c r="Q148" s="3443"/>
      <c r="R148" s="3443"/>
      <c r="S148" s="3443"/>
      <c r="T148" s="3443" t="s">
        <v>37</v>
      </c>
      <c r="U148" s="3443"/>
      <c r="V148" s="3443"/>
      <c r="W148" s="3522" t="s">
        <v>2494</v>
      </c>
    </row>
    <row r="149" spans="1:23" ht="28.5">
      <c r="A149" s="3443" t="s">
        <v>67</v>
      </c>
      <c r="B149" s="3840">
        <v>45811</v>
      </c>
      <c r="C149" s="3165"/>
      <c r="D149" s="3165"/>
      <c r="E149" s="3534" t="s">
        <v>2539</v>
      </c>
      <c r="F149" s="3443" t="s">
        <v>273</v>
      </c>
      <c r="G149" s="3443">
        <v>712</v>
      </c>
      <c r="H149" s="3505" t="s">
        <v>99</v>
      </c>
      <c r="I149" s="3505"/>
      <c r="J149" s="3505" t="s">
        <v>30</v>
      </c>
      <c r="K149" s="3505"/>
      <c r="L149" s="3160"/>
      <c r="M149" s="3160"/>
      <c r="N149" s="3160"/>
      <c r="O149" s="3160"/>
      <c r="P149" s="3160"/>
      <c r="Q149" s="3160"/>
      <c r="R149" s="3160"/>
      <c r="S149" s="3160"/>
      <c r="T149" s="3160"/>
      <c r="U149" s="3160"/>
      <c r="V149" s="3160"/>
      <c r="W149" s="3156"/>
    </row>
    <row r="150" spans="1:23" ht="28.5">
      <c r="A150" s="3443" t="s">
        <v>105</v>
      </c>
      <c r="B150" s="3444">
        <v>45813</v>
      </c>
      <c r="C150" s="3165"/>
      <c r="D150" s="3165"/>
      <c r="E150" s="3614" t="s">
        <v>2571</v>
      </c>
      <c r="F150" s="3758" t="s">
        <v>2572</v>
      </c>
      <c r="G150" s="3443">
        <v>712</v>
      </c>
      <c r="H150" s="3505">
        <v>1122</v>
      </c>
      <c r="I150" s="3693" t="s">
        <v>627</v>
      </c>
      <c r="J150" s="3505" t="s">
        <v>37</v>
      </c>
      <c r="K150" s="3505"/>
      <c r="L150" s="3160"/>
      <c r="M150" s="3160"/>
      <c r="N150" s="3160"/>
      <c r="O150" s="3160"/>
      <c r="P150" s="3160"/>
      <c r="Q150" s="3160"/>
      <c r="R150" s="3160"/>
      <c r="S150" s="3160"/>
      <c r="T150" s="3160"/>
      <c r="U150" s="3160"/>
      <c r="V150" s="3160"/>
      <c r="W150" s="3156"/>
    </row>
    <row r="151" spans="1:23" ht="29.25" thickBot="1">
      <c r="A151" s="3447" t="s">
        <v>105</v>
      </c>
      <c r="B151" s="3448">
        <v>45813</v>
      </c>
      <c r="C151" s="3165"/>
      <c r="D151" s="3165"/>
      <c r="E151" s="3847" t="s">
        <v>2574</v>
      </c>
      <c r="F151" s="3847" t="s">
        <v>2575</v>
      </c>
      <c r="G151" s="3443">
        <v>712</v>
      </c>
      <c r="H151" s="3447" t="s">
        <v>2576</v>
      </c>
      <c r="I151" s="3447"/>
      <c r="J151" s="3447" t="s">
        <v>37</v>
      </c>
      <c r="K151" s="3447"/>
      <c r="L151" s="3160"/>
      <c r="M151" s="3160"/>
      <c r="N151" s="3160"/>
      <c r="O151" s="3160"/>
      <c r="P151" s="3160"/>
      <c r="Q151" s="3160"/>
      <c r="R151" s="3160"/>
      <c r="S151" s="3160"/>
      <c r="T151" s="3160"/>
      <c r="U151" s="3160"/>
      <c r="V151" s="3160"/>
      <c r="W151" s="3156"/>
    </row>
    <row r="152" spans="1:23" ht="28.5">
      <c r="A152" s="3456" t="s">
        <v>132</v>
      </c>
      <c r="B152" s="3506">
        <v>45814</v>
      </c>
      <c r="C152" s="3165"/>
      <c r="D152" s="3165"/>
      <c r="E152" s="3848" t="s">
        <v>1160</v>
      </c>
      <c r="F152" s="3848" t="s">
        <v>1300</v>
      </c>
      <c r="G152" s="3443">
        <v>712</v>
      </c>
      <c r="H152" s="3505" t="s">
        <v>2576</v>
      </c>
      <c r="I152" s="3456"/>
      <c r="J152" s="3456" t="s">
        <v>37</v>
      </c>
      <c r="K152" s="3456"/>
      <c r="L152" s="3160"/>
      <c r="M152" s="3160"/>
      <c r="N152" s="3160"/>
      <c r="O152" s="3160"/>
      <c r="P152" s="3160"/>
      <c r="Q152" s="3160"/>
      <c r="R152" s="3160"/>
      <c r="S152" s="3160"/>
      <c r="T152" s="3160"/>
      <c r="U152" s="3160"/>
      <c r="V152" s="3160"/>
      <c r="W152" s="3156"/>
    </row>
    <row r="153" spans="1:23" ht="28.5">
      <c r="A153" s="3602" t="s">
        <v>132</v>
      </c>
      <c r="B153" s="3444">
        <v>45814</v>
      </c>
      <c r="C153" s="3165"/>
      <c r="D153" s="3165"/>
      <c r="E153" s="3849" t="s">
        <v>1153</v>
      </c>
      <c r="F153" s="3849" t="s">
        <v>2577</v>
      </c>
      <c r="G153" s="3443">
        <v>712</v>
      </c>
      <c r="H153" s="3443" t="s">
        <v>2576</v>
      </c>
      <c r="I153" s="3456"/>
      <c r="J153" s="3456" t="s">
        <v>37</v>
      </c>
      <c r="K153" s="3456"/>
      <c r="L153" s="3160"/>
      <c r="M153" s="3160"/>
      <c r="N153" s="3160"/>
      <c r="O153" s="3160"/>
      <c r="P153" s="3160"/>
      <c r="Q153" s="3160"/>
      <c r="R153" s="3160"/>
      <c r="S153" s="3160"/>
      <c r="T153" s="3160"/>
      <c r="U153" s="3160"/>
      <c r="V153" s="3160"/>
      <c r="W153" s="3156"/>
    </row>
    <row r="154" spans="1:23" ht="28.5">
      <c r="A154" s="3443" t="s">
        <v>132</v>
      </c>
      <c r="B154" s="3444">
        <v>45814</v>
      </c>
      <c r="C154" s="3165"/>
      <c r="D154" s="3165"/>
      <c r="E154" s="3563" t="s">
        <v>2579</v>
      </c>
      <c r="F154" s="3563" t="s">
        <v>2580</v>
      </c>
      <c r="G154" s="3443">
        <v>712</v>
      </c>
      <c r="H154" s="3443" t="s">
        <v>2581</v>
      </c>
      <c r="I154" s="3456"/>
      <c r="J154" s="3456" t="s">
        <v>37</v>
      </c>
      <c r="K154" s="3456"/>
      <c r="L154" s="3160"/>
      <c r="M154" s="3160"/>
      <c r="N154" s="3160"/>
      <c r="O154" s="3160"/>
      <c r="P154" s="3160"/>
      <c r="Q154" s="3160"/>
      <c r="R154" s="3160"/>
      <c r="S154" s="3160"/>
      <c r="T154" s="3160"/>
      <c r="U154" s="3160"/>
      <c r="V154" s="3160"/>
      <c r="W154" s="3156"/>
    </row>
    <row r="155" spans="1:23" ht="28.5">
      <c r="A155" s="3443" t="s">
        <v>132</v>
      </c>
      <c r="B155" s="3444">
        <v>45814</v>
      </c>
      <c r="C155" s="3165"/>
      <c r="D155" s="3165"/>
      <c r="E155" s="3563" t="s">
        <v>2582</v>
      </c>
      <c r="F155" s="3563" t="s">
        <v>2583</v>
      </c>
      <c r="G155" s="3443">
        <v>712</v>
      </c>
      <c r="H155" s="3443" t="s">
        <v>2581</v>
      </c>
      <c r="I155" s="3456"/>
      <c r="J155" s="3456" t="s">
        <v>37</v>
      </c>
      <c r="K155" s="3456"/>
      <c r="L155" s="3160"/>
      <c r="M155" s="3160"/>
      <c r="N155" s="3160"/>
      <c r="O155" s="3160"/>
      <c r="P155" s="3160"/>
      <c r="Q155" s="3160"/>
      <c r="R155" s="3160"/>
      <c r="S155" s="3160"/>
      <c r="T155" s="3160"/>
      <c r="U155" s="3160"/>
      <c r="V155" s="3160"/>
      <c r="W155" s="3156"/>
    </row>
    <row r="156" spans="1:23" ht="28.5">
      <c r="A156" s="3505" t="s">
        <v>67</v>
      </c>
      <c r="B156" s="3506">
        <v>45818</v>
      </c>
      <c r="C156" s="3165" t="s">
        <v>2592</v>
      </c>
      <c r="D156" s="3165"/>
      <c r="E156" s="3689" t="s">
        <v>2303</v>
      </c>
      <c r="F156" s="3689" t="s">
        <v>1145</v>
      </c>
      <c r="G156" s="3443">
        <v>712</v>
      </c>
      <c r="H156" s="3462"/>
      <c r="I156" s="3632" t="s">
        <v>174</v>
      </c>
      <c r="J156" s="3462" t="s">
        <v>37</v>
      </c>
      <c r="K156" s="3462"/>
      <c r="L156" s="3462"/>
      <c r="M156" s="3160"/>
      <c r="N156" s="3160"/>
      <c r="O156" s="3160"/>
      <c r="P156" s="3160"/>
      <c r="Q156" s="3462"/>
      <c r="R156" s="3462"/>
      <c r="S156" s="3160"/>
      <c r="T156" s="3160"/>
      <c r="U156" s="3507"/>
      <c r="V156" s="3160"/>
      <c r="W156" s="3156"/>
    </row>
    <row r="157" spans="1:23" ht="28.5">
      <c r="A157" s="3505" t="s">
        <v>25</v>
      </c>
      <c r="B157" s="3506">
        <v>45824</v>
      </c>
      <c r="C157" s="3355" t="s">
        <v>2645</v>
      </c>
      <c r="D157" s="3355"/>
      <c r="E157" s="3758" t="s">
        <v>2303</v>
      </c>
      <c r="F157" s="3758" t="s">
        <v>1145</v>
      </c>
      <c r="G157" s="3443">
        <v>712</v>
      </c>
      <c r="H157" s="3456" t="s">
        <v>2154</v>
      </c>
      <c r="I157" s="3632" t="s">
        <v>174</v>
      </c>
      <c r="J157" s="3443" t="s">
        <v>37</v>
      </c>
      <c r="K157" s="3456"/>
      <c r="L157" s="3276"/>
      <c r="M157" s="3456"/>
      <c r="N157" s="3276"/>
      <c r="O157" s="3276"/>
      <c r="P157" s="3276"/>
      <c r="Q157" s="3456"/>
      <c r="R157" s="3456"/>
      <c r="S157" s="3456"/>
      <c r="T157" s="3276"/>
      <c r="U157" s="3853"/>
      <c r="V157" s="3276"/>
      <c r="W157" s="3277"/>
    </row>
    <row r="158" spans="1:23" ht="29.25" thickBot="1">
      <c r="A158" s="3480" t="s">
        <v>67</v>
      </c>
      <c r="B158" s="3444">
        <v>45825</v>
      </c>
      <c r="C158" s="3355" t="s">
        <v>2645</v>
      </c>
      <c r="D158" s="3165"/>
      <c r="E158" s="3617" t="s">
        <v>1905</v>
      </c>
      <c r="F158" s="3645" t="s">
        <v>2035</v>
      </c>
      <c r="G158" s="3443">
        <v>712</v>
      </c>
      <c r="H158" s="3443" t="s">
        <v>495</v>
      </c>
      <c r="I158" s="3456"/>
      <c r="J158" s="3443" t="s">
        <v>37</v>
      </c>
      <c r="K158" s="3456"/>
      <c r="L158" s="3160"/>
      <c r="M158" s="3443"/>
      <c r="N158" s="3160"/>
      <c r="O158" s="3160"/>
      <c r="P158" s="3160"/>
      <c r="Q158" s="3443"/>
      <c r="R158" s="3443"/>
      <c r="S158" s="3443"/>
      <c r="T158" s="3160"/>
      <c r="U158" s="3507"/>
      <c r="V158" s="3160"/>
      <c r="W158" s="3283"/>
    </row>
    <row r="159" spans="1:23" ht="28.5">
      <c r="A159" s="3656" t="s">
        <v>85</v>
      </c>
      <c r="B159" s="3657">
        <v>45826</v>
      </c>
      <c r="C159" s="3356" t="s">
        <v>2645</v>
      </c>
      <c r="D159" s="3356"/>
      <c r="E159" s="3835" t="s">
        <v>1116</v>
      </c>
      <c r="F159" s="3836" t="s">
        <v>1986</v>
      </c>
      <c r="G159" s="3443">
        <v>712</v>
      </c>
      <c r="H159" s="3668" t="s">
        <v>495</v>
      </c>
      <c r="I159" s="3503"/>
      <c r="J159" s="3503" t="s">
        <v>37</v>
      </c>
      <c r="K159" s="3503"/>
      <c r="L159" s="3281"/>
      <c r="M159" s="3503"/>
      <c r="N159" s="3281"/>
      <c r="O159" s="3281"/>
      <c r="P159" s="3281"/>
      <c r="Q159" s="3503"/>
      <c r="R159" s="3503"/>
      <c r="S159" s="3503"/>
      <c r="T159" s="3281"/>
      <c r="U159" s="3867"/>
      <c r="V159" s="3281"/>
      <c r="W159" s="3282"/>
    </row>
    <row r="160" spans="1:23" ht="28.5">
      <c r="A160" s="3505" t="s">
        <v>25</v>
      </c>
      <c r="B160" s="3506">
        <v>45831</v>
      </c>
      <c r="C160" s="3355" t="s">
        <v>2697</v>
      </c>
      <c r="D160" s="3355"/>
      <c r="E160" s="3758" t="s">
        <v>2303</v>
      </c>
      <c r="F160" s="3758" t="s">
        <v>1145</v>
      </c>
      <c r="G160" s="3443">
        <v>712</v>
      </c>
      <c r="H160" s="3443" t="s">
        <v>2699</v>
      </c>
      <c r="I160" s="3511" t="s">
        <v>174</v>
      </c>
      <c r="J160" s="3456" t="s">
        <v>30</v>
      </c>
      <c r="K160" s="3456"/>
      <c r="L160" s="3456"/>
      <c r="M160" s="3456"/>
      <c r="N160" s="3456"/>
      <c r="O160" s="3456"/>
      <c r="P160" s="3456"/>
      <c r="Q160" s="3456"/>
      <c r="R160" s="3456"/>
      <c r="S160" s="3456"/>
      <c r="T160" s="3276"/>
      <c r="U160" s="3853"/>
      <c r="V160" s="3160"/>
      <c r="W160" s="3156"/>
    </row>
    <row r="161" spans="1:23" ht="28.5">
      <c r="A161" s="3480" t="s">
        <v>67</v>
      </c>
      <c r="B161" s="3444">
        <v>45832</v>
      </c>
      <c r="C161" s="3355" t="s">
        <v>2697</v>
      </c>
      <c r="D161" s="3165"/>
      <c r="E161" s="3614" t="s">
        <v>2571</v>
      </c>
      <c r="F161" s="3614" t="s">
        <v>2721</v>
      </c>
      <c r="G161" s="3443">
        <v>712</v>
      </c>
      <c r="H161" s="3443" t="s">
        <v>2722</v>
      </c>
      <c r="I161" s="3511" t="s">
        <v>1274</v>
      </c>
      <c r="J161" s="3462" t="s">
        <v>37</v>
      </c>
      <c r="K161" s="3462"/>
      <c r="L161" s="3462"/>
      <c r="M161" s="3462"/>
      <c r="N161" s="3462"/>
      <c r="O161" s="3462"/>
      <c r="P161" s="3462"/>
      <c r="Q161" s="3462"/>
      <c r="R161" s="3462"/>
      <c r="S161" s="3462"/>
      <c r="T161" s="3160"/>
      <c r="U161" s="3507"/>
      <c r="V161" s="3160"/>
      <c r="W161" s="3156"/>
    </row>
    <row r="162" spans="1:23" ht="29.25" thickBot="1">
      <c r="A162" s="3494" t="s">
        <v>67</v>
      </c>
      <c r="B162" s="3448">
        <v>45832</v>
      </c>
      <c r="C162" s="3355" t="s">
        <v>2697</v>
      </c>
      <c r="D162" s="3165"/>
      <c r="E162" s="3690" t="s">
        <v>2723</v>
      </c>
      <c r="F162" s="3774" t="s">
        <v>1169</v>
      </c>
      <c r="G162" s="3443">
        <v>712</v>
      </c>
      <c r="H162" s="3447" t="s">
        <v>2724</v>
      </c>
      <c r="I162" s="3511" t="s">
        <v>1274</v>
      </c>
      <c r="J162" s="3462" t="s">
        <v>37</v>
      </c>
      <c r="K162" s="3462"/>
      <c r="L162" s="3462"/>
      <c r="M162" s="3462"/>
      <c r="N162" s="3462"/>
      <c r="O162" s="3462"/>
      <c r="P162" s="3462"/>
      <c r="Q162" s="3462"/>
      <c r="R162" s="3462"/>
      <c r="S162" s="3462"/>
      <c r="T162" s="3160"/>
      <c r="U162" s="3507"/>
      <c r="V162" s="3160"/>
      <c r="W162" s="3156"/>
    </row>
    <row r="163" spans="1:23" ht="28.5">
      <c r="A163" s="3480" t="s">
        <v>105</v>
      </c>
      <c r="B163" s="3444">
        <v>45834</v>
      </c>
      <c r="C163" s="3355" t="s">
        <v>2697</v>
      </c>
      <c r="D163" s="3165"/>
      <c r="E163" s="3614" t="s">
        <v>97</v>
      </c>
      <c r="F163" s="3643" t="s">
        <v>615</v>
      </c>
      <c r="G163" s="3443">
        <v>712</v>
      </c>
      <c r="H163" s="3443" t="s">
        <v>2737</v>
      </c>
      <c r="I163" s="3443"/>
      <c r="J163" s="3462" t="s">
        <v>37</v>
      </c>
      <c r="K163" s="3462"/>
      <c r="L163" s="3462"/>
      <c r="M163" s="3462"/>
      <c r="N163" s="3462"/>
      <c r="O163" s="3462"/>
      <c r="P163" s="3462"/>
      <c r="Q163" s="3462"/>
      <c r="R163" s="3462"/>
      <c r="S163" s="3462"/>
      <c r="T163" s="3160"/>
      <c r="U163" s="3522"/>
      <c r="V163" s="3254"/>
      <c r="W163" s="3156"/>
    </row>
    <row r="164" spans="1:23" ht="28.5">
      <c r="A164" s="3480" t="s">
        <v>105</v>
      </c>
      <c r="B164" s="3444">
        <v>45834</v>
      </c>
      <c r="C164" s="3355" t="s">
        <v>2697</v>
      </c>
      <c r="D164" s="3165"/>
      <c r="E164" s="3614" t="s">
        <v>615</v>
      </c>
      <c r="F164" s="3643" t="s">
        <v>1986</v>
      </c>
      <c r="G164" s="3443">
        <v>712</v>
      </c>
      <c r="H164" s="3443" t="s">
        <v>2737</v>
      </c>
      <c r="I164" s="3443"/>
      <c r="J164" s="3462" t="s">
        <v>37</v>
      </c>
      <c r="K164" s="3462"/>
      <c r="L164" s="3462"/>
      <c r="M164" s="3462"/>
      <c r="N164" s="3462"/>
      <c r="O164" s="3462"/>
      <c r="P164" s="3462"/>
      <c r="Q164" s="3462"/>
      <c r="R164" s="3462"/>
      <c r="S164" s="3462"/>
      <c r="T164" s="3160"/>
      <c r="U164" s="3522"/>
      <c r="V164" s="3254"/>
      <c r="W164" s="3156"/>
    </row>
    <row r="165" spans="1:23" ht="52.5">
      <c r="A165" s="3500" t="s">
        <v>105</v>
      </c>
      <c r="B165" s="3463">
        <v>45834</v>
      </c>
      <c r="C165" s="3355" t="s">
        <v>2697</v>
      </c>
      <c r="D165" s="3165"/>
      <c r="E165" s="3689" t="s">
        <v>97</v>
      </c>
      <c r="F165" s="3714" t="s">
        <v>2739</v>
      </c>
      <c r="G165" s="3443">
        <v>712</v>
      </c>
      <c r="H165" s="3443" t="s">
        <v>2740</v>
      </c>
      <c r="I165" s="3443"/>
      <c r="J165" s="3462"/>
      <c r="K165" s="3462" t="s">
        <v>37</v>
      </c>
      <c r="L165" s="3462"/>
      <c r="M165" s="3462"/>
      <c r="N165" s="21" t="s">
        <v>71</v>
      </c>
      <c r="O165" s="21" t="s">
        <v>72</v>
      </c>
      <c r="P165" s="21" t="s">
        <v>32</v>
      </c>
      <c r="Q165" s="3462"/>
      <c r="R165" s="3462"/>
      <c r="S165" s="3462"/>
      <c r="T165" s="3160"/>
      <c r="U165" s="3544" t="s">
        <v>2741</v>
      </c>
      <c r="V165" s="3254"/>
      <c r="W165" s="3156"/>
    </row>
    <row r="166" spans="1:23" ht="29.25" thickBot="1">
      <c r="A166" s="3494" t="s">
        <v>105</v>
      </c>
      <c r="B166" s="3448">
        <v>45834</v>
      </c>
      <c r="C166" s="3372" t="s">
        <v>2697</v>
      </c>
      <c r="D166" s="3357"/>
      <c r="E166" s="3690" t="s">
        <v>2739</v>
      </c>
      <c r="F166" s="3715" t="s">
        <v>2742</v>
      </c>
      <c r="G166" s="3443">
        <v>712</v>
      </c>
      <c r="H166" s="3447" t="s">
        <v>2740</v>
      </c>
      <c r="I166" s="3447"/>
      <c r="J166" s="3447"/>
      <c r="K166" s="3447"/>
      <c r="L166" s="3447" t="s">
        <v>37</v>
      </c>
      <c r="M166" s="3447"/>
      <c r="N166" s="3447"/>
      <c r="O166" s="3447"/>
      <c r="P166" s="3447"/>
      <c r="Q166" s="3447"/>
      <c r="R166" s="3447"/>
      <c r="S166" s="3447"/>
      <c r="T166" s="3284"/>
      <c r="U166" s="3547"/>
      <c r="V166" s="3254"/>
      <c r="W166" s="3156"/>
    </row>
    <row r="167" spans="1:23" ht="28.5">
      <c r="A167" s="3480" t="s">
        <v>132</v>
      </c>
      <c r="B167" s="3840">
        <v>45835</v>
      </c>
      <c r="C167" s="3355" t="s">
        <v>2697</v>
      </c>
      <c r="D167" s="3165"/>
      <c r="E167" s="3614" t="s">
        <v>204</v>
      </c>
      <c r="F167" s="3643" t="s">
        <v>1780</v>
      </c>
      <c r="G167" s="3443">
        <v>712</v>
      </c>
      <c r="H167" s="3443" t="s">
        <v>2748</v>
      </c>
      <c r="I167" s="3443"/>
      <c r="J167" s="3443" t="s">
        <v>37</v>
      </c>
      <c r="K167" s="3443"/>
      <c r="L167" s="3443"/>
      <c r="M167" s="3443"/>
      <c r="N167" s="3443"/>
      <c r="O167" s="3443"/>
      <c r="P167" s="3443"/>
      <c r="Q167" s="3443"/>
      <c r="R167" s="3443"/>
      <c r="S167" s="3443"/>
      <c r="T167" s="3160"/>
      <c r="U167" s="3522"/>
      <c r="V167" s="3254"/>
      <c r="W167" s="3156"/>
    </row>
    <row r="168" spans="1:23" ht="28.5">
      <c r="A168" s="3480" t="s">
        <v>25</v>
      </c>
      <c r="B168" s="3444">
        <v>45838</v>
      </c>
      <c r="C168" s="3165" t="s">
        <v>2761</v>
      </c>
      <c r="D168" s="3165"/>
      <c r="E168" s="3614" t="s">
        <v>169</v>
      </c>
      <c r="F168" s="3643" t="s">
        <v>368</v>
      </c>
      <c r="G168" s="3443">
        <v>712</v>
      </c>
      <c r="H168" s="3516" t="s">
        <v>2767</v>
      </c>
      <c r="I168" s="3872" t="s">
        <v>1274</v>
      </c>
      <c r="J168" s="3462" t="s">
        <v>30</v>
      </c>
      <c r="K168" s="3462"/>
      <c r="L168" s="3462"/>
      <c r="M168" s="3160"/>
      <c r="N168" s="3160"/>
      <c r="O168" s="3160"/>
      <c r="P168" s="3160"/>
      <c r="Q168" s="3160"/>
      <c r="R168" s="3160"/>
      <c r="S168" s="3462"/>
      <c r="T168" s="3160"/>
      <c r="U168" s="3507"/>
      <c r="V168" s="3160"/>
      <c r="W168" s="3283"/>
    </row>
    <row r="169" spans="1:23" ht="28.5">
      <c r="A169" s="3480" t="s">
        <v>25</v>
      </c>
      <c r="B169" s="3444">
        <v>45838</v>
      </c>
      <c r="C169" s="3165" t="s">
        <v>2761</v>
      </c>
      <c r="D169" s="3165"/>
      <c r="E169" s="3614" t="s">
        <v>1838</v>
      </c>
      <c r="F169" s="3643" t="s">
        <v>209</v>
      </c>
      <c r="G169" s="3443">
        <v>712</v>
      </c>
      <c r="H169" s="3516" t="s">
        <v>1895</v>
      </c>
      <c r="I169" s="2369"/>
      <c r="J169" s="3462" t="s">
        <v>30</v>
      </c>
      <c r="K169" s="3462"/>
      <c r="L169" s="3462"/>
      <c r="M169" s="3160"/>
      <c r="N169" s="3160"/>
      <c r="O169" s="3160"/>
      <c r="P169" s="3160"/>
      <c r="Q169" s="3160"/>
      <c r="R169" s="3160"/>
      <c r="S169" s="3462"/>
      <c r="T169" s="3160"/>
      <c r="U169" s="3507" t="s">
        <v>2773</v>
      </c>
      <c r="V169" s="3160"/>
      <c r="W169" s="3283"/>
    </row>
    <row r="170" spans="1:23" ht="28.5">
      <c r="A170" s="3480" t="s">
        <v>25</v>
      </c>
      <c r="B170" s="3444">
        <v>45838</v>
      </c>
      <c r="C170" s="3165" t="s">
        <v>2761</v>
      </c>
      <c r="D170" s="3165"/>
      <c r="E170" s="3614" t="s">
        <v>89</v>
      </c>
      <c r="F170" s="3643" t="s">
        <v>209</v>
      </c>
      <c r="G170" s="3443">
        <v>712</v>
      </c>
      <c r="H170" s="3516" t="s">
        <v>2775</v>
      </c>
      <c r="I170" s="2369"/>
      <c r="J170" s="3462" t="s">
        <v>30</v>
      </c>
      <c r="K170" s="3462"/>
      <c r="L170" s="3462"/>
      <c r="M170" s="3160"/>
      <c r="N170" s="3160"/>
      <c r="O170" s="3160"/>
      <c r="P170" s="3160"/>
      <c r="Q170" s="3160"/>
      <c r="R170" s="3160"/>
      <c r="S170" s="3462"/>
      <c r="T170" s="3160"/>
      <c r="U170" s="3507"/>
      <c r="V170" s="3160"/>
      <c r="W170" s="3283"/>
    </row>
    <row r="171" spans="1:23" ht="28.5">
      <c r="A171" s="3493" t="s">
        <v>67</v>
      </c>
      <c r="B171" s="3457">
        <v>45839</v>
      </c>
      <c r="C171" s="3355" t="s">
        <v>2761</v>
      </c>
      <c r="D171" s="3355"/>
      <c r="E171" s="3685" t="s">
        <v>169</v>
      </c>
      <c r="F171" s="3685" t="s">
        <v>2779</v>
      </c>
      <c r="G171" s="3443">
        <v>712</v>
      </c>
      <c r="H171" s="3603" t="s">
        <v>2780</v>
      </c>
      <c r="I171" s="3873"/>
      <c r="J171" s="3505" t="s">
        <v>37</v>
      </c>
      <c r="K171" s="3505"/>
      <c r="L171" s="3505"/>
      <c r="M171" s="3276"/>
      <c r="N171" s="3276"/>
      <c r="O171" s="3276"/>
      <c r="P171" s="3276"/>
      <c r="Q171" s="3276"/>
      <c r="R171" s="3276"/>
      <c r="S171" s="3505"/>
      <c r="T171" s="3276"/>
      <c r="U171" s="3512" t="s">
        <v>2781</v>
      </c>
      <c r="V171" s="3276"/>
      <c r="W171" s="3795"/>
    </row>
    <row r="172" spans="1:23" ht="28.5">
      <c r="A172" s="3480" t="s">
        <v>67</v>
      </c>
      <c r="B172" s="3444">
        <v>45839</v>
      </c>
      <c r="C172" s="3165" t="s">
        <v>2761</v>
      </c>
      <c r="D172" s="3165"/>
      <c r="E172" s="3614" t="s">
        <v>2783</v>
      </c>
      <c r="F172" s="3614" t="s">
        <v>183</v>
      </c>
      <c r="G172" s="3443">
        <v>712</v>
      </c>
      <c r="H172" s="3516" t="s">
        <v>2784</v>
      </c>
      <c r="I172" s="2369"/>
      <c r="J172" s="3462"/>
      <c r="K172" s="3462"/>
      <c r="L172" s="3462"/>
      <c r="M172" s="3160" t="s">
        <v>37</v>
      </c>
      <c r="N172" s="21"/>
      <c r="O172" s="21"/>
      <c r="P172" s="21"/>
      <c r="Q172" s="3160"/>
      <c r="R172" s="3160"/>
      <c r="S172" s="3462"/>
      <c r="T172" s="3160"/>
      <c r="U172" s="3507" t="s">
        <v>2785</v>
      </c>
      <c r="V172" s="3160"/>
      <c r="W172" s="3283"/>
    </row>
    <row r="173" spans="1:23" ht="28.5">
      <c r="A173" s="3480" t="s">
        <v>67</v>
      </c>
      <c r="B173" s="3444">
        <v>45839</v>
      </c>
      <c r="C173" s="3165" t="s">
        <v>2761</v>
      </c>
      <c r="D173" s="3165"/>
      <c r="E173" s="3614" t="s">
        <v>1838</v>
      </c>
      <c r="F173" s="3614" t="s">
        <v>80</v>
      </c>
      <c r="G173" s="3443">
        <v>712</v>
      </c>
      <c r="H173" s="3516" t="s">
        <v>2787</v>
      </c>
      <c r="I173" s="3511" t="s">
        <v>174</v>
      </c>
      <c r="J173" s="3462"/>
      <c r="K173" s="3462" t="s">
        <v>30</v>
      </c>
      <c r="L173" s="3462"/>
      <c r="M173" s="3160"/>
      <c r="N173" s="21" t="s">
        <v>0</v>
      </c>
      <c r="O173" s="21" t="s">
        <v>31</v>
      </c>
      <c r="P173" s="21" t="s">
        <v>160</v>
      </c>
      <c r="Q173" s="3160">
        <v>1</v>
      </c>
      <c r="R173" s="3160"/>
      <c r="S173" s="3462"/>
      <c r="T173" s="3160"/>
      <c r="U173" s="3507" t="s">
        <v>2788</v>
      </c>
      <c r="V173" s="3160"/>
      <c r="W173" s="3283"/>
    </row>
    <row r="174" spans="1:23" ht="28.5">
      <c r="A174" s="3480" t="s">
        <v>67</v>
      </c>
      <c r="B174" s="3444">
        <v>45839</v>
      </c>
      <c r="C174" s="3165" t="s">
        <v>2761</v>
      </c>
      <c r="D174" s="3165"/>
      <c r="E174" s="3614" t="s">
        <v>80</v>
      </c>
      <c r="F174" s="3614" t="s">
        <v>2790</v>
      </c>
      <c r="G174" s="3443">
        <v>712</v>
      </c>
      <c r="H174" s="3516" t="s">
        <v>2791</v>
      </c>
      <c r="I174" s="3511" t="s">
        <v>174</v>
      </c>
      <c r="J174" s="3462" t="s">
        <v>37</v>
      </c>
      <c r="K174" s="3462"/>
      <c r="L174" s="3462"/>
      <c r="M174" s="3160"/>
      <c r="N174" s="3160"/>
      <c r="O174" s="3160"/>
      <c r="P174" s="3160"/>
      <c r="Q174" s="3160"/>
      <c r="R174" s="3160"/>
      <c r="S174" s="3462"/>
      <c r="T174" s="3160"/>
      <c r="U174" s="3507"/>
      <c r="V174" s="3160"/>
      <c r="W174" s="3283"/>
    </row>
    <row r="175" spans="1:23" ht="28.5">
      <c r="A175" s="3480" t="s">
        <v>67</v>
      </c>
      <c r="B175" s="3444">
        <v>45839</v>
      </c>
      <c r="C175" s="3165" t="s">
        <v>2761</v>
      </c>
      <c r="D175" s="3165"/>
      <c r="E175" s="3614" t="s">
        <v>1486</v>
      </c>
      <c r="F175" s="3614" t="s">
        <v>1838</v>
      </c>
      <c r="G175" s="3443">
        <v>712</v>
      </c>
      <c r="H175" s="3516" t="s">
        <v>2787</v>
      </c>
      <c r="I175" s="2369"/>
      <c r="J175" s="3462" t="s">
        <v>30</v>
      </c>
      <c r="K175" s="3462"/>
      <c r="L175" s="3462"/>
      <c r="M175" s="3160"/>
      <c r="N175" s="3160"/>
      <c r="O175" s="3160"/>
      <c r="P175" s="3160"/>
      <c r="Q175" s="3160"/>
      <c r="R175" s="3160"/>
      <c r="S175" s="3462"/>
      <c r="T175" s="3160"/>
      <c r="U175" s="3507"/>
      <c r="V175" s="3160"/>
      <c r="W175" s="3283"/>
    </row>
    <row r="176" spans="1:23" ht="28.5">
      <c r="A176" s="3480" t="s">
        <v>85</v>
      </c>
      <c r="B176" s="3444">
        <v>45840</v>
      </c>
      <c r="C176" s="3165" t="s">
        <v>2761</v>
      </c>
      <c r="D176" s="3165"/>
      <c r="E176" s="3614" t="s">
        <v>169</v>
      </c>
      <c r="F176" s="3614" t="s">
        <v>389</v>
      </c>
      <c r="G176" s="3443">
        <v>712</v>
      </c>
      <c r="H176" s="3516" t="s">
        <v>65</v>
      </c>
      <c r="I176" s="3511" t="s">
        <v>84</v>
      </c>
      <c r="J176" s="3462" t="s">
        <v>37</v>
      </c>
      <c r="K176" s="3462"/>
      <c r="L176" s="3462" t="s">
        <v>37</v>
      </c>
      <c r="M176" s="3160"/>
      <c r="N176" s="3160"/>
      <c r="O176" s="3160"/>
      <c r="P176" s="3160"/>
      <c r="Q176" s="3160"/>
      <c r="R176" s="3160"/>
      <c r="S176" s="3462"/>
      <c r="T176" s="3160"/>
      <c r="U176" s="3522" t="s">
        <v>2801</v>
      </c>
      <c r="V176" s="3254"/>
      <c r="W176" s="3156"/>
    </row>
    <row r="177" spans="1:23" ht="28.5">
      <c r="A177" s="3480" t="s">
        <v>85</v>
      </c>
      <c r="B177" s="3444">
        <v>45840</v>
      </c>
      <c r="C177" s="3165" t="s">
        <v>2761</v>
      </c>
      <c r="D177" s="3165"/>
      <c r="E177" s="3614" t="s">
        <v>2709</v>
      </c>
      <c r="F177" s="3678" t="s">
        <v>1798</v>
      </c>
      <c r="G177" s="3443">
        <v>712</v>
      </c>
      <c r="H177" s="3516" t="s">
        <v>2608</v>
      </c>
      <c r="I177" s="3511" t="s">
        <v>10</v>
      </c>
      <c r="J177" s="3462" t="s">
        <v>37</v>
      </c>
      <c r="K177" s="3462"/>
      <c r="L177" s="3462"/>
      <c r="M177" s="3160"/>
      <c r="N177" s="3160"/>
      <c r="O177" s="3160"/>
      <c r="P177" s="3160"/>
      <c r="Q177" s="3160"/>
      <c r="R177" s="3160"/>
      <c r="S177" s="3462"/>
      <c r="T177" s="3160"/>
      <c r="U177" s="3522"/>
      <c r="V177" s="3254"/>
      <c r="W177" s="3156"/>
    </row>
    <row r="178" spans="1:23" ht="28.5">
      <c r="A178" s="3480" t="s">
        <v>85</v>
      </c>
      <c r="B178" s="3444">
        <v>45840</v>
      </c>
      <c r="C178" s="3165" t="s">
        <v>2761</v>
      </c>
      <c r="D178" s="3165"/>
      <c r="E178" s="3614" t="s">
        <v>1798</v>
      </c>
      <c r="F178" s="3614" t="s">
        <v>2807</v>
      </c>
      <c r="G178" s="3443">
        <v>712</v>
      </c>
      <c r="H178" s="3516" t="s">
        <v>2608</v>
      </c>
      <c r="I178" s="3511" t="s">
        <v>10</v>
      </c>
      <c r="J178" s="3462" t="s">
        <v>37</v>
      </c>
      <c r="K178" s="3462"/>
      <c r="L178" s="3462"/>
      <c r="M178" s="3160"/>
      <c r="N178" s="3160"/>
      <c r="O178" s="3160"/>
      <c r="P178" s="3160"/>
      <c r="Q178" s="3160"/>
      <c r="R178" s="3160"/>
      <c r="S178" s="3462"/>
      <c r="T178" s="3160"/>
      <c r="U178" s="3522"/>
      <c r="V178" s="3254"/>
      <c r="W178" s="3156"/>
    </row>
    <row r="179" spans="1:23" ht="28.5">
      <c r="A179" s="3480" t="s">
        <v>105</v>
      </c>
      <c r="B179" s="3444">
        <v>45841</v>
      </c>
      <c r="C179" s="3165" t="s">
        <v>2761</v>
      </c>
      <c r="D179" s="3165"/>
      <c r="E179" s="3614" t="s">
        <v>2483</v>
      </c>
      <c r="F179" s="3614" t="s">
        <v>2821</v>
      </c>
      <c r="G179" s="3443">
        <v>712</v>
      </c>
      <c r="H179" s="3443" t="s">
        <v>377</v>
      </c>
      <c r="I179" s="2369"/>
      <c r="J179" s="3462" t="s">
        <v>37</v>
      </c>
      <c r="K179" s="3462"/>
      <c r="L179" s="3462"/>
      <c r="M179" s="3160"/>
      <c r="N179" s="3160"/>
      <c r="O179" s="3160"/>
      <c r="P179" s="3160"/>
      <c r="Q179" s="3160"/>
      <c r="R179" s="3160"/>
      <c r="S179" s="3462"/>
      <c r="T179" s="3160"/>
      <c r="U179" s="3522"/>
      <c r="V179" s="3254"/>
      <c r="W179" s="3156"/>
    </row>
    <row r="180" spans="1:23" ht="28.5">
      <c r="A180" s="3480" t="s">
        <v>105</v>
      </c>
      <c r="B180" s="3444">
        <v>45840</v>
      </c>
      <c r="C180" s="3165" t="s">
        <v>2761</v>
      </c>
      <c r="D180" s="3165"/>
      <c r="E180" s="3614" t="s">
        <v>1838</v>
      </c>
      <c r="F180" s="3614" t="s">
        <v>80</v>
      </c>
      <c r="G180" s="3443">
        <v>712</v>
      </c>
      <c r="H180" s="3516" t="s">
        <v>2809</v>
      </c>
      <c r="I180" s="3511" t="s">
        <v>627</v>
      </c>
      <c r="J180" s="3462"/>
      <c r="K180" s="3462"/>
      <c r="L180" s="3462" t="s">
        <v>37</v>
      </c>
      <c r="M180" s="3160"/>
      <c r="N180" s="3160"/>
      <c r="O180" s="3160"/>
      <c r="P180" s="3160"/>
      <c r="Q180" s="3160"/>
      <c r="R180" s="3160"/>
      <c r="S180" s="3462"/>
      <c r="T180" s="3160"/>
      <c r="U180" s="3522"/>
      <c r="V180" s="3254"/>
      <c r="W180" s="3156"/>
    </row>
    <row r="181" spans="1:23" ht="28.5">
      <c r="A181" s="3480" t="s">
        <v>105</v>
      </c>
      <c r="B181" s="3444">
        <v>45840</v>
      </c>
      <c r="C181" s="3165" t="s">
        <v>2761</v>
      </c>
      <c r="D181" s="3165"/>
      <c r="E181" s="3614" t="s">
        <v>80</v>
      </c>
      <c r="F181" s="3614" t="s">
        <v>1838</v>
      </c>
      <c r="G181" s="3443">
        <v>712</v>
      </c>
      <c r="H181" s="3516" t="s">
        <v>2811</v>
      </c>
      <c r="I181" s="3511" t="s">
        <v>4065</v>
      </c>
      <c r="J181" s="3462"/>
      <c r="K181" s="3462"/>
      <c r="L181" s="3462" t="s">
        <v>37</v>
      </c>
      <c r="M181" s="3160"/>
      <c r="N181" s="3160"/>
      <c r="O181" s="3160"/>
      <c r="P181" s="3160"/>
      <c r="Q181" s="3160"/>
      <c r="R181" s="3160"/>
      <c r="S181" s="3462"/>
      <c r="T181" s="3160"/>
      <c r="U181" s="3522"/>
      <c r="V181" s="3254"/>
      <c r="W181" s="3156"/>
    </row>
    <row r="182" spans="1:23" ht="29.25" thickBot="1">
      <c r="A182" s="3480" t="s">
        <v>105</v>
      </c>
      <c r="B182" s="3444">
        <v>45841</v>
      </c>
      <c r="C182" s="3165" t="s">
        <v>2761</v>
      </c>
      <c r="D182" s="3165"/>
      <c r="E182" s="3614" t="s">
        <v>2483</v>
      </c>
      <c r="F182" s="3614" t="s">
        <v>204</v>
      </c>
      <c r="G182" s="3443">
        <v>712</v>
      </c>
      <c r="H182" s="3443" t="s">
        <v>274</v>
      </c>
      <c r="I182" s="3511" t="s">
        <v>627</v>
      </c>
      <c r="J182" s="3462" t="s">
        <v>37</v>
      </c>
      <c r="K182" s="3462"/>
      <c r="L182" s="3462"/>
      <c r="M182" s="3160"/>
      <c r="N182" s="3160"/>
      <c r="O182" s="3160"/>
      <c r="P182" s="3160"/>
      <c r="Q182" s="3160"/>
      <c r="R182" s="3160"/>
      <c r="S182" s="3462"/>
      <c r="T182" s="3160"/>
      <c r="U182" s="3522"/>
      <c r="V182" s="3254"/>
      <c r="W182" s="3156"/>
    </row>
    <row r="183" spans="1:23" ht="28.5">
      <c r="A183" s="3477" t="s">
        <v>132</v>
      </c>
      <c r="B183" s="3478">
        <v>45842</v>
      </c>
      <c r="C183" s="3356" t="s">
        <v>2761</v>
      </c>
      <c r="D183" s="3356"/>
      <c r="E183" s="3708" t="s">
        <v>204</v>
      </c>
      <c r="F183" s="3708" t="s">
        <v>389</v>
      </c>
      <c r="G183" s="3443">
        <v>712</v>
      </c>
      <c r="H183" s="3515" t="s">
        <v>274</v>
      </c>
      <c r="I183" s="3694" t="s">
        <v>627</v>
      </c>
      <c r="J183" s="3668" t="s">
        <v>37</v>
      </c>
      <c r="K183" s="3668"/>
      <c r="L183" s="3668"/>
      <c r="M183" s="3281"/>
      <c r="N183" s="3281"/>
      <c r="O183" s="3281"/>
      <c r="P183" s="3281"/>
      <c r="Q183" s="3281"/>
      <c r="R183" s="3281"/>
      <c r="S183" s="3668"/>
      <c r="T183" s="3281"/>
      <c r="U183" s="3521"/>
      <c r="V183" s="3254"/>
      <c r="W183" s="3156"/>
    </row>
    <row r="184" spans="1:23" ht="28.5">
      <c r="A184" s="3480" t="s">
        <v>132</v>
      </c>
      <c r="B184" s="3444">
        <v>45842</v>
      </c>
      <c r="C184" s="3165" t="s">
        <v>2761</v>
      </c>
      <c r="D184" s="3165"/>
      <c r="E184" s="3614" t="s">
        <v>2831</v>
      </c>
      <c r="F184" s="3614" t="s">
        <v>2832</v>
      </c>
      <c r="G184" s="3443">
        <v>712</v>
      </c>
      <c r="H184" s="3516" t="s">
        <v>377</v>
      </c>
      <c r="I184" s="2369"/>
      <c r="J184" s="3462" t="s">
        <v>37</v>
      </c>
      <c r="K184" s="3462"/>
      <c r="L184" s="3462"/>
      <c r="M184" s="3160"/>
      <c r="N184" s="3160"/>
      <c r="O184" s="3160"/>
      <c r="P184" s="3160"/>
      <c r="Q184" s="3160"/>
      <c r="R184" s="3160"/>
      <c r="S184" s="3462"/>
      <c r="T184" s="3160"/>
      <c r="U184" s="3522"/>
      <c r="V184" s="3254"/>
      <c r="W184" s="3156"/>
    </row>
    <row r="185" spans="1:23" ht="28.5">
      <c r="A185" s="3480" t="s">
        <v>132</v>
      </c>
      <c r="B185" s="3444">
        <v>45849</v>
      </c>
      <c r="C185" s="3443">
        <v>28</v>
      </c>
      <c r="D185" s="3688"/>
      <c r="E185" s="3688" t="s">
        <v>2582</v>
      </c>
      <c r="F185" s="3688" t="s">
        <v>1074</v>
      </c>
      <c r="G185" s="3443">
        <v>712</v>
      </c>
      <c r="H185" s="3443" t="s">
        <v>589</v>
      </c>
      <c r="I185" s="2369"/>
      <c r="J185" s="3443" t="s">
        <v>37</v>
      </c>
      <c r="K185" s="3443"/>
      <c r="L185" s="3443"/>
      <c r="M185" s="3443"/>
      <c r="N185" s="3443"/>
      <c r="O185" s="3443"/>
      <c r="P185" s="3443"/>
      <c r="Q185" s="3443"/>
      <c r="R185" s="3443"/>
      <c r="S185" s="3443"/>
      <c r="T185" s="3443"/>
      <c r="U185" s="3443"/>
      <c r="V185" s="3522"/>
      <c r="W185" s="1457"/>
    </row>
    <row r="186" spans="1:23" ht="57">
      <c r="A186" s="3480" t="s">
        <v>132</v>
      </c>
      <c r="B186" s="3444">
        <v>45849</v>
      </c>
      <c r="C186" s="3443">
        <v>28</v>
      </c>
      <c r="D186" s="3614"/>
      <c r="E186" s="3614" t="s">
        <v>2750</v>
      </c>
      <c r="F186" s="3614" t="s">
        <v>2582</v>
      </c>
      <c r="G186" s="3443">
        <v>712</v>
      </c>
      <c r="H186" s="3443" t="s">
        <v>451</v>
      </c>
      <c r="I186" s="2369"/>
      <c r="J186" s="3443"/>
      <c r="K186" s="3443" t="s">
        <v>37</v>
      </c>
      <c r="L186" s="3443"/>
      <c r="M186" s="3443"/>
      <c r="N186" s="21" t="s">
        <v>122</v>
      </c>
      <c r="O186" s="21" t="s">
        <v>123</v>
      </c>
      <c r="P186" s="21" t="s">
        <v>32</v>
      </c>
      <c r="Q186" s="3443" t="s">
        <v>37</v>
      </c>
      <c r="R186" s="3443"/>
      <c r="S186" s="3443"/>
      <c r="T186" s="3443"/>
      <c r="U186" s="3443" t="s">
        <v>2898</v>
      </c>
      <c r="V186" s="3522" t="s">
        <v>2899</v>
      </c>
      <c r="W186" s="1457"/>
    </row>
    <row r="187" spans="1:23" ht="28.5">
      <c r="A187" s="3480" t="s">
        <v>132</v>
      </c>
      <c r="B187" s="3444">
        <v>45849</v>
      </c>
      <c r="C187" s="3443">
        <v>28</v>
      </c>
      <c r="D187" s="3688"/>
      <c r="E187" s="3688" t="s">
        <v>2750</v>
      </c>
      <c r="F187" s="3688" t="s">
        <v>2900</v>
      </c>
      <c r="G187" s="3443">
        <v>712</v>
      </c>
      <c r="H187" s="3443" t="s">
        <v>589</v>
      </c>
      <c r="I187" s="2369"/>
      <c r="J187" s="3443" t="s">
        <v>37</v>
      </c>
      <c r="K187" s="3443"/>
      <c r="L187" s="3443"/>
      <c r="M187" s="3443"/>
      <c r="N187" s="3443"/>
      <c r="O187" s="3443"/>
      <c r="P187" s="3443"/>
      <c r="Q187" s="3443"/>
      <c r="R187" s="3443"/>
      <c r="S187" s="3443"/>
      <c r="T187" s="3443"/>
      <c r="U187" s="3443"/>
      <c r="V187" s="3522"/>
      <c r="W187" s="1457"/>
    </row>
    <row r="188" spans="1:23" ht="29.25" thickBot="1">
      <c r="A188" s="3494" t="s">
        <v>132</v>
      </c>
      <c r="B188" s="3448">
        <v>45849</v>
      </c>
      <c r="C188" s="3447">
        <v>28</v>
      </c>
      <c r="D188" s="3690"/>
      <c r="E188" s="3690" t="s">
        <v>169</v>
      </c>
      <c r="F188" s="3690" t="s">
        <v>2876</v>
      </c>
      <c r="G188" s="3443">
        <v>712</v>
      </c>
      <c r="H188" s="3447" t="s">
        <v>2875</v>
      </c>
      <c r="I188" s="3608" t="s">
        <v>627</v>
      </c>
      <c r="J188" s="3447"/>
      <c r="K188" s="3447" t="s">
        <v>37</v>
      </c>
      <c r="L188" s="3447"/>
      <c r="M188" s="3447"/>
      <c r="N188" s="3447"/>
      <c r="O188" s="3447"/>
      <c r="P188" s="3447"/>
      <c r="Q188" s="3447" t="s">
        <v>37</v>
      </c>
      <c r="R188" s="3447" t="s">
        <v>37</v>
      </c>
      <c r="S188" s="3447"/>
      <c r="T188" s="3447"/>
      <c r="U188" s="3447" t="s">
        <v>2901</v>
      </c>
      <c r="V188" s="3547"/>
      <c r="W188" s="1457"/>
    </row>
    <row r="189" spans="1:23" ht="28.5">
      <c r="A189" s="3493" t="s">
        <v>143</v>
      </c>
      <c r="B189" s="3506">
        <v>45850</v>
      </c>
      <c r="C189" s="3456">
        <v>28</v>
      </c>
      <c r="D189" s="3685"/>
      <c r="E189" s="3685" t="s">
        <v>2750</v>
      </c>
      <c r="F189" s="3685" t="s">
        <v>2582</v>
      </c>
      <c r="G189" s="3443">
        <v>712</v>
      </c>
      <c r="H189" s="3603" t="s">
        <v>451</v>
      </c>
      <c r="I189" s="3873"/>
      <c r="J189" s="3505"/>
      <c r="K189" s="3456"/>
      <c r="L189" s="3505"/>
      <c r="M189" s="3505"/>
      <c r="N189" s="3505"/>
      <c r="O189" s="3505"/>
      <c r="P189" s="3505"/>
      <c r="Q189" s="3456"/>
      <c r="R189" s="3505" t="s">
        <v>37</v>
      </c>
      <c r="S189" s="3505"/>
      <c r="T189" s="3505"/>
      <c r="U189" s="3505"/>
      <c r="V189" s="3609"/>
      <c r="W189" s="3156"/>
    </row>
    <row r="190" spans="1:23" ht="28.5">
      <c r="A190" s="3500" t="s">
        <v>132</v>
      </c>
      <c r="B190" s="3463">
        <v>45856</v>
      </c>
      <c r="C190" s="3505" t="s">
        <v>2902</v>
      </c>
      <c r="D190" s="3354"/>
      <c r="E190" s="3689" t="s">
        <v>2958</v>
      </c>
      <c r="F190" s="3714" t="s">
        <v>517</v>
      </c>
      <c r="G190" s="3462">
        <v>712</v>
      </c>
      <c r="H190" s="3524" t="s">
        <v>2959</v>
      </c>
      <c r="I190" s="3901"/>
      <c r="J190" s="3462" t="s">
        <v>37</v>
      </c>
      <c r="K190" s="3462"/>
      <c r="L190" s="3273"/>
      <c r="M190" s="3273"/>
      <c r="N190" s="3273"/>
      <c r="O190" s="3273"/>
      <c r="P190" s="3273"/>
      <c r="Q190" s="3462"/>
      <c r="R190" s="3462"/>
      <c r="S190" s="3462"/>
      <c r="T190" s="3273"/>
      <c r="U190" s="3902"/>
      <c r="V190" s="3273"/>
      <c r="W190" s="3300"/>
    </row>
  </sheetData>
  <conditionalFormatting sqref="N1:P28 N30:P31">
    <cfRule type="expression" dxfId="76" priority="8">
      <formula>$M1&lt;&gt;""</formula>
    </cfRule>
  </conditionalFormatting>
  <conditionalFormatting sqref="N33:P136">
    <cfRule type="expression" dxfId="75" priority="7">
      <formula>$M33&lt;&gt;""</formula>
    </cfRule>
  </conditionalFormatting>
  <conditionalFormatting sqref="N137:P141">
    <cfRule type="expression" dxfId="74" priority="5">
      <formula>$L137&lt;&gt;""</formula>
    </cfRule>
  </conditionalFormatting>
  <conditionalFormatting sqref="N142:P142">
    <cfRule type="expression" dxfId="73" priority="4">
      <formula>$M142&lt;&gt;""</formula>
    </cfRule>
  </conditionalFormatting>
  <conditionalFormatting sqref="N143:P146">
    <cfRule type="expression" dxfId="72" priority="3">
      <formula>$L143&lt;&gt;""</formula>
    </cfRule>
  </conditionalFormatting>
  <conditionalFormatting sqref="N147:P147">
    <cfRule type="expression" dxfId="71" priority="2">
      <formula>$M147&lt;&gt;""</formula>
    </cfRule>
  </conditionalFormatting>
  <conditionalFormatting sqref="N148:P148">
    <cfRule type="expression" dxfId="70" priority="6">
      <formula>$L148&lt;&gt;""</formula>
    </cfRule>
  </conditionalFormatting>
  <conditionalFormatting sqref="N149:P190">
    <cfRule type="expression" dxfId="69" priority="1">
      <formula>$M149&lt;&gt;""</formula>
    </cfRule>
  </conditionalFormatting>
  <dataValidations count="5">
    <dataValidation type="list" allowBlank="1" showInputMessage="1" showErrorMessage="1" sqref="O3:O4 O6:O7 O10 O12 O14 O22 O25:O26 O30:O31 O33 O36 O42 O44 O50 O67 O73 O78 O81 O89 O98 O101 O103 O105 O111 O115 O128:O129 O131:O132 O142 O147 O165 O172:O173 O186" xr:uid="{0AB44752-8B6C-4AEB-90E9-5FA7822513C4}">
      <formula1>INDIRECT(N3)</formula1>
    </dataValidation>
    <dataValidation type="list" allowBlank="1" showInputMessage="1" showErrorMessage="1" sqref="N3:N4 N6:N7 N10 N12 N14 N22 N25:N28 N30:N31 N33:N39 N41:N44 N50 N67 N73 N78 N81 N89 N98 N101 N103 N105 N111 N115 N128:N129 N131:N132 N142 N147 N165 N172:N173 N186" xr:uid="{6F2A5FC5-9512-4138-9176-ABA015A08EF4}">
      <formula1>cause</formula1>
    </dataValidation>
    <dataValidation type="list" allowBlank="1" showInputMessage="1" showErrorMessage="1" sqref="P3:P4 P6:P7 P10 P12 P14 P22 P25:P28 P30:P31 P33:P55 P67 P73 P78 P81 P89 P98 P101 P103 P105 P111 P115 P128:P129 P131:P132 P142 P147 P165 P172:P173 P186" xr:uid="{92F542FE-7BB1-4C70-9E5C-08186CF921A9}">
      <formula1>agences</formula1>
    </dataValidation>
    <dataValidation type="list" allowBlank="1" showInputMessage="1" showErrorMessage="1" sqref="O34:O35 O37:O38 O40:O41 O43 O45:O49 O51:O55" xr:uid="{5A2CBFC2-5469-46FE-B0F6-AF0EF7F5D3B9}">
      <formula1>INDIRECT(N31)</formula1>
    </dataValidation>
    <dataValidation type="list" allowBlank="1" showInputMessage="1" showErrorMessage="1" sqref="O27:O28 O39" xr:uid="{C00A87DD-2873-47D0-988F-BE45F9C0407C}">
      <formula1>INDIRECT(N25)</formula1>
    </dataValidation>
  </dataValidations>
  <pageMargins left="0.7" right="0.7" top="0.75" bottom="0.75" header="0.3" footer="0.3"/>
  <customProperties>
    <customPr name="_pios_id" r:id="rId1"/>
  </customProperties>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8FC5C-B140-48D0-BD75-22A92B057E09}">
  <sheetPr codeName="Feuil1"/>
  <dimension ref="A1:X2000"/>
  <sheetViews>
    <sheetView tabSelected="1" zoomScale="40" zoomScaleNormal="40" zoomScaleSheetLayoutView="50" workbookViewId="0">
      <pane ySplit="3" topLeftCell="A180" activePane="bottomLeft" state="frozen"/>
      <selection activeCell="C1" sqref="C1"/>
      <selection pane="bottomLeft" activeCell="H326" sqref="H326:H327"/>
    </sheetView>
  </sheetViews>
  <sheetFormatPr baseColWidth="10" defaultColWidth="11.42578125" defaultRowHeight="26.25"/>
  <cols>
    <col min="1" max="1" width="26.5703125" style="17" customWidth="1"/>
    <col min="2" max="2" width="25.5703125" customWidth="1"/>
    <col min="3" max="3" width="15.42578125" customWidth="1"/>
    <col min="4" max="4" width="48.42578125" style="1870" customWidth="1"/>
    <col min="5" max="5" width="69.42578125" style="1870" customWidth="1"/>
    <col min="6" max="6" width="53.42578125" customWidth="1"/>
    <col min="7" max="7" width="64.42578125" customWidth="1"/>
    <col min="8" max="8" width="49.42578125" style="5269" customWidth="1"/>
    <col min="9" max="9" width="107.42578125" customWidth="1"/>
    <col min="10" max="10" width="10.5703125" customWidth="1"/>
    <col min="11" max="11" width="27" style="2564" customWidth="1"/>
    <col min="12" max="12" width="29.42578125" style="36" customWidth="1"/>
    <col min="13" max="13" width="20.42578125" style="22" customWidth="1"/>
    <col min="14" max="15" width="28.42578125" customWidth="1"/>
    <col min="16" max="16" width="29.140625" bestFit="1" customWidth="1"/>
    <col min="17" max="17" width="16.42578125" customWidth="1"/>
    <col min="18" max="18" width="17.42578125" style="36" customWidth="1"/>
    <col min="19" max="19" width="16.5703125" style="36" customWidth="1"/>
    <col min="20" max="20" width="16.5703125" customWidth="1"/>
    <col min="21" max="22" width="117.5703125" style="2993" customWidth="1"/>
    <col min="23" max="23" width="38.42578125" style="2838" customWidth="1"/>
  </cols>
  <sheetData>
    <row r="1" spans="1:24">
      <c r="A1" s="5183" t="s">
        <v>4066</v>
      </c>
      <c r="B1" s="5184"/>
      <c r="C1" s="5184"/>
      <c r="D1" s="5185"/>
      <c r="E1" s="5185"/>
      <c r="F1" s="5184"/>
      <c r="G1" s="5184"/>
      <c r="H1" s="5293"/>
      <c r="I1" s="5184"/>
      <c r="J1" s="5184"/>
      <c r="K1" s="5184"/>
      <c r="L1" s="5184"/>
      <c r="M1" s="5186"/>
      <c r="N1" s="5187"/>
      <c r="O1" s="5187"/>
      <c r="P1" s="5187"/>
      <c r="Q1" s="5184"/>
      <c r="R1" s="5184"/>
      <c r="S1" s="5184"/>
      <c r="T1" s="5184"/>
      <c r="U1" s="5184"/>
      <c r="V1" s="5184"/>
      <c r="W1" s="5186"/>
    </row>
    <row r="2" spans="1:24">
      <c r="A2" s="19"/>
      <c r="B2" s="18"/>
      <c r="C2" s="20" t="str">
        <f>IF(B2="","",_xlfn.ISOWEEKNUM(B2))</f>
        <v/>
      </c>
      <c r="D2" s="100"/>
      <c r="E2" s="100"/>
      <c r="F2" s="18"/>
      <c r="G2" s="18"/>
      <c r="H2" s="5294"/>
      <c r="I2" s="18"/>
      <c r="J2" s="18"/>
      <c r="K2" s="18"/>
      <c r="L2" s="18"/>
      <c r="M2" s="21"/>
      <c r="N2" s="20"/>
      <c r="O2" s="20"/>
      <c r="P2" s="20"/>
      <c r="Q2" s="20"/>
    </row>
    <row r="3" spans="1:24" ht="63.75" thickBot="1">
      <c r="A3" s="25" t="s">
        <v>2</v>
      </c>
      <c r="B3" s="25" t="s">
        <v>3</v>
      </c>
      <c r="C3" s="25" t="s">
        <v>4</v>
      </c>
      <c r="D3" s="1844" t="s">
        <v>6</v>
      </c>
      <c r="E3" s="1844" t="s">
        <v>7</v>
      </c>
      <c r="F3" s="25" t="s">
        <v>1037</v>
      </c>
      <c r="G3" s="25" t="s">
        <v>1038</v>
      </c>
      <c r="H3" s="5295" t="s">
        <v>8</v>
      </c>
      <c r="I3" s="25" t="s">
        <v>4067</v>
      </c>
      <c r="J3" s="27" t="s">
        <v>4068</v>
      </c>
      <c r="K3" s="27" t="s">
        <v>10</v>
      </c>
      <c r="L3" s="47" t="s">
        <v>11</v>
      </c>
      <c r="M3" s="47" t="s">
        <v>12</v>
      </c>
      <c r="N3" s="28" t="s">
        <v>15</v>
      </c>
      <c r="O3" s="3155" t="s">
        <v>16</v>
      </c>
      <c r="P3" s="3155" t="s">
        <v>6297</v>
      </c>
      <c r="Q3" s="47" t="s">
        <v>6298</v>
      </c>
      <c r="R3" s="25" t="s">
        <v>4070</v>
      </c>
      <c r="S3" s="47" t="s">
        <v>20</v>
      </c>
      <c r="T3" s="26" t="s">
        <v>4071</v>
      </c>
      <c r="U3" s="2991" t="s">
        <v>4072</v>
      </c>
      <c r="V3" s="2991" t="s">
        <v>4073</v>
      </c>
      <c r="W3" s="26" t="s">
        <v>4074</v>
      </c>
    </row>
    <row r="4" spans="1:24">
      <c r="A4" s="297" t="s">
        <v>67</v>
      </c>
      <c r="B4" s="454">
        <v>45293</v>
      </c>
      <c r="C4" s="465">
        <f>_xlfn.ISOWEEKNUM(B4)</f>
        <v>1</v>
      </c>
      <c r="D4" s="466" t="s">
        <v>43</v>
      </c>
      <c r="E4" s="466" t="s">
        <v>282</v>
      </c>
      <c r="F4" s="269" t="s">
        <v>1206</v>
      </c>
      <c r="G4" s="269" t="s">
        <v>1206</v>
      </c>
      <c r="H4" s="5230"/>
      <c r="I4" s="258"/>
      <c r="J4" s="305"/>
      <c r="K4" s="305"/>
      <c r="L4" s="342" t="s">
        <v>37</v>
      </c>
      <c r="M4" s="305"/>
      <c r="N4" s="55"/>
      <c r="O4" s="55"/>
      <c r="P4" s="55"/>
      <c r="Q4" s="305"/>
      <c r="R4" s="305"/>
      <c r="S4" s="305"/>
      <c r="T4" s="305"/>
      <c r="U4" s="467"/>
      <c r="V4" s="3039"/>
      <c r="W4"/>
      <c r="X4" s="56"/>
    </row>
    <row r="5" spans="1:24">
      <c r="A5" s="296" t="s">
        <v>67</v>
      </c>
      <c r="B5" s="450">
        <v>45293</v>
      </c>
      <c r="C5" s="468">
        <f t="shared" ref="C5:C68" si="0">_xlfn.ISOWEEKNUM(B5)</f>
        <v>1</v>
      </c>
      <c r="D5" s="469" t="s">
        <v>106</v>
      </c>
      <c r="E5" s="469" t="s">
        <v>1045</v>
      </c>
      <c r="F5" s="270" t="s">
        <v>1206</v>
      </c>
      <c r="G5" s="270" t="s">
        <v>1206</v>
      </c>
      <c r="H5" s="5227"/>
      <c r="I5" s="262"/>
      <c r="J5" s="259"/>
      <c r="K5" s="259"/>
      <c r="L5" s="334" t="s">
        <v>37</v>
      </c>
      <c r="M5" s="259"/>
      <c r="N5" s="49"/>
      <c r="O5" s="49"/>
      <c r="P5" s="49"/>
      <c r="Q5" s="259"/>
      <c r="R5" s="259"/>
      <c r="S5" s="259"/>
      <c r="T5" s="270" t="s">
        <v>4075</v>
      </c>
      <c r="U5" s="304" t="s">
        <v>4076</v>
      </c>
      <c r="V5" s="3039"/>
      <c r="W5"/>
      <c r="X5" s="50"/>
    </row>
    <row r="6" spans="1:24">
      <c r="A6" s="296" t="s">
        <v>67</v>
      </c>
      <c r="B6" s="450">
        <v>45293</v>
      </c>
      <c r="C6" s="468">
        <f t="shared" si="0"/>
        <v>1</v>
      </c>
      <c r="D6" s="470" t="s">
        <v>1059</v>
      </c>
      <c r="E6" s="470" t="s">
        <v>4077</v>
      </c>
      <c r="F6" s="270" t="s">
        <v>1206</v>
      </c>
      <c r="G6" s="270" t="s">
        <v>1206</v>
      </c>
      <c r="H6" s="5227"/>
      <c r="I6" s="262"/>
      <c r="J6" s="259"/>
      <c r="K6" s="259"/>
      <c r="L6" s="334" t="s">
        <v>37</v>
      </c>
      <c r="M6" s="259"/>
      <c r="N6" s="49"/>
      <c r="O6" s="49"/>
      <c r="P6" s="49"/>
      <c r="Q6" s="259"/>
      <c r="R6" s="259"/>
      <c r="S6" s="259"/>
      <c r="T6" s="259"/>
      <c r="U6" s="304"/>
      <c r="V6" s="3039"/>
      <c r="W6"/>
      <c r="X6" s="50"/>
    </row>
    <row r="7" spans="1:24" ht="27" thickBot="1">
      <c r="A7" s="307" t="s">
        <v>67</v>
      </c>
      <c r="B7" s="453">
        <v>45293</v>
      </c>
      <c r="C7" s="471">
        <f t="shared" si="0"/>
        <v>1</v>
      </c>
      <c r="D7" s="472" t="s">
        <v>282</v>
      </c>
      <c r="E7" s="472" t="s">
        <v>1648</v>
      </c>
      <c r="F7" s="273" t="s">
        <v>1206</v>
      </c>
      <c r="G7" s="273" t="s">
        <v>1206</v>
      </c>
      <c r="H7" s="5228"/>
      <c r="I7" s="309"/>
      <c r="J7" s="271"/>
      <c r="K7" s="271"/>
      <c r="L7" s="345" t="s">
        <v>37</v>
      </c>
      <c r="M7" s="271"/>
      <c r="N7" s="51"/>
      <c r="O7" s="51"/>
      <c r="P7" s="51"/>
      <c r="Q7" s="271"/>
      <c r="R7" s="271"/>
      <c r="S7" s="271"/>
      <c r="T7" s="271"/>
      <c r="U7" s="473"/>
      <c r="V7" s="3039"/>
      <c r="W7"/>
      <c r="X7" s="99"/>
    </row>
    <row r="8" spans="1:24">
      <c r="A8" s="316" t="s">
        <v>85</v>
      </c>
      <c r="B8" s="450">
        <v>45294</v>
      </c>
      <c r="C8" s="468">
        <f t="shared" si="0"/>
        <v>1</v>
      </c>
      <c r="D8" s="470" t="s">
        <v>1658</v>
      </c>
      <c r="E8" s="470" t="s">
        <v>4078</v>
      </c>
      <c r="F8" s="260" t="s">
        <v>1199</v>
      </c>
      <c r="G8" s="260" t="s">
        <v>1199</v>
      </c>
      <c r="H8" s="5227"/>
      <c r="I8" s="264" t="s">
        <v>1199</v>
      </c>
      <c r="J8" s="264" t="s">
        <v>1199</v>
      </c>
      <c r="K8" s="264"/>
      <c r="L8" s="334" t="s">
        <v>37</v>
      </c>
      <c r="M8" s="259"/>
      <c r="N8" s="49"/>
      <c r="O8" s="49"/>
      <c r="P8" s="49"/>
      <c r="Q8" s="259"/>
      <c r="R8" s="259"/>
      <c r="S8" s="259"/>
      <c r="T8" s="259"/>
      <c r="U8" s="304"/>
      <c r="V8" s="3039"/>
      <c r="W8"/>
    </row>
    <row r="9" spans="1:24">
      <c r="A9" s="316" t="s">
        <v>85</v>
      </c>
      <c r="B9" s="450">
        <v>45294</v>
      </c>
      <c r="C9" s="468">
        <f t="shared" si="0"/>
        <v>1</v>
      </c>
      <c r="D9" s="469" t="s">
        <v>1050</v>
      </c>
      <c r="E9" s="469" t="s">
        <v>49</v>
      </c>
      <c r="F9" s="260" t="s">
        <v>1199</v>
      </c>
      <c r="G9" s="260" t="s">
        <v>1199</v>
      </c>
      <c r="H9" s="5227"/>
      <c r="I9" s="264" t="s">
        <v>1199</v>
      </c>
      <c r="J9" s="264" t="s">
        <v>1199</v>
      </c>
      <c r="K9" s="264"/>
      <c r="L9" s="334" t="s">
        <v>37</v>
      </c>
      <c r="M9" s="259"/>
      <c r="N9" s="49"/>
      <c r="O9" s="49"/>
      <c r="P9" s="49"/>
      <c r="Q9" s="259"/>
      <c r="R9" s="259"/>
      <c r="S9" s="259"/>
      <c r="T9" s="259"/>
      <c r="U9" s="304"/>
      <c r="V9" s="3039"/>
      <c r="W9"/>
    </row>
    <row r="10" spans="1:24">
      <c r="A10" s="316" t="s">
        <v>85</v>
      </c>
      <c r="B10" s="450">
        <v>45294</v>
      </c>
      <c r="C10" s="468">
        <f t="shared" si="0"/>
        <v>1</v>
      </c>
      <c r="D10" s="459" t="s">
        <v>282</v>
      </c>
      <c r="E10" s="459" t="s">
        <v>863</v>
      </c>
      <c r="F10" s="260" t="s">
        <v>1199</v>
      </c>
      <c r="G10" s="260" t="s">
        <v>1199</v>
      </c>
      <c r="H10" s="5227"/>
      <c r="I10" s="264" t="s">
        <v>1199</v>
      </c>
      <c r="J10" s="264" t="s">
        <v>1199</v>
      </c>
      <c r="K10" s="264"/>
      <c r="L10" s="334" t="s">
        <v>37</v>
      </c>
      <c r="M10" s="259"/>
      <c r="N10" s="49"/>
      <c r="O10" s="49"/>
      <c r="P10" s="49"/>
      <c r="Q10" s="259"/>
      <c r="R10" s="259"/>
      <c r="S10" s="259"/>
      <c r="T10" s="259"/>
      <c r="U10" s="304"/>
      <c r="V10" s="3039"/>
      <c r="W10"/>
    </row>
    <row r="11" spans="1:24" ht="78.75">
      <c r="A11" s="316" t="s">
        <v>85</v>
      </c>
      <c r="B11" s="450">
        <v>45294</v>
      </c>
      <c r="C11" s="468">
        <f t="shared" si="0"/>
        <v>1</v>
      </c>
      <c r="D11" s="456" t="s">
        <v>4079</v>
      </c>
      <c r="E11" s="456" t="s">
        <v>183</v>
      </c>
      <c r="F11" s="376"/>
      <c r="G11" s="376"/>
      <c r="H11" s="5227">
        <v>701</v>
      </c>
      <c r="I11" s="5226"/>
      <c r="J11" s="5226"/>
      <c r="K11" s="5227" t="s">
        <v>1630</v>
      </c>
      <c r="L11" s="334"/>
      <c r="M11" s="259" t="s">
        <v>37</v>
      </c>
      <c r="N11" s="20" t="s">
        <v>0</v>
      </c>
      <c r="O11" s="20" t="s">
        <v>343</v>
      </c>
      <c r="P11" s="20" t="s">
        <v>4080</v>
      </c>
      <c r="Q11" s="259"/>
      <c r="R11" s="259"/>
      <c r="S11" s="259"/>
      <c r="T11" s="259"/>
      <c r="U11" s="304" t="s">
        <v>4081</v>
      </c>
      <c r="V11" s="3039"/>
      <c r="W11"/>
    </row>
    <row r="12" spans="1:24" ht="27" customHeight="1">
      <c r="A12" s="316" t="s">
        <v>85</v>
      </c>
      <c r="B12" s="450">
        <v>45294</v>
      </c>
      <c r="C12" s="468">
        <f t="shared" si="0"/>
        <v>1</v>
      </c>
      <c r="D12" s="451" t="s">
        <v>282</v>
      </c>
      <c r="E12" s="451" t="s">
        <v>48</v>
      </c>
      <c r="F12" s="256" t="s">
        <v>1199</v>
      </c>
      <c r="G12" s="256" t="s">
        <v>1199</v>
      </c>
      <c r="H12" s="464"/>
      <c r="I12" s="464"/>
      <c r="J12" s="464"/>
      <c r="K12" s="5227" t="s">
        <v>174</v>
      </c>
      <c r="L12" s="334" t="s">
        <v>37</v>
      </c>
      <c r="M12" s="259"/>
      <c r="N12" s="49"/>
      <c r="O12" s="49"/>
      <c r="P12" s="49"/>
      <c r="Q12" s="259"/>
      <c r="R12" s="259"/>
      <c r="S12" s="259"/>
      <c r="T12" s="259"/>
      <c r="U12" s="304"/>
      <c r="V12" s="3039"/>
      <c r="W12"/>
    </row>
    <row r="13" spans="1:24" ht="53.25" customHeight="1" thickBot="1">
      <c r="A13" s="474" t="s">
        <v>85</v>
      </c>
      <c r="B13" s="453">
        <v>45294</v>
      </c>
      <c r="C13" s="471">
        <f t="shared" si="0"/>
        <v>1</v>
      </c>
      <c r="D13" s="461" t="s">
        <v>392</v>
      </c>
      <c r="E13" s="461" t="s">
        <v>1254</v>
      </c>
      <c r="F13" s="475" t="s">
        <v>1199</v>
      </c>
      <c r="G13" s="475" t="s">
        <v>1199</v>
      </c>
      <c r="H13" s="5228">
        <v>702</v>
      </c>
      <c r="I13" s="308" t="s">
        <v>1199</v>
      </c>
      <c r="J13" s="308" t="s">
        <v>1199</v>
      </c>
      <c r="K13" s="308"/>
      <c r="L13" s="345"/>
      <c r="M13" s="345" t="s">
        <v>37</v>
      </c>
      <c r="N13" s="20" t="s">
        <v>71</v>
      </c>
      <c r="O13" s="20" t="s">
        <v>138</v>
      </c>
      <c r="P13" s="20" t="s">
        <v>4082</v>
      </c>
      <c r="Q13" s="476">
        <v>1</v>
      </c>
      <c r="R13" s="271"/>
      <c r="S13" s="271"/>
      <c r="T13" s="271"/>
      <c r="U13" s="477" t="s">
        <v>4083</v>
      </c>
      <c r="V13" s="3040"/>
      <c r="W13"/>
    </row>
    <row r="14" spans="1:24" ht="27" customHeight="1">
      <c r="A14" s="297" t="s">
        <v>105</v>
      </c>
      <c r="B14" s="454">
        <v>45295</v>
      </c>
      <c r="C14" s="465">
        <f t="shared" si="0"/>
        <v>1</v>
      </c>
      <c r="D14" s="478" t="s">
        <v>1512</v>
      </c>
      <c r="E14" s="478" t="s">
        <v>4084</v>
      </c>
      <c r="F14" s="272" t="s">
        <v>1199</v>
      </c>
      <c r="G14" s="272" t="s">
        <v>1199</v>
      </c>
      <c r="H14" s="465"/>
      <c r="I14" s="246"/>
      <c r="J14" s="246"/>
      <c r="K14" s="246"/>
      <c r="L14" s="342" t="s">
        <v>37</v>
      </c>
      <c r="M14" s="305"/>
      <c r="N14" s="55"/>
      <c r="O14" s="55"/>
      <c r="P14" s="55"/>
      <c r="Q14" s="305"/>
      <c r="R14" s="479">
        <v>1</v>
      </c>
      <c r="S14" s="305"/>
      <c r="T14" s="305"/>
      <c r="U14" s="367"/>
      <c r="V14" s="3039"/>
      <c r="W14"/>
    </row>
    <row r="15" spans="1:24" ht="27" customHeight="1">
      <c r="A15" s="296" t="s">
        <v>105</v>
      </c>
      <c r="B15" s="450">
        <v>45295</v>
      </c>
      <c r="C15" s="468">
        <f t="shared" si="0"/>
        <v>1</v>
      </c>
      <c r="D15" s="459" t="s">
        <v>43</v>
      </c>
      <c r="E15" s="459" t="s">
        <v>49</v>
      </c>
      <c r="F15" s="321" t="s">
        <v>1199</v>
      </c>
      <c r="G15" s="321" t="s">
        <v>1199</v>
      </c>
      <c r="H15" s="5227"/>
      <c r="I15" s="264"/>
      <c r="J15" s="264"/>
      <c r="K15" s="264"/>
      <c r="L15" s="334" t="s">
        <v>37</v>
      </c>
      <c r="M15" s="259"/>
      <c r="N15" s="49"/>
      <c r="O15" s="49"/>
      <c r="P15" s="49"/>
      <c r="Q15" s="259"/>
      <c r="R15" s="259"/>
      <c r="S15" s="259"/>
      <c r="T15" s="259"/>
      <c r="U15" s="365"/>
      <c r="V15" s="3039"/>
      <c r="W15"/>
    </row>
    <row r="16" spans="1:24" ht="79.5" customHeight="1" thickBot="1">
      <c r="A16" s="298" t="s">
        <v>105</v>
      </c>
      <c r="B16" s="457">
        <v>45295</v>
      </c>
      <c r="C16" s="480">
        <f t="shared" si="0"/>
        <v>1</v>
      </c>
      <c r="D16" s="481" t="s">
        <v>4085</v>
      </c>
      <c r="E16" s="481" t="s">
        <v>4086</v>
      </c>
      <c r="F16" s="268" t="s">
        <v>1199</v>
      </c>
      <c r="G16" s="268" t="s">
        <v>1199</v>
      </c>
      <c r="H16" s="482"/>
      <c r="I16" s="482"/>
      <c r="J16" s="482"/>
      <c r="K16" s="5227" t="s">
        <v>174</v>
      </c>
      <c r="L16" s="335" t="s">
        <v>37</v>
      </c>
      <c r="M16" s="263"/>
      <c r="N16" s="35" t="s">
        <v>109</v>
      </c>
      <c r="O16" s="35" t="s">
        <v>1589</v>
      </c>
      <c r="P16" s="35" t="s">
        <v>4082</v>
      </c>
      <c r="Q16" s="263"/>
      <c r="R16" s="263"/>
      <c r="S16" s="263"/>
      <c r="T16" s="263"/>
      <c r="U16" s="374" t="s">
        <v>4087</v>
      </c>
      <c r="V16" s="3039"/>
      <c r="W16"/>
    </row>
    <row r="17" spans="1:23" ht="27" customHeight="1">
      <c r="A17" s="310" t="s">
        <v>132</v>
      </c>
      <c r="B17" s="455">
        <v>45296</v>
      </c>
      <c r="C17" s="179">
        <f t="shared" si="0"/>
        <v>1</v>
      </c>
      <c r="D17" s="483" t="s">
        <v>216</v>
      </c>
      <c r="E17" s="483" t="s">
        <v>182</v>
      </c>
      <c r="F17" s="372" t="s">
        <v>1199</v>
      </c>
      <c r="G17" s="372" t="s">
        <v>1199</v>
      </c>
      <c r="H17" s="484"/>
      <c r="I17" s="484"/>
      <c r="J17" s="484"/>
      <c r="K17" s="484" t="s">
        <v>29</v>
      </c>
      <c r="L17" s="336" t="s">
        <v>37</v>
      </c>
      <c r="M17" s="311"/>
      <c r="N17" s="111"/>
      <c r="O17" s="111"/>
      <c r="P17" s="111"/>
      <c r="Q17" s="311"/>
      <c r="R17" s="311"/>
      <c r="S17" s="311"/>
      <c r="T17" s="311"/>
      <c r="U17" s="373"/>
      <c r="V17" s="3039"/>
      <c r="W17"/>
    </row>
    <row r="18" spans="1:23" ht="27" customHeight="1" thickBot="1">
      <c r="A18" s="307" t="s">
        <v>132</v>
      </c>
      <c r="B18" s="453">
        <v>45296</v>
      </c>
      <c r="C18" s="471">
        <f t="shared" si="0"/>
        <v>1</v>
      </c>
      <c r="D18" s="461" t="s">
        <v>282</v>
      </c>
      <c r="E18" s="461" t="s">
        <v>1654</v>
      </c>
      <c r="F18" s="266" t="s">
        <v>1199</v>
      </c>
      <c r="G18" s="266" t="s">
        <v>1199</v>
      </c>
      <c r="H18" s="531"/>
      <c r="I18" s="531"/>
      <c r="J18" s="531"/>
      <c r="K18" s="5227" t="s">
        <v>174</v>
      </c>
      <c r="L18" s="345" t="s">
        <v>37</v>
      </c>
      <c r="M18" s="271"/>
      <c r="N18" s="51"/>
      <c r="O18" s="51"/>
      <c r="P18" s="51"/>
      <c r="Q18" s="271"/>
      <c r="R18" s="271"/>
      <c r="S18" s="271"/>
      <c r="T18" s="271"/>
      <c r="U18" s="366"/>
      <c r="V18" s="3039"/>
      <c r="W18"/>
    </row>
    <row r="19" spans="1:23" ht="27" customHeight="1" thickBot="1">
      <c r="A19" s="299" t="s">
        <v>143</v>
      </c>
      <c r="B19" s="485">
        <v>45297</v>
      </c>
      <c r="C19" s="486">
        <f t="shared" si="0"/>
        <v>1</v>
      </c>
      <c r="D19" s="487" t="s">
        <v>282</v>
      </c>
      <c r="E19" s="487" t="s">
        <v>4088</v>
      </c>
      <c r="F19" s="488" t="s">
        <v>2994</v>
      </c>
      <c r="G19" s="488" t="s">
        <v>1768</v>
      </c>
      <c r="H19" s="489"/>
      <c r="I19" s="489"/>
      <c r="J19" s="489"/>
      <c r="K19" s="5227" t="s">
        <v>174</v>
      </c>
      <c r="L19" s="490" t="s">
        <v>37</v>
      </c>
      <c r="M19" s="337"/>
      <c r="N19" s="194"/>
      <c r="O19" s="194"/>
      <c r="P19" s="194"/>
      <c r="Q19" s="337"/>
      <c r="R19" s="337"/>
      <c r="S19" s="337"/>
      <c r="T19" s="337"/>
      <c r="U19" s="491"/>
      <c r="V19" s="3039"/>
      <c r="W19"/>
    </row>
    <row r="20" spans="1:23" ht="53.25" customHeight="1" thickBot="1">
      <c r="A20" s="297" t="s">
        <v>1280</v>
      </c>
      <c r="B20" s="454">
        <v>45299</v>
      </c>
      <c r="C20" s="486">
        <f t="shared" si="0"/>
        <v>2</v>
      </c>
      <c r="D20" s="492" t="s">
        <v>1870</v>
      </c>
      <c r="E20" s="492" t="s">
        <v>4089</v>
      </c>
      <c r="F20" s="267" t="s">
        <v>1199</v>
      </c>
      <c r="G20" s="341" t="s">
        <v>1199</v>
      </c>
      <c r="H20" s="5230">
        <v>701</v>
      </c>
      <c r="I20" s="341" t="s">
        <v>1199</v>
      </c>
      <c r="J20" s="305"/>
      <c r="K20" s="305"/>
      <c r="L20" s="342"/>
      <c r="M20" s="342" t="s">
        <v>30</v>
      </c>
      <c r="N20" s="20" t="s">
        <v>109</v>
      </c>
      <c r="O20" s="20" t="s">
        <v>323</v>
      </c>
      <c r="P20" s="20" t="s">
        <v>4080</v>
      </c>
      <c r="Q20" s="493">
        <v>1</v>
      </c>
      <c r="R20" s="305"/>
      <c r="S20" s="305"/>
      <c r="T20" s="269"/>
      <c r="U20" s="494" t="s">
        <v>4090</v>
      </c>
      <c r="V20" s="3041"/>
      <c r="W20"/>
    </row>
    <row r="21" spans="1:23" ht="53.25" customHeight="1" thickBot="1">
      <c r="A21" s="296" t="s">
        <v>1280</v>
      </c>
      <c r="B21" s="450">
        <v>45299</v>
      </c>
      <c r="C21" s="486">
        <f t="shared" si="0"/>
        <v>2</v>
      </c>
      <c r="D21" s="495" t="s">
        <v>1350</v>
      </c>
      <c r="E21" s="495" t="s">
        <v>3131</v>
      </c>
      <c r="F21" s="260" t="s">
        <v>1199</v>
      </c>
      <c r="G21" s="321" t="s">
        <v>1199</v>
      </c>
      <c r="H21" s="5230">
        <v>701</v>
      </c>
      <c r="I21" s="321" t="s">
        <v>1199</v>
      </c>
      <c r="J21" s="259"/>
      <c r="K21" s="259"/>
      <c r="L21" s="334"/>
      <c r="M21" s="334" t="s">
        <v>30</v>
      </c>
      <c r="N21" s="20" t="s">
        <v>109</v>
      </c>
      <c r="O21" s="20" t="s">
        <v>323</v>
      </c>
      <c r="P21" s="20" t="s">
        <v>4080</v>
      </c>
      <c r="Q21" s="496">
        <v>1</v>
      </c>
      <c r="R21" s="259"/>
      <c r="S21" s="259"/>
      <c r="T21" s="259"/>
      <c r="U21" s="497" t="s">
        <v>4090</v>
      </c>
      <c r="V21" s="3041"/>
      <c r="W21"/>
    </row>
    <row r="22" spans="1:23" ht="27" customHeight="1" thickBot="1">
      <c r="A22" s="296" t="s">
        <v>1280</v>
      </c>
      <c r="B22" s="450">
        <v>45299</v>
      </c>
      <c r="C22" s="486">
        <f t="shared" si="0"/>
        <v>2</v>
      </c>
      <c r="D22" s="498" t="s">
        <v>4091</v>
      </c>
      <c r="E22" s="498" t="s">
        <v>2328</v>
      </c>
      <c r="F22" s="260" t="s">
        <v>1199</v>
      </c>
      <c r="G22" s="260" t="s">
        <v>1199</v>
      </c>
      <c r="H22" s="464"/>
      <c r="I22" s="464"/>
      <c r="J22" s="464"/>
      <c r="K22" s="484" t="s">
        <v>29</v>
      </c>
      <c r="L22" s="334" t="s">
        <v>37</v>
      </c>
      <c r="M22" s="259"/>
      <c r="N22" s="55"/>
      <c r="O22" s="55"/>
      <c r="P22" s="55"/>
      <c r="Q22" s="259"/>
      <c r="R22" s="259"/>
      <c r="S22" s="259"/>
      <c r="T22" s="259"/>
      <c r="U22" s="361"/>
      <c r="V22" s="359"/>
      <c r="W22"/>
    </row>
    <row r="23" spans="1:23" ht="27" customHeight="1" thickBot="1">
      <c r="A23" s="296" t="s">
        <v>1280</v>
      </c>
      <c r="B23" s="450">
        <v>45299</v>
      </c>
      <c r="C23" s="486">
        <f t="shared" si="0"/>
        <v>2</v>
      </c>
      <c r="D23" s="451" t="s">
        <v>4092</v>
      </c>
      <c r="E23" s="451" t="s">
        <v>4093</v>
      </c>
      <c r="F23" s="262" t="s">
        <v>1199</v>
      </c>
      <c r="G23" s="262" t="s">
        <v>1199</v>
      </c>
      <c r="H23" s="468"/>
      <c r="I23" s="321" t="s">
        <v>1199</v>
      </c>
      <c r="J23" s="499"/>
      <c r="K23" s="499"/>
      <c r="L23" s="334" t="s">
        <v>37</v>
      </c>
      <c r="M23" s="259"/>
      <c r="N23" s="55"/>
      <c r="O23" s="55"/>
      <c r="P23" s="55"/>
      <c r="Q23" s="259"/>
      <c r="R23" s="259"/>
      <c r="S23" s="259"/>
      <c r="T23" s="259"/>
      <c r="U23" s="361"/>
      <c r="V23" s="359"/>
      <c r="W23"/>
    </row>
    <row r="24" spans="1:23" ht="27" thickBot="1">
      <c r="A24" s="307" t="s">
        <v>1280</v>
      </c>
      <c r="B24" s="453">
        <v>45299</v>
      </c>
      <c r="C24" s="486">
        <f t="shared" si="0"/>
        <v>2</v>
      </c>
      <c r="D24" s="500" t="s">
        <v>4079</v>
      </c>
      <c r="E24" s="500" t="s">
        <v>183</v>
      </c>
      <c r="F24" s="273" t="s">
        <v>1206</v>
      </c>
      <c r="G24" s="273" t="s">
        <v>1206</v>
      </c>
      <c r="H24" s="5228">
        <v>706</v>
      </c>
      <c r="I24" s="5228"/>
      <c r="J24" s="5228"/>
      <c r="K24" s="5227" t="s">
        <v>1630</v>
      </c>
      <c r="L24" s="345" t="s">
        <v>37</v>
      </c>
      <c r="M24" s="271"/>
      <c r="N24" s="55"/>
      <c r="O24" s="55"/>
      <c r="P24" s="55"/>
      <c r="Q24" s="271"/>
      <c r="R24" s="271"/>
      <c r="S24" s="271"/>
      <c r="T24" s="271"/>
      <c r="U24" s="501"/>
      <c r="V24" s="359"/>
      <c r="W24"/>
    </row>
    <row r="25" spans="1:23" ht="27" customHeight="1" thickBot="1">
      <c r="A25" s="297" t="s">
        <v>67</v>
      </c>
      <c r="B25" s="454">
        <v>45300</v>
      </c>
      <c r="C25" s="486">
        <f t="shared" si="0"/>
        <v>2</v>
      </c>
      <c r="D25" s="502" t="s">
        <v>169</v>
      </c>
      <c r="E25" s="502" t="s">
        <v>4094</v>
      </c>
      <c r="F25" s="269" t="s">
        <v>1199</v>
      </c>
      <c r="G25" s="269" t="s">
        <v>1199</v>
      </c>
      <c r="H25" s="5230"/>
      <c r="I25" s="269" t="s">
        <v>37</v>
      </c>
      <c r="J25" s="269" t="s">
        <v>37</v>
      </c>
      <c r="K25" s="269"/>
      <c r="L25" s="342" t="s">
        <v>37</v>
      </c>
      <c r="M25" s="305"/>
      <c r="N25" s="55"/>
      <c r="O25" s="55"/>
      <c r="P25" s="55"/>
      <c r="Q25" s="305"/>
      <c r="R25" s="305"/>
      <c r="S25" s="305"/>
      <c r="T25" s="305"/>
      <c r="U25" s="503"/>
      <c r="V25" s="359"/>
      <c r="W25"/>
    </row>
    <row r="26" spans="1:23" ht="27" customHeight="1" thickBot="1">
      <c r="A26" s="296" t="s">
        <v>67</v>
      </c>
      <c r="B26" s="450">
        <v>45300</v>
      </c>
      <c r="C26" s="486">
        <f t="shared" si="0"/>
        <v>2</v>
      </c>
      <c r="D26" s="451" t="s">
        <v>742</v>
      </c>
      <c r="E26" s="451" t="s">
        <v>4095</v>
      </c>
      <c r="F26" s="260" t="s">
        <v>1199</v>
      </c>
      <c r="G26" s="260" t="s">
        <v>1199</v>
      </c>
      <c r="H26" s="5227"/>
      <c r="I26" s="270" t="s">
        <v>37</v>
      </c>
      <c r="J26" s="270" t="s">
        <v>37</v>
      </c>
      <c r="K26" s="270"/>
      <c r="L26" s="334" t="s">
        <v>37</v>
      </c>
      <c r="M26" s="259"/>
      <c r="N26" s="55"/>
      <c r="O26" s="55"/>
      <c r="P26" s="55"/>
      <c r="Q26" s="259"/>
      <c r="R26" s="259"/>
      <c r="S26" s="259"/>
      <c r="T26" s="259"/>
      <c r="U26" s="361"/>
      <c r="V26" s="359"/>
      <c r="W26"/>
    </row>
    <row r="27" spans="1:23" ht="27" customHeight="1" thickBot="1">
      <c r="A27" s="296" t="s">
        <v>67</v>
      </c>
      <c r="B27" s="450">
        <v>45300</v>
      </c>
      <c r="C27" s="486">
        <f t="shared" si="0"/>
        <v>2</v>
      </c>
      <c r="D27" s="470" t="s">
        <v>2606</v>
      </c>
      <c r="E27" s="470" t="s">
        <v>4096</v>
      </c>
      <c r="F27" s="256" t="s">
        <v>1199</v>
      </c>
      <c r="G27" s="264" t="s">
        <v>1199</v>
      </c>
      <c r="H27" s="5227">
        <v>701</v>
      </c>
      <c r="I27" s="312"/>
      <c r="J27" s="312"/>
      <c r="K27" s="1058" t="s">
        <v>4804</v>
      </c>
      <c r="L27" s="334" t="s">
        <v>37</v>
      </c>
      <c r="M27" s="259"/>
      <c r="N27" s="55"/>
      <c r="O27" s="55"/>
      <c r="P27" s="55"/>
      <c r="Q27" s="259"/>
      <c r="R27" s="259"/>
      <c r="S27" s="259"/>
      <c r="T27" s="259"/>
      <c r="U27" s="361"/>
      <c r="V27" s="359"/>
      <c r="W27"/>
    </row>
    <row r="28" spans="1:23" ht="27" customHeight="1" thickBot="1">
      <c r="A28" s="307" t="s">
        <v>67</v>
      </c>
      <c r="B28" s="453">
        <v>45300</v>
      </c>
      <c r="C28" s="486">
        <f t="shared" si="0"/>
        <v>2</v>
      </c>
      <c r="D28" s="472" t="s">
        <v>258</v>
      </c>
      <c r="E28" s="472" t="s">
        <v>4097</v>
      </c>
      <c r="F28" s="266" t="s">
        <v>1199</v>
      </c>
      <c r="G28" s="308" t="s">
        <v>1199</v>
      </c>
      <c r="H28" s="5228"/>
      <c r="I28" s="273" t="s">
        <v>37</v>
      </c>
      <c r="J28" s="273" t="s">
        <v>37</v>
      </c>
      <c r="K28" s="273"/>
      <c r="L28" s="345" t="s">
        <v>37</v>
      </c>
      <c r="M28" s="271"/>
      <c r="N28" s="55"/>
      <c r="O28" s="55"/>
      <c r="P28" s="55"/>
      <c r="Q28" s="271"/>
      <c r="R28" s="271"/>
      <c r="S28" s="271"/>
      <c r="T28" s="271"/>
      <c r="U28" s="501"/>
      <c r="V28" s="359"/>
      <c r="W28"/>
    </row>
    <row r="29" spans="1:23" ht="27" customHeight="1" thickBot="1">
      <c r="A29" s="297" t="s">
        <v>85</v>
      </c>
      <c r="B29" s="454">
        <v>45301</v>
      </c>
      <c r="C29" s="486">
        <f t="shared" si="0"/>
        <v>2</v>
      </c>
      <c r="D29" s="504" t="s">
        <v>517</v>
      </c>
      <c r="E29" s="504" t="s">
        <v>4098</v>
      </c>
      <c r="F29" s="267" t="s">
        <v>1199</v>
      </c>
      <c r="G29" s="306" t="s">
        <v>1199</v>
      </c>
      <c r="H29" s="5230"/>
      <c r="I29" s="306"/>
      <c r="J29" s="306" t="s">
        <v>37</v>
      </c>
      <c r="K29" s="306"/>
      <c r="L29" s="342" t="s">
        <v>37</v>
      </c>
      <c r="M29" s="305"/>
      <c r="N29" s="55"/>
      <c r="O29" s="55"/>
      <c r="P29" s="55"/>
      <c r="Q29" s="305"/>
      <c r="R29" s="305"/>
      <c r="S29" s="305"/>
      <c r="T29" s="305"/>
      <c r="U29" s="503"/>
      <c r="V29" s="359"/>
      <c r="W29"/>
    </row>
    <row r="30" spans="1:23" ht="27" customHeight="1" thickBot="1">
      <c r="A30" s="296" t="s">
        <v>85</v>
      </c>
      <c r="B30" s="450">
        <v>45301</v>
      </c>
      <c r="C30" s="486">
        <f t="shared" si="0"/>
        <v>2</v>
      </c>
      <c r="D30" s="505" t="s">
        <v>3538</v>
      </c>
      <c r="E30" s="505" t="s">
        <v>4099</v>
      </c>
      <c r="F30" s="260" t="s">
        <v>1199</v>
      </c>
      <c r="G30" s="260" t="s">
        <v>1199</v>
      </c>
      <c r="H30" s="5227"/>
      <c r="I30" s="264"/>
      <c r="J30" s="264" t="s">
        <v>37</v>
      </c>
      <c r="K30" s="264"/>
      <c r="L30" s="334" t="s">
        <v>37</v>
      </c>
      <c r="M30" s="259"/>
      <c r="N30" s="55"/>
      <c r="O30" s="55"/>
      <c r="P30" s="55"/>
      <c r="Q30" s="259"/>
      <c r="R30" s="259"/>
      <c r="S30" s="259"/>
      <c r="T30" s="259"/>
      <c r="U30" s="361"/>
      <c r="V30" s="359"/>
      <c r="W30"/>
    </row>
    <row r="31" spans="1:23" ht="27" customHeight="1" thickBot="1">
      <c r="A31" s="296" t="s">
        <v>85</v>
      </c>
      <c r="B31" s="450">
        <v>45301</v>
      </c>
      <c r="C31" s="486">
        <f t="shared" si="0"/>
        <v>2</v>
      </c>
      <c r="D31" s="495" t="s">
        <v>1870</v>
      </c>
      <c r="E31" s="495" t="s">
        <v>4089</v>
      </c>
      <c r="F31" s="260" t="s">
        <v>1199</v>
      </c>
      <c r="G31" s="260" t="s">
        <v>1199</v>
      </c>
      <c r="H31" s="5227"/>
      <c r="I31" s="321"/>
      <c r="J31" s="259" t="s">
        <v>37</v>
      </c>
      <c r="K31" s="259"/>
      <c r="L31" s="334" t="s">
        <v>37</v>
      </c>
      <c r="M31" s="259"/>
      <c r="N31" s="55"/>
      <c r="O31" s="55"/>
      <c r="P31" s="55"/>
      <c r="Q31" s="259"/>
      <c r="R31" s="496">
        <v>1</v>
      </c>
      <c r="S31" s="259"/>
      <c r="T31" s="270"/>
      <c r="U31" s="506"/>
      <c r="V31" s="1039"/>
      <c r="W31"/>
    </row>
    <row r="32" spans="1:23" ht="27" customHeight="1" thickBot="1">
      <c r="A32" s="296" t="s">
        <v>85</v>
      </c>
      <c r="B32" s="450">
        <v>45301</v>
      </c>
      <c r="C32" s="486">
        <f t="shared" si="0"/>
        <v>2</v>
      </c>
      <c r="D32" s="495" t="s">
        <v>1350</v>
      </c>
      <c r="E32" s="495" t="s">
        <v>3131</v>
      </c>
      <c r="F32" s="260" t="s">
        <v>1199</v>
      </c>
      <c r="G32" s="260" t="s">
        <v>1199</v>
      </c>
      <c r="H32" s="5227"/>
      <c r="I32" s="321"/>
      <c r="J32" s="259" t="s">
        <v>37</v>
      </c>
      <c r="K32" s="259"/>
      <c r="L32" s="334" t="s">
        <v>37</v>
      </c>
      <c r="M32" s="259"/>
      <c r="N32" s="55"/>
      <c r="O32" s="55"/>
      <c r="P32" s="55"/>
      <c r="Q32" s="259"/>
      <c r="R32" s="496">
        <v>1</v>
      </c>
      <c r="S32" s="259"/>
      <c r="T32" s="259"/>
      <c r="U32" s="361"/>
      <c r="V32" s="359"/>
      <c r="W32"/>
    </row>
    <row r="33" spans="1:23" ht="53.25" customHeight="1" thickBot="1">
      <c r="A33" s="296" t="s">
        <v>85</v>
      </c>
      <c r="B33" s="450">
        <v>45301</v>
      </c>
      <c r="C33" s="486">
        <f t="shared" si="0"/>
        <v>2</v>
      </c>
      <c r="D33" s="498" t="s">
        <v>3523</v>
      </c>
      <c r="E33" s="498" t="s">
        <v>4100</v>
      </c>
      <c r="F33" s="375"/>
      <c r="G33" s="375"/>
      <c r="H33" s="264"/>
      <c r="I33" s="264"/>
      <c r="J33" s="264"/>
      <c r="K33" s="264"/>
      <c r="L33" s="334"/>
      <c r="M33" s="259" t="s">
        <v>37</v>
      </c>
      <c r="N33" s="20" t="s">
        <v>0</v>
      </c>
      <c r="O33" s="20" t="s">
        <v>4101</v>
      </c>
      <c r="P33" s="20" t="s">
        <v>4102</v>
      </c>
      <c r="Q33" s="259"/>
      <c r="R33" s="259"/>
      <c r="S33" s="259"/>
      <c r="T33" s="259"/>
      <c r="U33" s="507" t="s">
        <v>4103</v>
      </c>
      <c r="V33" s="357"/>
      <c r="W33"/>
    </row>
    <row r="34" spans="1:23" ht="26.25" customHeight="1" thickBot="1">
      <c r="A34" s="307" t="s">
        <v>85</v>
      </c>
      <c r="B34" s="453">
        <v>45301</v>
      </c>
      <c r="C34" s="508">
        <f t="shared" si="0"/>
        <v>2</v>
      </c>
      <c r="D34" s="509" t="s">
        <v>182</v>
      </c>
      <c r="E34" s="509" t="s">
        <v>2141</v>
      </c>
      <c r="F34" s="510" t="s">
        <v>1199</v>
      </c>
      <c r="G34" s="510" t="s">
        <v>1199</v>
      </c>
      <c r="H34" s="308"/>
      <c r="I34" s="308"/>
      <c r="J34" s="308" t="s">
        <v>37</v>
      </c>
      <c r="K34" s="308"/>
      <c r="L34" s="345" t="s">
        <v>37</v>
      </c>
      <c r="M34" s="271"/>
      <c r="N34" s="192"/>
      <c r="O34" s="192"/>
      <c r="P34" s="192"/>
      <c r="Q34" s="271"/>
      <c r="R34" s="271"/>
      <c r="S34" s="271"/>
      <c r="T34" s="271"/>
      <c r="U34" s="501"/>
      <c r="V34" s="359"/>
      <c r="W34"/>
    </row>
    <row r="35" spans="1:23" ht="26.25" customHeight="1">
      <c r="A35" s="297" t="s">
        <v>105</v>
      </c>
      <c r="B35" s="454">
        <v>45302</v>
      </c>
      <c r="C35" s="465">
        <f t="shared" si="0"/>
        <v>2</v>
      </c>
      <c r="D35" s="504" t="s">
        <v>1287</v>
      </c>
      <c r="E35" s="504" t="s">
        <v>4104</v>
      </c>
      <c r="F35" s="267" t="s">
        <v>1199</v>
      </c>
      <c r="G35" s="306" t="s">
        <v>1199</v>
      </c>
      <c r="H35" s="465"/>
      <c r="I35" s="511"/>
      <c r="J35" s="511"/>
      <c r="K35" s="511"/>
      <c r="L35" s="342" t="s">
        <v>37</v>
      </c>
      <c r="M35" s="305"/>
      <c r="N35" s="55"/>
      <c r="O35" s="55"/>
      <c r="P35" s="55"/>
      <c r="Q35" s="305"/>
      <c r="R35" s="305"/>
      <c r="S35" s="305"/>
      <c r="T35" s="305"/>
      <c r="U35" s="503"/>
      <c r="V35" s="359"/>
      <c r="W35"/>
    </row>
    <row r="36" spans="1:23" ht="26.25" customHeight="1">
      <c r="A36" s="296" t="s">
        <v>105</v>
      </c>
      <c r="B36" s="450">
        <v>45302</v>
      </c>
      <c r="C36" s="468">
        <f t="shared" si="0"/>
        <v>2</v>
      </c>
      <c r="D36" s="505" t="s">
        <v>4105</v>
      </c>
      <c r="E36" s="505" t="s">
        <v>3523</v>
      </c>
      <c r="F36" s="260" t="s">
        <v>1199</v>
      </c>
      <c r="G36" s="260" t="s">
        <v>1199</v>
      </c>
      <c r="H36" s="255"/>
      <c r="I36" s="265"/>
      <c r="J36" s="265"/>
      <c r="K36" s="265"/>
      <c r="L36" s="334" t="s">
        <v>37</v>
      </c>
      <c r="M36" s="259"/>
      <c r="N36" s="49"/>
      <c r="O36" s="49"/>
      <c r="P36" s="49"/>
      <c r="Q36" s="259"/>
      <c r="R36" s="259"/>
      <c r="S36" s="259" t="s">
        <v>37</v>
      </c>
      <c r="T36" s="259"/>
      <c r="U36" s="361"/>
      <c r="V36" s="359"/>
      <c r="W36"/>
    </row>
    <row r="37" spans="1:23" ht="52.5" customHeight="1">
      <c r="A37" s="296" t="s">
        <v>105</v>
      </c>
      <c r="B37" s="450">
        <v>45302</v>
      </c>
      <c r="C37" s="468">
        <f t="shared" si="0"/>
        <v>2</v>
      </c>
      <c r="D37" s="498" t="s">
        <v>4105</v>
      </c>
      <c r="E37" s="498" t="s">
        <v>4106</v>
      </c>
      <c r="F37" s="260" t="s">
        <v>1768</v>
      </c>
      <c r="G37" s="260" t="s">
        <v>1768</v>
      </c>
      <c r="H37" s="264"/>
      <c r="I37" s="264"/>
      <c r="J37" s="264"/>
      <c r="K37" s="264"/>
      <c r="L37" s="334"/>
      <c r="M37" s="259" t="s">
        <v>37</v>
      </c>
      <c r="N37" s="21" t="s">
        <v>0</v>
      </c>
      <c r="O37" s="21" t="s">
        <v>4101</v>
      </c>
      <c r="P37" s="21" t="s">
        <v>4102</v>
      </c>
      <c r="Q37" s="259"/>
      <c r="R37" s="259"/>
      <c r="S37" s="259"/>
      <c r="T37" s="259"/>
      <c r="U37" s="507" t="s">
        <v>4107</v>
      </c>
      <c r="V37" s="357"/>
      <c r="W37"/>
    </row>
    <row r="38" spans="1:23" ht="52.5" customHeight="1">
      <c r="A38" s="296" t="s">
        <v>105</v>
      </c>
      <c r="B38" s="450">
        <v>45302</v>
      </c>
      <c r="C38" s="468">
        <f t="shared" si="0"/>
        <v>2</v>
      </c>
      <c r="D38" s="512" t="s">
        <v>2141</v>
      </c>
      <c r="E38" s="512" t="s">
        <v>1563</v>
      </c>
      <c r="F38" s="260" t="s">
        <v>1199</v>
      </c>
      <c r="G38" s="260" t="s">
        <v>1199</v>
      </c>
      <c r="H38" s="259"/>
      <c r="I38" s="264"/>
      <c r="J38" s="264"/>
      <c r="K38" s="264"/>
      <c r="L38" s="334"/>
      <c r="M38" s="259" t="s">
        <v>37</v>
      </c>
      <c r="N38" s="21" t="s">
        <v>109</v>
      </c>
      <c r="O38" s="21" t="s">
        <v>323</v>
      </c>
      <c r="P38" s="21" t="s">
        <v>4108</v>
      </c>
      <c r="Q38" s="259"/>
      <c r="R38" s="259"/>
      <c r="S38" s="259"/>
      <c r="T38" s="259"/>
      <c r="U38" s="343" t="s">
        <v>4109</v>
      </c>
      <c r="V38" s="3037"/>
      <c r="W38"/>
    </row>
    <row r="39" spans="1:23" ht="52.5" customHeight="1">
      <c r="A39" s="296" t="s">
        <v>105</v>
      </c>
      <c r="B39" s="450">
        <v>45302</v>
      </c>
      <c r="C39" s="468">
        <f t="shared" si="0"/>
        <v>2</v>
      </c>
      <c r="D39" s="495" t="s">
        <v>106</v>
      </c>
      <c r="E39" s="495" t="s">
        <v>4110</v>
      </c>
      <c r="F39" s="260" t="s">
        <v>1199</v>
      </c>
      <c r="G39" s="260" t="s">
        <v>1199</v>
      </c>
      <c r="H39" s="5227">
        <v>706</v>
      </c>
      <c r="I39" s="264"/>
      <c r="J39" s="264"/>
      <c r="K39" s="264"/>
      <c r="L39" s="334"/>
      <c r="M39" s="260" t="s">
        <v>37</v>
      </c>
      <c r="N39" s="21" t="s">
        <v>0</v>
      </c>
      <c r="O39" s="21" t="s">
        <v>31</v>
      </c>
      <c r="P39" s="21" t="s">
        <v>4102</v>
      </c>
      <c r="Q39" s="259"/>
      <c r="R39" s="259"/>
      <c r="S39" s="259"/>
      <c r="T39" s="259"/>
      <c r="U39" s="507" t="s">
        <v>4111</v>
      </c>
      <c r="V39" s="357"/>
      <c r="W39"/>
    </row>
    <row r="40" spans="1:23" ht="53.25" thickBot="1">
      <c r="A40" s="307" t="s">
        <v>105</v>
      </c>
      <c r="B40" s="453">
        <v>45302</v>
      </c>
      <c r="C40" s="471">
        <f t="shared" si="0"/>
        <v>2</v>
      </c>
      <c r="D40" s="513" t="s">
        <v>3523</v>
      </c>
      <c r="E40" s="513" t="s">
        <v>488</v>
      </c>
      <c r="F40" s="266"/>
      <c r="G40" s="266"/>
      <c r="H40" s="5228">
        <v>706</v>
      </c>
      <c r="I40" s="5228"/>
      <c r="J40" s="5228"/>
      <c r="K40" s="5227" t="s">
        <v>1630</v>
      </c>
      <c r="L40" s="345"/>
      <c r="M40" s="271" t="s">
        <v>37</v>
      </c>
      <c r="N40" s="24" t="s">
        <v>0</v>
      </c>
      <c r="O40" s="24" t="s">
        <v>31</v>
      </c>
      <c r="P40" s="24" t="s">
        <v>4102</v>
      </c>
      <c r="Q40" s="514">
        <v>2</v>
      </c>
      <c r="R40" s="271"/>
      <c r="S40" s="271" t="s">
        <v>37</v>
      </c>
      <c r="T40" s="271"/>
      <c r="U40" s="515" t="s">
        <v>4112</v>
      </c>
      <c r="V40" s="3038"/>
      <c r="W40"/>
    </row>
    <row r="41" spans="1:23" ht="26.25" customHeight="1">
      <c r="A41" s="297" t="s">
        <v>132</v>
      </c>
      <c r="B41" s="454">
        <v>45303</v>
      </c>
      <c r="C41" s="465">
        <f t="shared" si="0"/>
        <v>2</v>
      </c>
      <c r="D41" s="60" t="s">
        <v>169</v>
      </c>
      <c r="E41" s="60" t="s">
        <v>3290</v>
      </c>
      <c r="F41" s="516" t="s">
        <v>1199</v>
      </c>
      <c r="G41" s="516" t="s">
        <v>1199</v>
      </c>
      <c r="H41" s="306"/>
      <c r="I41" s="306"/>
      <c r="J41" s="306"/>
      <c r="K41" s="306"/>
      <c r="L41" s="342" t="s">
        <v>37</v>
      </c>
      <c r="M41" s="305"/>
      <c r="N41" s="24"/>
      <c r="O41" s="24"/>
      <c r="P41" s="24"/>
      <c r="Q41" s="305"/>
      <c r="R41" s="305"/>
      <c r="S41" s="305"/>
      <c r="T41" s="305"/>
      <c r="U41" s="503"/>
      <c r="V41" s="359"/>
      <c r="W41"/>
    </row>
    <row r="42" spans="1:23">
      <c r="A42" s="296" t="s">
        <v>132</v>
      </c>
      <c r="B42" s="450">
        <v>45303</v>
      </c>
      <c r="C42" s="468">
        <f t="shared" si="0"/>
        <v>2</v>
      </c>
      <c r="D42" s="452" t="s">
        <v>3523</v>
      </c>
      <c r="E42" s="452" t="s">
        <v>488</v>
      </c>
      <c r="F42" s="260"/>
      <c r="G42" s="260"/>
      <c r="H42" s="5228">
        <v>706</v>
      </c>
      <c r="I42" s="5227"/>
      <c r="J42" s="5227"/>
      <c r="K42" s="5227" t="s">
        <v>1630</v>
      </c>
      <c r="L42" s="49" t="s">
        <v>37</v>
      </c>
      <c r="M42" s="259"/>
      <c r="N42" s="24"/>
      <c r="O42" s="24"/>
      <c r="P42" s="24"/>
      <c r="Q42" s="259"/>
      <c r="R42" s="371">
        <v>2</v>
      </c>
      <c r="S42" s="259"/>
      <c r="T42" s="259"/>
      <c r="U42" s="361"/>
      <c r="V42" s="359"/>
      <c r="W42"/>
    </row>
    <row r="43" spans="1:23" ht="26.25" customHeight="1">
      <c r="A43" s="296" t="s">
        <v>132</v>
      </c>
      <c r="B43" s="450">
        <v>45303</v>
      </c>
      <c r="C43" s="468">
        <f t="shared" si="0"/>
        <v>2</v>
      </c>
      <c r="D43" s="451" t="s">
        <v>282</v>
      </c>
      <c r="E43" s="451" t="s">
        <v>4113</v>
      </c>
      <c r="F43" s="261" t="s">
        <v>1199</v>
      </c>
      <c r="G43" s="257" t="s">
        <v>1199</v>
      </c>
      <c r="H43" s="5227"/>
      <c r="I43" s="264"/>
      <c r="J43" s="264"/>
      <c r="K43" s="264"/>
      <c r="L43" s="334" t="s">
        <v>37</v>
      </c>
      <c r="M43" s="259"/>
      <c r="N43" s="24"/>
      <c r="O43" s="24"/>
      <c r="P43" s="24"/>
      <c r="Q43" s="259"/>
      <c r="R43" s="259"/>
      <c r="S43" s="259"/>
      <c r="T43" s="259"/>
      <c r="U43" s="517"/>
      <c r="V43" s="3042"/>
      <c r="W43"/>
    </row>
    <row r="44" spans="1:23" ht="27" customHeight="1" thickBot="1">
      <c r="A44" s="298" t="s">
        <v>132</v>
      </c>
      <c r="B44" s="457">
        <v>45303</v>
      </c>
      <c r="C44" s="480">
        <f t="shared" si="0"/>
        <v>2</v>
      </c>
      <c r="D44" s="460" t="s">
        <v>282</v>
      </c>
      <c r="E44" s="460" t="s">
        <v>1654</v>
      </c>
      <c r="F44" s="362" t="s">
        <v>1199</v>
      </c>
      <c r="G44" s="362" t="s">
        <v>1199</v>
      </c>
      <c r="H44" s="482"/>
      <c r="I44" s="482"/>
      <c r="J44" s="482"/>
      <c r="K44" s="5227" t="s">
        <v>174</v>
      </c>
      <c r="L44" s="335" t="s">
        <v>37</v>
      </c>
      <c r="M44" s="263"/>
      <c r="N44" s="24"/>
      <c r="O44" s="24"/>
      <c r="P44" s="24"/>
      <c r="Q44" s="263"/>
      <c r="R44" s="263"/>
      <c r="S44" s="263"/>
      <c r="T44" s="263"/>
      <c r="U44" s="518"/>
      <c r="V44" s="3042"/>
      <c r="W44"/>
    </row>
    <row r="45" spans="1:23" ht="27" customHeight="1" thickBot="1">
      <c r="A45" s="314" t="s">
        <v>4114</v>
      </c>
      <c r="B45" s="519">
        <v>45304</v>
      </c>
      <c r="C45" s="520">
        <f t="shared" si="0"/>
        <v>2</v>
      </c>
      <c r="D45" s="521" t="s">
        <v>282</v>
      </c>
      <c r="E45" s="521" t="s">
        <v>4115</v>
      </c>
      <c r="F45" s="522" t="s">
        <v>1768</v>
      </c>
      <c r="G45" s="522" t="s">
        <v>4116</v>
      </c>
      <c r="H45" s="523"/>
      <c r="I45" s="523"/>
      <c r="J45" s="523"/>
      <c r="K45" s="5227" t="s">
        <v>174</v>
      </c>
      <c r="L45" s="524" t="s">
        <v>37</v>
      </c>
      <c r="M45" s="338"/>
      <c r="N45" s="24"/>
      <c r="O45" s="24"/>
      <c r="P45" s="24"/>
      <c r="Q45" s="338"/>
      <c r="R45" s="338"/>
      <c r="S45" s="338"/>
      <c r="T45" s="338"/>
      <c r="U45" s="525"/>
      <c r="V45" s="3042"/>
      <c r="W45"/>
    </row>
    <row r="46" spans="1:23" ht="27" customHeight="1" thickBot="1">
      <c r="A46" s="297" t="s">
        <v>1280</v>
      </c>
      <c r="B46" s="454">
        <v>45306</v>
      </c>
      <c r="C46" s="520">
        <f t="shared" si="0"/>
        <v>3</v>
      </c>
      <c r="D46" s="466" t="s">
        <v>4117</v>
      </c>
      <c r="E46" s="466" t="s">
        <v>2702</v>
      </c>
      <c r="F46" s="262" t="s">
        <v>1199</v>
      </c>
      <c r="G46" s="262" t="s">
        <v>1199</v>
      </c>
      <c r="H46" s="5230"/>
      <c r="I46" s="341"/>
      <c r="J46" s="305"/>
      <c r="K46" s="305"/>
      <c r="L46" s="342" t="s">
        <v>37</v>
      </c>
      <c r="M46" s="342"/>
      <c r="N46" s="24"/>
      <c r="O46" s="24"/>
      <c r="P46" s="24"/>
      <c r="Q46" s="305"/>
      <c r="R46" s="305"/>
      <c r="S46" s="305"/>
      <c r="T46" s="269"/>
      <c r="U46" s="526"/>
      <c r="V46" s="3042"/>
      <c r="W46"/>
    </row>
    <row r="47" spans="1:23" ht="27" customHeight="1" thickBot="1">
      <c r="A47" s="296" t="s">
        <v>1280</v>
      </c>
      <c r="B47" s="450">
        <v>45306</v>
      </c>
      <c r="C47" s="520">
        <f t="shared" si="0"/>
        <v>3</v>
      </c>
      <c r="D47" s="451" t="s">
        <v>4118</v>
      </c>
      <c r="E47" s="451" t="s">
        <v>4119</v>
      </c>
      <c r="F47" s="260" t="s">
        <v>1199</v>
      </c>
      <c r="G47" s="262" t="s">
        <v>1199</v>
      </c>
      <c r="H47" s="5227"/>
      <c r="I47" s="260" t="s">
        <v>1199</v>
      </c>
      <c r="J47" s="259"/>
      <c r="K47" s="259"/>
      <c r="L47" s="334" t="s">
        <v>37</v>
      </c>
      <c r="M47" s="334"/>
      <c r="N47" s="24"/>
      <c r="O47" s="24"/>
      <c r="P47" s="24"/>
      <c r="Q47" s="259"/>
      <c r="R47" s="259"/>
      <c r="S47" s="259"/>
      <c r="T47" s="259"/>
      <c r="U47" s="517"/>
      <c r="V47" s="3042"/>
      <c r="W47"/>
    </row>
    <row r="48" spans="1:23" ht="53.25" customHeight="1" thickBot="1">
      <c r="A48" s="296" t="s">
        <v>1280</v>
      </c>
      <c r="B48" s="450">
        <v>45306</v>
      </c>
      <c r="C48" s="520">
        <f t="shared" si="0"/>
        <v>3</v>
      </c>
      <c r="D48" s="451" t="s">
        <v>4120</v>
      </c>
      <c r="E48" s="451" t="s">
        <v>4121</v>
      </c>
      <c r="F48" s="262" t="s">
        <v>1199</v>
      </c>
      <c r="G48" s="262" t="s">
        <v>1199</v>
      </c>
      <c r="H48" s="5227">
        <v>706</v>
      </c>
      <c r="I48" s="527"/>
      <c r="J48" s="527"/>
      <c r="K48" s="527"/>
      <c r="L48" s="334"/>
      <c r="M48" s="259" t="s">
        <v>37</v>
      </c>
      <c r="N48" s="20" t="s">
        <v>0</v>
      </c>
      <c r="O48" s="20" t="s">
        <v>4122</v>
      </c>
      <c r="P48" s="20" t="s">
        <v>4102</v>
      </c>
      <c r="Q48" s="259"/>
      <c r="R48" s="259"/>
      <c r="S48" s="259"/>
      <c r="T48" s="259"/>
      <c r="U48" s="517" t="s">
        <v>4123</v>
      </c>
      <c r="V48" s="3042"/>
      <c r="W48"/>
    </row>
    <row r="49" spans="1:23" ht="27" thickBot="1">
      <c r="A49" s="296" t="s">
        <v>1280</v>
      </c>
      <c r="B49" s="450">
        <v>45306</v>
      </c>
      <c r="C49" s="520">
        <f t="shared" si="0"/>
        <v>3</v>
      </c>
      <c r="D49" s="528" t="s">
        <v>4124</v>
      </c>
      <c r="E49" s="528" t="s">
        <v>4125</v>
      </c>
      <c r="F49" s="262" t="s">
        <v>1199</v>
      </c>
      <c r="G49" s="262" t="s">
        <v>1199</v>
      </c>
      <c r="H49" s="5228">
        <v>702</v>
      </c>
      <c r="I49" s="5228"/>
      <c r="J49" s="5228"/>
      <c r="K49" s="5227" t="s">
        <v>1630</v>
      </c>
      <c r="L49" s="334" t="s">
        <v>37</v>
      </c>
      <c r="M49" s="259"/>
      <c r="N49" s="24"/>
      <c r="O49" s="24"/>
      <c r="P49" s="24"/>
      <c r="Q49" s="259"/>
      <c r="R49" s="259"/>
      <c r="S49" s="259"/>
      <c r="T49" s="259"/>
      <c r="U49" s="517"/>
      <c r="V49" s="3042"/>
      <c r="W49"/>
    </row>
    <row r="50" spans="1:23" ht="30.75" customHeight="1" thickBot="1">
      <c r="A50" s="296" t="s">
        <v>1280</v>
      </c>
      <c r="B50" s="450">
        <v>45306</v>
      </c>
      <c r="C50" s="520">
        <f t="shared" si="0"/>
        <v>3</v>
      </c>
      <c r="D50" s="529" t="s">
        <v>4126</v>
      </c>
      <c r="E50" s="529" t="s">
        <v>4127</v>
      </c>
      <c r="F50" s="256" t="s">
        <v>2994</v>
      </c>
      <c r="G50" s="475" t="s">
        <v>1768</v>
      </c>
      <c r="H50" s="530"/>
      <c r="I50" s="530"/>
      <c r="J50" s="530"/>
      <c r="K50" s="530"/>
      <c r="L50" s="345"/>
      <c r="M50" s="271" t="s">
        <v>37</v>
      </c>
      <c r="N50" s="20" t="s">
        <v>109</v>
      </c>
      <c r="O50" s="20" t="s">
        <v>323</v>
      </c>
      <c r="P50" s="20" t="s">
        <v>4128</v>
      </c>
      <c r="Q50" s="271"/>
      <c r="R50" s="271"/>
      <c r="S50" s="271"/>
      <c r="T50" s="271"/>
      <c r="U50" s="532" t="s">
        <v>4129</v>
      </c>
      <c r="V50" s="3043"/>
      <c r="W50"/>
    </row>
    <row r="51" spans="1:23" ht="53.25" customHeight="1" thickBot="1">
      <c r="A51" s="298" t="s">
        <v>1280</v>
      </c>
      <c r="B51" s="457">
        <v>45306</v>
      </c>
      <c r="C51" s="520">
        <f t="shared" si="0"/>
        <v>3</v>
      </c>
      <c r="D51" s="533" t="s">
        <v>4105</v>
      </c>
      <c r="E51" s="533" t="s">
        <v>4130</v>
      </c>
      <c r="F51" s="344" t="s">
        <v>1199</v>
      </c>
      <c r="G51" s="344" t="s">
        <v>1199</v>
      </c>
      <c r="H51" s="5229">
        <v>706</v>
      </c>
      <c r="I51" s="534"/>
      <c r="J51" s="535"/>
      <c r="K51" s="535"/>
      <c r="L51" s="335"/>
      <c r="M51" s="263" t="s">
        <v>37</v>
      </c>
      <c r="N51" s="20" t="s">
        <v>71</v>
      </c>
      <c r="O51" s="20" t="s">
        <v>138</v>
      </c>
      <c r="P51" s="20" t="s">
        <v>4102</v>
      </c>
      <c r="Q51" s="536">
        <v>1</v>
      </c>
      <c r="R51" s="263"/>
      <c r="S51" s="263"/>
      <c r="T51" s="263"/>
      <c r="U51" s="537" t="s">
        <v>4131</v>
      </c>
      <c r="V51" s="3044"/>
      <c r="W51"/>
    </row>
    <row r="52" spans="1:23" ht="27" customHeight="1" thickBot="1">
      <c r="A52" s="327" t="s">
        <v>180</v>
      </c>
      <c r="B52" s="538">
        <v>45307</v>
      </c>
      <c r="C52" s="520">
        <f t="shared" si="0"/>
        <v>3</v>
      </c>
      <c r="D52" s="539" t="s">
        <v>4132</v>
      </c>
      <c r="E52" s="539" t="s">
        <v>115</v>
      </c>
      <c r="F52" s="351" t="s">
        <v>1199</v>
      </c>
      <c r="G52" s="351" t="s">
        <v>1199</v>
      </c>
      <c r="H52" s="508"/>
      <c r="I52" s="540" t="s">
        <v>1199</v>
      </c>
      <c r="J52" s="541"/>
      <c r="K52" s="541"/>
      <c r="L52" s="542" t="s">
        <v>37</v>
      </c>
      <c r="M52" s="543"/>
      <c r="N52" s="24"/>
      <c r="O52" s="24"/>
      <c r="P52" s="24"/>
      <c r="Q52" s="543"/>
      <c r="R52" s="543"/>
      <c r="S52" s="543"/>
      <c r="T52" s="543"/>
      <c r="U52" s="544"/>
      <c r="V52" s="3042"/>
      <c r="W52"/>
    </row>
    <row r="53" spans="1:23" ht="27" customHeight="1" thickBot="1">
      <c r="A53" s="316" t="s">
        <v>180</v>
      </c>
      <c r="B53" s="450">
        <v>45307</v>
      </c>
      <c r="C53" s="520">
        <f t="shared" si="0"/>
        <v>3</v>
      </c>
      <c r="D53" s="469" t="s">
        <v>4133</v>
      </c>
      <c r="E53" s="469" t="s">
        <v>4134</v>
      </c>
      <c r="F53" s="264"/>
      <c r="G53" s="264"/>
      <c r="H53" s="244"/>
      <c r="I53" s="244"/>
      <c r="J53" s="545"/>
      <c r="K53" s="545"/>
      <c r="L53" s="546" t="s">
        <v>37</v>
      </c>
      <c r="M53" s="259"/>
      <c r="N53" s="24"/>
      <c r="O53" s="24"/>
      <c r="P53" s="24"/>
      <c r="Q53" s="259"/>
      <c r="R53" s="259"/>
      <c r="S53" s="259"/>
      <c r="T53" s="259"/>
      <c r="U53" s="547"/>
      <c r="V53" s="3042"/>
      <c r="W53"/>
    </row>
    <row r="54" spans="1:23" ht="53.25" customHeight="1" thickBot="1">
      <c r="A54" s="319" t="s">
        <v>180</v>
      </c>
      <c r="B54" s="548">
        <v>45307</v>
      </c>
      <c r="C54" s="520">
        <f t="shared" si="0"/>
        <v>3</v>
      </c>
      <c r="D54" s="549" t="s">
        <v>4105</v>
      </c>
      <c r="E54" s="549" t="s">
        <v>4135</v>
      </c>
      <c r="F54" s="247" t="s">
        <v>1199</v>
      </c>
      <c r="G54" s="247" t="s">
        <v>1199</v>
      </c>
      <c r="H54" s="572">
        <v>706</v>
      </c>
      <c r="I54" s="551" t="s">
        <v>1199</v>
      </c>
      <c r="J54" s="552"/>
      <c r="K54" s="552"/>
      <c r="L54" s="553"/>
      <c r="M54" s="311" t="s">
        <v>37</v>
      </c>
      <c r="N54" s="20" t="s">
        <v>0</v>
      </c>
      <c r="O54" s="20" t="s">
        <v>31</v>
      </c>
      <c r="P54" s="20" t="s">
        <v>4102</v>
      </c>
      <c r="Q54" s="554">
        <v>2</v>
      </c>
      <c r="R54" s="555">
        <v>1</v>
      </c>
      <c r="S54" s="311"/>
      <c r="T54" s="288"/>
      <c r="U54" s="556" t="s">
        <v>4136</v>
      </c>
      <c r="V54" s="3042"/>
      <c r="W54"/>
    </row>
    <row r="55" spans="1:23" ht="53.25" customHeight="1" thickBot="1">
      <c r="A55" s="298" t="s">
        <v>180</v>
      </c>
      <c r="B55" s="457">
        <v>45307</v>
      </c>
      <c r="C55" s="520">
        <f t="shared" si="0"/>
        <v>3</v>
      </c>
      <c r="D55" s="521" t="s">
        <v>4137</v>
      </c>
      <c r="E55" s="521" t="s">
        <v>4138</v>
      </c>
      <c r="F55" s="268" t="s">
        <v>2994</v>
      </c>
      <c r="G55" s="268" t="s">
        <v>1768</v>
      </c>
      <c r="H55" s="480">
        <v>704</v>
      </c>
      <c r="I55" s="268" t="s">
        <v>1768</v>
      </c>
      <c r="J55" s="268" t="s">
        <v>1768</v>
      </c>
      <c r="K55" s="268"/>
      <c r="L55" s="335"/>
      <c r="M55" s="263" t="s">
        <v>37</v>
      </c>
      <c r="N55" s="20" t="s">
        <v>0</v>
      </c>
      <c r="O55" s="20" t="s">
        <v>4101</v>
      </c>
      <c r="P55" s="20" t="s">
        <v>4128</v>
      </c>
      <c r="Q55" s="263"/>
      <c r="R55" s="263"/>
      <c r="S55" s="263"/>
      <c r="T55" s="263"/>
      <c r="U55" s="525" t="s">
        <v>4139</v>
      </c>
      <c r="V55" s="3042"/>
      <c r="W55"/>
    </row>
    <row r="56" spans="1:23" ht="27" customHeight="1" thickBot="1">
      <c r="A56" s="297" t="s">
        <v>1323</v>
      </c>
      <c r="B56" s="454">
        <v>45308</v>
      </c>
      <c r="C56" s="520">
        <f t="shared" si="0"/>
        <v>3</v>
      </c>
      <c r="D56" s="466" t="s">
        <v>169</v>
      </c>
      <c r="E56" s="466" t="s">
        <v>1523</v>
      </c>
      <c r="F56" s="269" t="s">
        <v>1199</v>
      </c>
      <c r="G56" s="269" t="s">
        <v>1199</v>
      </c>
      <c r="H56" s="5230"/>
      <c r="I56" s="540" t="s">
        <v>1199</v>
      </c>
      <c r="J56" s="557"/>
      <c r="K56" s="557"/>
      <c r="L56" s="558" t="s">
        <v>37</v>
      </c>
      <c r="M56" s="305"/>
      <c r="N56" s="24"/>
      <c r="O56" s="24"/>
      <c r="P56" s="24"/>
      <c r="Q56" s="305"/>
      <c r="R56" s="305"/>
      <c r="S56" s="305"/>
      <c r="T56" s="305"/>
      <c r="U56" s="526"/>
      <c r="V56" s="3042"/>
      <c r="W56"/>
    </row>
    <row r="57" spans="1:23" ht="53.25" customHeight="1" thickBot="1">
      <c r="A57" s="310" t="s">
        <v>1323</v>
      </c>
      <c r="B57" s="455">
        <v>45308</v>
      </c>
      <c r="C57" s="520">
        <f t="shared" si="0"/>
        <v>3</v>
      </c>
      <c r="D57" s="559" t="s">
        <v>4140</v>
      </c>
      <c r="E57" s="559" t="s">
        <v>4130</v>
      </c>
      <c r="F57" s="560" t="s">
        <v>1199</v>
      </c>
      <c r="G57" s="560" t="s">
        <v>1199</v>
      </c>
      <c r="H57" s="561"/>
      <c r="I57" s="540" t="s">
        <v>1199</v>
      </c>
      <c r="J57" s="562"/>
      <c r="K57" s="562"/>
      <c r="L57" s="563"/>
      <c r="M57" s="350" t="s">
        <v>37</v>
      </c>
      <c r="N57" s="20" t="s">
        <v>0</v>
      </c>
      <c r="O57" s="20" t="s">
        <v>4101</v>
      </c>
      <c r="P57" s="20" t="s">
        <v>4102</v>
      </c>
      <c r="Q57" s="564">
        <v>3</v>
      </c>
      <c r="R57" s="363">
        <v>2</v>
      </c>
      <c r="S57" s="350"/>
      <c r="T57" s="350"/>
      <c r="U57" s="565" t="s">
        <v>4141</v>
      </c>
      <c r="V57" s="3042"/>
      <c r="W57"/>
    </row>
    <row r="58" spans="1:23" ht="27" customHeight="1" thickBot="1">
      <c r="A58" s="307" t="s">
        <v>1323</v>
      </c>
      <c r="B58" s="453">
        <v>45308</v>
      </c>
      <c r="C58" s="520">
        <f t="shared" si="0"/>
        <v>3</v>
      </c>
      <c r="D58" s="566" t="s">
        <v>4142</v>
      </c>
      <c r="E58" s="566" t="s">
        <v>4143</v>
      </c>
      <c r="F58" s="567" t="s">
        <v>1199</v>
      </c>
      <c r="G58" s="567" t="s">
        <v>1199</v>
      </c>
      <c r="H58" s="531"/>
      <c r="I58" s="531"/>
      <c r="J58" s="531"/>
      <c r="K58" s="5227" t="s">
        <v>174</v>
      </c>
      <c r="L58" s="52" t="s">
        <v>37</v>
      </c>
      <c r="M58" s="52"/>
      <c r="N58" s="24"/>
      <c r="O58" s="24"/>
      <c r="P58" s="24"/>
      <c r="Q58" s="52"/>
      <c r="R58" s="52"/>
      <c r="S58" s="52"/>
      <c r="T58" s="52"/>
      <c r="U58" s="568"/>
      <c r="V58" s="3045"/>
      <c r="W58"/>
    </row>
    <row r="59" spans="1:23" ht="27" customHeight="1" thickBot="1">
      <c r="A59" s="297" t="s">
        <v>4144</v>
      </c>
      <c r="B59" s="454">
        <v>45309</v>
      </c>
      <c r="C59" s="520">
        <f t="shared" si="0"/>
        <v>3</v>
      </c>
      <c r="D59" s="458" t="s">
        <v>4145</v>
      </c>
      <c r="E59" s="458" t="s">
        <v>4146</v>
      </c>
      <c r="F59" s="462" t="s">
        <v>1199</v>
      </c>
      <c r="G59" s="462" t="s">
        <v>1199</v>
      </c>
      <c r="H59" s="569"/>
      <c r="I59" s="569"/>
      <c r="J59" s="569"/>
      <c r="K59" s="5227" t="s">
        <v>174</v>
      </c>
      <c r="L59" s="67" t="s">
        <v>37</v>
      </c>
      <c r="M59" s="55"/>
      <c r="N59" s="24"/>
      <c r="O59" s="24"/>
      <c r="P59" s="24"/>
      <c r="Q59" s="55"/>
      <c r="R59" s="55"/>
      <c r="S59" s="55"/>
      <c r="T59" s="55"/>
      <c r="U59" s="570"/>
      <c r="V59" s="3045"/>
      <c r="W59"/>
    </row>
    <row r="60" spans="1:23" ht="27" customHeight="1" thickBot="1">
      <c r="A60" s="296" t="s">
        <v>4144</v>
      </c>
      <c r="B60" s="450">
        <v>45309</v>
      </c>
      <c r="C60" s="520">
        <f t="shared" si="0"/>
        <v>3</v>
      </c>
      <c r="D60" s="451" t="s">
        <v>1512</v>
      </c>
      <c r="E60" s="451" t="s">
        <v>669</v>
      </c>
      <c r="F60" s="153" t="s">
        <v>4147</v>
      </c>
      <c r="G60" s="153" t="s">
        <v>4147</v>
      </c>
      <c r="H60" s="49"/>
      <c r="I60" s="49"/>
      <c r="J60" s="49"/>
      <c r="K60" s="49"/>
      <c r="L60" s="22" t="s">
        <v>37</v>
      </c>
      <c r="M60" s="49"/>
      <c r="N60" s="24"/>
      <c r="O60" s="24"/>
      <c r="P60" s="24"/>
      <c r="Q60" s="49"/>
      <c r="R60" s="49"/>
      <c r="S60" s="49"/>
      <c r="T60" s="49"/>
      <c r="U60" s="571"/>
      <c r="V60" s="3045"/>
      <c r="W60"/>
    </row>
    <row r="61" spans="1:23" ht="27" customHeight="1" thickBot="1">
      <c r="A61" s="307" t="s">
        <v>4144</v>
      </c>
      <c r="B61" s="453">
        <v>45309</v>
      </c>
      <c r="C61" s="520">
        <f t="shared" si="0"/>
        <v>3</v>
      </c>
      <c r="D61" s="461" t="s">
        <v>4148</v>
      </c>
      <c r="E61" s="461" t="s">
        <v>2141</v>
      </c>
      <c r="F61" s="550" t="s">
        <v>1199</v>
      </c>
      <c r="G61" s="550" t="s">
        <v>1199</v>
      </c>
      <c r="H61" s="51"/>
      <c r="I61" s="540" t="s">
        <v>1199</v>
      </c>
      <c r="J61" s="51"/>
      <c r="K61" s="51"/>
      <c r="L61" s="52" t="s">
        <v>37</v>
      </c>
      <c r="M61" s="51"/>
      <c r="N61" s="24"/>
      <c r="O61" s="24"/>
      <c r="P61" s="24"/>
      <c r="Q61" s="51"/>
      <c r="R61" s="51"/>
      <c r="S61" s="52" t="s">
        <v>37</v>
      </c>
      <c r="T61" s="51"/>
      <c r="U61" s="568"/>
      <c r="V61" s="3045"/>
      <c r="W61"/>
    </row>
    <row r="62" spans="1:23" ht="26.25" customHeight="1">
      <c r="A62" s="297" t="s">
        <v>4149</v>
      </c>
      <c r="B62" s="454">
        <v>45310</v>
      </c>
      <c r="C62" s="572">
        <f t="shared" si="0"/>
        <v>3</v>
      </c>
      <c r="D62" s="458" t="s">
        <v>4146</v>
      </c>
      <c r="E62" s="573" t="s">
        <v>4150</v>
      </c>
      <c r="F62" s="574" t="s">
        <v>1199</v>
      </c>
      <c r="G62" s="575" t="s">
        <v>1199</v>
      </c>
      <c r="H62" s="234"/>
      <c r="I62" s="232"/>
      <c r="J62" s="569"/>
      <c r="K62" s="5227" t="s">
        <v>174</v>
      </c>
      <c r="L62" s="238" t="s">
        <v>37</v>
      </c>
      <c r="M62" s="55"/>
      <c r="N62" s="58"/>
      <c r="O62" s="58"/>
      <c r="P62" s="58"/>
      <c r="Q62" s="55"/>
      <c r="R62" s="55"/>
      <c r="S62" s="67"/>
      <c r="T62" s="55"/>
      <c r="U62" s="570"/>
      <c r="V62" s="3045"/>
      <c r="W62"/>
    </row>
    <row r="63" spans="1:23" ht="26.25" customHeight="1">
      <c r="A63" s="296" t="s">
        <v>4149</v>
      </c>
      <c r="B63" s="450">
        <v>45310</v>
      </c>
      <c r="C63" s="468">
        <f t="shared" si="0"/>
        <v>3</v>
      </c>
      <c r="D63" s="469" t="s">
        <v>1153</v>
      </c>
      <c r="E63" s="576" t="s">
        <v>3462</v>
      </c>
      <c r="F63" s="577" t="s">
        <v>1199</v>
      </c>
      <c r="G63" s="274" t="s">
        <v>1199</v>
      </c>
      <c r="H63" s="5285"/>
      <c r="I63" s="213"/>
      <c r="J63" s="49"/>
      <c r="K63" s="49"/>
      <c r="L63" s="239" t="s">
        <v>37</v>
      </c>
      <c r="M63" s="49"/>
      <c r="N63" s="24"/>
      <c r="O63" s="24"/>
      <c r="P63" s="24"/>
      <c r="Q63" s="49"/>
      <c r="R63" s="49"/>
      <c r="S63" s="49"/>
      <c r="T63" s="49"/>
      <c r="U63" s="571"/>
      <c r="V63" s="3045"/>
      <c r="W63"/>
    </row>
    <row r="64" spans="1:23" ht="26.25" customHeight="1">
      <c r="A64" s="296" t="s">
        <v>4149</v>
      </c>
      <c r="B64" s="450">
        <v>45310</v>
      </c>
      <c r="C64" s="468">
        <f t="shared" si="0"/>
        <v>3</v>
      </c>
      <c r="D64" s="451" t="s">
        <v>4151</v>
      </c>
      <c r="E64" s="578" t="s">
        <v>4152</v>
      </c>
      <c r="F64" s="332" t="s">
        <v>1199</v>
      </c>
      <c r="G64" s="276" t="s">
        <v>1199</v>
      </c>
      <c r="H64" s="5285"/>
      <c r="I64" s="213"/>
      <c r="J64" s="49"/>
      <c r="K64" s="49"/>
      <c r="L64" s="239" t="s">
        <v>37</v>
      </c>
      <c r="M64" s="49"/>
      <c r="N64" s="24"/>
      <c r="O64" s="24"/>
      <c r="P64" s="24"/>
      <c r="Q64" s="49"/>
      <c r="R64" s="49"/>
      <c r="S64" s="49"/>
      <c r="T64" s="49"/>
      <c r="U64" s="571"/>
      <c r="V64" s="3045"/>
      <c r="W64"/>
    </row>
    <row r="65" spans="1:23" ht="52.5" customHeight="1">
      <c r="A65" s="296" t="s">
        <v>4149</v>
      </c>
      <c r="B65" s="450">
        <v>45310</v>
      </c>
      <c r="C65" s="468">
        <f t="shared" si="0"/>
        <v>3</v>
      </c>
      <c r="D65" s="451" t="s">
        <v>4153</v>
      </c>
      <c r="E65" s="578" t="s">
        <v>3523</v>
      </c>
      <c r="F65" s="579" t="s">
        <v>2994</v>
      </c>
      <c r="G65" s="276" t="s">
        <v>1768</v>
      </c>
      <c r="H65" s="237"/>
      <c r="I65" s="213"/>
      <c r="J65" s="49"/>
      <c r="K65" s="49"/>
      <c r="L65" s="231"/>
      <c r="M65" s="22" t="s">
        <v>37</v>
      </c>
      <c r="N65" s="20" t="s">
        <v>0</v>
      </c>
      <c r="O65" s="20" t="s">
        <v>4101</v>
      </c>
      <c r="P65" s="20" t="s">
        <v>4102</v>
      </c>
      <c r="Q65" s="49"/>
      <c r="R65" s="564">
        <v>3</v>
      </c>
      <c r="S65" s="49"/>
      <c r="T65" s="49"/>
      <c r="U65" s="571" t="s">
        <v>4154</v>
      </c>
      <c r="V65" s="3045"/>
      <c r="W65"/>
    </row>
    <row r="66" spans="1:23" ht="78.75" customHeight="1">
      <c r="A66" s="296" t="s">
        <v>4149</v>
      </c>
      <c r="B66" s="450">
        <v>45310</v>
      </c>
      <c r="C66" s="468">
        <f t="shared" si="0"/>
        <v>3</v>
      </c>
      <c r="D66" s="451" t="s">
        <v>4155</v>
      </c>
      <c r="E66" s="578" t="s">
        <v>4156</v>
      </c>
      <c r="F66" s="580" t="s">
        <v>1199</v>
      </c>
      <c r="G66" s="581" t="s">
        <v>1199</v>
      </c>
      <c r="H66" s="5285">
        <v>701</v>
      </c>
      <c r="I66" s="213"/>
      <c r="J66" s="49"/>
      <c r="K66" s="49"/>
      <c r="L66" s="231"/>
      <c r="M66" s="22" t="s">
        <v>37</v>
      </c>
      <c r="N66" s="20" t="s">
        <v>71</v>
      </c>
      <c r="O66" s="20" t="s">
        <v>720</v>
      </c>
      <c r="P66" s="20" t="s">
        <v>4080</v>
      </c>
      <c r="Q66" s="582">
        <v>4</v>
      </c>
      <c r="R66" s="49"/>
      <c r="S66" s="49"/>
      <c r="T66" s="49"/>
      <c r="U66" s="583" t="s">
        <v>4157</v>
      </c>
      <c r="V66" s="3046"/>
      <c r="W66"/>
    </row>
    <row r="67" spans="1:23" ht="27" thickBot="1">
      <c r="A67" s="298" t="s">
        <v>4149</v>
      </c>
      <c r="B67" s="457">
        <v>45310</v>
      </c>
      <c r="C67" s="520">
        <f t="shared" si="0"/>
        <v>3</v>
      </c>
      <c r="D67" s="460" t="s">
        <v>1512</v>
      </c>
      <c r="E67" s="584" t="s">
        <v>4086</v>
      </c>
      <c r="F67" s="291" t="s">
        <v>1199</v>
      </c>
      <c r="G67" s="585" t="s">
        <v>1199</v>
      </c>
      <c r="H67" s="5228">
        <v>702</v>
      </c>
      <c r="I67" s="5253"/>
      <c r="J67" s="5229"/>
      <c r="K67" s="5227" t="s">
        <v>1630</v>
      </c>
      <c r="L67" s="240" t="s">
        <v>37</v>
      </c>
      <c r="M67" s="57"/>
      <c r="N67" s="35"/>
      <c r="O67" s="35"/>
      <c r="P67" s="35"/>
      <c r="Q67" s="57"/>
      <c r="R67" s="57"/>
      <c r="S67" s="57"/>
      <c r="T67" s="57"/>
      <c r="U67" s="586"/>
      <c r="V67" s="3045"/>
      <c r="W67"/>
    </row>
    <row r="68" spans="1:23" ht="53.25" customHeight="1" thickBot="1">
      <c r="A68" s="299" t="s">
        <v>4114</v>
      </c>
      <c r="B68" s="485">
        <v>45311</v>
      </c>
      <c r="C68" s="520">
        <f t="shared" si="0"/>
        <v>3</v>
      </c>
      <c r="D68" s="487" t="s">
        <v>4086</v>
      </c>
      <c r="E68" s="587" t="s">
        <v>4158</v>
      </c>
      <c r="F68" s="579" t="s">
        <v>2994</v>
      </c>
      <c r="G68" s="276" t="s">
        <v>1768</v>
      </c>
      <c r="H68" s="588"/>
      <c r="I68" s="229"/>
      <c r="J68" s="482"/>
      <c r="K68" s="5227" t="s">
        <v>174</v>
      </c>
      <c r="L68" s="589"/>
      <c r="M68" s="194" t="s">
        <v>37</v>
      </c>
      <c r="N68" s="590" t="s">
        <v>0</v>
      </c>
      <c r="O68" s="590" t="s">
        <v>4159</v>
      </c>
      <c r="P68" s="590" t="s">
        <v>4082</v>
      </c>
      <c r="Q68" s="194"/>
      <c r="R68" s="194"/>
      <c r="S68" s="194"/>
      <c r="T68" s="194"/>
      <c r="U68" s="591" t="s">
        <v>4160</v>
      </c>
      <c r="V68" s="3047"/>
      <c r="W68"/>
    </row>
    <row r="69" spans="1:23" ht="27" customHeight="1" thickBot="1">
      <c r="A69" s="316" t="s">
        <v>1280</v>
      </c>
      <c r="B69" s="450">
        <v>45313</v>
      </c>
      <c r="C69" s="520">
        <v>4</v>
      </c>
      <c r="D69" s="68" t="s">
        <v>4155</v>
      </c>
      <c r="E69" s="68" t="s">
        <v>4161</v>
      </c>
      <c r="F69" s="45" t="s">
        <v>1764</v>
      </c>
      <c r="G69" s="45" t="s">
        <v>1764</v>
      </c>
      <c r="H69" s="5286"/>
      <c r="I69" s="87" t="s">
        <v>1199</v>
      </c>
      <c r="J69" s="70"/>
      <c r="K69" s="70"/>
      <c r="L69" s="70" t="s">
        <v>37</v>
      </c>
      <c r="M69" s="70"/>
      <c r="N69" s="120"/>
      <c r="O69" s="120"/>
      <c r="P69" s="120"/>
      <c r="Q69" s="70"/>
      <c r="R69" s="592">
        <v>4</v>
      </c>
      <c r="S69" s="71"/>
      <c r="T69" s="71"/>
      <c r="U69" s="49"/>
      <c r="V69"/>
      <c r="W69"/>
    </row>
    <row r="70" spans="1:23" ht="53.25" customHeight="1" thickBot="1">
      <c r="A70" s="296" t="s">
        <v>1280</v>
      </c>
      <c r="B70" s="450">
        <v>45313</v>
      </c>
      <c r="C70" s="520">
        <v>4</v>
      </c>
      <c r="D70" s="68" t="s">
        <v>1654</v>
      </c>
      <c r="E70" s="68" t="s">
        <v>351</v>
      </c>
      <c r="F70" s="70" t="s">
        <v>1768</v>
      </c>
      <c r="G70" s="70" t="s">
        <v>1768</v>
      </c>
      <c r="H70" s="70"/>
      <c r="I70" s="87"/>
      <c r="J70" s="70"/>
      <c r="K70" s="70"/>
      <c r="L70" s="70"/>
      <c r="M70" s="70" t="s">
        <v>37</v>
      </c>
      <c r="N70" s="21" t="s">
        <v>0</v>
      </c>
      <c r="O70" s="21" t="s">
        <v>4162</v>
      </c>
      <c r="P70" s="21" t="s">
        <v>4082</v>
      </c>
      <c r="Q70" s="70"/>
      <c r="R70" s="70"/>
      <c r="S70" s="71"/>
      <c r="T70" s="593"/>
      <c r="U70" s="594" t="s">
        <v>4163</v>
      </c>
      <c r="V70" s="36"/>
      <c r="W70"/>
    </row>
    <row r="71" spans="1:23" ht="27" customHeight="1" thickBot="1">
      <c r="A71" s="307" t="s">
        <v>1280</v>
      </c>
      <c r="B71" s="453">
        <v>45313</v>
      </c>
      <c r="C71" s="520">
        <v>4</v>
      </c>
      <c r="D71" s="461" t="s">
        <v>4164</v>
      </c>
      <c r="E71" s="461" t="s">
        <v>3922</v>
      </c>
      <c r="F71" s="309" t="s">
        <v>1764</v>
      </c>
      <c r="G71" s="95" t="s">
        <v>1764</v>
      </c>
      <c r="H71" s="2393"/>
      <c r="I71" s="308" t="s">
        <v>1199</v>
      </c>
      <c r="J71" s="271"/>
      <c r="K71" s="271"/>
      <c r="L71" s="345" t="s">
        <v>37</v>
      </c>
      <c r="M71" s="345"/>
      <c r="N71" s="21"/>
      <c r="O71" s="21"/>
      <c r="P71" s="21"/>
      <c r="Q71" s="271"/>
      <c r="R71" s="271"/>
      <c r="S71" s="271"/>
      <c r="T71" s="595"/>
      <c r="U71" s="285"/>
      <c r="V71"/>
      <c r="W71"/>
    </row>
    <row r="72" spans="1:23" ht="27" customHeight="1" thickBot="1">
      <c r="A72" s="307" t="s">
        <v>1280</v>
      </c>
      <c r="B72" s="453">
        <v>45313</v>
      </c>
      <c r="C72" s="520">
        <v>4</v>
      </c>
      <c r="D72" s="596" t="s">
        <v>4165</v>
      </c>
      <c r="E72" s="461" t="s">
        <v>4166</v>
      </c>
      <c r="F72" s="597" t="s">
        <v>1764</v>
      </c>
      <c r="G72" s="598" t="s">
        <v>1764</v>
      </c>
      <c r="H72" s="464"/>
      <c r="I72" s="464"/>
      <c r="J72" s="464"/>
      <c r="K72" s="5227" t="s">
        <v>174</v>
      </c>
      <c r="L72" s="345" t="s">
        <v>37</v>
      </c>
      <c r="M72" s="345"/>
      <c r="N72" s="21"/>
      <c r="O72" s="21"/>
      <c r="P72" s="21"/>
      <c r="Q72" s="271"/>
      <c r="R72" s="271"/>
      <c r="S72" s="271"/>
      <c r="T72" s="595"/>
      <c r="U72" s="286"/>
      <c r="V72"/>
      <c r="W72"/>
    </row>
    <row r="73" spans="1:23" ht="27" customHeight="1" thickBot="1">
      <c r="A73" s="307" t="s">
        <v>1280</v>
      </c>
      <c r="B73" s="453">
        <v>45313</v>
      </c>
      <c r="C73" s="520">
        <v>4</v>
      </c>
      <c r="D73" s="461" t="s">
        <v>4167</v>
      </c>
      <c r="E73" s="461" t="s">
        <v>4168</v>
      </c>
      <c r="F73" s="308" t="s">
        <v>1764</v>
      </c>
      <c r="G73" s="308" t="s">
        <v>1764</v>
      </c>
      <c r="H73" s="271"/>
      <c r="I73" s="308"/>
      <c r="J73" s="271"/>
      <c r="K73" s="271"/>
      <c r="L73" s="345" t="s">
        <v>37</v>
      </c>
      <c r="M73" s="345"/>
      <c r="N73" s="254"/>
      <c r="O73" s="254"/>
      <c r="P73" s="254"/>
      <c r="Q73" s="271"/>
      <c r="R73" s="271"/>
      <c r="S73" s="271"/>
      <c r="T73" s="595"/>
      <c r="U73" s="286"/>
      <c r="V73"/>
      <c r="W73"/>
    </row>
    <row r="74" spans="1:23" ht="27" thickBot="1">
      <c r="A74" s="297" t="s">
        <v>180</v>
      </c>
      <c r="B74" s="454">
        <v>45314</v>
      </c>
      <c r="C74" s="520">
        <v>4</v>
      </c>
      <c r="D74" s="466" t="s">
        <v>669</v>
      </c>
      <c r="E74" s="599" t="s">
        <v>4169</v>
      </c>
      <c r="F74" s="330" t="s">
        <v>1764</v>
      </c>
      <c r="G74" s="329" t="s">
        <v>1764</v>
      </c>
      <c r="H74" s="5244">
        <v>701</v>
      </c>
      <c r="I74" s="5254"/>
      <c r="J74" s="5230"/>
      <c r="K74" s="5227" t="s">
        <v>1630</v>
      </c>
      <c r="L74" s="600" t="s">
        <v>37</v>
      </c>
      <c r="M74" s="342"/>
      <c r="N74" s="120"/>
      <c r="O74" s="120"/>
      <c r="P74" s="120"/>
      <c r="Q74" s="305"/>
      <c r="R74" s="305"/>
      <c r="S74" s="305"/>
      <c r="T74" s="269"/>
      <c r="U74" s="56"/>
      <c r="V74"/>
      <c r="W74"/>
    </row>
    <row r="75" spans="1:23" ht="53.25" thickBot="1">
      <c r="A75" s="296" t="s">
        <v>180</v>
      </c>
      <c r="B75" s="450">
        <v>45314</v>
      </c>
      <c r="C75" s="520">
        <v>4</v>
      </c>
      <c r="D75" s="451" t="s">
        <v>2299</v>
      </c>
      <c r="E75" s="578" t="s">
        <v>4170</v>
      </c>
      <c r="F75" s="275" t="s">
        <v>1764</v>
      </c>
      <c r="G75" s="283" t="s">
        <v>1764</v>
      </c>
      <c r="H75" s="5244">
        <v>701</v>
      </c>
      <c r="I75" s="5255"/>
      <c r="J75" s="5227"/>
      <c r="K75" s="5227" t="s">
        <v>1630</v>
      </c>
      <c r="L75" s="339"/>
      <c r="M75" s="334" t="s">
        <v>37</v>
      </c>
      <c r="N75" s="21" t="s">
        <v>109</v>
      </c>
      <c r="O75" s="21" t="s">
        <v>323</v>
      </c>
      <c r="P75" s="21" t="s">
        <v>4082</v>
      </c>
      <c r="Q75" s="225">
        <v>2</v>
      </c>
      <c r="R75" s="259"/>
      <c r="S75" s="259"/>
      <c r="T75" s="270"/>
      <c r="U75" s="50" t="s">
        <v>4171</v>
      </c>
      <c r="V75"/>
      <c r="W75"/>
    </row>
    <row r="76" spans="1:23" ht="79.5" customHeight="1" thickBot="1">
      <c r="A76" s="307" t="s">
        <v>180</v>
      </c>
      <c r="B76" s="453">
        <v>45314</v>
      </c>
      <c r="C76" s="520">
        <v>4</v>
      </c>
      <c r="D76" s="30" t="s">
        <v>1654</v>
      </c>
      <c r="E76" s="141" t="s">
        <v>351</v>
      </c>
      <c r="F76" s="325" t="s">
        <v>1768</v>
      </c>
      <c r="G76" s="324" t="s">
        <v>1768</v>
      </c>
      <c r="H76" s="601"/>
      <c r="I76" s="602"/>
      <c r="J76" s="603"/>
      <c r="K76" s="603"/>
      <c r="L76" s="604"/>
      <c r="M76" s="345" t="s">
        <v>37</v>
      </c>
      <c r="N76" s="20" t="s">
        <v>0</v>
      </c>
      <c r="O76" s="20" t="s">
        <v>343</v>
      </c>
      <c r="P76" s="20" t="s">
        <v>4082</v>
      </c>
      <c r="Q76" s="605">
        <v>1</v>
      </c>
      <c r="R76" s="271"/>
      <c r="S76" s="271"/>
      <c r="T76" s="273"/>
      <c r="U76" s="53" t="s">
        <v>4172</v>
      </c>
      <c r="V76"/>
      <c r="W76"/>
    </row>
    <row r="77" spans="1:23" ht="53.25" customHeight="1" thickBot="1">
      <c r="A77" s="297" t="s">
        <v>1323</v>
      </c>
      <c r="B77" s="454">
        <v>45315</v>
      </c>
      <c r="C77" s="520">
        <v>4</v>
      </c>
      <c r="D77" s="133" t="s">
        <v>1654</v>
      </c>
      <c r="E77" s="136" t="s">
        <v>4173</v>
      </c>
      <c r="F77" s="606" t="s">
        <v>1764</v>
      </c>
      <c r="G77" s="317" t="s">
        <v>1764</v>
      </c>
      <c r="H77" s="278"/>
      <c r="I77" s="607"/>
      <c r="J77" s="305"/>
      <c r="K77" s="305"/>
      <c r="L77" s="600"/>
      <c r="M77" s="342" t="s">
        <v>37</v>
      </c>
      <c r="N77" s="34" t="s">
        <v>0</v>
      </c>
      <c r="O77" s="34" t="s">
        <v>4162</v>
      </c>
      <c r="P77" s="34" t="s">
        <v>4082</v>
      </c>
      <c r="Q77" s="608"/>
      <c r="R77" s="609">
        <v>1</v>
      </c>
      <c r="S77" s="305"/>
      <c r="T77" s="269"/>
      <c r="U77" s="610" t="s">
        <v>4174</v>
      </c>
      <c r="V77" s="3048"/>
      <c r="W77"/>
    </row>
    <row r="78" spans="1:23" ht="27" customHeight="1" thickBot="1">
      <c r="A78" s="296" t="s">
        <v>1323</v>
      </c>
      <c r="B78" s="450">
        <v>45315</v>
      </c>
      <c r="C78" s="520">
        <v>4</v>
      </c>
      <c r="D78" s="495" t="s">
        <v>2299</v>
      </c>
      <c r="E78" s="611" t="s">
        <v>2569</v>
      </c>
      <c r="F78" s="333" t="s">
        <v>1764</v>
      </c>
      <c r="G78" s="331" t="s">
        <v>1764</v>
      </c>
      <c r="H78" s="5245"/>
      <c r="I78" s="5255"/>
      <c r="J78" s="5227"/>
      <c r="K78" s="5231" t="s">
        <v>4206</v>
      </c>
      <c r="L78" s="339" t="s">
        <v>37</v>
      </c>
      <c r="M78" s="334"/>
      <c r="N78" s="21"/>
      <c r="O78" s="21"/>
      <c r="P78" s="21"/>
      <c r="Q78" s="612"/>
      <c r="R78" s="225">
        <v>2</v>
      </c>
      <c r="S78" s="259"/>
      <c r="T78" s="270"/>
      <c r="U78" s="50"/>
      <c r="V78"/>
      <c r="W78"/>
    </row>
    <row r="79" spans="1:23" ht="27" customHeight="1" thickBot="1">
      <c r="A79" s="307" t="s">
        <v>1323</v>
      </c>
      <c r="B79" s="453">
        <v>45315</v>
      </c>
      <c r="C79" s="520">
        <v>4</v>
      </c>
      <c r="D79" s="513" t="s">
        <v>1512</v>
      </c>
      <c r="E79" s="613" t="s">
        <v>4175</v>
      </c>
      <c r="F79" s="333" t="s">
        <v>1764</v>
      </c>
      <c r="G79" s="331" t="s">
        <v>1764</v>
      </c>
      <c r="H79" s="5296"/>
      <c r="I79" s="5255"/>
      <c r="J79" s="5227"/>
      <c r="K79" s="5231" t="s">
        <v>4206</v>
      </c>
      <c r="L79" s="604" t="s">
        <v>37</v>
      </c>
      <c r="M79" s="345"/>
      <c r="N79" s="24"/>
      <c r="O79" s="24"/>
      <c r="P79" s="24"/>
      <c r="Q79" s="271"/>
      <c r="R79" s="614">
        <v>2</v>
      </c>
      <c r="S79" s="271"/>
      <c r="T79" s="273"/>
      <c r="U79" s="53"/>
      <c r="V79"/>
      <c r="W79"/>
    </row>
    <row r="80" spans="1:23" ht="53.25" customHeight="1" thickBot="1">
      <c r="A80" s="297" t="s">
        <v>1495</v>
      </c>
      <c r="B80" s="454">
        <v>45316</v>
      </c>
      <c r="C80" s="520">
        <v>4</v>
      </c>
      <c r="D80" s="133" t="s">
        <v>1654</v>
      </c>
      <c r="E80" s="136" t="s">
        <v>4173</v>
      </c>
      <c r="F80" s="275" t="s">
        <v>1764</v>
      </c>
      <c r="G80" s="283" t="s">
        <v>1764</v>
      </c>
      <c r="H80" s="5244"/>
      <c r="I80" s="5307"/>
      <c r="J80" s="5308"/>
      <c r="K80" s="5231" t="s">
        <v>4206</v>
      </c>
      <c r="L80" s="600"/>
      <c r="M80" s="342" t="s">
        <v>37</v>
      </c>
      <c r="N80" s="34" t="s">
        <v>0</v>
      </c>
      <c r="O80" s="34" t="s">
        <v>4101</v>
      </c>
      <c r="P80" s="34" t="s">
        <v>4082</v>
      </c>
      <c r="Q80" s="615">
        <v>3</v>
      </c>
      <c r="R80" s="609">
        <v>1</v>
      </c>
      <c r="S80" s="305"/>
      <c r="T80" s="269"/>
      <c r="U80" s="56" t="s">
        <v>4176</v>
      </c>
      <c r="V80"/>
      <c r="W80"/>
    </row>
    <row r="81" spans="1:23" ht="27" customHeight="1" thickBot="1">
      <c r="A81" s="296" t="s">
        <v>1495</v>
      </c>
      <c r="B81" s="450">
        <v>45316</v>
      </c>
      <c r="C81" s="520">
        <v>4</v>
      </c>
      <c r="D81" s="470" t="s">
        <v>3308</v>
      </c>
      <c r="E81" s="616" t="s">
        <v>4177</v>
      </c>
      <c r="F81" s="275" t="s">
        <v>1764</v>
      </c>
      <c r="G81" s="324" t="s">
        <v>1764</v>
      </c>
      <c r="H81" s="279"/>
      <c r="I81" s="326"/>
      <c r="J81" s="259"/>
      <c r="K81" s="259"/>
      <c r="L81" s="339" t="s">
        <v>37</v>
      </c>
      <c r="M81" s="334"/>
      <c r="N81" s="21"/>
      <c r="O81" s="21"/>
      <c r="P81" s="21"/>
      <c r="Q81" s="259"/>
      <c r="R81" s="259"/>
      <c r="S81" s="259"/>
      <c r="T81" s="270"/>
      <c r="U81"/>
      <c r="V81"/>
      <c r="W81"/>
    </row>
    <row r="82" spans="1:23" ht="53.25" customHeight="1" thickBot="1">
      <c r="A82" s="296" t="s">
        <v>1495</v>
      </c>
      <c r="B82" s="450">
        <v>45316</v>
      </c>
      <c r="C82" s="520">
        <v>4</v>
      </c>
      <c r="D82" s="470" t="s">
        <v>282</v>
      </c>
      <c r="E82" s="616" t="s">
        <v>4178</v>
      </c>
      <c r="F82" s="275" t="s">
        <v>1764</v>
      </c>
      <c r="G82" s="324" t="s">
        <v>1764</v>
      </c>
      <c r="H82" s="279"/>
      <c r="I82" s="326"/>
      <c r="J82" s="259"/>
      <c r="K82" s="259"/>
      <c r="L82" s="339"/>
      <c r="M82" s="334" t="s">
        <v>37</v>
      </c>
      <c r="N82" s="21" t="s">
        <v>0</v>
      </c>
      <c r="O82" s="21" t="s">
        <v>4101</v>
      </c>
      <c r="P82" s="21" t="s">
        <v>4102</v>
      </c>
      <c r="Q82" s="259"/>
      <c r="R82" s="259"/>
      <c r="S82" s="259"/>
      <c r="T82" s="270"/>
      <c r="U82" s="300" t="s">
        <v>4179</v>
      </c>
      <c r="V82" s="36"/>
      <c r="W82"/>
    </row>
    <row r="83" spans="1:23" ht="27" customHeight="1" thickBot="1">
      <c r="A83" s="298" t="s">
        <v>1495</v>
      </c>
      <c r="B83" s="457">
        <v>45316</v>
      </c>
      <c r="C83" s="520">
        <v>4</v>
      </c>
      <c r="D83" s="617" t="s">
        <v>282</v>
      </c>
      <c r="E83" s="618" t="s">
        <v>1300</v>
      </c>
      <c r="F83" s="280" t="s">
        <v>1764</v>
      </c>
      <c r="G83" s="349" t="s">
        <v>1764</v>
      </c>
      <c r="H83" s="5243"/>
      <c r="I83" s="5255"/>
      <c r="J83" s="5227"/>
      <c r="K83" s="5231" t="s">
        <v>4206</v>
      </c>
      <c r="L83" s="340" t="s">
        <v>37</v>
      </c>
      <c r="M83" s="335"/>
      <c r="N83" s="254"/>
      <c r="O83" s="254"/>
      <c r="P83" s="254"/>
      <c r="Q83" s="263"/>
      <c r="R83" s="263"/>
      <c r="S83" s="263" t="s">
        <v>37</v>
      </c>
      <c r="T83" s="344"/>
      <c r="U83" s="301"/>
      <c r="V83" s="36"/>
      <c r="W83"/>
    </row>
    <row r="84" spans="1:23" ht="27" customHeight="1" thickBot="1">
      <c r="A84" s="297" t="s">
        <v>1857</v>
      </c>
      <c r="B84" s="454">
        <v>45317</v>
      </c>
      <c r="C84" s="520">
        <v>4</v>
      </c>
      <c r="D84" s="466" t="s">
        <v>4152</v>
      </c>
      <c r="E84" s="599" t="s">
        <v>877</v>
      </c>
      <c r="F84" s="290" t="s">
        <v>1764</v>
      </c>
      <c r="G84" s="287" t="s">
        <v>1764</v>
      </c>
      <c r="H84" s="278"/>
      <c r="I84" s="607"/>
      <c r="J84" s="305"/>
      <c r="K84" s="305"/>
      <c r="L84" s="600" t="s">
        <v>37</v>
      </c>
      <c r="M84" s="342"/>
      <c r="N84" s="34"/>
      <c r="O84" s="34"/>
      <c r="P84" s="34"/>
      <c r="Q84" s="305"/>
      <c r="R84" s="305"/>
      <c r="S84" s="305"/>
      <c r="T84" s="269"/>
      <c r="U84" s="56"/>
      <c r="V84"/>
      <c r="W84"/>
    </row>
    <row r="85" spans="1:23" ht="27" thickBot="1">
      <c r="A85" s="296" t="s">
        <v>1857</v>
      </c>
      <c r="B85" s="450">
        <v>45317</v>
      </c>
      <c r="C85" s="520">
        <v>4</v>
      </c>
      <c r="D85" s="451" t="s">
        <v>2429</v>
      </c>
      <c r="E85" s="578" t="s">
        <v>4086</v>
      </c>
      <c r="F85" s="318" t="s">
        <v>1764</v>
      </c>
      <c r="G85" s="323" t="s">
        <v>1764</v>
      </c>
      <c r="H85" s="5244">
        <v>701</v>
      </c>
      <c r="I85" s="5255"/>
      <c r="J85" s="5227"/>
      <c r="K85" s="5227" t="s">
        <v>1630</v>
      </c>
      <c r="L85" s="339" t="s">
        <v>37</v>
      </c>
      <c r="M85" s="334"/>
      <c r="N85" s="21"/>
      <c r="O85" s="21"/>
      <c r="P85" s="21"/>
      <c r="Q85" s="259"/>
      <c r="R85" s="259"/>
      <c r="S85" s="259"/>
      <c r="T85" s="270"/>
      <c r="U85" s="50"/>
      <c r="V85"/>
      <c r="W85"/>
    </row>
    <row r="86" spans="1:23" ht="27" customHeight="1" thickBot="1">
      <c r="A86" s="296" t="s">
        <v>1857</v>
      </c>
      <c r="B86" s="450">
        <v>45317</v>
      </c>
      <c r="C86" s="520">
        <v>4</v>
      </c>
      <c r="D86" s="451" t="s">
        <v>4180</v>
      </c>
      <c r="E86" s="578" t="s">
        <v>4181</v>
      </c>
      <c r="F86" s="619" t="s">
        <v>1764</v>
      </c>
      <c r="G86" s="358" t="s">
        <v>1764</v>
      </c>
      <c r="H86" s="5245"/>
      <c r="I86" s="5255"/>
      <c r="J86" s="5227"/>
      <c r="K86" s="5231" t="s">
        <v>4206</v>
      </c>
      <c r="L86" s="339" t="s">
        <v>37</v>
      </c>
      <c r="M86" s="334"/>
      <c r="N86" s="21"/>
      <c r="O86" s="21"/>
      <c r="P86" s="21"/>
      <c r="Q86" s="259"/>
      <c r="R86" s="259"/>
      <c r="S86" s="259"/>
      <c r="T86" s="270"/>
      <c r="U86" s="50"/>
      <c r="V86"/>
      <c r="W86"/>
    </row>
    <row r="87" spans="1:23" ht="53.25" customHeight="1" thickBot="1">
      <c r="A87" s="296" t="s">
        <v>1857</v>
      </c>
      <c r="B87" s="450">
        <v>45317</v>
      </c>
      <c r="C87" s="520">
        <v>4</v>
      </c>
      <c r="D87" s="620" t="s">
        <v>1238</v>
      </c>
      <c r="E87" s="621" t="s">
        <v>4175</v>
      </c>
      <c r="F87" s="369" t="s">
        <v>37</v>
      </c>
      <c r="G87" s="368" t="s">
        <v>37</v>
      </c>
      <c r="H87" s="622"/>
      <c r="I87" s="623"/>
      <c r="J87" s="499"/>
      <c r="K87" s="499"/>
      <c r="L87" s="339"/>
      <c r="M87" s="334" t="s">
        <v>37</v>
      </c>
      <c r="N87" s="21" t="s">
        <v>109</v>
      </c>
      <c r="O87" s="21" t="s">
        <v>323</v>
      </c>
      <c r="P87" s="21" t="s">
        <v>4082</v>
      </c>
      <c r="Q87" s="259"/>
      <c r="R87" s="259"/>
      <c r="S87" s="259"/>
      <c r="T87" s="270"/>
      <c r="U87" s="50" t="s">
        <v>4182</v>
      </c>
      <c r="V87"/>
      <c r="W87"/>
    </row>
    <row r="88" spans="1:23" ht="27" customHeight="1" thickBot="1">
      <c r="A88" s="296" t="s">
        <v>1857</v>
      </c>
      <c r="B88" s="450">
        <v>45317</v>
      </c>
      <c r="C88" s="520">
        <v>4</v>
      </c>
      <c r="D88" s="451" t="s">
        <v>1512</v>
      </c>
      <c r="E88" s="578" t="s">
        <v>1714</v>
      </c>
      <c r="F88" s="275" t="s">
        <v>1764</v>
      </c>
      <c r="G88" s="324" t="s">
        <v>1764</v>
      </c>
      <c r="H88" s="279"/>
      <c r="I88" s="326"/>
      <c r="J88" s="259"/>
      <c r="K88" s="259"/>
      <c r="L88" s="339" t="s">
        <v>37</v>
      </c>
      <c r="M88" s="334"/>
      <c r="N88" s="21"/>
      <c r="O88" s="21"/>
      <c r="P88" s="21"/>
      <c r="Q88" s="259"/>
      <c r="R88" s="259"/>
      <c r="S88" s="259"/>
      <c r="T88" s="270"/>
      <c r="U88" s="50"/>
      <c r="V88"/>
      <c r="W88"/>
    </row>
    <row r="89" spans="1:23" ht="27" customHeight="1" thickBot="1">
      <c r="A89" s="296" t="s">
        <v>1857</v>
      </c>
      <c r="B89" s="450">
        <v>45317</v>
      </c>
      <c r="C89" s="520">
        <v>4</v>
      </c>
      <c r="D89" s="451" t="s">
        <v>4148</v>
      </c>
      <c r="E89" s="578" t="s">
        <v>264</v>
      </c>
      <c r="F89" s="624" t="s">
        <v>1764</v>
      </c>
      <c r="G89" s="625" t="s">
        <v>1764</v>
      </c>
      <c r="H89" s="279"/>
      <c r="I89" s="326"/>
      <c r="J89" s="259"/>
      <c r="K89" s="259"/>
      <c r="L89" s="339" t="s">
        <v>37</v>
      </c>
      <c r="M89" s="334"/>
      <c r="N89" s="21"/>
      <c r="O89" s="21"/>
      <c r="P89" s="21"/>
      <c r="Q89" s="259"/>
      <c r="R89" s="259"/>
      <c r="S89" s="259"/>
      <c r="T89" s="270"/>
      <c r="U89" s="50"/>
      <c r="V89"/>
      <c r="W89"/>
    </row>
    <row r="90" spans="1:23" ht="27" customHeight="1" thickBot="1">
      <c r="A90" s="307" t="s">
        <v>1857</v>
      </c>
      <c r="B90" s="453">
        <v>45317</v>
      </c>
      <c r="C90" s="520">
        <v>4</v>
      </c>
      <c r="D90" s="626" t="s">
        <v>351</v>
      </c>
      <c r="E90" s="627" t="s">
        <v>840</v>
      </c>
      <c r="F90" s="284" t="s">
        <v>1764</v>
      </c>
      <c r="G90" s="289" t="s">
        <v>1764</v>
      </c>
      <c r="H90" s="281"/>
      <c r="I90" s="628"/>
      <c r="J90" s="263"/>
      <c r="K90" s="263"/>
      <c r="L90" s="604" t="s">
        <v>37</v>
      </c>
      <c r="M90" s="345"/>
      <c r="N90" s="24"/>
      <c r="P90" s="24"/>
      <c r="Q90" s="271"/>
      <c r="R90" s="271"/>
      <c r="S90" s="271"/>
      <c r="T90" s="273"/>
      <c r="U90" s="53"/>
      <c r="V90"/>
      <c r="W90"/>
    </row>
    <row r="91" spans="1:23" ht="53.25" customHeight="1" thickBot="1">
      <c r="A91" s="297" t="s">
        <v>1519</v>
      </c>
      <c r="B91" s="454">
        <v>45318</v>
      </c>
      <c r="C91" s="520">
        <v>4</v>
      </c>
      <c r="D91" s="466" t="s">
        <v>1512</v>
      </c>
      <c r="E91" s="130" t="s">
        <v>1654</v>
      </c>
      <c r="F91" s="295" t="s">
        <v>1764</v>
      </c>
      <c r="G91" s="293" t="s">
        <v>1764</v>
      </c>
      <c r="H91" s="234"/>
      <c r="I91" s="236"/>
      <c r="J91" s="484"/>
      <c r="K91" s="5227" t="s">
        <v>174</v>
      </c>
      <c r="L91" s="600"/>
      <c r="M91" s="342" t="s">
        <v>30</v>
      </c>
      <c r="N91" s="34" t="s">
        <v>109</v>
      </c>
      <c r="O91" s="21" t="s">
        <v>4183</v>
      </c>
      <c r="P91" s="34" t="s">
        <v>4082</v>
      </c>
      <c r="Q91" s="305"/>
      <c r="R91" s="305"/>
      <c r="S91" s="305" t="s">
        <v>30</v>
      </c>
      <c r="T91" s="269"/>
      <c r="U91" s="56" t="s">
        <v>4184</v>
      </c>
      <c r="V91"/>
      <c r="W91"/>
    </row>
    <row r="92" spans="1:23" ht="27" customHeight="1" thickBot="1">
      <c r="A92" s="298" t="s">
        <v>1519</v>
      </c>
      <c r="B92" s="457">
        <v>45318</v>
      </c>
      <c r="C92" s="520">
        <v>4</v>
      </c>
      <c r="D92" s="460" t="s">
        <v>4148</v>
      </c>
      <c r="E92" s="584" t="s">
        <v>4185</v>
      </c>
      <c r="F92" s="284" t="s">
        <v>1764</v>
      </c>
      <c r="G92" s="289" t="s">
        <v>1764</v>
      </c>
      <c r="H92" s="320"/>
      <c r="I92" s="628"/>
      <c r="J92" s="263"/>
      <c r="K92" s="263"/>
      <c r="L92" s="340" t="s">
        <v>37</v>
      </c>
      <c r="M92" s="335"/>
      <c r="N92" s="34"/>
      <c r="O92" s="21"/>
      <c r="P92" s="34"/>
      <c r="Q92" s="263"/>
      <c r="R92" s="263"/>
      <c r="S92" s="263"/>
      <c r="T92" s="344"/>
      <c r="U92" s="99"/>
      <c r="V92"/>
      <c r="W92"/>
    </row>
    <row r="93" spans="1:23" ht="27" customHeight="1" thickBot="1">
      <c r="A93" s="297" t="s">
        <v>25</v>
      </c>
      <c r="B93" s="454">
        <v>45320</v>
      </c>
      <c r="C93" s="520">
        <f>_xlfn.ISOWEEKNUM(B93)</f>
        <v>5</v>
      </c>
      <c r="D93" s="60" t="s">
        <v>1523</v>
      </c>
      <c r="E93" s="60" t="s">
        <v>4186</v>
      </c>
      <c r="F93" s="61" t="s">
        <v>1199</v>
      </c>
      <c r="G93" s="629" t="s">
        <v>1199</v>
      </c>
      <c r="H93" s="629"/>
      <c r="I93" s="630" t="s">
        <v>30</v>
      </c>
      <c r="J93" s="63"/>
      <c r="K93" s="63"/>
      <c r="L93" s="63" t="s">
        <v>37</v>
      </c>
      <c r="M93" s="63"/>
      <c r="N93" s="34"/>
      <c r="O93" s="21"/>
      <c r="P93" s="34"/>
      <c r="Q93" s="63"/>
      <c r="R93" s="63"/>
      <c r="S93" s="64"/>
      <c r="T93" s="64"/>
      <c r="U93" s="56"/>
      <c r="V93"/>
      <c r="W93"/>
    </row>
    <row r="94" spans="1:23" ht="27" customHeight="1" thickBot="1">
      <c r="A94" s="296" t="s">
        <v>25</v>
      </c>
      <c r="B94" s="450">
        <v>45320</v>
      </c>
      <c r="C94" s="520">
        <f t="shared" ref="C94:C157" si="1">_xlfn.ISOWEEKNUM(B94)</f>
        <v>5</v>
      </c>
      <c r="D94" s="68" t="s">
        <v>2729</v>
      </c>
      <c r="E94" s="68" t="s">
        <v>488</v>
      </c>
      <c r="F94" s="69" t="s">
        <v>1764</v>
      </c>
      <c r="G94" s="86" t="s">
        <v>1199</v>
      </c>
      <c r="H94" s="86"/>
      <c r="I94" s="87"/>
      <c r="J94" s="70"/>
      <c r="K94" s="70"/>
      <c r="L94" s="70" t="s">
        <v>37</v>
      </c>
      <c r="M94" s="70"/>
      <c r="N94" s="34"/>
      <c r="O94" s="21"/>
      <c r="P94" s="34"/>
      <c r="Q94" s="70"/>
      <c r="R94" s="70"/>
      <c r="S94" s="71"/>
      <c r="T94" s="71"/>
      <c r="U94" s="50"/>
      <c r="V94"/>
      <c r="W94"/>
    </row>
    <row r="95" spans="1:23" ht="27" customHeight="1" thickBot="1">
      <c r="A95" s="296" t="s">
        <v>25</v>
      </c>
      <c r="B95" s="450">
        <v>45320</v>
      </c>
      <c r="C95" s="520">
        <f t="shared" si="1"/>
        <v>5</v>
      </c>
      <c r="D95" s="68" t="s">
        <v>4079</v>
      </c>
      <c r="E95" s="68" t="s">
        <v>450</v>
      </c>
      <c r="F95" s="86" t="s">
        <v>1199</v>
      </c>
      <c r="G95" s="631" t="s">
        <v>84</v>
      </c>
      <c r="H95" s="631"/>
      <c r="I95" s="87"/>
      <c r="J95" s="70"/>
      <c r="K95" s="70"/>
      <c r="L95" s="70" t="s">
        <v>37</v>
      </c>
      <c r="M95" s="70"/>
      <c r="N95" s="34"/>
      <c r="O95" s="21"/>
      <c r="P95" s="34"/>
      <c r="Q95" s="70"/>
      <c r="R95" s="70"/>
      <c r="S95" s="71"/>
      <c r="T95" s="71"/>
      <c r="U95" s="50"/>
      <c r="V95"/>
      <c r="W95"/>
    </row>
    <row r="96" spans="1:23" ht="53.25" customHeight="1" thickBot="1">
      <c r="A96" s="296" t="s">
        <v>25</v>
      </c>
      <c r="B96" s="450">
        <v>45320</v>
      </c>
      <c r="C96" s="520">
        <f t="shared" si="1"/>
        <v>5</v>
      </c>
      <c r="D96" s="68" t="s">
        <v>4187</v>
      </c>
      <c r="E96" s="68" t="s">
        <v>63</v>
      </c>
      <c r="F96" s="70" t="s">
        <v>1764</v>
      </c>
      <c r="G96" s="86" t="s">
        <v>1199</v>
      </c>
      <c r="H96" s="86"/>
      <c r="I96" s="87" t="s">
        <v>30</v>
      </c>
      <c r="J96" s="70"/>
      <c r="K96" s="70"/>
      <c r="L96" s="70"/>
      <c r="M96" s="70" t="s">
        <v>37</v>
      </c>
      <c r="N96" s="20" t="s">
        <v>0</v>
      </c>
      <c r="O96" s="20" t="s">
        <v>31</v>
      </c>
      <c r="P96" s="20" t="s">
        <v>4102</v>
      </c>
      <c r="Q96" s="632">
        <v>1</v>
      </c>
      <c r="R96" s="70"/>
      <c r="S96" s="71"/>
      <c r="T96" s="71"/>
      <c r="U96" s="50" t="s">
        <v>4188</v>
      </c>
      <c r="V96"/>
      <c r="W96"/>
    </row>
    <row r="97" spans="1:23" ht="27" customHeight="1" thickBot="1">
      <c r="A97" s="296" t="s">
        <v>25</v>
      </c>
      <c r="B97" s="450">
        <v>45320</v>
      </c>
      <c r="C97" s="520">
        <f t="shared" si="1"/>
        <v>5</v>
      </c>
      <c r="D97" s="68" t="s">
        <v>1254</v>
      </c>
      <c r="E97" s="68" t="s">
        <v>1059</v>
      </c>
      <c r="F97" s="86" t="s">
        <v>1199</v>
      </c>
      <c r="G97" s="86" t="s">
        <v>1199</v>
      </c>
      <c r="H97" s="86"/>
      <c r="I97" s="87" t="s">
        <v>30</v>
      </c>
      <c r="J97" s="70"/>
      <c r="K97" s="70"/>
      <c r="L97" s="70" t="s">
        <v>37</v>
      </c>
      <c r="M97" s="70"/>
      <c r="N97" s="34"/>
      <c r="O97" s="21"/>
      <c r="P97" s="34"/>
      <c r="Q97" s="70"/>
      <c r="R97" s="70"/>
      <c r="S97" s="71"/>
      <c r="T97" s="71"/>
      <c r="U97" s="50"/>
      <c r="V97"/>
      <c r="W97"/>
    </row>
    <row r="98" spans="1:23" ht="53.25" customHeight="1" thickBot="1">
      <c r="A98" s="296" t="s">
        <v>25</v>
      </c>
      <c r="B98" s="450">
        <v>45320</v>
      </c>
      <c r="C98" s="520">
        <f t="shared" si="1"/>
        <v>5</v>
      </c>
      <c r="D98" s="105" t="s">
        <v>264</v>
      </c>
      <c r="E98" s="105" t="s">
        <v>4189</v>
      </c>
      <c r="F98" s="69" t="s">
        <v>1199</v>
      </c>
      <c r="G98" s="86" t="s">
        <v>1199</v>
      </c>
      <c r="H98" s="86"/>
      <c r="I98" s="87"/>
      <c r="J98" s="70"/>
      <c r="K98" s="70"/>
      <c r="L98" s="70"/>
      <c r="M98" s="70" t="s">
        <v>37</v>
      </c>
      <c r="N98" s="20" t="s">
        <v>71</v>
      </c>
      <c r="O98" s="20" t="s">
        <v>138</v>
      </c>
      <c r="P98" s="20" t="s">
        <v>4082</v>
      </c>
      <c r="Q98" s="633">
        <v>3</v>
      </c>
      <c r="R98" s="70"/>
      <c r="S98" s="71"/>
      <c r="T98" s="71"/>
      <c r="U98" s="155" t="s">
        <v>4190</v>
      </c>
      <c r="V98" s="3034"/>
      <c r="W98"/>
    </row>
    <row r="99" spans="1:23" ht="53.25" customHeight="1" thickBot="1">
      <c r="A99" s="296" t="s">
        <v>25</v>
      </c>
      <c r="B99" s="450">
        <v>45320</v>
      </c>
      <c r="C99" s="520">
        <f t="shared" si="1"/>
        <v>5</v>
      </c>
      <c r="D99" s="105" t="s">
        <v>1660</v>
      </c>
      <c r="E99" s="105" t="s">
        <v>4191</v>
      </c>
      <c r="F99" s="45" t="s">
        <v>1206</v>
      </c>
      <c r="G99" s="86" t="s">
        <v>1206</v>
      </c>
      <c r="H99" s="86"/>
      <c r="I99" s="87"/>
      <c r="J99" s="70"/>
      <c r="K99" s="70"/>
      <c r="L99" s="70"/>
      <c r="M99" s="70" t="s">
        <v>37</v>
      </c>
      <c r="N99" s="20" t="s">
        <v>71</v>
      </c>
      <c r="O99" s="20" t="s">
        <v>138</v>
      </c>
      <c r="P99" s="20" t="s">
        <v>4082</v>
      </c>
      <c r="Q99" s="70"/>
      <c r="R99" s="70"/>
      <c r="S99" s="71"/>
      <c r="T99" s="71"/>
      <c r="U99" s="50" t="s">
        <v>4192</v>
      </c>
      <c r="V99"/>
      <c r="W99"/>
    </row>
    <row r="100" spans="1:23" ht="27" customHeight="1" thickBot="1">
      <c r="A100" s="296" t="s">
        <v>25</v>
      </c>
      <c r="B100" s="450">
        <v>45320</v>
      </c>
      <c r="C100" s="520">
        <f t="shared" si="1"/>
        <v>5</v>
      </c>
      <c r="D100" s="68" t="s">
        <v>1905</v>
      </c>
      <c r="E100" s="68" t="s">
        <v>4193</v>
      </c>
      <c r="F100" s="69" t="s">
        <v>1199</v>
      </c>
      <c r="G100" s="86" t="s">
        <v>1199</v>
      </c>
      <c r="H100" s="86"/>
      <c r="I100" s="87" t="s">
        <v>30</v>
      </c>
      <c r="J100" s="70"/>
      <c r="K100" s="70"/>
      <c r="L100" s="70" t="s">
        <v>37</v>
      </c>
      <c r="M100" s="70"/>
      <c r="N100" s="34"/>
      <c r="O100" s="21"/>
      <c r="P100" s="34"/>
      <c r="Q100" s="70"/>
      <c r="R100" s="70"/>
      <c r="S100" s="71"/>
      <c r="T100" s="71"/>
      <c r="U100" s="50"/>
      <c r="V100"/>
      <c r="W100"/>
    </row>
    <row r="101" spans="1:23" ht="27" customHeight="1" thickBot="1">
      <c r="A101" s="307" t="s">
        <v>25</v>
      </c>
      <c r="B101" s="453">
        <v>45320</v>
      </c>
      <c r="C101" s="520">
        <f t="shared" si="1"/>
        <v>5</v>
      </c>
      <c r="D101" s="30" t="s">
        <v>3922</v>
      </c>
      <c r="E101" s="30" t="s">
        <v>4194</v>
      </c>
      <c r="F101" s="65" t="s">
        <v>1199</v>
      </c>
      <c r="G101" s="65" t="s">
        <v>1199</v>
      </c>
      <c r="H101" s="31"/>
      <c r="I101" s="634"/>
      <c r="J101" s="31"/>
      <c r="K101" s="31"/>
      <c r="L101" s="31" t="s">
        <v>37</v>
      </c>
      <c r="M101" s="31"/>
      <c r="N101" s="34"/>
      <c r="O101" s="21"/>
      <c r="P101" s="34"/>
      <c r="Q101" s="31"/>
      <c r="R101" s="31"/>
      <c r="S101" s="33"/>
      <c r="T101" s="33"/>
      <c r="U101" s="53"/>
      <c r="V101"/>
      <c r="W101"/>
    </row>
    <row r="102" spans="1:23" ht="27" customHeight="1" thickBot="1">
      <c r="A102" s="307" t="s">
        <v>25</v>
      </c>
      <c r="B102" s="453">
        <v>45320</v>
      </c>
      <c r="C102" s="520">
        <f t="shared" si="1"/>
        <v>5</v>
      </c>
      <c r="D102" s="30" t="s">
        <v>4195</v>
      </c>
      <c r="E102" s="30" t="s">
        <v>447</v>
      </c>
      <c r="F102" s="635" t="s">
        <v>1206</v>
      </c>
      <c r="G102" s="635" t="s">
        <v>1206</v>
      </c>
      <c r="H102" s="31"/>
      <c r="I102" s="634" t="s">
        <v>30</v>
      </c>
      <c r="J102" s="31"/>
      <c r="K102" s="31"/>
      <c r="L102" s="31" t="s">
        <v>37</v>
      </c>
      <c r="M102" s="31"/>
      <c r="N102" s="34"/>
      <c r="O102" s="21"/>
      <c r="P102" s="34"/>
      <c r="Q102" s="31"/>
      <c r="R102" s="636">
        <v>3</v>
      </c>
      <c r="S102" s="33"/>
      <c r="T102" s="33"/>
      <c r="U102" s="53"/>
      <c r="V102"/>
      <c r="W102"/>
    </row>
    <row r="103" spans="1:23" ht="27" customHeight="1" thickBot="1">
      <c r="A103" s="297" t="s">
        <v>67</v>
      </c>
      <c r="B103" s="454">
        <v>45321</v>
      </c>
      <c r="C103" s="520">
        <f t="shared" si="1"/>
        <v>5</v>
      </c>
      <c r="D103" s="637" t="s">
        <v>1660</v>
      </c>
      <c r="E103" s="637" t="s">
        <v>4191</v>
      </c>
      <c r="F103" s="61" t="s">
        <v>1199</v>
      </c>
      <c r="G103" s="61" t="s">
        <v>1199</v>
      </c>
      <c r="H103" s="63"/>
      <c r="I103" s="630"/>
      <c r="J103" s="63"/>
      <c r="K103" s="63"/>
      <c r="L103" s="63" t="s">
        <v>37</v>
      </c>
      <c r="M103" s="63"/>
      <c r="N103" s="34"/>
      <c r="O103" s="21"/>
      <c r="P103" s="34"/>
      <c r="Q103" s="63"/>
      <c r="R103" s="272"/>
      <c r="S103" s="64"/>
      <c r="T103" s="64"/>
      <c r="U103" s="56"/>
      <c r="V103"/>
      <c r="W103"/>
    </row>
    <row r="104" spans="1:23" ht="53.25" customHeight="1" thickBot="1">
      <c r="A104" s="296" t="s">
        <v>67</v>
      </c>
      <c r="B104" s="450">
        <v>45321</v>
      </c>
      <c r="C104" s="520">
        <f t="shared" si="1"/>
        <v>5</v>
      </c>
      <c r="D104" s="105" t="s">
        <v>4196</v>
      </c>
      <c r="E104" s="105" t="s">
        <v>4197</v>
      </c>
      <c r="F104" s="69" t="s">
        <v>1768</v>
      </c>
      <c r="G104" s="69" t="s">
        <v>1768</v>
      </c>
      <c r="H104" s="70"/>
      <c r="I104" s="87"/>
      <c r="J104" s="70"/>
      <c r="K104" s="70"/>
      <c r="L104" s="70"/>
      <c r="M104" s="70" t="s">
        <v>37</v>
      </c>
      <c r="N104" s="20" t="s">
        <v>71</v>
      </c>
      <c r="O104" s="20" t="s">
        <v>138</v>
      </c>
      <c r="P104" s="20" t="s">
        <v>4082</v>
      </c>
      <c r="Q104" s="70"/>
      <c r="R104" s="70"/>
      <c r="S104" s="71"/>
      <c r="T104" s="71"/>
      <c r="U104" s="50" t="s">
        <v>4198</v>
      </c>
      <c r="V104"/>
      <c r="W104"/>
    </row>
    <row r="105" spans="1:23" ht="53.25" customHeight="1" thickBot="1">
      <c r="A105" s="296" t="s">
        <v>67</v>
      </c>
      <c r="B105" s="450">
        <v>45321</v>
      </c>
      <c r="C105" s="520">
        <f t="shared" si="1"/>
        <v>5</v>
      </c>
      <c r="D105" s="76" t="s">
        <v>4196</v>
      </c>
      <c r="E105" s="76" t="s">
        <v>1145</v>
      </c>
      <c r="F105" s="69" t="s">
        <v>1768</v>
      </c>
      <c r="G105" s="69" t="s">
        <v>1768</v>
      </c>
      <c r="H105" s="70"/>
      <c r="I105" s="87"/>
      <c r="J105" s="70"/>
      <c r="K105" s="70"/>
      <c r="L105" s="70"/>
      <c r="M105" s="70" t="s">
        <v>37</v>
      </c>
      <c r="N105" s="20" t="s">
        <v>71</v>
      </c>
      <c r="O105" s="20" t="s">
        <v>138</v>
      </c>
      <c r="P105" s="20" t="s">
        <v>4082</v>
      </c>
      <c r="Q105" s="70"/>
      <c r="R105" s="70"/>
      <c r="S105" s="71"/>
      <c r="T105" s="71"/>
      <c r="U105" s="50" t="s">
        <v>4198</v>
      </c>
      <c r="V105"/>
      <c r="W105"/>
    </row>
    <row r="106" spans="1:23" ht="27" customHeight="1" thickBot="1">
      <c r="A106" s="296" t="s">
        <v>67</v>
      </c>
      <c r="B106" s="450">
        <v>45321</v>
      </c>
      <c r="C106" s="520">
        <f t="shared" si="1"/>
        <v>5</v>
      </c>
      <c r="D106" s="68" t="s">
        <v>4187</v>
      </c>
      <c r="E106" s="68" t="s">
        <v>63</v>
      </c>
      <c r="F106" s="69" t="s">
        <v>1764</v>
      </c>
      <c r="G106" s="69" t="s">
        <v>1764</v>
      </c>
      <c r="H106" s="87"/>
      <c r="I106" s="87" t="s">
        <v>1199</v>
      </c>
      <c r="J106" s="70"/>
      <c r="K106" s="70"/>
      <c r="L106" s="70" t="s">
        <v>37</v>
      </c>
      <c r="M106" s="70"/>
      <c r="N106" s="34"/>
      <c r="O106" s="21"/>
      <c r="P106" s="34"/>
      <c r="Q106" s="70"/>
      <c r="R106" s="632">
        <v>1</v>
      </c>
      <c r="S106" s="71"/>
      <c r="T106" s="71"/>
      <c r="U106" s="50"/>
      <c r="V106"/>
      <c r="W106"/>
    </row>
    <row r="107" spans="1:23" ht="27" customHeight="1" thickBot="1">
      <c r="A107" s="296" t="s">
        <v>67</v>
      </c>
      <c r="B107" s="450">
        <v>45321</v>
      </c>
      <c r="C107" s="520">
        <f t="shared" si="1"/>
        <v>5</v>
      </c>
      <c r="D107" s="68" t="s">
        <v>80</v>
      </c>
      <c r="E107" s="68" t="s">
        <v>339</v>
      </c>
      <c r="F107" s="69" t="s">
        <v>1764</v>
      </c>
      <c r="G107" s="69" t="s">
        <v>1764</v>
      </c>
      <c r="H107" s="87"/>
      <c r="I107" s="87" t="s">
        <v>1199</v>
      </c>
      <c r="J107" s="70"/>
      <c r="K107" s="70"/>
      <c r="L107" s="70" t="s">
        <v>37</v>
      </c>
      <c r="M107" s="70"/>
      <c r="N107" s="34"/>
      <c r="O107" s="21"/>
      <c r="P107" s="34"/>
      <c r="Q107" s="70"/>
      <c r="R107" s="70"/>
      <c r="S107" s="71"/>
      <c r="T107" s="71"/>
      <c r="U107" s="50"/>
      <c r="V107"/>
      <c r="W107"/>
    </row>
    <row r="108" spans="1:23" ht="53.25" thickBot="1">
      <c r="A108" s="296" t="s">
        <v>67</v>
      </c>
      <c r="B108" s="450">
        <v>45321</v>
      </c>
      <c r="C108" s="520">
        <f t="shared" si="1"/>
        <v>5</v>
      </c>
      <c r="D108" s="73" t="s">
        <v>4199</v>
      </c>
      <c r="E108" s="638" t="s">
        <v>4200</v>
      </c>
      <c r="F108" s="69" t="s">
        <v>1768</v>
      </c>
      <c r="G108" s="69" t="s">
        <v>1768</v>
      </c>
      <c r="H108" s="5231">
        <v>702</v>
      </c>
      <c r="I108" s="5231"/>
      <c r="J108" s="5231"/>
      <c r="K108" s="5227" t="s">
        <v>1630</v>
      </c>
      <c r="L108" s="70"/>
      <c r="M108" s="70" t="s">
        <v>37</v>
      </c>
      <c r="N108" s="20" t="s">
        <v>109</v>
      </c>
      <c r="O108" s="20" t="s">
        <v>110</v>
      </c>
      <c r="P108" s="20" t="s">
        <v>4082</v>
      </c>
      <c r="Q108" s="70"/>
      <c r="R108" s="70"/>
      <c r="S108" s="71"/>
      <c r="T108" s="71"/>
      <c r="U108" s="50" t="s">
        <v>4201</v>
      </c>
      <c r="V108"/>
      <c r="W108"/>
    </row>
    <row r="109" spans="1:23" ht="53.25" thickBot="1">
      <c r="A109" s="307" t="s">
        <v>67</v>
      </c>
      <c r="B109" s="453">
        <v>45321</v>
      </c>
      <c r="C109" s="520">
        <f t="shared" si="1"/>
        <v>5</v>
      </c>
      <c r="D109" s="639" t="s">
        <v>4202</v>
      </c>
      <c r="E109" s="150" t="s">
        <v>4203</v>
      </c>
      <c r="F109" s="640" t="s">
        <v>1768</v>
      </c>
      <c r="G109" s="640" t="s">
        <v>1768</v>
      </c>
      <c r="H109" s="5231">
        <v>702</v>
      </c>
      <c r="I109" s="5232"/>
      <c r="J109" s="5232"/>
      <c r="K109" s="5227" t="s">
        <v>1630</v>
      </c>
      <c r="L109" s="31"/>
      <c r="M109" s="31" t="s">
        <v>37</v>
      </c>
      <c r="N109" s="20" t="s">
        <v>109</v>
      </c>
      <c r="O109" s="20" t="s">
        <v>110</v>
      </c>
      <c r="P109" s="20" t="s">
        <v>4082</v>
      </c>
      <c r="Q109" s="31"/>
      <c r="R109" s="31"/>
      <c r="S109" s="33"/>
      <c r="T109" s="33"/>
      <c r="U109" s="50" t="s">
        <v>4201</v>
      </c>
      <c r="V109"/>
      <c r="W109"/>
    </row>
    <row r="110" spans="1:23" ht="53.25" customHeight="1" thickBot="1">
      <c r="A110" s="297" t="s">
        <v>85</v>
      </c>
      <c r="B110" s="454">
        <v>45322</v>
      </c>
      <c r="C110" s="520">
        <f t="shared" si="1"/>
        <v>5</v>
      </c>
      <c r="D110" s="637" t="s">
        <v>4196</v>
      </c>
      <c r="E110" s="637" t="s">
        <v>4197</v>
      </c>
      <c r="F110" s="642"/>
      <c r="G110" s="642"/>
      <c r="H110" s="63"/>
      <c r="I110" s="630"/>
      <c r="J110" s="63"/>
      <c r="K110" s="63"/>
      <c r="L110" s="63"/>
      <c r="M110" s="63" t="s">
        <v>37</v>
      </c>
      <c r="N110" s="20" t="s">
        <v>109</v>
      </c>
      <c r="O110" s="20" t="s">
        <v>323</v>
      </c>
      <c r="P110" s="20" t="s">
        <v>4082</v>
      </c>
      <c r="Q110" s="643">
        <v>2</v>
      </c>
      <c r="R110" s="63"/>
      <c r="S110" s="64"/>
      <c r="T110" s="64"/>
      <c r="U110" s="56" t="s">
        <v>4204</v>
      </c>
      <c r="V110"/>
      <c r="W110"/>
    </row>
    <row r="111" spans="1:23" ht="27" customHeight="1" thickBot="1">
      <c r="A111" s="296" t="s">
        <v>85</v>
      </c>
      <c r="B111" s="450">
        <v>45322</v>
      </c>
      <c r="C111" s="520">
        <f t="shared" si="1"/>
        <v>5</v>
      </c>
      <c r="D111" s="68" t="s">
        <v>4205</v>
      </c>
      <c r="E111" s="68" t="s">
        <v>1527</v>
      </c>
      <c r="F111" s="45" t="s">
        <v>1199</v>
      </c>
      <c r="G111" s="45" t="s">
        <v>1199</v>
      </c>
      <c r="H111" s="5231"/>
      <c r="I111" s="5231"/>
      <c r="J111" s="5231"/>
      <c r="K111" s="5231" t="s">
        <v>4206</v>
      </c>
      <c r="L111" s="70" t="s">
        <v>37</v>
      </c>
      <c r="M111" s="70"/>
      <c r="N111" s="34"/>
      <c r="O111" s="21"/>
      <c r="P111" s="34"/>
      <c r="Q111" s="70"/>
      <c r="R111" s="70"/>
      <c r="S111" s="71"/>
      <c r="T111" s="71"/>
      <c r="U111" s="50"/>
      <c r="V111"/>
      <c r="W111"/>
    </row>
    <row r="112" spans="1:23" ht="53.25" thickBot="1">
      <c r="A112" s="296" t="s">
        <v>85</v>
      </c>
      <c r="B112" s="450">
        <v>45322</v>
      </c>
      <c r="C112" s="520">
        <f t="shared" si="1"/>
        <v>5</v>
      </c>
      <c r="D112" s="68" t="s">
        <v>450</v>
      </c>
      <c r="E112" s="68" t="s">
        <v>4207</v>
      </c>
      <c r="F112" s="644" t="s">
        <v>1199</v>
      </c>
      <c r="G112" s="644" t="s">
        <v>1199</v>
      </c>
      <c r="H112" s="5231">
        <v>702</v>
      </c>
      <c r="I112" s="5231"/>
      <c r="J112" s="5231"/>
      <c r="K112" s="5227" t="s">
        <v>1630</v>
      </c>
      <c r="L112" s="70"/>
      <c r="M112" s="70" t="s">
        <v>37</v>
      </c>
      <c r="N112" s="20" t="s">
        <v>122</v>
      </c>
      <c r="O112" s="20" t="s">
        <v>122</v>
      </c>
      <c r="P112" s="20" t="s">
        <v>4082</v>
      </c>
      <c r="Q112" s="70"/>
      <c r="R112" s="70"/>
      <c r="S112" s="71"/>
      <c r="T112" s="71"/>
      <c r="U112" s="50" t="s">
        <v>4208</v>
      </c>
      <c r="V112"/>
      <c r="W112"/>
    </row>
    <row r="113" spans="1:23" ht="53.25" thickBot="1">
      <c r="A113" s="296" t="s">
        <v>85</v>
      </c>
      <c r="B113" s="450">
        <v>45322</v>
      </c>
      <c r="C113" s="520">
        <f t="shared" si="1"/>
        <v>5</v>
      </c>
      <c r="D113" s="68" t="s">
        <v>4209</v>
      </c>
      <c r="E113" s="68" t="s">
        <v>4203</v>
      </c>
      <c r="F113" s="632" t="s">
        <v>1199</v>
      </c>
      <c r="G113" s="632" t="s">
        <v>1199</v>
      </c>
      <c r="H113" s="5231">
        <v>702</v>
      </c>
      <c r="I113" s="5231"/>
      <c r="J113" s="5231"/>
      <c r="K113" s="5227" t="s">
        <v>1630</v>
      </c>
      <c r="L113" s="70"/>
      <c r="M113" s="70" t="s">
        <v>37</v>
      </c>
      <c r="N113" s="20" t="s">
        <v>122</v>
      </c>
      <c r="O113" s="20" t="s">
        <v>122</v>
      </c>
      <c r="P113" s="20" t="s">
        <v>4082</v>
      </c>
      <c r="Q113" s="645">
        <v>4</v>
      </c>
      <c r="R113" s="70"/>
      <c r="S113" s="71"/>
      <c r="T113" s="71"/>
      <c r="U113" s="50" t="s">
        <v>4192</v>
      </c>
      <c r="V113"/>
      <c r="W113"/>
    </row>
    <row r="114" spans="1:23" ht="27" thickBot="1">
      <c r="A114" s="296" t="s">
        <v>85</v>
      </c>
      <c r="B114" s="450">
        <v>45322</v>
      </c>
      <c r="C114" s="520">
        <f t="shared" si="1"/>
        <v>5</v>
      </c>
      <c r="D114" s="73" t="s">
        <v>4199</v>
      </c>
      <c r="E114" s="73" t="s">
        <v>4210</v>
      </c>
      <c r="F114" s="632" t="s">
        <v>1199</v>
      </c>
      <c r="G114" s="632" t="s">
        <v>1199</v>
      </c>
      <c r="H114" s="5231">
        <v>702</v>
      </c>
      <c r="I114" s="5231"/>
      <c r="J114" s="5231"/>
      <c r="K114" s="5227" t="s">
        <v>1630</v>
      </c>
      <c r="L114" s="70" t="s">
        <v>37</v>
      </c>
      <c r="M114" s="70"/>
      <c r="N114" s="34"/>
      <c r="O114" s="21"/>
      <c r="P114" s="34"/>
      <c r="Q114" s="70"/>
      <c r="R114" s="70"/>
      <c r="S114" s="71"/>
      <c r="T114" s="71"/>
      <c r="U114" s="50"/>
      <c r="V114"/>
      <c r="W114"/>
    </row>
    <row r="115" spans="1:23" ht="27" thickBot="1">
      <c r="A115" s="296" t="s">
        <v>85</v>
      </c>
      <c r="B115" s="450">
        <v>45322</v>
      </c>
      <c r="C115" s="520">
        <f t="shared" si="1"/>
        <v>5</v>
      </c>
      <c r="D115" s="73" t="s">
        <v>4211</v>
      </c>
      <c r="E115" s="73" t="s">
        <v>4203</v>
      </c>
      <c r="F115" s="632" t="s">
        <v>1199</v>
      </c>
      <c r="G115" s="632" t="s">
        <v>1199</v>
      </c>
      <c r="H115" s="5231">
        <v>702</v>
      </c>
      <c r="I115" s="5231"/>
      <c r="J115" s="5233"/>
      <c r="K115" s="5227" t="s">
        <v>1630</v>
      </c>
      <c r="L115" s="70" t="s">
        <v>37</v>
      </c>
      <c r="M115" s="49"/>
      <c r="N115" s="34"/>
      <c r="O115" s="21"/>
      <c r="P115" s="34"/>
      <c r="Q115" s="49"/>
      <c r="R115" s="49"/>
      <c r="S115" s="49"/>
      <c r="T115" s="49"/>
      <c r="U115" s="50"/>
      <c r="V115"/>
      <c r="W115"/>
    </row>
    <row r="116" spans="1:23" ht="27" customHeight="1" thickBot="1">
      <c r="A116" s="296" t="s">
        <v>85</v>
      </c>
      <c r="B116" s="450">
        <v>45322</v>
      </c>
      <c r="C116" s="520">
        <f t="shared" si="1"/>
        <v>5</v>
      </c>
      <c r="D116" s="68" t="s">
        <v>675</v>
      </c>
      <c r="E116" s="68" t="s">
        <v>4199</v>
      </c>
      <c r="F116" s="45" t="s">
        <v>1199</v>
      </c>
      <c r="G116" s="45" t="s">
        <v>1199</v>
      </c>
      <c r="H116" s="646"/>
      <c r="I116" s="646"/>
      <c r="J116" s="70"/>
      <c r="K116" s="70"/>
      <c r="L116" s="70" t="s">
        <v>37</v>
      </c>
      <c r="M116" s="70"/>
      <c r="N116" s="34"/>
      <c r="O116" s="21"/>
      <c r="P116" s="34"/>
      <c r="Q116" s="70"/>
      <c r="R116" s="70"/>
      <c r="S116" s="71"/>
      <c r="T116" s="71"/>
      <c r="U116" s="50"/>
      <c r="V116"/>
      <c r="W116"/>
    </row>
    <row r="117" spans="1:23" ht="27" customHeight="1" thickBot="1">
      <c r="A117" s="296" t="s">
        <v>85</v>
      </c>
      <c r="B117" s="450">
        <v>45322</v>
      </c>
      <c r="C117" s="520">
        <f t="shared" si="1"/>
        <v>5</v>
      </c>
      <c r="D117" s="81" t="s">
        <v>63</v>
      </c>
      <c r="E117" s="81" t="s">
        <v>4212</v>
      </c>
      <c r="F117" s="45" t="s">
        <v>1199</v>
      </c>
      <c r="G117" s="45" t="s">
        <v>1199</v>
      </c>
      <c r="H117" s="70"/>
      <c r="I117" s="70"/>
      <c r="J117" s="26"/>
      <c r="K117" s="26"/>
      <c r="L117" s="70" t="s">
        <v>37</v>
      </c>
      <c r="M117" s="70"/>
      <c r="N117" s="34"/>
      <c r="O117" s="21"/>
      <c r="P117" s="34"/>
      <c r="Q117" s="26"/>
      <c r="R117" s="71" t="s">
        <v>37</v>
      </c>
      <c r="S117" s="71"/>
      <c r="T117" s="71"/>
      <c r="U117" s="50"/>
      <c r="V117"/>
      <c r="W117"/>
    </row>
    <row r="118" spans="1:23" ht="27" customHeight="1" thickBot="1">
      <c r="A118" s="298" t="s">
        <v>85</v>
      </c>
      <c r="B118" s="457">
        <v>45322</v>
      </c>
      <c r="C118" s="520">
        <f t="shared" si="1"/>
        <v>5</v>
      </c>
      <c r="D118" s="83" t="s">
        <v>4213</v>
      </c>
      <c r="E118" s="83" t="s">
        <v>3462</v>
      </c>
      <c r="F118" s="647" t="s">
        <v>1199</v>
      </c>
      <c r="G118" s="647" t="s">
        <v>1199</v>
      </c>
      <c r="H118" s="90"/>
      <c r="I118" s="90"/>
      <c r="J118" s="648"/>
      <c r="K118" s="648"/>
      <c r="L118" s="90" t="s">
        <v>37</v>
      </c>
      <c r="M118" s="90"/>
      <c r="N118" s="34"/>
      <c r="O118" s="21"/>
      <c r="P118" s="34"/>
      <c r="Q118" s="648"/>
      <c r="R118" s="91" t="s">
        <v>37</v>
      </c>
      <c r="S118" s="91"/>
      <c r="T118" s="91"/>
      <c r="U118" s="99"/>
      <c r="V118"/>
      <c r="W118"/>
    </row>
    <row r="119" spans="1:23" ht="27" customHeight="1" thickBot="1">
      <c r="A119" s="310" t="s">
        <v>105</v>
      </c>
      <c r="B119" s="455">
        <v>45323</v>
      </c>
      <c r="C119" s="520">
        <f t="shared" si="1"/>
        <v>5</v>
      </c>
      <c r="D119" s="649" t="s">
        <v>4214</v>
      </c>
      <c r="E119" s="649" t="s">
        <v>4215</v>
      </c>
      <c r="F119" s="109" t="s">
        <v>1764</v>
      </c>
      <c r="G119" s="109" t="s">
        <v>1764</v>
      </c>
      <c r="H119" s="96"/>
      <c r="I119" s="96"/>
      <c r="J119" s="650"/>
      <c r="K119" s="650"/>
      <c r="L119" s="96" t="s">
        <v>37</v>
      </c>
      <c r="M119" s="96"/>
      <c r="N119" s="34"/>
      <c r="O119" s="21"/>
      <c r="P119" s="34"/>
      <c r="Q119" s="650"/>
      <c r="R119" s="96"/>
      <c r="S119" s="97"/>
      <c r="T119" s="97"/>
      <c r="U119" s="112"/>
      <c r="V119"/>
      <c r="W119"/>
    </row>
    <row r="120" spans="1:23" ht="27" customHeight="1" thickBot="1">
      <c r="A120" s="296" t="s">
        <v>105</v>
      </c>
      <c r="B120" s="450">
        <v>45323</v>
      </c>
      <c r="C120" s="520">
        <f t="shared" si="1"/>
        <v>5</v>
      </c>
      <c r="D120" s="651" t="s">
        <v>675</v>
      </c>
      <c r="E120" s="651" t="s">
        <v>584</v>
      </c>
      <c r="F120" s="69" t="s">
        <v>1199</v>
      </c>
      <c r="G120" s="69" t="s">
        <v>1199</v>
      </c>
      <c r="H120" s="70"/>
      <c r="I120" s="87"/>
      <c r="J120" s="70"/>
      <c r="K120" s="70"/>
      <c r="L120" s="70" t="s">
        <v>37</v>
      </c>
      <c r="M120" s="70"/>
      <c r="N120" s="34"/>
      <c r="O120" s="21"/>
      <c r="P120" s="34"/>
      <c r="Q120" s="70"/>
      <c r="R120" s="70"/>
      <c r="S120" s="71"/>
      <c r="T120" s="71"/>
      <c r="U120" s="50"/>
      <c r="V120"/>
      <c r="W120"/>
    </row>
    <row r="121" spans="1:23" ht="27" customHeight="1" thickBot="1">
      <c r="A121" s="296" t="s">
        <v>105</v>
      </c>
      <c r="B121" s="450">
        <v>45323</v>
      </c>
      <c r="C121" s="520">
        <f t="shared" si="1"/>
        <v>5</v>
      </c>
      <c r="D121" s="651" t="s">
        <v>586</v>
      </c>
      <c r="E121" s="651" t="s">
        <v>4216</v>
      </c>
      <c r="F121" s="69" t="s">
        <v>1764</v>
      </c>
      <c r="G121" s="69" t="s">
        <v>1199</v>
      </c>
      <c r="H121" s="70"/>
      <c r="I121" s="87"/>
      <c r="J121" s="70"/>
      <c r="K121" s="70"/>
      <c r="L121" s="70" t="s">
        <v>37</v>
      </c>
      <c r="M121" s="70"/>
      <c r="N121" s="34"/>
      <c r="O121" s="21"/>
      <c r="P121" s="34"/>
      <c r="Q121" s="70"/>
      <c r="R121" s="70"/>
      <c r="S121" s="71"/>
      <c r="T121" s="71"/>
      <c r="U121" s="50"/>
      <c r="V121"/>
      <c r="W121"/>
    </row>
    <row r="122" spans="1:23" ht="27" customHeight="1" thickBot="1">
      <c r="A122" s="296" t="s">
        <v>105</v>
      </c>
      <c r="B122" s="450">
        <v>45323</v>
      </c>
      <c r="C122" s="520">
        <f t="shared" si="1"/>
        <v>5</v>
      </c>
      <c r="D122" s="68" t="s">
        <v>4199</v>
      </c>
      <c r="E122" s="68" t="s">
        <v>2384</v>
      </c>
      <c r="F122" s="70" t="s">
        <v>1768</v>
      </c>
      <c r="G122" s="70" t="s">
        <v>1768</v>
      </c>
      <c r="H122" s="652"/>
      <c r="I122" s="652"/>
      <c r="J122" s="70"/>
      <c r="K122" s="5227" t="s">
        <v>174</v>
      </c>
      <c r="L122" s="70" t="s">
        <v>37</v>
      </c>
      <c r="M122" s="70"/>
      <c r="N122" s="34"/>
      <c r="O122" s="21"/>
      <c r="P122" s="34"/>
      <c r="Q122" s="70"/>
      <c r="R122" s="70"/>
      <c r="S122" s="71"/>
      <c r="T122" s="71"/>
      <c r="U122" s="50"/>
      <c r="V122"/>
      <c r="W122"/>
    </row>
    <row r="123" spans="1:23" ht="27" customHeight="1" thickBot="1">
      <c r="A123" s="296" t="s">
        <v>105</v>
      </c>
      <c r="B123" s="450">
        <v>45323</v>
      </c>
      <c r="C123" s="520">
        <f t="shared" si="1"/>
        <v>5</v>
      </c>
      <c r="D123" s="68" t="s">
        <v>442</v>
      </c>
      <c r="E123" s="68" t="s">
        <v>4203</v>
      </c>
      <c r="F123" s="70" t="s">
        <v>1768</v>
      </c>
      <c r="G123" s="70" t="s">
        <v>1768</v>
      </c>
      <c r="H123" s="652"/>
      <c r="I123" s="652"/>
      <c r="J123" s="70"/>
      <c r="K123" s="5227" t="s">
        <v>174</v>
      </c>
      <c r="L123" s="70" t="s">
        <v>37</v>
      </c>
      <c r="M123" s="70"/>
      <c r="N123" s="34"/>
      <c r="O123" s="21"/>
      <c r="P123" s="34"/>
      <c r="Q123" s="70"/>
      <c r="R123" s="70"/>
      <c r="S123" s="71"/>
      <c r="T123" s="71"/>
      <c r="U123" s="50"/>
      <c r="V123"/>
      <c r="W123"/>
    </row>
    <row r="124" spans="1:23" ht="27" thickBot="1">
      <c r="A124" s="296" t="s">
        <v>105</v>
      </c>
      <c r="B124" s="450">
        <v>45323</v>
      </c>
      <c r="C124" s="520">
        <f t="shared" si="1"/>
        <v>5</v>
      </c>
      <c r="D124" s="68" t="s">
        <v>4199</v>
      </c>
      <c r="E124" s="68" t="s">
        <v>2384</v>
      </c>
      <c r="F124" s="69" t="s">
        <v>1199</v>
      </c>
      <c r="G124" s="202" t="s">
        <v>1199</v>
      </c>
      <c r="H124" s="5231">
        <v>702</v>
      </c>
      <c r="I124" s="5246"/>
      <c r="J124" s="5231"/>
      <c r="K124" s="5227" t="s">
        <v>1630</v>
      </c>
      <c r="L124" s="70" t="s">
        <v>37</v>
      </c>
      <c r="M124" s="70"/>
      <c r="N124" s="34"/>
      <c r="O124" s="21"/>
      <c r="P124" s="34"/>
      <c r="Q124" s="70"/>
      <c r="R124" s="70"/>
      <c r="S124" s="71"/>
      <c r="T124" s="71"/>
      <c r="U124" s="50"/>
      <c r="V124"/>
      <c r="W124"/>
    </row>
    <row r="125" spans="1:23" ht="27" thickBot="1">
      <c r="A125" s="296" t="s">
        <v>105</v>
      </c>
      <c r="B125" s="450">
        <v>45323</v>
      </c>
      <c r="C125" s="520">
        <f t="shared" si="1"/>
        <v>5</v>
      </c>
      <c r="D125" s="68" t="s">
        <v>442</v>
      </c>
      <c r="E125" s="68" t="s">
        <v>4203</v>
      </c>
      <c r="F125" s="69" t="s">
        <v>1199</v>
      </c>
      <c r="G125" s="202" t="s">
        <v>1199</v>
      </c>
      <c r="H125" s="5231">
        <v>702</v>
      </c>
      <c r="I125" s="5246"/>
      <c r="J125" s="5231"/>
      <c r="K125" s="5227" t="s">
        <v>1630</v>
      </c>
      <c r="L125" s="70" t="s">
        <v>37</v>
      </c>
      <c r="M125" s="70"/>
      <c r="N125" s="34"/>
      <c r="O125" s="21"/>
      <c r="P125" s="34"/>
      <c r="Q125" s="70"/>
      <c r="R125" s="70"/>
      <c r="S125" s="71"/>
      <c r="T125" s="71"/>
      <c r="U125" s="50"/>
      <c r="V125"/>
      <c r="W125"/>
    </row>
    <row r="126" spans="1:23" ht="53.25" customHeight="1" thickBot="1">
      <c r="A126" s="298" t="s">
        <v>105</v>
      </c>
      <c r="B126" s="457">
        <v>45323</v>
      </c>
      <c r="C126" s="520">
        <f t="shared" si="1"/>
        <v>5</v>
      </c>
      <c r="D126" s="654" t="s">
        <v>4086</v>
      </c>
      <c r="E126" s="654" t="s">
        <v>1052</v>
      </c>
      <c r="F126" s="89" t="s">
        <v>1199</v>
      </c>
      <c r="G126" s="655" t="s">
        <v>1764</v>
      </c>
      <c r="H126" s="5297"/>
      <c r="I126" s="5297"/>
      <c r="J126" s="5309"/>
      <c r="K126" s="5231" t="s">
        <v>4206</v>
      </c>
      <c r="L126" s="90"/>
      <c r="M126" s="90" t="s">
        <v>37</v>
      </c>
      <c r="N126" s="20" t="s">
        <v>109</v>
      </c>
      <c r="O126" s="20" t="s">
        <v>1367</v>
      </c>
      <c r="P126" s="20" t="s">
        <v>4080</v>
      </c>
      <c r="Q126" s="656">
        <v>5</v>
      </c>
      <c r="R126" s="90"/>
      <c r="S126" s="91"/>
      <c r="T126" s="91"/>
      <c r="U126" s="253" t="s">
        <v>4217</v>
      </c>
      <c r="V126" s="2564"/>
      <c r="W126"/>
    </row>
    <row r="127" spans="1:23" ht="27" customHeight="1" thickBot="1">
      <c r="A127" s="297" t="s">
        <v>132</v>
      </c>
      <c r="B127" s="454">
        <v>45324</v>
      </c>
      <c r="C127" s="520">
        <f t="shared" si="1"/>
        <v>5</v>
      </c>
      <c r="D127" s="649" t="s">
        <v>4218</v>
      </c>
      <c r="E127" s="649" t="s">
        <v>3462</v>
      </c>
      <c r="F127" s="61" t="s">
        <v>1199</v>
      </c>
      <c r="G127" s="61" t="s">
        <v>1199</v>
      </c>
      <c r="H127" s="63"/>
      <c r="I127" s="630" t="s">
        <v>1199</v>
      </c>
      <c r="J127" s="63"/>
      <c r="K127" s="63"/>
      <c r="L127" s="63" t="s">
        <v>37</v>
      </c>
      <c r="M127" s="63"/>
      <c r="N127" s="34"/>
      <c r="O127" s="21"/>
      <c r="P127" s="34"/>
      <c r="Q127" s="63"/>
      <c r="R127" s="63"/>
      <c r="S127" s="64"/>
      <c r="T127" s="64"/>
      <c r="U127" s="56"/>
      <c r="V127"/>
      <c r="W127"/>
    </row>
    <row r="128" spans="1:23" ht="27" customHeight="1" thickBot="1">
      <c r="A128" s="296" t="s">
        <v>132</v>
      </c>
      <c r="B128" s="450">
        <v>45324</v>
      </c>
      <c r="C128" s="520">
        <f t="shared" si="1"/>
        <v>5</v>
      </c>
      <c r="D128" s="102" t="s">
        <v>63</v>
      </c>
      <c r="E128" s="102" t="s">
        <v>4219</v>
      </c>
      <c r="F128" s="69" t="s">
        <v>1764</v>
      </c>
      <c r="G128" s="69" t="s">
        <v>1764</v>
      </c>
      <c r="H128" s="70"/>
      <c r="I128" s="87"/>
      <c r="J128" s="70"/>
      <c r="K128" s="70"/>
      <c r="L128" s="70" t="s">
        <v>37</v>
      </c>
      <c r="M128" s="70"/>
      <c r="N128" s="34"/>
      <c r="O128" s="21"/>
      <c r="P128" s="34"/>
      <c r="Q128" s="70"/>
      <c r="R128" s="70"/>
      <c r="S128" s="71"/>
      <c r="T128" s="71"/>
      <c r="U128" s="50"/>
      <c r="V128"/>
      <c r="W128"/>
    </row>
    <row r="129" spans="1:23" ht="27" customHeight="1" thickBot="1">
      <c r="A129" s="296" t="s">
        <v>132</v>
      </c>
      <c r="B129" s="450">
        <v>45324</v>
      </c>
      <c r="C129" s="520">
        <f t="shared" si="1"/>
        <v>5</v>
      </c>
      <c r="D129" s="102" t="s">
        <v>4219</v>
      </c>
      <c r="E129" s="102" t="s">
        <v>63</v>
      </c>
      <c r="F129" s="69" t="s">
        <v>1764</v>
      </c>
      <c r="G129" s="69" t="s">
        <v>1764</v>
      </c>
      <c r="H129" s="70"/>
      <c r="I129" s="87"/>
      <c r="J129" s="70"/>
      <c r="K129" s="70"/>
      <c r="L129" s="70" t="s">
        <v>37</v>
      </c>
      <c r="M129" s="70"/>
      <c r="N129" s="34"/>
      <c r="O129" s="21"/>
      <c r="P129" s="34"/>
      <c r="Q129" s="70"/>
      <c r="R129" s="70"/>
      <c r="S129" s="71"/>
      <c r="T129" s="71"/>
      <c r="U129" s="50"/>
      <c r="V129"/>
      <c r="W129"/>
    </row>
    <row r="130" spans="1:23" ht="27" customHeight="1" thickBot="1">
      <c r="A130" s="296" t="s">
        <v>132</v>
      </c>
      <c r="B130" s="450">
        <v>45324</v>
      </c>
      <c r="C130" s="520">
        <f t="shared" si="1"/>
        <v>5</v>
      </c>
      <c r="D130" s="76" t="s">
        <v>4195</v>
      </c>
      <c r="E130" s="76" t="s">
        <v>1145</v>
      </c>
      <c r="F130" s="69" t="s">
        <v>1764</v>
      </c>
      <c r="G130" s="69" t="s">
        <v>1764</v>
      </c>
      <c r="H130" s="70"/>
      <c r="I130" s="87" t="s">
        <v>1199</v>
      </c>
      <c r="J130" s="70"/>
      <c r="K130" s="70"/>
      <c r="L130" s="70" t="s">
        <v>37</v>
      </c>
      <c r="M130" s="70"/>
      <c r="N130" s="34"/>
      <c r="O130" s="21"/>
      <c r="P130" s="34"/>
      <c r="Q130" s="70"/>
      <c r="R130" s="70"/>
      <c r="S130" s="71"/>
      <c r="T130" s="71"/>
      <c r="U130" s="50"/>
      <c r="V130"/>
      <c r="W130"/>
    </row>
    <row r="131" spans="1:23" ht="27" customHeight="1" thickBot="1">
      <c r="A131" s="296" t="s">
        <v>132</v>
      </c>
      <c r="B131" s="450">
        <v>45324</v>
      </c>
      <c r="C131" s="520">
        <f t="shared" si="1"/>
        <v>5</v>
      </c>
      <c r="D131" s="161" t="s">
        <v>4086</v>
      </c>
      <c r="E131" s="161" t="s">
        <v>2346</v>
      </c>
      <c r="F131" s="69" t="s">
        <v>1764</v>
      </c>
      <c r="G131" s="69" t="s">
        <v>1764</v>
      </c>
      <c r="H131" s="5297"/>
      <c r="I131" s="5297"/>
      <c r="J131" s="5231"/>
      <c r="K131" s="5231" t="s">
        <v>4206</v>
      </c>
      <c r="L131" s="70" t="s">
        <v>37</v>
      </c>
      <c r="M131" s="70"/>
      <c r="N131" s="34"/>
      <c r="O131" s="21"/>
      <c r="P131" s="34"/>
      <c r="Q131" s="70"/>
      <c r="R131" s="656">
        <v>5</v>
      </c>
      <c r="S131" s="71"/>
      <c r="T131" s="71"/>
      <c r="U131" s="50"/>
      <c r="V131"/>
      <c r="W131"/>
    </row>
    <row r="132" spans="1:23" ht="27" customHeight="1" thickBot="1">
      <c r="A132" s="296" t="s">
        <v>132</v>
      </c>
      <c r="B132" s="450">
        <v>45324</v>
      </c>
      <c r="C132" s="520">
        <f t="shared" si="1"/>
        <v>5</v>
      </c>
      <c r="D132" s="81" t="s">
        <v>4220</v>
      </c>
      <c r="E132" s="81" t="s">
        <v>4221</v>
      </c>
      <c r="F132" s="69" t="s">
        <v>1199</v>
      </c>
      <c r="G132" s="69" t="s">
        <v>1199</v>
      </c>
      <c r="H132" s="70"/>
      <c r="I132" s="87" t="s">
        <v>1199</v>
      </c>
      <c r="J132" s="70"/>
      <c r="K132" s="70"/>
      <c r="L132" s="70" t="s">
        <v>37</v>
      </c>
      <c r="M132" s="70"/>
      <c r="N132" s="34"/>
      <c r="O132" s="21"/>
      <c r="P132" s="34"/>
      <c r="Q132" s="70"/>
      <c r="R132" s="70"/>
      <c r="S132" s="71"/>
      <c r="T132" s="71"/>
      <c r="U132" s="50"/>
      <c r="V132"/>
      <c r="W132"/>
    </row>
    <row r="133" spans="1:23" ht="27" customHeight="1" thickBot="1">
      <c r="A133" s="296" t="s">
        <v>132</v>
      </c>
      <c r="B133" s="450">
        <v>45324</v>
      </c>
      <c r="C133" s="520">
        <f t="shared" si="1"/>
        <v>5</v>
      </c>
      <c r="D133" s="81" t="s">
        <v>1714</v>
      </c>
      <c r="E133" s="81" t="s">
        <v>4222</v>
      </c>
      <c r="F133" s="69" t="s">
        <v>1199</v>
      </c>
      <c r="G133" s="69" t="s">
        <v>1199</v>
      </c>
      <c r="H133" s="70"/>
      <c r="I133" s="87" t="s">
        <v>1199</v>
      </c>
      <c r="J133" s="70"/>
      <c r="K133" s="70"/>
      <c r="L133" s="70" t="s">
        <v>37</v>
      </c>
      <c r="M133" s="70"/>
      <c r="N133" s="34"/>
      <c r="O133" s="21"/>
      <c r="P133" s="34"/>
      <c r="Q133" s="70"/>
      <c r="R133" s="70"/>
      <c r="S133" s="71"/>
      <c r="T133" s="71"/>
      <c r="U133" s="50"/>
      <c r="V133"/>
      <c r="W133"/>
    </row>
    <row r="134" spans="1:23" ht="27" customHeight="1" thickBot="1">
      <c r="A134" s="296" t="s">
        <v>132</v>
      </c>
      <c r="B134" s="450">
        <v>45324</v>
      </c>
      <c r="C134" s="520">
        <f t="shared" si="1"/>
        <v>5</v>
      </c>
      <c r="D134" s="81" t="s">
        <v>3914</v>
      </c>
      <c r="E134" s="81" t="s">
        <v>744</v>
      </c>
      <c r="F134" s="69" t="s">
        <v>1199</v>
      </c>
      <c r="G134" s="69" t="s">
        <v>1199</v>
      </c>
      <c r="H134" s="49"/>
      <c r="I134" s="657" t="s">
        <v>1199</v>
      </c>
      <c r="J134" s="49"/>
      <c r="K134" s="49"/>
      <c r="L134" s="70" t="s">
        <v>37</v>
      </c>
      <c r="M134" s="49"/>
      <c r="N134" s="34"/>
      <c r="O134" s="21"/>
      <c r="P134" s="34"/>
      <c r="Q134" s="49"/>
      <c r="R134" s="49"/>
      <c r="S134" s="49"/>
      <c r="T134" s="49"/>
      <c r="U134" s="50"/>
      <c r="V134"/>
      <c r="W134"/>
    </row>
    <row r="135" spans="1:23" ht="27" thickBot="1">
      <c r="A135" s="296" t="s">
        <v>132</v>
      </c>
      <c r="B135" s="450">
        <v>45324</v>
      </c>
      <c r="C135" s="520">
        <f t="shared" si="1"/>
        <v>5</v>
      </c>
      <c r="D135" s="118" t="s">
        <v>4086</v>
      </c>
      <c r="E135" s="118" t="s">
        <v>4223</v>
      </c>
      <c r="F135" s="658" t="s">
        <v>1206</v>
      </c>
      <c r="G135" s="658" t="s">
        <v>1206</v>
      </c>
      <c r="H135" s="5231">
        <v>702</v>
      </c>
      <c r="I135" s="5246"/>
      <c r="J135" s="5234"/>
      <c r="K135" s="5227" t="s">
        <v>1630</v>
      </c>
      <c r="L135" s="70" t="s">
        <v>37</v>
      </c>
      <c r="M135" s="51"/>
      <c r="N135" s="34"/>
      <c r="O135" s="21"/>
      <c r="P135" s="34"/>
      <c r="Q135" s="51"/>
      <c r="R135" s="51"/>
      <c r="S135" s="52" t="s">
        <v>37</v>
      </c>
      <c r="T135" s="51"/>
      <c r="U135" s="53"/>
      <c r="V135"/>
      <c r="W135"/>
    </row>
    <row r="136" spans="1:23" ht="53.25" customHeight="1" thickBot="1">
      <c r="A136" s="307" t="s">
        <v>132</v>
      </c>
      <c r="B136" s="453">
        <v>45324</v>
      </c>
      <c r="C136" s="520">
        <f t="shared" si="1"/>
        <v>5</v>
      </c>
      <c r="D136" s="30" t="s">
        <v>63</v>
      </c>
      <c r="E136" s="30" t="s">
        <v>450</v>
      </c>
      <c r="F136" s="659"/>
      <c r="G136" s="660"/>
      <c r="H136" s="653"/>
      <c r="I136" s="653"/>
      <c r="J136" s="51"/>
      <c r="K136" s="5246" t="s">
        <v>3346</v>
      </c>
      <c r="L136" s="51"/>
      <c r="M136" s="752" t="s">
        <v>37</v>
      </c>
      <c r="N136" s="20" t="s">
        <v>109</v>
      </c>
      <c r="O136" s="20" t="s">
        <v>110</v>
      </c>
      <c r="P136" s="20" t="s">
        <v>4102</v>
      </c>
      <c r="Q136" s="51"/>
      <c r="R136" s="51"/>
      <c r="S136" s="51"/>
      <c r="T136" s="51"/>
      <c r="U136" s="53" t="s">
        <v>4224</v>
      </c>
      <c r="V136"/>
      <c r="W136"/>
    </row>
    <row r="137" spans="1:23" ht="53.25" customHeight="1" thickBot="1">
      <c r="A137" s="307" t="s">
        <v>132</v>
      </c>
      <c r="B137" s="453">
        <v>45324</v>
      </c>
      <c r="C137" s="520">
        <f t="shared" si="1"/>
        <v>5</v>
      </c>
      <c r="D137" s="30" t="s">
        <v>1512</v>
      </c>
      <c r="E137" s="30" t="s">
        <v>4225</v>
      </c>
      <c r="F137" s="640" t="s">
        <v>1199</v>
      </c>
      <c r="G137" s="640" t="s">
        <v>1199</v>
      </c>
      <c r="H137" s="661"/>
      <c r="I137" s="661"/>
      <c r="J137" s="51"/>
      <c r="K137" s="5227" t="s">
        <v>174</v>
      </c>
      <c r="L137" s="51"/>
      <c r="M137" s="51" t="s">
        <v>37</v>
      </c>
      <c r="N137" s="20" t="s">
        <v>0</v>
      </c>
      <c r="O137" s="20" t="s">
        <v>4226</v>
      </c>
      <c r="P137" s="20" t="s">
        <v>4082</v>
      </c>
      <c r="Q137" s="51"/>
      <c r="R137" s="51"/>
      <c r="S137" s="51"/>
      <c r="T137" s="51"/>
      <c r="U137" s="53"/>
      <c r="V137"/>
      <c r="W137"/>
    </row>
    <row r="138" spans="1:23" ht="27" thickBot="1">
      <c r="A138" s="297" t="s">
        <v>4227</v>
      </c>
      <c r="B138" s="454">
        <v>45326</v>
      </c>
      <c r="C138" s="520">
        <f t="shared" si="1"/>
        <v>5</v>
      </c>
      <c r="D138" s="60" t="s">
        <v>4228</v>
      </c>
      <c r="E138" s="60" t="s">
        <v>4086</v>
      </c>
      <c r="F138" s="61"/>
      <c r="G138" s="61"/>
      <c r="H138" s="5231">
        <v>702</v>
      </c>
      <c r="I138" s="5247"/>
      <c r="J138" s="5235"/>
      <c r="K138" s="5227" t="s">
        <v>1630</v>
      </c>
      <c r="L138" s="55"/>
      <c r="M138" s="740"/>
      <c r="N138" s="20"/>
      <c r="O138" s="20"/>
      <c r="P138" s="20"/>
      <c r="Q138" s="55"/>
      <c r="R138" s="55"/>
      <c r="S138" s="55"/>
      <c r="T138" s="55"/>
      <c r="U138" s="56"/>
      <c r="V138"/>
      <c r="W138"/>
    </row>
    <row r="139" spans="1:23" ht="52.5" customHeight="1">
      <c r="A139" s="307" t="s">
        <v>4227</v>
      </c>
      <c r="B139" s="453">
        <v>45326</v>
      </c>
      <c r="C139" s="572">
        <f t="shared" si="1"/>
        <v>5</v>
      </c>
      <c r="D139" s="30" t="s">
        <v>1512</v>
      </c>
      <c r="E139" s="30" t="s">
        <v>4229</v>
      </c>
      <c r="F139" s="52" t="s">
        <v>1768</v>
      </c>
      <c r="G139" s="52" t="s">
        <v>1768</v>
      </c>
      <c r="H139" s="641"/>
      <c r="I139" s="641"/>
      <c r="J139" s="51"/>
      <c r="K139" s="5227" t="s">
        <v>174</v>
      </c>
      <c r="L139" s="51"/>
      <c r="M139" s="752" t="s">
        <v>37</v>
      </c>
      <c r="N139" s="20" t="s">
        <v>0</v>
      </c>
      <c r="O139" s="20" t="s">
        <v>110</v>
      </c>
      <c r="P139" s="20" t="s">
        <v>4082</v>
      </c>
      <c r="Q139" s="51"/>
      <c r="R139" s="51"/>
      <c r="S139" s="51"/>
      <c r="T139" s="51"/>
      <c r="U139" s="53" t="s">
        <v>4230</v>
      </c>
      <c r="V139"/>
      <c r="W139"/>
    </row>
    <row r="140" spans="1:23" ht="26.25" customHeight="1">
      <c r="A140" s="316" t="s">
        <v>25</v>
      </c>
      <c r="B140" s="450">
        <v>45327</v>
      </c>
      <c r="C140" s="468">
        <f t="shared" si="1"/>
        <v>6</v>
      </c>
      <c r="D140" s="662" t="s">
        <v>4231</v>
      </c>
      <c r="E140" s="662" t="s">
        <v>1701</v>
      </c>
      <c r="F140" s="45" t="s">
        <v>1199</v>
      </c>
      <c r="G140" s="45" t="s">
        <v>1199</v>
      </c>
      <c r="H140" s="5231"/>
      <c r="I140" s="110"/>
      <c r="J140" s="70"/>
      <c r="K140" s="70" t="s">
        <v>4206</v>
      </c>
      <c r="L140" s="70" t="s">
        <v>37</v>
      </c>
      <c r="M140" s="752"/>
      <c r="N140" s="21"/>
      <c r="O140" s="21"/>
      <c r="P140" s="21"/>
      <c r="Q140" s="70"/>
      <c r="R140" s="70"/>
      <c r="S140" s="71"/>
      <c r="T140" s="71"/>
      <c r="U140" s="49"/>
      <c r="V140"/>
      <c r="W140"/>
    </row>
    <row r="141" spans="1:23" ht="26.25" customHeight="1">
      <c r="A141" s="316" t="s">
        <v>25</v>
      </c>
      <c r="B141" s="450">
        <v>45327</v>
      </c>
      <c r="C141" s="468">
        <f t="shared" si="1"/>
        <v>6</v>
      </c>
      <c r="D141" s="68" t="s">
        <v>169</v>
      </c>
      <c r="E141" s="68" t="s">
        <v>3006</v>
      </c>
      <c r="F141" s="45" t="s">
        <v>1199</v>
      </c>
      <c r="G141" s="45" t="s">
        <v>1199</v>
      </c>
      <c r="H141" s="86"/>
      <c r="I141" s="87"/>
      <c r="J141" s="70"/>
      <c r="K141" s="70"/>
      <c r="L141" s="70" t="s">
        <v>37</v>
      </c>
      <c r="M141" s="70"/>
      <c r="N141" s="21"/>
      <c r="O141" s="21"/>
      <c r="P141" s="21"/>
      <c r="Q141" s="70"/>
      <c r="R141" s="70"/>
      <c r="S141" s="71"/>
      <c r="T141" s="71"/>
      <c r="U141" s="49"/>
      <c r="V141"/>
      <c r="W141"/>
    </row>
    <row r="142" spans="1:23" ht="26.25" customHeight="1">
      <c r="A142" s="316" t="s">
        <v>25</v>
      </c>
      <c r="B142" s="450">
        <v>45327</v>
      </c>
      <c r="C142" s="468">
        <f t="shared" si="1"/>
        <v>6</v>
      </c>
      <c r="D142" s="68" t="s">
        <v>63</v>
      </c>
      <c r="E142" s="68" t="s">
        <v>4232</v>
      </c>
      <c r="F142" s="45" t="s">
        <v>1199</v>
      </c>
      <c r="G142" s="45" t="s">
        <v>1199</v>
      </c>
      <c r="H142" s="110"/>
      <c r="I142" s="110"/>
      <c r="J142" s="70"/>
      <c r="K142" s="5246" t="s">
        <v>3346</v>
      </c>
      <c r="L142" s="70" t="s">
        <v>37</v>
      </c>
      <c r="M142" s="70"/>
      <c r="N142" s="21"/>
      <c r="O142" s="21"/>
      <c r="P142" s="21"/>
      <c r="Q142" s="70"/>
      <c r="R142" s="70"/>
      <c r="S142" s="71"/>
      <c r="T142" s="71"/>
      <c r="U142" s="49"/>
      <c r="V142"/>
      <c r="W142"/>
    </row>
    <row r="143" spans="1:23" ht="26.25" customHeight="1">
      <c r="A143" s="316" t="s">
        <v>25</v>
      </c>
      <c r="B143" s="450">
        <v>45327</v>
      </c>
      <c r="C143" s="468">
        <f t="shared" si="1"/>
        <v>6</v>
      </c>
      <c r="D143" s="663" t="s">
        <v>204</v>
      </c>
      <c r="E143" s="663" t="s">
        <v>2264</v>
      </c>
      <c r="F143" s="87" t="s">
        <v>1199</v>
      </c>
      <c r="G143" s="87" t="s">
        <v>1199</v>
      </c>
      <c r="H143" s="5286"/>
      <c r="I143" s="86"/>
      <c r="J143" s="86"/>
      <c r="K143" s="86"/>
      <c r="L143" s="70" t="s">
        <v>37</v>
      </c>
      <c r="M143" s="70"/>
      <c r="N143" s="21"/>
      <c r="O143" s="21"/>
      <c r="P143" s="21"/>
      <c r="Q143" s="70"/>
      <c r="R143" s="70"/>
      <c r="S143" s="71"/>
      <c r="T143" s="71"/>
      <c r="U143" s="49"/>
      <c r="V143"/>
      <c r="W143"/>
    </row>
    <row r="144" spans="1:23" ht="26.25" customHeight="1">
      <c r="A144" s="316" t="s">
        <v>67</v>
      </c>
      <c r="B144" s="450">
        <v>45328</v>
      </c>
      <c r="C144" s="468">
        <f t="shared" si="1"/>
        <v>6</v>
      </c>
      <c r="D144" s="662" t="s">
        <v>1714</v>
      </c>
      <c r="E144" s="662" t="s">
        <v>304</v>
      </c>
      <c r="F144" s="69" t="s">
        <v>1199</v>
      </c>
      <c r="G144" s="69" t="s">
        <v>1199</v>
      </c>
      <c r="H144" s="69"/>
      <c r="I144" s="69"/>
      <c r="J144" s="69"/>
      <c r="K144" s="69"/>
      <c r="L144" s="69" t="s">
        <v>37</v>
      </c>
      <c r="M144" s="70"/>
      <c r="N144" s="21"/>
      <c r="O144" s="21"/>
      <c r="P144" s="21"/>
      <c r="Q144" s="26"/>
      <c r="R144" s="26"/>
      <c r="S144" s="26"/>
      <c r="T144" s="26"/>
      <c r="U144" s="49"/>
      <c r="V144"/>
      <c r="W144"/>
    </row>
    <row r="145" spans="1:23" ht="61.5" customHeight="1">
      <c r="A145" s="316" t="s">
        <v>67</v>
      </c>
      <c r="B145" s="450">
        <v>45328</v>
      </c>
      <c r="C145" s="468">
        <f t="shared" si="1"/>
        <v>6</v>
      </c>
      <c r="D145" s="105" t="s">
        <v>4220</v>
      </c>
      <c r="E145" s="105" t="s">
        <v>879</v>
      </c>
      <c r="F145" s="69" t="s">
        <v>1764</v>
      </c>
      <c r="G145" s="69" t="s">
        <v>1764</v>
      </c>
      <c r="H145" s="87"/>
      <c r="I145" s="87"/>
      <c r="J145" s="70"/>
      <c r="K145" s="70"/>
      <c r="L145" s="70" t="s">
        <v>37</v>
      </c>
      <c r="M145" s="70"/>
      <c r="N145" s="20"/>
      <c r="O145" s="20"/>
      <c r="P145" s="20"/>
      <c r="Q145" s="26"/>
      <c r="R145" s="26"/>
      <c r="S145" s="26"/>
      <c r="T145" s="26"/>
      <c r="U145" s="664" t="s">
        <v>4233</v>
      </c>
      <c r="V145" s="2564"/>
      <c r="W145"/>
    </row>
    <row r="146" spans="1:23" ht="26.25" customHeight="1">
      <c r="A146" s="316" t="s">
        <v>67</v>
      </c>
      <c r="B146" s="450">
        <v>45328</v>
      </c>
      <c r="C146" s="468">
        <f t="shared" si="1"/>
        <v>6</v>
      </c>
      <c r="D146" s="663" t="s">
        <v>89</v>
      </c>
      <c r="E146" s="663" t="s">
        <v>1307</v>
      </c>
      <c r="F146" s="86" t="s">
        <v>1199</v>
      </c>
      <c r="G146" s="86" t="s">
        <v>1199</v>
      </c>
      <c r="H146" s="665"/>
      <c r="I146" s="665"/>
      <c r="J146" s="70"/>
      <c r="K146" s="70"/>
      <c r="L146" s="70" t="s">
        <v>37</v>
      </c>
      <c r="M146" s="70"/>
      <c r="N146" s="21"/>
      <c r="O146" s="21"/>
      <c r="P146" s="21"/>
      <c r="Q146" s="70"/>
      <c r="R146" s="256"/>
      <c r="S146" s="71"/>
      <c r="T146" s="71"/>
      <c r="U146" s="49"/>
      <c r="V146"/>
      <c r="W146"/>
    </row>
    <row r="147" spans="1:23" ht="26.25" customHeight="1">
      <c r="A147" s="316" t="s">
        <v>67</v>
      </c>
      <c r="B147" s="450">
        <v>45328</v>
      </c>
      <c r="C147" s="468">
        <f t="shared" si="1"/>
        <v>6</v>
      </c>
      <c r="D147" s="666" t="s">
        <v>4234</v>
      </c>
      <c r="E147" s="666" t="s">
        <v>4235</v>
      </c>
      <c r="F147" s="69" t="s">
        <v>1199</v>
      </c>
      <c r="G147" s="69" t="s">
        <v>1199</v>
      </c>
      <c r="H147" s="110"/>
      <c r="I147" s="110"/>
      <c r="J147" s="70"/>
      <c r="K147" s="484" t="s">
        <v>29</v>
      </c>
      <c r="L147" s="70" t="s">
        <v>37</v>
      </c>
      <c r="M147" s="70"/>
      <c r="N147" s="21"/>
      <c r="O147" s="21"/>
      <c r="P147" s="21"/>
      <c r="Q147" s="70"/>
      <c r="R147" s="256"/>
      <c r="S147" s="71"/>
      <c r="T147" s="71"/>
      <c r="U147" s="49"/>
      <c r="V147"/>
      <c r="W147"/>
    </row>
    <row r="148" spans="1:23" ht="26.25" customHeight="1">
      <c r="A148" s="316" t="s">
        <v>67</v>
      </c>
      <c r="B148" s="450">
        <v>45328</v>
      </c>
      <c r="C148" s="468">
        <f t="shared" si="1"/>
        <v>6</v>
      </c>
      <c r="D148" s="666" t="s">
        <v>4237</v>
      </c>
      <c r="E148" s="666" t="s">
        <v>4238</v>
      </c>
      <c r="F148" s="86" t="s">
        <v>1199</v>
      </c>
      <c r="G148" s="86" t="s">
        <v>1199</v>
      </c>
      <c r="H148" s="110"/>
      <c r="I148" s="110"/>
      <c r="J148" s="70"/>
      <c r="K148" s="484" t="s">
        <v>29</v>
      </c>
      <c r="L148" s="70" t="s">
        <v>37</v>
      </c>
      <c r="M148" s="70"/>
      <c r="N148" s="21"/>
      <c r="O148" s="21"/>
      <c r="P148" s="21"/>
      <c r="Q148" s="70"/>
      <c r="R148" s="256"/>
      <c r="S148" s="71"/>
      <c r="T148" s="71"/>
      <c r="U148" s="49"/>
      <c r="V148"/>
      <c r="W148"/>
    </row>
    <row r="149" spans="1:23" ht="26.25" customHeight="1">
      <c r="A149" s="316" t="s">
        <v>67</v>
      </c>
      <c r="B149" s="450">
        <v>45328</v>
      </c>
      <c r="C149" s="468">
        <f t="shared" si="1"/>
        <v>6</v>
      </c>
      <c r="D149" s="72" t="s">
        <v>169</v>
      </c>
      <c r="E149" s="72" t="s">
        <v>4239</v>
      </c>
      <c r="F149" s="86" t="s">
        <v>1199</v>
      </c>
      <c r="G149" s="86" t="s">
        <v>1199</v>
      </c>
      <c r="H149" s="70"/>
      <c r="I149" s="87"/>
      <c r="J149" s="70"/>
      <c r="K149" s="70"/>
      <c r="L149" s="70" t="s">
        <v>37</v>
      </c>
      <c r="M149" s="70"/>
      <c r="N149" s="21"/>
      <c r="O149" s="21"/>
      <c r="P149" s="21"/>
      <c r="Q149" s="70"/>
      <c r="R149" s="70"/>
      <c r="S149" s="71"/>
      <c r="T149" s="71"/>
      <c r="U149" s="49"/>
      <c r="V149"/>
      <c r="W149"/>
    </row>
    <row r="150" spans="1:23" ht="52.5" customHeight="1">
      <c r="A150" s="316" t="s">
        <v>67</v>
      </c>
      <c r="B150" s="450">
        <v>45328</v>
      </c>
      <c r="C150" s="468">
        <f t="shared" si="1"/>
        <v>6</v>
      </c>
      <c r="D150" s="72" t="s">
        <v>4240</v>
      </c>
      <c r="E150" s="72" t="s">
        <v>488</v>
      </c>
      <c r="F150" s="69" t="s">
        <v>1199</v>
      </c>
      <c r="G150" s="69" t="s">
        <v>1199</v>
      </c>
      <c r="H150" s="70"/>
      <c r="I150" s="87"/>
      <c r="J150" s="70"/>
      <c r="K150" s="70"/>
      <c r="L150" s="70"/>
      <c r="M150" s="70" t="s">
        <v>37</v>
      </c>
      <c r="N150" s="20" t="s">
        <v>109</v>
      </c>
      <c r="O150" s="20" t="s">
        <v>1019</v>
      </c>
      <c r="P150" s="20" t="s">
        <v>4080</v>
      </c>
      <c r="Q150" s="667">
        <v>1</v>
      </c>
      <c r="R150" s="70"/>
      <c r="S150" s="71"/>
      <c r="T150" s="71"/>
      <c r="U150" s="664" t="s">
        <v>4241</v>
      </c>
      <c r="V150" s="2564"/>
      <c r="W150"/>
    </row>
    <row r="151" spans="1:23" ht="26.25" customHeight="1">
      <c r="A151" s="316" t="s">
        <v>67</v>
      </c>
      <c r="B151" s="450">
        <v>45328</v>
      </c>
      <c r="C151" s="468">
        <f t="shared" si="1"/>
        <v>6</v>
      </c>
      <c r="D151" s="68" t="s">
        <v>273</v>
      </c>
      <c r="E151" s="68" t="s">
        <v>3291</v>
      </c>
      <c r="F151" s="69" t="s">
        <v>1199</v>
      </c>
      <c r="G151" s="69" t="s">
        <v>1199</v>
      </c>
      <c r="H151" s="87"/>
      <c r="I151" s="87"/>
      <c r="J151" s="70"/>
      <c r="K151" s="70"/>
      <c r="L151" s="70" t="s">
        <v>37</v>
      </c>
      <c r="M151" s="70"/>
      <c r="N151" s="21"/>
      <c r="P151" s="21"/>
      <c r="Q151" s="26"/>
      <c r="R151" s="26"/>
      <c r="S151" s="26"/>
      <c r="T151" s="26"/>
      <c r="U151" s="49"/>
      <c r="V151"/>
      <c r="W151"/>
    </row>
    <row r="152" spans="1:23" ht="52.5" customHeight="1" thickBot="1">
      <c r="A152" s="668" t="s">
        <v>67</v>
      </c>
      <c r="B152" s="453">
        <v>45328</v>
      </c>
      <c r="C152" s="471">
        <f t="shared" si="1"/>
        <v>6</v>
      </c>
      <c r="D152" s="184" t="s">
        <v>63</v>
      </c>
      <c r="E152" s="184" t="s">
        <v>659</v>
      </c>
      <c r="F152" s="640" t="s">
        <v>4242</v>
      </c>
      <c r="G152" s="640" t="s">
        <v>4242</v>
      </c>
      <c r="H152" s="5232"/>
      <c r="I152" s="669"/>
      <c r="J152" s="31"/>
      <c r="K152" s="70" t="s">
        <v>4206</v>
      </c>
      <c r="L152" s="31"/>
      <c r="M152" s="31" t="s">
        <v>37</v>
      </c>
      <c r="N152" s="20" t="s">
        <v>0</v>
      </c>
      <c r="O152" s="20" t="s">
        <v>31</v>
      </c>
      <c r="P152" s="20" t="s">
        <v>4102</v>
      </c>
      <c r="Q152" s="670"/>
      <c r="R152" s="670"/>
      <c r="S152" s="670"/>
      <c r="T152" s="670"/>
      <c r="U152" s="51" t="s">
        <v>4243</v>
      </c>
      <c r="V152"/>
      <c r="W152"/>
    </row>
    <row r="153" spans="1:23" ht="52.5" customHeight="1">
      <c r="A153" s="671" t="s">
        <v>85</v>
      </c>
      <c r="B153" s="454">
        <v>45329</v>
      </c>
      <c r="C153" s="465">
        <f t="shared" si="1"/>
        <v>6</v>
      </c>
      <c r="D153" s="185" t="s">
        <v>450</v>
      </c>
      <c r="E153" s="185" t="s">
        <v>4244</v>
      </c>
      <c r="F153" s="61" t="s">
        <v>1764</v>
      </c>
      <c r="G153" s="61" t="s">
        <v>1764</v>
      </c>
      <c r="H153" s="63"/>
      <c r="I153" s="63"/>
      <c r="J153" s="63"/>
      <c r="K153" s="63"/>
      <c r="L153" s="63"/>
      <c r="M153" s="63" t="s">
        <v>37</v>
      </c>
      <c r="N153" s="20" t="s">
        <v>0</v>
      </c>
      <c r="O153" s="20" t="s">
        <v>31</v>
      </c>
      <c r="P153" s="20" t="s">
        <v>4102</v>
      </c>
      <c r="Q153" s="55"/>
      <c r="R153" s="55"/>
      <c r="S153" s="55"/>
      <c r="T153" s="55"/>
      <c r="U153" s="56" t="s">
        <v>4245</v>
      </c>
      <c r="V153"/>
      <c r="W153"/>
    </row>
    <row r="154" spans="1:23" ht="26.25" customHeight="1">
      <c r="A154" s="672" t="s">
        <v>85</v>
      </c>
      <c r="B154" s="450">
        <v>45329</v>
      </c>
      <c r="C154" s="468">
        <f t="shared" si="1"/>
        <v>6</v>
      </c>
      <c r="D154" s="156" t="s">
        <v>63</v>
      </c>
      <c r="E154" s="156" t="s">
        <v>659</v>
      </c>
      <c r="F154" s="69" t="s">
        <v>1764</v>
      </c>
      <c r="G154" s="69" t="s">
        <v>1764</v>
      </c>
      <c r="H154" s="5231"/>
      <c r="I154" s="673"/>
      <c r="J154" s="70"/>
      <c r="K154" s="70" t="s">
        <v>4206</v>
      </c>
      <c r="L154" s="70" t="s">
        <v>37</v>
      </c>
      <c r="M154" s="70"/>
      <c r="N154" s="21"/>
      <c r="O154" s="21"/>
      <c r="P154" s="21"/>
      <c r="Q154" s="26"/>
      <c r="R154" s="26"/>
      <c r="S154" s="26"/>
      <c r="T154" s="26"/>
      <c r="U154" s="50"/>
      <c r="V154"/>
      <c r="W154"/>
    </row>
    <row r="155" spans="1:23" ht="26.25" customHeight="1">
      <c r="A155" s="672" t="s">
        <v>85</v>
      </c>
      <c r="B155" s="450">
        <v>45329</v>
      </c>
      <c r="C155" s="468">
        <f t="shared" si="1"/>
        <v>6</v>
      </c>
      <c r="D155" s="663" t="s">
        <v>4246</v>
      </c>
      <c r="E155" s="663" t="s">
        <v>4247</v>
      </c>
      <c r="F155" s="69" t="s">
        <v>1764</v>
      </c>
      <c r="G155" s="69" t="s">
        <v>1764</v>
      </c>
      <c r="H155" s="70"/>
      <c r="I155" s="70" t="s">
        <v>30</v>
      </c>
      <c r="J155" s="70"/>
      <c r="K155" s="70"/>
      <c r="L155" s="70" t="s">
        <v>37</v>
      </c>
      <c r="M155" s="49"/>
      <c r="N155" s="21"/>
      <c r="O155" s="21"/>
      <c r="P155" s="21"/>
      <c r="Q155" s="49"/>
      <c r="R155" s="49"/>
      <c r="S155" s="49"/>
      <c r="T155" s="49"/>
      <c r="U155" s="50" t="s">
        <v>4248</v>
      </c>
      <c r="V155"/>
      <c r="W155"/>
    </row>
    <row r="156" spans="1:23" ht="26.25" customHeight="1">
      <c r="A156" s="672" t="s">
        <v>85</v>
      </c>
      <c r="B156" s="450">
        <v>45329</v>
      </c>
      <c r="C156" s="468">
        <f t="shared" si="1"/>
        <v>6</v>
      </c>
      <c r="D156" s="105" t="s">
        <v>258</v>
      </c>
      <c r="E156" s="105" t="s">
        <v>4249</v>
      </c>
      <c r="F156" s="69" t="s">
        <v>1764</v>
      </c>
      <c r="G156" s="69" t="s">
        <v>1764</v>
      </c>
      <c r="H156" s="70"/>
      <c r="I156" s="70" t="s">
        <v>30</v>
      </c>
      <c r="J156" s="70"/>
      <c r="K156" s="70"/>
      <c r="L156" s="70" t="s">
        <v>37</v>
      </c>
      <c r="M156" s="49"/>
      <c r="N156" s="21"/>
      <c r="O156" s="21"/>
      <c r="P156" s="21"/>
      <c r="Q156" s="49"/>
      <c r="R156" s="49"/>
      <c r="S156" s="49"/>
      <c r="T156" s="49"/>
      <c r="U156" s="50" t="s">
        <v>4250</v>
      </c>
      <c r="V156"/>
      <c r="W156"/>
    </row>
    <row r="157" spans="1:23" ht="26.25" customHeight="1">
      <c r="A157" s="672" t="s">
        <v>85</v>
      </c>
      <c r="B157" s="450">
        <v>45329</v>
      </c>
      <c r="C157" s="468">
        <f t="shared" si="1"/>
        <v>6</v>
      </c>
      <c r="D157" s="674" t="s">
        <v>1484</v>
      </c>
      <c r="E157" s="674" t="s">
        <v>4251</v>
      </c>
      <c r="F157" s="69" t="s">
        <v>1764</v>
      </c>
      <c r="G157" s="69" t="s">
        <v>1764</v>
      </c>
      <c r="H157" s="646"/>
      <c r="I157" s="675" t="s">
        <v>30</v>
      </c>
      <c r="J157" s="70"/>
      <c r="K157" s="70"/>
      <c r="L157" s="70" t="s">
        <v>37</v>
      </c>
      <c r="M157" s="70"/>
      <c r="N157" s="21"/>
      <c r="O157" s="21"/>
      <c r="P157" s="21"/>
      <c r="Q157" s="70"/>
      <c r="R157" s="70"/>
      <c r="S157" s="71"/>
      <c r="T157" s="71"/>
      <c r="U157" s="50"/>
      <c r="V157"/>
      <c r="W157"/>
    </row>
    <row r="158" spans="1:23" ht="26.25" customHeight="1" thickBot="1">
      <c r="A158" s="676" t="s">
        <v>85</v>
      </c>
      <c r="B158" s="453">
        <v>45329</v>
      </c>
      <c r="C158" s="471">
        <f t="shared" ref="C158:C203" si="2">_xlfn.ISOWEEKNUM(B158)</f>
        <v>6</v>
      </c>
      <c r="D158" s="677" t="s">
        <v>4252</v>
      </c>
      <c r="E158" s="677" t="s">
        <v>4253</v>
      </c>
      <c r="F158" s="678" t="s">
        <v>1764</v>
      </c>
      <c r="G158" s="678" t="s">
        <v>1764</v>
      </c>
      <c r="H158" s="679"/>
      <c r="I158" s="679" t="s">
        <v>30</v>
      </c>
      <c r="J158" s="670"/>
      <c r="K158" s="670"/>
      <c r="L158" s="31" t="s">
        <v>37</v>
      </c>
      <c r="M158" s="31"/>
      <c r="N158" s="24"/>
      <c r="O158" s="24"/>
      <c r="P158" s="24"/>
      <c r="Q158" s="670"/>
      <c r="R158" s="33"/>
      <c r="S158" s="33"/>
      <c r="T158" s="33"/>
      <c r="U158" s="53"/>
      <c r="V158"/>
      <c r="W158"/>
    </row>
    <row r="159" spans="1:23" ht="26.25" customHeight="1">
      <c r="A159" s="671" t="s">
        <v>105</v>
      </c>
      <c r="B159" s="454">
        <v>45330</v>
      </c>
      <c r="C159" s="465">
        <f t="shared" si="2"/>
        <v>6</v>
      </c>
      <c r="D159" s="680" t="s">
        <v>4254</v>
      </c>
      <c r="E159" s="680" t="s">
        <v>4255</v>
      </c>
      <c r="F159" s="61" t="s">
        <v>1199</v>
      </c>
      <c r="G159" s="61" t="s">
        <v>1199</v>
      </c>
      <c r="H159" s="681"/>
      <c r="I159" s="63"/>
      <c r="J159" s="63"/>
      <c r="K159" s="63"/>
      <c r="L159" s="63" t="s">
        <v>37</v>
      </c>
      <c r="M159" s="63"/>
      <c r="N159" s="34"/>
      <c r="O159" s="34"/>
      <c r="P159" s="34"/>
      <c r="Q159" s="63"/>
      <c r="R159" s="63"/>
      <c r="S159" s="64"/>
      <c r="T159" s="64"/>
      <c r="U159" s="56"/>
      <c r="V159"/>
      <c r="W159"/>
    </row>
    <row r="160" spans="1:23" ht="26.25" customHeight="1">
      <c r="A160" s="672" t="s">
        <v>105</v>
      </c>
      <c r="B160" s="450">
        <v>45330</v>
      </c>
      <c r="C160" s="468">
        <f t="shared" si="2"/>
        <v>6</v>
      </c>
      <c r="D160" s="72" t="s">
        <v>80</v>
      </c>
      <c r="E160" s="674" t="s">
        <v>4251</v>
      </c>
      <c r="F160" s="69" t="s">
        <v>1199</v>
      </c>
      <c r="G160" s="69" t="s">
        <v>1199</v>
      </c>
      <c r="H160" s="70"/>
      <c r="I160" s="70"/>
      <c r="J160" s="70"/>
      <c r="K160" s="70"/>
      <c r="L160" s="70" t="s">
        <v>37</v>
      </c>
      <c r="M160" s="70"/>
      <c r="N160" s="21"/>
      <c r="O160" s="21"/>
      <c r="P160" s="21"/>
      <c r="Q160" s="70"/>
      <c r="R160" s="70"/>
      <c r="S160" s="71"/>
      <c r="T160" s="71"/>
      <c r="U160" s="50"/>
      <c r="V160"/>
      <c r="W160"/>
    </row>
    <row r="161" spans="1:23" ht="52.5" customHeight="1">
      <c r="A161" s="672" t="s">
        <v>105</v>
      </c>
      <c r="B161" s="450">
        <v>45330</v>
      </c>
      <c r="C161" s="468">
        <f t="shared" si="2"/>
        <v>6</v>
      </c>
      <c r="D161" s="156" t="s">
        <v>450</v>
      </c>
      <c r="E161" s="156" t="s">
        <v>4244</v>
      </c>
      <c r="F161" s="69" t="s">
        <v>1199</v>
      </c>
      <c r="G161" s="69" t="s">
        <v>1199</v>
      </c>
      <c r="H161" s="70"/>
      <c r="I161" s="70"/>
      <c r="J161" s="70"/>
      <c r="K161" s="70"/>
      <c r="L161" s="70"/>
      <c r="M161" s="70" t="s">
        <v>37</v>
      </c>
      <c r="N161" s="20" t="s">
        <v>109</v>
      </c>
      <c r="O161" s="20" t="s">
        <v>1109</v>
      </c>
      <c r="P161" s="20" t="s">
        <v>4102</v>
      </c>
      <c r="Q161" s="682">
        <v>2</v>
      </c>
      <c r="R161" s="70"/>
      <c r="S161" s="71"/>
      <c r="T161" s="71"/>
      <c r="U161" s="66" t="s">
        <v>4256</v>
      </c>
      <c r="V161" s="2564"/>
      <c r="W161"/>
    </row>
    <row r="162" spans="1:23" ht="26.25" customHeight="1">
      <c r="A162" s="672" t="s">
        <v>105</v>
      </c>
      <c r="B162" s="450">
        <v>45330</v>
      </c>
      <c r="C162" s="468">
        <f t="shared" si="2"/>
        <v>6</v>
      </c>
      <c r="D162" s="76" t="s">
        <v>1311</v>
      </c>
      <c r="E162" s="76" t="s">
        <v>129</v>
      </c>
      <c r="F162" s="69" t="s">
        <v>1199</v>
      </c>
      <c r="G162" s="69" t="s">
        <v>1199</v>
      </c>
      <c r="H162" s="5231"/>
      <c r="I162" s="673"/>
      <c r="J162" s="70"/>
      <c r="K162" s="70" t="s">
        <v>4206</v>
      </c>
      <c r="L162" s="70" t="s">
        <v>37</v>
      </c>
      <c r="M162" s="70"/>
      <c r="N162" s="21"/>
      <c r="O162" s="21"/>
      <c r="P162" s="21"/>
      <c r="Q162" s="70"/>
      <c r="R162" s="70"/>
      <c r="S162" s="71"/>
      <c r="T162" s="71"/>
      <c r="U162" s="50"/>
      <c r="V162"/>
      <c r="W162"/>
    </row>
    <row r="163" spans="1:23" ht="52.5" customHeight="1">
      <c r="A163" s="672" t="s">
        <v>105</v>
      </c>
      <c r="B163" s="450">
        <v>45330</v>
      </c>
      <c r="C163" s="468">
        <f t="shared" si="2"/>
        <v>6</v>
      </c>
      <c r="D163" s="76" t="s">
        <v>4240</v>
      </c>
      <c r="E163" s="76" t="s">
        <v>488</v>
      </c>
      <c r="F163" s="69" t="s">
        <v>1199</v>
      </c>
      <c r="G163" s="69" t="s">
        <v>1199</v>
      </c>
      <c r="H163" s="70"/>
      <c r="I163" s="87"/>
      <c r="J163" s="70"/>
      <c r="K163" s="70"/>
      <c r="L163" s="70"/>
      <c r="M163" s="70" t="s">
        <v>37</v>
      </c>
      <c r="N163" s="20" t="s">
        <v>109</v>
      </c>
      <c r="O163" s="20" t="s">
        <v>1019</v>
      </c>
      <c r="P163" s="20" t="s">
        <v>4080</v>
      </c>
      <c r="Q163" s="70"/>
      <c r="R163" s="632">
        <v>1</v>
      </c>
      <c r="S163" s="71"/>
      <c r="T163" s="71"/>
      <c r="U163" s="66" t="s">
        <v>4257</v>
      </c>
      <c r="V163" s="2564"/>
      <c r="W163"/>
    </row>
    <row r="164" spans="1:23" ht="26.25" customHeight="1">
      <c r="A164" s="672" t="s">
        <v>105</v>
      </c>
      <c r="B164" s="450">
        <v>45330</v>
      </c>
      <c r="C164" s="468">
        <f t="shared" si="2"/>
        <v>6</v>
      </c>
      <c r="D164" s="663" t="s">
        <v>1523</v>
      </c>
      <c r="E164" s="663" t="s">
        <v>4258</v>
      </c>
      <c r="F164" s="69" t="s">
        <v>1199</v>
      </c>
      <c r="G164" s="69" t="s">
        <v>1199</v>
      </c>
      <c r="H164" s="70"/>
      <c r="I164" s="70"/>
      <c r="J164" s="70"/>
      <c r="K164" s="70"/>
      <c r="L164" s="70" t="s">
        <v>37</v>
      </c>
      <c r="M164" s="70"/>
      <c r="N164" s="21"/>
      <c r="O164" s="21"/>
      <c r="P164" s="21"/>
      <c r="Q164" s="70"/>
      <c r="R164" s="70"/>
      <c r="S164" s="71"/>
      <c r="T164" s="71"/>
      <c r="U164" s="50"/>
      <c r="V164"/>
      <c r="W164"/>
    </row>
    <row r="165" spans="1:23" ht="26.25" customHeight="1">
      <c r="A165" s="672" t="s">
        <v>105</v>
      </c>
      <c r="B165" s="450">
        <v>45330</v>
      </c>
      <c r="C165" s="468">
        <f t="shared" si="2"/>
        <v>6</v>
      </c>
      <c r="D165" s="72" t="s">
        <v>879</v>
      </c>
      <c r="E165" s="72" t="s">
        <v>3597</v>
      </c>
      <c r="F165" s="69" t="s">
        <v>1199</v>
      </c>
      <c r="G165" s="69" t="s">
        <v>1199</v>
      </c>
      <c r="H165" s="70"/>
      <c r="I165" s="70"/>
      <c r="J165" s="70"/>
      <c r="K165" s="70"/>
      <c r="L165" s="70" t="s">
        <v>37</v>
      </c>
      <c r="M165" s="70"/>
      <c r="N165" s="21"/>
      <c r="O165" s="21"/>
      <c r="P165" s="21"/>
      <c r="Q165" s="70"/>
      <c r="R165" s="70"/>
      <c r="S165" s="71"/>
      <c r="T165" s="71"/>
      <c r="U165" s="50"/>
      <c r="V165"/>
      <c r="W165"/>
    </row>
    <row r="166" spans="1:23" ht="26.25" customHeight="1" thickBot="1">
      <c r="A166" s="676" t="s">
        <v>105</v>
      </c>
      <c r="B166" s="453">
        <v>45330</v>
      </c>
      <c r="C166" s="471">
        <f t="shared" si="2"/>
        <v>6</v>
      </c>
      <c r="D166" s="115" t="s">
        <v>168</v>
      </c>
      <c r="E166" s="115" t="s">
        <v>4194</v>
      </c>
      <c r="F166" s="683" t="s">
        <v>1199</v>
      </c>
      <c r="G166" s="683" t="s">
        <v>1199</v>
      </c>
      <c r="H166" s="679"/>
      <c r="I166" s="684"/>
      <c r="J166" s="31"/>
      <c r="K166" s="31"/>
      <c r="L166" s="31" t="s">
        <v>37</v>
      </c>
      <c r="M166" s="31"/>
      <c r="N166" s="24"/>
      <c r="O166" s="24"/>
      <c r="P166" s="24"/>
      <c r="Q166" s="31"/>
      <c r="R166" s="31"/>
      <c r="S166" s="33"/>
      <c r="T166" s="33"/>
      <c r="U166" s="53"/>
      <c r="V166"/>
      <c r="W166"/>
    </row>
    <row r="167" spans="1:23" ht="26.25" customHeight="1">
      <c r="A167" s="671" t="s">
        <v>132</v>
      </c>
      <c r="B167" s="454">
        <v>45331</v>
      </c>
      <c r="C167" s="465">
        <f t="shared" si="2"/>
        <v>6</v>
      </c>
      <c r="D167" s="685" t="s">
        <v>1145</v>
      </c>
      <c r="E167" s="685" t="s">
        <v>4259</v>
      </c>
      <c r="F167" s="61" t="s">
        <v>1199</v>
      </c>
      <c r="G167" s="61" t="s">
        <v>1199</v>
      </c>
      <c r="H167" s="5247"/>
      <c r="I167" s="686"/>
      <c r="J167" s="63"/>
      <c r="K167" s="70" t="s">
        <v>4206</v>
      </c>
      <c r="L167" s="63" t="s">
        <v>37</v>
      </c>
      <c r="M167" s="63"/>
      <c r="N167" s="34"/>
      <c r="O167" s="34"/>
      <c r="P167" s="34"/>
      <c r="Q167" s="63"/>
      <c r="R167" s="63"/>
      <c r="S167" s="64"/>
      <c r="T167" s="64"/>
      <c r="U167" s="56"/>
      <c r="V167"/>
      <c r="W167"/>
    </row>
    <row r="168" spans="1:23" ht="26.25" customHeight="1">
      <c r="A168" s="672" t="s">
        <v>132</v>
      </c>
      <c r="B168" s="450">
        <v>45331</v>
      </c>
      <c r="C168" s="468">
        <f t="shared" si="2"/>
        <v>6</v>
      </c>
      <c r="D168" s="663" t="s">
        <v>4259</v>
      </c>
      <c r="E168" s="663" t="s">
        <v>4260</v>
      </c>
      <c r="F168" s="69" t="s">
        <v>1199</v>
      </c>
      <c r="G168" s="69" t="s">
        <v>1764</v>
      </c>
      <c r="H168" s="5231"/>
      <c r="I168" s="673"/>
      <c r="J168" s="70"/>
      <c r="K168" s="70" t="s">
        <v>4206</v>
      </c>
      <c r="L168" s="70" t="s">
        <v>37</v>
      </c>
      <c r="M168" s="70"/>
      <c r="N168" s="21"/>
      <c r="O168" s="21"/>
      <c r="P168" s="21"/>
      <c r="Q168" s="70"/>
      <c r="R168" s="70"/>
      <c r="S168" s="71"/>
      <c r="T168" s="71"/>
      <c r="U168" s="50"/>
      <c r="V168"/>
      <c r="W168"/>
    </row>
    <row r="169" spans="1:23" ht="26.25" customHeight="1">
      <c r="A169" s="672" t="s">
        <v>132</v>
      </c>
      <c r="B169" s="450">
        <v>45331</v>
      </c>
      <c r="C169" s="468">
        <f t="shared" si="2"/>
        <v>6</v>
      </c>
      <c r="D169" s="156" t="s">
        <v>450</v>
      </c>
      <c r="E169" s="156" t="s">
        <v>4244</v>
      </c>
      <c r="F169" s="69" t="s">
        <v>1199</v>
      </c>
      <c r="G169" s="69" t="s">
        <v>1764</v>
      </c>
      <c r="H169" s="135"/>
      <c r="I169" s="87" t="s">
        <v>1199</v>
      </c>
      <c r="J169" s="70"/>
      <c r="K169" s="70"/>
      <c r="L169" s="70" t="s">
        <v>37</v>
      </c>
      <c r="M169" s="70"/>
      <c r="N169" s="21"/>
      <c r="O169" s="21"/>
      <c r="P169" s="21"/>
      <c r="Q169" s="70"/>
      <c r="R169" s="682">
        <v>2</v>
      </c>
      <c r="S169" s="71"/>
      <c r="T169" s="71"/>
      <c r="U169" s="50"/>
      <c r="V169"/>
      <c r="W169"/>
    </row>
    <row r="170" spans="1:23" ht="52.5" customHeight="1">
      <c r="A170" s="672" t="s">
        <v>132</v>
      </c>
      <c r="B170" s="450">
        <v>45331</v>
      </c>
      <c r="C170" s="468">
        <f t="shared" si="2"/>
        <v>6</v>
      </c>
      <c r="D170" s="651" t="s">
        <v>282</v>
      </c>
      <c r="E170" s="651" t="s">
        <v>3370</v>
      </c>
      <c r="F170" s="69" t="s">
        <v>1199</v>
      </c>
      <c r="G170" s="69" t="s">
        <v>1199</v>
      </c>
      <c r="H170" s="70"/>
      <c r="I170" s="87" t="s">
        <v>1199</v>
      </c>
      <c r="J170" s="70"/>
      <c r="K170" s="70"/>
      <c r="L170" s="70"/>
      <c r="M170" s="70" t="s">
        <v>37</v>
      </c>
      <c r="N170" s="20" t="s">
        <v>109</v>
      </c>
      <c r="O170" s="20" t="s">
        <v>4261</v>
      </c>
      <c r="P170" s="20" t="s">
        <v>4102</v>
      </c>
      <c r="Q170" s="70"/>
      <c r="R170" s="70"/>
      <c r="S170" s="71"/>
      <c r="T170" s="71"/>
      <c r="U170" s="50"/>
      <c r="V170"/>
      <c r="W170"/>
    </row>
    <row r="171" spans="1:23" ht="26.25" customHeight="1">
      <c r="A171" s="672" t="s">
        <v>132</v>
      </c>
      <c r="B171" s="450">
        <v>45331</v>
      </c>
      <c r="C171" s="468">
        <f t="shared" si="2"/>
        <v>6</v>
      </c>
      <c r="D171" s="68" t="s">
        <v>1071</v>
      </c>
      <c r="E171" s="68" t="s">
        <v>4166</v>
      </c>
      <c r="F171" s="69" t="s">
        <v>1199</v>
      </c>
      <c r="G171" s="69" t="s">
        <v>1199</v>
      </c>
      <c r="H171" s="70"/>
      <c r="I171" s="87" t="s">
        <v>1199</v>
      </c>
      <c r="J171" s="70"/>
      <c r="K171" s="70"/>
      <c r="L171" s="70" t="s">
        <v>37</v>
      </c>
      <c r="M171" s="70"/>
      <c r="N171" s="21"/>
      <c r="O171" s="21"/>
      <c r="P171" s="21"/>
      <c r="Q171" s="70"/>
      <c r="R171" s="70"/>
      <c r="S171" s="71"/>
      <c r="T171" s="71"/>
      <c r="U171" s="50"/>
      <c r="V171"/>
      <c r="W171"/>
    </row>
    <row r="172" spans="1:23" ht="27" customHeight="1" thickBot="1">
      <c r="A172" s="676" t="s">
        <v>132</v>
      </c>
      <c r="B172" s="453">
        <v>45331</v>
      </c>
      <c r="C172" s="471">
        <f t="shared" si="2"/>
        <v>6</v>
      </c>
      <c r="D172" s="30" t="s">
        <v>4262</v>
      </c>
      <c r="E172" s="30" t="s">
        <v>80</v>
      </c>
      <c r="F172" s="89" t="s">
        <v>1199</v>
      </c>
      <c r="G172" s="89" t="s">
        <v>1199</v>
      </c>
      <c r="H172" s="5232"/>
      <c r="I172" s="687"/>
      <c r="J172" s="90"/>
      <c r="K172" s="70" t="s">
        <v>4206</v>
      </c>
      <c r="L172" s="31" t="s">
        <v>37</v>
      </c>
      <c r="M172" s="31"/>
      <c r="N172" s="24"/>
      <c r="O172" s="24"/>
      <c r="P172" s="24"/>
      <c r="Q172" s="31"/>
      <c r="R172" s="31"/>
      <c r="S172" s="33"/>
      <c r="T172" s="33"/>
      <c r="U172" s="53" t="s">
        <v>4263</v>
      </c>
      <c r="V172"/>
      <c r="W172"/>
    </row>
    <row r="173" spans="1:23" ht="27" customHeight="1" thickBot="1">
      <c r="A173" s="671" t="s">
        <v>4114</v>
      </c>
      <c r="B173" s="454">
        <v>45332</v>
      </c>
      <c r="C173" s="465">
        <f t="shared" si="2"/>
        <v>6</v>
      </c>
      <c r="D173" s="60" t="s">
        <v>2141</v>
      </c>
      <c r="E173" s="130" t="s">
        <v>4264</v>
      </c>
      <c r="F173" s="688" t="s">
        <v>1199</v>
      </c>
      <c r="G173" s="689" t="s">
        <v>1199</v>
      </c>
      <c r="H173" s="5302"/>
      <c r="I173" s="690"/>
      <c r="J173" s="108"/>
      <c r="K173" s="70" t="s">
        <v>4206</v>
      </c>
      <c r="L173" s="691" t="s">
        <v>37</v>
      </c>
      <c r="M173" s="67"/>
      <c r="N173" s="34"/>
      <c r="O173" s="34"/>
      <c r="P173" s="34"/>
      <c r="Q173" s="55"/>
      <c r="R173" s="67"/>
      <c r="S173" s="67"/>
      <c r="T173" s="55"/>
      <c r="U173" s="56"/>
      <c r="V173"/>
      <c r="W173"/>
    </row>
    <row r="174" spans="1:23" ht="53.25" thickBot="1">
      <c r="A174" s="676" t="s">
        <v>4227</v>
      </c>
      <c r="B174" s="453">
        <v>45333</v>
      </c>
      <c r="C174" s="471">
        <f t="shared" si="2"/>
        <v>6</v>
      </c>
      <c r="D174" s="30" t="s">
        <v>4265</v>
      </c>
      <c r="E174" s="141" t="s">
        <v>447</v>
      </c>
      <c r="H174" s="5231">
        <v>702</v>
      </c>
      <c r="I174" s="5236"/>
      <c r="J174" s="5236"/>
      <c r="K174" s="5227" t="s">
        <v>1630</v>
      </c>
      <c r="L174" s="233"/>
      <c r="M174" s="52" t="s">
        <v>37</v>
      </c>
      <c r="N174" s="24" t="s">
        <v>109</v>
      </c>
      <c r="O174" s="24" t="s">
        <v>110</v>
      </c>
      <c r="P174" s="24" t="s">
        <v>4082</v>
      </c>
      <c r="Q174" s="692">
        <v>3</v>
      </c>
      <c r="R174" s="52"/>
      <c r="S174" s="52"/>
      <c r="T174" s="51"/>
      <c r="U174" s="53" t="s">
        <v>4267</v>
      </c>
      <c r="V174"/>
      <c r="W174"/>
    </row>
    <row r="175" spans="1:23" ht="26.25" customHeight="1">
      <c r="A175" s="297" t="s">
        <v>25</v>
      </c>
      <c r="B175" s="454">
        <v>45334</v>
      </c>
      <c r="C175" s="465">
        <f t="shared" si="2"/>
        <v>7</v>
      </c>
      <c r="D175" s="60" t="s">
        <v>360</v>
      </c>
      <c r="E175" s="130" t="s">
        <v>273</v>
      </c>
      <c r="F175" s="219" t="s">
        <v>1199</v>
      </c>
      <c r="G175" s="200" t="s">
        <v>1199</v>
      </c>
      <c r="H175" s="5287"/>
      <c r="I175" s="221"/>
      <c r="J175" s="70"/>
      <c r="K175" s="70"/>
      <c r="L175" s="693" t="s">
        <v>37</v>
      </c>
      <c r="M175" s="63"/>
      <c r="N175" s="24"/>
      <c r="O175" s="24"/>
      <c r="P175" s="24"/>
      <c r="Q175" s="63"/>
      <c r="R175" s="63"/>
      <c r="S175" s="64"/>
      <c r="T175" s="64"/>
      <c r="U175" s="56"/>
      <c r="V175"/>
      <c r="W175"/>
    </row>
    <row r="176" spans="1:23" ht="26.25" customHeight="1">
      <c r="A176" s="296" t="s">
        <v>25</v>
      </c>
      <c r="B176" s="450">
        <v>45334</v>
      </c>
      <c r="C176" s="468">
        <f t="shared" si="2"/>
        <v>7</v>
      </c>
      <c r="D176" s="68" t="s">
        <v>273</v>
      </c>
      <c r="E176" s="128" t="s">
        <v>857</v>
      </c>
      <c r="F176" s="219" t="s">
        <v>1199</v>
      </c>
      <c r="G176" s="200" t="s">
        <v>1199</v>
      </c>
      <c r="H176" s="5288"/>
      <c r="I176" s="221"/>
      <c r="J176" s="70"/>
      <c r="K176" s="70"/>
      <c r="L176" s="695" t="s">
        <v>37</v>
      </c>
      <c r="M176" s="70"/>
      <c r="N176" s="24"/>
      <c r="O176" s="24"/>
      <c r="P176" s="24"/>
      <c r="Q176" s="70"/>
      <c r="R176" s="70"/>
      <c r="S176" s="71"/>
      <c r="T176" s="71"/>
      <c r="U176" s="50"/>
      <c r="V176"/>
      <c r="W176"/>
    </row>
    <row r="177" spans="1:23" ht="26.25" customHeight="1">
      <c r="A177" s="296" t="s">
        <v>25</v>
      </c>
      <c r="B177" s="450">
        <v>45334</v>
      </c>
      <c r="C177" s="468">
        <f t="shared" si="2"/>
        <v>7</v>
      </c>
      <c r="D177" s="177" t="s">
        <v>63</v>
      </c>
      <c r="E177" s="696" t="s">
        <v>4268</v>
      </c>
      <c r="F177" s="219" t="s">
        <v>1199</v>
      </c>
      <c r="G177" s="200" t="s">
        <v>1199</v>
      </c>
      <c r="H177" s="5249"/>
      <c r="I177" s="5256"/>
      <c r="J177" s="5231"/>
      <c r="K177" s="5231" t="s">
        <v>4206</v>
      </c>
      <c r="L177" s="695" t="s">
        <v>37</v>
      </c>
      <c r="M177" s="70"/>
      <c r="N177" s="24"/>
      <c r="O177" s="24"/>
      <c r="P177" s="24"/>
      <c r="Q177" s="70"/>
      <c r="R177" s="70"/>
      <c r="S177" s="71"/>
      <c r="T177" s="71"/>
      <c r="U177" s="50"/>
      <c r="V177"/>
      <c r="W177"/>
    </row>
    <row r="178" spans="1:23" ht="26.25" customHeight="1">
      <c r="A178" s="296" t="s">
        <v>25</v>
      </c>
      <c r="B178" s="450">
        <v>45334</v>
      </c>
      <c r="C178" s="468">
        <f t="shared" si="2"/>
        <v>7</v>
      </c>
      <c r="D178" s="68" t="s">
        <v>1654</v>
      </c>
      <c r="E178" s="128" t="s">
        <v>939</v>
      </c>
      <c r="F178" s="217" t="s">
        <v>1199</v>
      </c>
      <c r="G178" s="198" t="s">
        <v>1199</v>
      </c>
      <c r="H178" s="876"/>
      <c r="I178" s="873"/>
      <c r="J178" s="70"/>
      <c r="K178" s="5227" t="s">
        <v>174</v>
      </c>
      <c r="L178" s="695" t="s">
        <v>37</v>
      </c>
      <c r="M178" s="70"/>
      <c r="N178" s="24"/>
      <c r="O178" s="24"/>
      <c r="P178" s="24"/>
      <c r="Q178" s="70"/>
      <c r="R178" s="70"/>
      <c r="S178" s="71"/>
      <c r="T178" s="71"/>
      <c r="U178" s="50"/>
      <c r="V178"/>
      <c r="W178"/>
    </row>
    <row r="179" spans="1:23" ht="27" thickBot="1">
      <c r="A179" s="307" t="s">
        <v>25</v>
      </c>
      <c r="B179" s="453">
        <v>45334</v>
      </c>
      <c r="C179" s="471">
        <f t="shared" si="2"/>
        <v>7</v>
      </c>
      <c r="D179" s="30" t="s">
        <v>4086</v>
      </c>
      <c r="E179" s="141" t="s">
        <v>447</v>
      </c>
      <c r="F179" s="216" t="s">
        <v>1199</v>
      </c>
      <c r="G179" s="203" t="s">
        <v>1199</v>
      </c>
      <c r="H179" s="5231">
        <v>702</v>
      </c>
      <c r="I179" s="5256"/>
      <c r="J179" s="5231"/>
      <c r="K179" s="5227" t="s">
        <v>1630</v>
      </c>
      <c r="L179" s="697" t="s">
        <v>37</v>
      </c>
      <c r="M179" s="31"/>
      <c r="N179" s="24"/>
      <c r="O179" s="24"/>
      <c r="P179" s="24"/>
      <c r="Q179" s="31"/>
      <c r="R179" s="31">
        <v>3</v>
      </c>
      <c r="S179" s="33"/>
      <c r="T179" s="33"/>
      <c r="U179" s="53" t="s">
        <v>4269</v>
      </c>
      <c r="V179"/>
      <c r="W179"/>
    </row>
    <row r="180" spans="1:23" ht="57" customHeight="1" thickBot="1">
      <c r="A180" s="297" t="s">
        <v>67</v>
      </c>
      <c r="B180" s="454">
        <v>45335</v>
      </c>
      <c r="C180" s="486">
        <f t="shared" si="2"/>
        <v>7</v>
      </c>
      <c r="D180" s="698" t="s">
        <v>450</v>
      </c>
      <c r="E180" s="699" t="s">
        <v>463</v>
      </c>
      <c r="F180" s="216" t="s">
        <v>1199</v>
      </c>
      <c r="G180" s="203" t="s">
        <v>1199</v>
      </c>
      <c r="H180" s="5287">
        <v>706</v>
      </c>
      <c r="I180" s="216"/>
      <c r="J180" s="69"/>
      <c r="K180" s="69"/>
      <c r="L180" s="700"/>
      <c r="M180" s="61" t="s">
        <v>30</v>
      </c>
      <c r="N180" s="21" t="s">
        <v>122</v>
      </c>
      <c r="O180" s="21" t="s">
        <v>757</v>
      </c>
      <c r="P180" s="21" t="s">
        <v>4102</v>
      </c>
      <c r="Q180" s="61"/>
      <c r="R180" s="61"/>
      <c r="S180" s="61"/>
      <c r="T180" s="61"/>
      <c r="U180" s="701" t="s">
        <v>4270</v>
      </c>
      <c r="V180" s="3049"/>
      <c r="W180"/>
    </row>
    <row r="181" spans="1:23" ht="27" customHeight="1" thickBot="1">
      <c r="A181" s="296" t="s">
        <v>67</v>
      </c>
      <c r="B181" s="450">
        <v>45335</v>
      </c>
      <c r="C181" s="480">
        <f t="shared" si="2"/>
        <v>7</v>
      </c>
      <c r="D181" s="92" t="s">
        <v>63</v>
      </c>
      <c r="E181" s="702" t="s">
        <v>2328</v>
      </c>
      <c r="F181" s="216" t="s">
        <v>1202</v>
      </c>
      <c r="G181" s="203" t="s">
        <v>1202</v>
      </c>
      <c r="H181" s="703"/>
      <c r="I181" s="216"/>
      <c r="J181" s="69"/>
      <c r="K181" s="69"/>
      <c r="L181" s="704" t="s">
        <v>37</v>
      </c>
      <c r="M181" s="69"/>
      <c r="N181" s="24"/>
      <c r="O181" s="24"/>
      <c r="P181" s="24"/>
      <c r="Q181" s="69"/>
      <c r="R181" s="69"/>
      <c r="S181" s="69"/>
      <c r="T181" s="69"/>
      <c r="U181" s="705"/>
      <c r="V181" s="3050"/>
      <c r="W181"/>
    </row>
    <row r="182" spans="1:23" ht="53.25" customHeight="1" thickBot="1">
      <c r="A182" s="296" t="s">
        <v>67</v>
      </c>
      <c r="B182" s="450">
        <v>45335</v>
      </c>
      <c r="C182" s="480">
        <f t="shared" si="2"/>
        <v>7</v>
      </c>
      <c r="D182" s="92" t="s">
        <v>63</v>
      </c>
      <c r="E182" s="702" t="s">
        <v>4271</v>
      </c>
      <c r="F182" s="216" t="s">
        <v>1199</v>
      </c>
      <c r="G182" s="203" t="s">
        <v>1199</v>
      </c>
      <c r="H182" s="5288">
        <v>706</v>
      </c>
      <c r="I182" s="216"/>
      <c r="J182" s="69"/>
      <c r="K182" s="69"/>
      <c r="L182" s="706"/>
      <c r="M182" s="640" t="s">
        <v>37</v>
      </c>
      <c r="N182" s="21" t="s">
        <v>0</v>
      </c>
      <c r="O182" s="21" t="s">
        <v>31</v>
      </c>
      <c r="P182" s="21" t="s">
        <v>4102</v>
      </c>
      <c r="Q182" s="707">
        <v>1</v>
      </c>
      <c r="R182" s="69"/>
      <c r="S182" s="69"/>
      <c r="T182" s="69"/>
      <c r="U182" s="708" t="s">
        <v>4272</v>
      </c>
      <c r="V182" s="3049"/>
      <c r="W182"/>
    </row>
    <row r="183" spans="1:23" ht="65.099999999999994" customHeight="1" thickBot="1">
      <c r="A183" s="296" t="s">
        <v>67</v>
      </c>
      <c r="B183" s="450">
        <v>45335</v>
      </c>
      <c r="C183" s="480">
        <f t="shared" si="2"/>
        <v>7</v>
      </c>
      <c r="D183" s="154" t="s">
        <v>888</v>
      </c>
      <c r="E183" s="709" t="s">
        <v>2384</v>
      </c>
      <c r="F183" s="216" t="s">
        <v>1199</v>
      </c>
      <c r="G183" s="203" t="s">
        <v>1199</v>
      </c>
      <c r="H183" s="5288">
        <v>702</v>
      </c>
      <c r="I183" s="217" t="s">
        <v>1199</v>
      </c>
      <c r="J183" s="69"/>
      <c r="K183" s="69"/>
      <c r="L183" s="704"/>
      <c r="M183" s="69" t="s">
        <v>37</v>
      </c>
      <c r="N183" s="21" t="s">
        <v>0</v>
      </c>
      <c r="O183" s="21" t="s">
        <v>4101</v>
      </c>
      <c r="P183" s="21" t="s">
        <v>4082</v>
      </c>
      <c r="Q183" s="69"/>
      <c r="R183" s="69"/>
      <c r="S183" s="69"/>
      <c r="T183" s="69"/>
      <c r="U183" s="708" t="s">
        <v>4273</v>
      </c>
      <c r="V183" s="3049"/>
      <c r="W183"/>
    </row>
    <row r="184" spans="1:23" ht="65.099999999999994" customHeight="1" thickBot="1">
      <c r="A184" s="296" t="s">
        <v>67</v>
      </c>
      <c r="B184" s="450">
        <v>45335</v>
      </c>
      <c r="C184" s="480">
        <f t="shared" si="2"/>
        <v>7</v>
      </c>
      <c r="D184" s="154" t="s">
        <v>442</v>
      </c>
      <c r="E184" s="709" t="s">
        <v>879</v>
      </c>
      <c r="F184" s="216" t="s">
        <v>1199</v>
      </c>
      <c r="G184" s="203" t="s">
        <v>1199</v>
      </c>
      <c r="H184" s="5288">
        <v>702</v>
      </c>
      <c r="I184" s="217" t="s">
        <v>1199</v>
      </c>
      <c r="J184" s="69"/>
      <c r="K184" s="69"/>
      <c r="L184" s="704"/>
      <c r="M184" s="69" t="s">
        <v>37</v>
      </c>
      <c r="N184" s="21" t="s">
        <v>0</v>
      </c>
      <c r="O184" s="21" t="s">
        <v>4101</v>
      </c>
      <c r="P184" s="21" t="s">
        <v>4082</v>
      </c>
      <c r="Q184" s="69"/>
      <c r="R184" s="69"/>
      <c r="S184" s="69"/>
      <c r="T184" s="69"/>
      <c r="U184" s="705"/>
      <c r="V184" s="3050"/>
      <c r="W184"/>
    </row>
    <row r="185" spans="1:23" ht="65.099999999999994" customHeight="1" thickBot="1">
      <c r="A185" s="296" t="s">
        <v>67</v>
      </c>
      <c r="B185" s="450">
        <v>45335</v>
      </c>
      <c r="C185" s="480">
        <f t="shared" si="2"/>
        <v>7</v>
      </c>
      <c r="D185" s="154" t="s">
        <v>879</v>
      </c>
      <c r="E185" s="709" t="s">
        <v>4274</v>
      </c>
      <c r="F185" s="216" t="s">
        <v>1199</v>
      </c>
      <c r="G185" s="203" t="s">
        <v>1199</v>
      </c>
      <c r="H185" s="5288">
        <v>702</v>
      </c>
      <c r="I185" s="217"/>
      <c r="J185" s="69"/>
      <c r="K185" s="69"/>
      <c r="L185" s="704"/>
      <c r="M185" s="69" t="s">
        <v>37</v>
      </c>
      <c r="N185" s="21" t="s">
        <v>0</v>
      </c>
      <c r="O185" s="21" t="s">
        <v>4101</v>
      </c>
      <c r="P185" s="21" t="s">
        <v>4082</v>
      </c>
      <c r="Q185" s="69"/>
      <c r="R185" s="69"/>
      <c r="S185" s="69"/>
      <c r="T185" s="69"/>
      <c r="U185" s="705"/>
      <c r="V185" s="3050"/>
      <c r="W185"/>
    </row>
    <row r="186" spans="1:23" ht="65.099999999999994" customHeight="1" thickBot="1">
      <c r="A186" s="296" t="s">
        <v>67</v>
      </c>
      <c r="B186" s="450">
        <v>45335</v>
      </c>
      <c r="C186" s="480">
        <f t="shared" si="2"/>
        <v>7</v>
      </c>
      <c r="D186" s="154" t="s">
        <v>4274</v>
      </c>
      <c r="E186" s="709" t="s">
        <v>879</v>
      </c>
      <c r="F186" s="216" t="s">
        <v>1199</v>
      </c>
      <c r="G186" s="203" t="s">
        <v>1199</v>
      </c>
      <c r="H186" s="5288">
        <v>702</v>
      </c>
      <c r="I186" s="217"/>
      <c r="J186" s="69"/>
      <c r="K186" s="69"/>
      <c r="L186" s="704"/>
      <c r="M186" s="69" t="s">
        <v>37</v>
      </c>
      <c r="N186" s="21" t="s">
        <v>0</v>
      </c>
      <c r="O186" s="21" t="s">
        <v>4101</v>
      </c>
      <c r="P186" s="21" t="s">
        <v>4082</v>
      </c>
      <c r="Q186" s="69"/>
      <c r="R186" s="69"/>
      <c r="S186" s="69"/>
      <c r="T186" s="69"/>
      <c r="U186" s="705"/>
      <c r="V186" s="3050"/>
      <c r="W186"/>
    </row>
    <row r="187" spans="1:23" ht="27" customHeight="1" thickBot="1">
      <c r="A187" s="296" t="s">
        <v>67</v>
      </c>
      <c r="B187" s="450">
        <v>45335</v>
      </c>
      <c r="C187" s="480">
        <f t="shared" si="2"/>
        <v>7</v>
      </c>
      <c r="D187" s="154" t="s">
        <v>442</v>
      </c>
      <c r="E187" s="709" t="s">
        <v>888</v>
      </c>
      <c r="F187" s="216" t="s">
        <v>1199</v>
      </c>
      <c r="G187" s="203" t="s">
        <v>1199</v>
      </c>
      <c r="H187" s="694"/>
      <c r="I187" s="217"/>
      <c r="J187" s="69"/>
      <c r="K187" s="69"/>
      <c r="L187" s="704" t="s">
        <v>37</v>
      </c>
      <c r="M187" s="69"/>
      <c r="N187" s="24"/>
      <c r="O187" s="24"/>
      <c r="P187" s="24"/>
      <c r="Q187" s="69"/>
      <c r="R187" s="69"/>
      <c r="S187" s="69" t="s">
        <v>30</v>
      </c>
      <c r="T187" s="69"/>
      <c r="U187" s="705"/>
      <c r="V187" s="3050"/>
      <c r="W187"/>
    </row>
    <row r="188" spans="1:23" ht="27" customHeight="1" thickBot="1">
      <c r="A188" s="298" t="s">
        <v>67</v>
      </c>
      <c r="B188" s="457">
        <v>45335</v>
      </c>
      <c r="C188" s="480">
        <f t="shared" si="2"/>
        <v>7</v>
      </c>
      <c r="D188" s="710" t="s">
        <v>4275</v>
      </c>
      <c r="E188" s="711" t="s">
        <v>4276</v>
      </c>
      <c r="F188" s="216" t="s">
        <v>1199</v>
      </c>
      <c r="G188" s="203" t="s">
        <v>1199</v>
      </c>
      <c r="H188" s="5289"/>
      <c r="I188" s="217" t="s">
        <v>1199</v>
      </c>
      <c r="J188" s="69"/>
      <c r="K188" s="69"/>
      <c r="L188" s="712" t="s">
        <v>37</v>
      </c>
      <c r="M188" s="89"/>
      <c r="N188" s="35"/>
      <c r="O188" s="35"/>
      <c r="P188" s="35"/>
      <c r="Q188" s="89"/>
      <c r="R188" s="89"/>
      <c r="S188" s="89"/>
      <c r="T188" s="89"/>
      <c r="U188" s="713"/>
      <c r="V188" s="3050"/>
      <c r="W188"/>
    </row>
    <row r="189" spans="1:23" ht="27" customHeight="1" thickBot="1">
      <c r="A189" s="297" t="s">
        <v>85</v>
      </c>
      <c r="B189" s="454">
        <v>45336</v>
      </c>
      <c r="C189" s="486">
        <f t="shared" si="2"/>
        <v>7</v>
      </c>
      <c r="D189" s="60" t="s">
        <v>182</v>
      </c>
      <c r="E189" s="130" t="s">
        <v>1654</v>
      </c>
      <c r="F189" s="714" t="s">
        <v>1199</v>
      </c>
      <c r="G189" s="715" t="s">
        <v>1199</v>
      </c>
      <c r="H189" s="716"/>
      <c r="I189" s="717"/>
      <c r="J189" s="114"/>
      <c r="K189" s="484" t="s">
        <v>29</v>
      </c>
      <c r="L189" s="718" t="s">
        <v>37</v>
      </c>
      <c r="M189" s="719"/>
      <c r="N189" s="58"/>
      <c r="O189" s="58"/>
      <c r="P189" s="58"/>
      <c r="Q189" s="720"/>
      <c r="R189" s="720"/>
      <c r="S189" s="720"/>
      <c r="T189" s="720"/>
      <c r="U189" s="56"/>
      <c r="V189"/>
      <c r="W189"/>
    </row>
    <row r="190" spans="1:23" ht="27" customHeight="1" thickBot="1">
      <c r="A190" s="296" t="s">
        <v>85</v>
      </c>
      <c r="B190" s="450">
        <v>45336</v>
      </c>
      <c r="C190" s="480">
        <f t="shared" si="2"/>
        <v>7</v>
      </c>
      <c r="D190" s="92" t="s">
        <v>63</v>
      </c>
      <c r="E190" s="702" t="s">
        <v>4271</v>
      </c>
      <c r="F190" s="221" t="s">
        <v>1199</v>
      </c>
      <c r="G190" s="205" t="s">
        <v>1199</v>
      </c>
      <c r="H190" s="5288"/>
      <c r="I190" s="143"/>
      <c r="J190" s="69"/>
      <c r="K190" s="69"/>
      <c r="L190" s="704" t="s">
        <v>37</v>
      </c>
      <c r="M190" s="70"/>
      <c r="N190" s="24"/>
      <c r="O190" s="24"/>
      <c r="P190" s="24"/>
      <c r="Q190" s="26"/>
      <c r="R190" s="721">
        <v>1</v>
      </c>
      <c r="S190" s="26"/>
      <c r="T190" s="26"/>
      <c r="U190" s="50" t="s">
        <v>4277</v>
      </c>
      <c r="V190"/>
      <c r="W190"/>
    </row>
    <row r="191" spans="1:23" ht="27" customHeight="1" thickBot="1">
      <c r="A191" s="296" t="s">
        <v>85</v>
      </c>
      <c r="B191" s="450">
        <v>45336</v>
      </c>
      <c r="C191" s="480">
        <f t="shared" si="2"/>
        <v>7</v>
      </c>
      <c r="D191" s="722" t="s">
        <v>1654</v>
      </c>
      <c r="E191" s="723" t="s">
        <v>4253</v>
      </c>
      <c r="F191" s="221" t="s">
        <v>1199</v>
      </c>
      <c r="G191" s="205" t="s">
        <v>1199</v>
      </c>
      <c r="H191" s="5288"/>
      <c r="I191" s="217" t="s">
        <v>1199</v>
      </c>
      <c r="J191" s="69"/>
      <c r="K191" s="69"/>
      <c r="L191" s="704" t="s">
        <v>37</v>
      </c>
      <c r="M191" s="69"/>
      <c r="N191" s="24"/>
      <c r="O191" s="24"/>
      <c r="P191" s="24"/>
      <c r="Q191" s="69"/>
      <c r="R191" s="69"/>
      <c r="S191" s="69"/>
      <c r="T191" s="69"/>
      <c r="U191" s="50"/>
      <c r="V191"/>
      <c r="W191"/>
    </row>
    <row r="192" spans="1:23" ht="27" customHeight="1" thickBot="1">
      <c r="A192" s="296" t="s">
        <v>85</v>
      </c>
      <c r="B192" s="450">
        <v>45336</v>
      </c>
      <c r="C192" s="480">
        <f t="shared" si="2"/>
        <v>7</v>
      </c>
      <c r="D192" s="722" t="s">
        <v>4254</v>
      </c>
      <c r="E192" s="723" t="s">
        <v>4255</v>
      </c>
      <c r="F192" s="221" t="s">
        <v>1199</v>
      </c>
      <c r="G192" s="205" t="s">
        <v>1199</v>
      </c>
      <c r="H192" s="5288"/>
      <c r="I192" s="217" t="s">
        <v>1199</v>
      </c>
      <c r="J192" s="114"/>
      <c r="K192" s="114"/>
      <c r="L192" s="724" t="s">
        <v>37</v>
      </c>
      <c r="M192" s="117"/>
      <c r="N192" s="24"/>
      <c r="O192" s="24"/>
      <c r="P192" s="24"/>
      <c r="Q192" s="725"/>
      <c r="R192" s="725"/>
      <c r="S192" s="725"/>
      <c r="T192" s="725"/>
      <c r="U192" s="50"/>
      <c r="V192"/>
      <c r="W192"/>
    </row>
    <row r="193" spans="1:23" ht="27" customHeight="1" thickBot="1">
      <c r="A193" s="296" t="s">
        <v>85</v>
      </c>
      <c r="B193" s="450">
        <v>45336</v>
      </c>
      <c r="C193" s="480">
        <f t="shared" si="2"/>
        <v>7</v>
      </c>
      <c r="D193" s="662" t="s">
        <v>273</v>
      </c>
      <c r="E193" s="726" t="s">
        <v>275</v>
      </c>
      <c r="F193" s="216" t="s">
        <v>1199</v>
      </c>
      <c r="G193" s="203" t="s">
        <v>1764</v>
      </c>
      <c r="H193" s="5248"/>
      <c r="I193" s="5310"/>
      <c r="J193" s="5231"/>
      <c r="K193" s="5231" t="s">
        <v>4206</v>
      </c>
      <c r="L193" s="704" t="s">
        <v>37</v>
      </c>
      <c r="M193" s="69"/>
      <c r="N193" s="24"/>
      <c r="O193" s="24"/>
      <c r="P193" s="24"/>
      <c r="Q193" s="69"/>
      <c r="R193" s="69"/>
      <c r="S193" s="69"/>
      <c r="T193" s="69"/>
      <c r="U193" s="50"/>
      <c r="V193"/>
      <c r="W193"/>
    </row>
    <row r="194" spans="1:23" ht="79.5" customHeight="1" thickBot="1">
      <c r="A194" s="296" t="s">
        <v>85</v>
      </c>
      <c r="B194" s="450">
        <v>45336</v>
      </c>
      <c r="C194" s="480">
        <f t="shared" si="2"/>
        <v>7</v>
      </c>
      <c r="D194" s="662" t="s">
        <v>4278</v>
      </c>
      <c r="E194" s="726" t="s">
        <v>4194</v>
      </c>
      <c r="F194" s="221" t="s">
        <v>1199</v>
      </c>
      <c r="G194" s="205" t="s">
        <v>1199</v>
      </c>
      <c r="H194" s="5288">
        <v>702</v>
      </c>
      <c r="I194" s="216"/>
      <c r="J194" s="69"/>
      <c r="K194" s="69"/>
      <c r="L194" s="704"/>
      <c r="M194" s="69" t="s">
        <v>37</v>
      </c>
      <c r="N194" s="20" t="s">
        <v>109</v>
      </c>
      <c r="O194" s="20" t="s">
        <v>1589</v>
      </c>
      <c r="P194" s="20" t="s">
        <v>4082</v>
      </c>
      <c r="Q194" s="69"/>
      <c r="R194" s="69"/>
      <c r="S194" s="69"/>
      <c r="T194" s="69"/>
      <c r="U194" s="727" t="s">
        <v>4279</v>
      </c>
      <c r="V194" s="3051"/>
      <c r="W194"/>
    </row>
    <row r="195" spans="1:23" ht="27" customHeight="1" thickBot="1">
      <c r="A195" s="298" t="s">
        <v>85</v>
      </c>
      <c r="B195" s="457">
        <v>45336</v>
      </c>
      <c r="C195" s="480">
        <f t="shared" si="2"/>
        <v>7</v>
      </c>
      <c r="D195" s="728" t="s">
        <v>4086</v>
      </c>
      <c r="E195" s="729" t="s">
        <v>4280</v>
      </c>
      <c r="F195" s="221" t="s">
        <v>1199</v>
      </c>
      <c r="G195" s="205" t="s">
        <v>1199</v>
      </c>
      <c r="H195" s="5289"/>
      <c r="I195" s="216"/>
      <c r="J195" s="69"/>
      <c r="K195" s="69"/>
      <c r="L195" s="712" t="s">
        <v>37</v>
      </c>
      <c r="M195" s="89"/>
      <c r="N195" s="35"/>
      <c r="O195" s="35"/>
      <c r="P195" s="35"/>
      <c r="Q195" s="89"/>
      <c r="R195" s="89"/>
      <c r="S195" s="89"/>
      <c r="T195" s="89"/>
      <c r="U195" s="99"/>
      <c r="V195"/>
      <c r="W195"/>
    </row>
    <row r="196" spans="1:23" ht="27" customHeight="1" thickBot="1">
      <c r="A196" s="297" t="s">
        <v>105</v>
      </c>
      <c r="B196" s="454">
        <v>45337</v>
      </c>
      <c r="C196" s="486">
        <f t="shared" si="2"/>
        <v>7</v>
      </c>
      <c r="D196" s="730" t="s">
        <v>282</v>
      </c>
      <c r="E196" s="731" t="s">
        <v>4281</v>
      </c>
      <c r="F196" s="216" t="s">
        <v>1199</v>
      </c>
      <c r="G196" s="203" t="s">
        <v>1199</v>
      </c>
      <c r="H196" s="732"/>
      <c r="I196" s="217" t="s">
        <v>1199</v>
      </c>
      <c r="J196" s="114"/>
      <c r="K196" s="114"/>
      <c r="L196" s="700" t="s">
        <v>37</v>
      </c>
      <c r="M196" s="63"/>
      <c r="N196" s="58"/>
      <c r="O196" s="58"/>
      <c r="P196" s="58"/>
      <c r="Q196" s="733"/>
      <c r="R196" s="733"/>
      <c r="S196" s="733"/>
      <c r="T196" s="733"/>
      <c r="U196" s="56"/>
      <c r="V196"/>
      <c r="W196"/>
    </row>
    <row r="197" spans="1:23" ht="27" customHeight="1" thickBot="1">
      <c r="A197" s="296" t="s">
        <v>105</v>
      </c>
      <c r="B197" s="450">
        <v>45337</v>
      </c>
      <c r="C197" s="480">
        <f t="shared" si="2"/>
        <v>7</v>
      </c>
      <c r="D197" s="148" t="s">
        <v>3429</v>
      </c>
      <c r="E197" s="734" t="s">
        <v>4282</v>
      </c>
      <c r="F197" s="216" t="s">
        <v>1199</v>
      </c>
      <c r="G197" s="203" t="s">
        <v>1199</v>
      </c>
      <c r="H197" s="703"/>
      <c r="I197" s="217" t="s">
        <v>1199</v>
      </c>
      <c r="J197" s="114"/>
      <c r="K197" s="114"/>
      <c r="L197" s="704" t="s">
        <v>37</v>
      </c>
      <c r="M197" s="70"/>
      <c r="N197" s="24"/>
      <c r="O197" s="24"/>
      <c r="P197" s="24"/>
      <c r="Q197" s="26"/>
      <c r="R197" s="26"/>
      <c r="S197" s="26" t="s">
        <v>37</v>
      </c>
      <c r="T197" s="26"/>
      <c r="U197" s="50"/>
      <c r="V197"/>
      <c r="W197"/>
    </row>
    <row r="198" spans="1:23" ht="27" customHeight="1" thickBot="1">
      <c r="A198" s="296" t="s">
        <v>105</v>
      </c>
      <c r="B198" s="450">
        <v>45337</v>
      </c>
      <c r="C198" s="480">
        <f t="shared" si="2"/>
        <v>7</v>
      </c>
      <c r="D198" s="148" t="s">
        <v>1145</v>
      </c>
      <c r="E198" s="734" t="s">
        <v>4283</v>
      </c>
      <c r="F198" s="735" t="s">
        <v>1199</v>
      </c>
      <c r="G198" s="210" t="s">
        <v>1199</v>
      </c>
      <c r="H198" s="703"/>
      <c r="I198" s="217" t="s">
        <v>1199</v>
      </c>
      <c r="J198" s="114"/>
      <c r="K198" s="114"/>
      <c r="L198" s="704" t="s">
        <v>37</v>
      </c>
      <c r="M198" s="70"/>
      <c r="N198" s="24"/>
      <c r="O198" s="24"/>
      <c r="P198" s="24"/>
      <c r="Q198" s="26"/>
      <c r="R198" s="26"/>
      <c r="S198" s="26" t="s">
        <v>37</v>
      </c>
      <c r="T198" s="26"/>
      <c r="U198" s="50"/>
      <c r="V198"/>
      <c r="W198"/>
    </row>
    <row r="199" spans="1:23" ht="27" customHeight="1" thickBot="1">
      <c r="A199" s="298" t="s">
        <v>105</v>
      </c>
      <c r="B199" s="457">
        <v>45337</v>
      </c>
      <c r="C199" s="480">
        <f t="shared" si="2"/>
        <v>7</v>
      </c>
      <c r="D199" s="710" t="s">
        <v>2430</v>
      </c>
      <c r="E199" s="711" t="s">
        <v>4284</v>
      </c>
      <c r="F199" s="735" t="s">
        <v>1199</v>
      </c>
      <c r="G199" s="210" t="s">
        <v>1199</v>
      </c>
      <c r="H199" s="736"/>
      <c r="I199" s="217" t="s">
        <v>1199</v>
      </c>
      <c r="J199" s="114"/>
      <c r="K199" s="114"/>
      <c r="L199" s="712" t="s">
        <v>37</v>
      </c>
      <c r="M199" s="90"/>
      <c r="N199" s="35"/>
      <c r="O199" s="35"/>
      <c r="P199" s="35"/>
      <c r="Q199" s="648"/>
      <c r="R199" s="648"/>
      <c r="S199" s="648" t="s">
        <v>37</v>
      </c>
      <c r="T199" s="648"/>
      <c r="U199" s="99"/>
      <c r="V199"/>
      <c r="W199"/>
    </row>
    <row r="200" spans="1:23" ht="52.5" customHeight="1">
      <c r="A200" s="297" t="s">
        <v>132</v>
      </c>
      <c r="B200" s="454">
        <v>45338</v>
      </c>
      <c r="C200" s="465">
        <f t="shared" si="2"/>
        <v>7</v>
      </c>
      <c r="D200" s="60" t="s">
        <v>3006</v>
      </c>
      <c r="E200" s="130" t="s">
        <v>436</v>
      </c>
      <c r="F200" s="221" t="s">
        <v>1206</v>
      </c>
      <c r="G200" s="205" t="s">
        <v>1206</v>
      </c>
      <c r="H200" s="732"/>
      <c r="I200" s="217" t="s">
        <v>1199</v>
      </c>
      <c r="J200" s="69"/>
      <c r="K200" s="69"/>
      <c r="L200" s="700"/>
      <c r="M200" s="61" t="s">
        <v>30</v>
      </c>
      <c r="N200" s="20" t="s">
        <v>122</v>
      </c>
      <c r="O200" s="20" t="s">
        <v>4285</v>
      </c>
      <c r="P200" s="20" t="s">
        <v>4080</v>
      </c>
      <c r="Q200" s="61"/>
      <c r="R200" s="61"/>
      <c r="S200" s="61"/>
      <c r="T200" s="61"/>
      <c r="U200" s="56" t="s">
        <v>4286</v>
      </c>
      <c r="V200"/>
      <c r="W200"/>
    </row>
    <row r="201" spans="1:23" ht="26.25" customHeight="1">
      <c r="A201" s="296" t="s">
        <v>132</v>
      </c>
      <c r="B201" s="450">
        <v>45338</v>
      </c>
      <c r="C201" s="468">
        <f t="shared" si="2"/>
        <v>7</v>
      </c>
      <c r="D201" s="68" t="s">
        <v>1484</v>
      </c>
      <c r="E201" s="128" t="s">
        <v>450</v>
      </c>
      <c r="F201" s="714" t="s">
        <v>1199</v>
      </c>
      <c r="G201" s="715" t="s">
        <v>1199</v>
      </c>
      <c r="H201" s="703"/>
      <c r="I201" s="217" t="s">
        <v>1199</v>
      </c>
      <c r="J201" s="640"/>
      <c r="K201" s="640"/>
      <c r="L201" s="704" t="s">
        <v>37</v>
      </c>
      <c r="M201" s="69"/>
      <c r="N201" s="24"/>
      <c r="O201" s="24"/>
      <c r="P201" s="24"/>
      <c r="Q201" s="69"/>
      <c r="R201" s="69"/>
      <c r="S201" s="69"/>
      <c r="T201" s="69"/>
      <c r="U201" s="50"/>
      <c r="V201"/>
      <c r="W201"/>
    </row>
    <row r="202" spans="1:23" ht="26.25" customHeight="1">
      <c r="A202" s="296" t="s">
        <v>132</v>
      </c>
      <c r="B202" s="450">
        <v>45338</v>
      </c>
      <c r="C202" s="468">
        <f t="shared" si="2"/>
        <v>7</v>
      </c>
      <c r="D202" s="68" t="s">
        <v>52</v>
      </c>
      <c r="E202" s="128" t="s">
        <v>888</v>
      </c>
      <c r="F202" s="221" t="s">
        <v>1199</v>
      </c>
      <c r="G202" s="205" t="s">
        <v>1199</v>
      </c>
      <c r="H202" s="5249"/>
      <c r="I202" s="5256"/>
      <c r="J202" s="5231"/>
      <c r="K202" s="5231" t="s">
        <v>4206</v>
      </c>
      <c r="L202" s="704" t="s">
        <v>37</v>
      </c>
      <c r="M202" s="69"/>
      <c r="N202" s="24"/>
      <c r="O202" s="24"/>
      <c r="P202" s="24"/>
      <c r="Q202" s="69"/>
      <c r="R202" s="69"/>
      <c r="S202" s="69"/>
      <c r="T202" s="69"/>
      <c r="U202" s="50"/>
      <c r="V202"/>
      <c r="W202"/>
    </row>
    <row r="203" spans="1:23" ht="27" customHeight="1" thickBot="1">
      <c r="A203" s="307" t="s">
        <v>132</v>
      </c>
      <c r="B203" s="453">
        <v>45338</v>
      </c>
      <c r="C203" s="471">
        <f t="shared" si="2"/>
        <v>7</v>
      </c>
      <c r="D203" s="30"/>
      <c r="E203" s="141" t="s">
        <v>4287</v>
      </c>
      <c r="F203" s="737" t="s">
        <v>1199</v>
      </c>
      <c r="G203" s="206" t="s">
        <v>1764</v>
      </c>
      <c r="H203" s="286"/>
      <c r="I203" s="218"/>
      <c r="J203" s="89"/>
      <c r="K203" s="89"/>
      <c r="L203" s="706" t="s">
        <v>37</v>
      </c>
      <c r="M203" s="640"/>
      <c r="N203" s="20" t="s">
        <v>0</v>
      </c>
      <c r="O203" s="20" t="s">
        <v>110</v>
      </c>
      <c r="P203" s="20" t="s">
        <v>4128</v>
      </c>
      <c r="Q203" s="640"/>
      <c r="R203" s="640"/>
      <c r="S203" s="640"/>
      <c r="T203" s="640"/>
      <c r="U203" s="53" t="s">
        <v>4288</v>
      </c>
      <c r="V203"/>
      <c r="W203"/>
    </row>
    <row r="204" spans="1:23" ht="53.25" customHeight="1" thickBot="1">
      <c r="A204" s="738" t="s">
        <v>25</v>
      </c>
      <c r="B204" s="739">
        <v>45341</v>
      </c>
      <c r="C204" s="465">
        <v>8</v>
      </c>
      <c r="D204" s="740" t="s">
        <v>4289</v>
      </c>
      <c r="E204" s="741" t="s">
        <v>1325</v>
      </c>
      <c r="F204" s="742"/>
      <c r="G204" s="743" t="s">
        <v>4290</v>
      </c>
      <c r="H204" s="744">
        <v>702</v>
      </c>
      <c r="I204" s="745"/>
      <c r="J204" s="746" t="s">
        <v>4291</v>
      </c>
      <c r="K204" s="746"/>
      <c r="L204" s="747"/>
      <c r="M204" s="740" t="s">
        <v>30</v>
      </c>
      <c r="N204" s="20" t="s">
        <v>0</v>
      </c>
      <c r="O204" s="20" t="s">
        <v>4159</v>
      </c>
      <c r="P204" s="20" t="s">
        <v>4082</v>
      </c>
      <c r="Q204" s="748"/>
      <c r="R204" s="67"/>
      <c r="S204" s="67"/>
      <c r="T204" s="55"/>
      <c r="U204" s="749" t="s">
        <v>4292</v>
      </c>
      <c r="V204" s="3052"/>
      <c r="W204"/>
    </row>
    <row r="205" spans="1:23" ht="53.25" customHeight="1" thickBot="1">
      <c r="A205" s="750" t="s">
        <v>25</v>
      </c>
      <c r="B205" s="751">
        <v>45341</v>
      </c>
      <c r="C205" s="468">
        <v>8</v>
      </c>
      <c r="D205" s="752" t="s">
        <v>1153</v>
      </c>
      <c r="E205" s="753" t="s">
        <v>4293</v>
      </c>
      <c r="F205" s="754" t="s">
        <v>1199</v>
      </c>
      <c r="G205" s="755" t="s">
        <v>1199</v>
      </c>
      <c r="H205" s="756"/>
      <c r="I205" s="757"/>
      <c r="J205" s="757" t="s">
        <v>4290</v>
      </c>
      <c r="K205" s="757"/>
      <c r="L205" s="758"/>
      <c r="M205" s="752" t="s">
        <v>30</v>
      </c>
      <c r="N205" s="20" t="s">
        <v>109</v>
      </c>
      <c r="O205" s="20" t="s">
        <v>4261</v>
      </c>
      <c r="P205" s="20" t="s">
        <v>4102</v>
      </c>
      <c r="Q205" s="759"/>
      <c r="R205" s="22"/>
      <c r="S205" s="22"/>
      <c r="T205" s="49"/>
      <c r="U205" s="760" t="s">
        <v>4294</v>
      </c>
      <c r="V205" s="3052"/>
      <c r="W205"/>
    </row>
    <row r="206" spans="1:23" ht="27" customHeight="1" thickBot="1">
      <c r="A206" s="750" t="s">
        <v>25</v>
      </c>
      <c r="B206" s="751">
        <v>45341</v>
      </c>
      <c r="C206" s="468">
        <v>8</v>
      </c>
      <c r="D206" s="761" t="s">
        <v>4295</v>
      </c>
      <c r="E206" s="762" t="s">
        <v>169</v>
      </c>
      <c r="F206" s="754" t="s">
        <v>1199</v>
      </c>
      <c r="G206" s="763" t="s">
        <v>1199</v>
      </c>
      <c r="H206" s="756"/>
      <c r="I206" s="757" t="s">
        <v>4296</v>
      </c>
      <c r="J206" s="757"/>
      <c r="K206" s="757"/>
      <c r="L206" s="764" t="s">
        <v>30</v>
      </c>
      <c r="M206" s="752"/>
      <c r="N206" s="20"/>
      <c r="O206" s="752"/>
      <c r="P206" s="752"/>
      <c r="Q206" s="759"/>
      <c r="R206" s="22"/>
      <c r="S206" s="22"/>
      <c r="T206" s="49"/>
      <c r="U206" s="760"/>
      <c r="V206" s="3052"/>
      <c r="W206"/>
    </row>
    <row r="207" spans="1:23" ht="26.25" customHeight="1" thickBot="1">
      <c r="A207" s="750" t="s">
        <v>25</v>
      </c>
      <c r="B207" s="751">
        <v>45341</v>
      </c>
      <c r="C207" s="468">
        <v>8</v>
      </c>
      <c r="D207" s="761" t="s">
        <v>169</v>
      </c>
      <c r="E207" s="762" t="s">
        <v>4297</v>
      </c>
      <c r="F207" s="765" t="s">
        <v>1199</v>
      </c>
      <c r="G207" s="755" t="s">
        <v>1199</v>
      </c>
      <c r="H207" s="756"/>
      <c r="I207" s="766" t="s">
        <v>4296</v>
      </c>
      <c r="J207" s="766"/>
      <c r="K207" s="766"/>
      <c r="L207" s="764" t="s">
        <v>30</v>
      </c>
      <c r="M207" s="752"/>
      <c r="N207" s="20"/>
      <c r="O207" s="752"/>
      <c r="P207" s="752"/>
      <c r="Q207" s="759"/>
      <c r="R207" s="22"/>
      <c r="S207" s="22"/>
      <c r="T207" s="49"/>
      <c r="U207" s="760"/>
      <c r="V207" s="3052"/>
      <c r="W207"/>
    </row>
    <row r="208" spans="1:23" ht="27" customHeight="1" thickBot="1">
      <c r="A208" s="767" t="s">
        <v>25</v>
      </c>
      <c r="B208" s="768">
        <v>45341</v>
      </c>
      <c r="C208" s="480">
        <v>8</v>
      </c>
      <c r="D208" s="769" t="s">
        <v>4289</v>
      </c>
      <c r="E208" s="770" t="s">
        <v>4298</v>
      </c>
      <c r="F208" s="771"/>
      <c r="G208" s="772"/>
      <c r="H208" s="773"/>
      <c r="I208" s="771" t="s">
        <v>4299</v>
      </c>
      <c r="J208" s="771"/>
      <c r="K208" s="5227" t="s">
        <v>174</v>
      </c>
      <c r="L208" s="774" t="s">
        <v>30</v>
      </c>
      <c r="M208" s="775"/>
      <c r="N208" s="20"/>
      <c r="O208" s="775"/>
      <c r="P208" s="775"/>
      <c r="Q208" s="776"/>
      <c r="R208" s="88"/>
      <c r="S208" s="88"/>
      <c r="T208" s="57"/>
      <c r="U208" s="777"/>
      <c r="V208" s="3052"/>
      <c r="W208"/>
    </row>
    <row r="209" spans="1:23" ht="52.5" customHeight="1" thickBot="1">
      <c r="A209" s="738" t="s">
        <v>4300</v>
      </c>
      <c r="B209" s="739">
        <v>45342</v>
      </c>
      <c r="C209" s="465">
        <v>8</v>
      </c>
      <c r="D209" s="740" t="s">
        <v>169</v>
      </c>
      <c r="E209" s="741" t="s">
        <v>1182</v>
      </c>
      <c r="F209" s="778" t="s">
        <v>1199</v>
      </c>
      <c r="G209" s="779" t="s">
        <v>1199</v>
      </c>
      <c r="H209" s="5298"/>
      <c r="I209" s="5311"/>
      <c r="J209" s="5311" t="s">
        <v>37</v>
      </c>
      <c r="K209" s="5231" t="s">
        <v>4206</v>
      </c>
      <c r="L209" s="738"/>
      <c r="M209" s="740" t="s">
        <v>30</v>
      </c>
      <c r="N209" s="20" t="s">
        <v>122</v>
      </c>
      <c r="O209" s="20" t="s">
        <v>4285</v>
      </c>
      <c r="P209" s="20" t="s">
        <v>4080</v>
      </c>
      <c r="Q209" s="781"/>
      <c r="R209" s="67"/>
      <c r="S209" s="67"/>
      <c r="T209" s="55"/>
      <c r="U209" s="749" t="s">
        <v>4301</v>
      </c>
      <c r="V209" s="3052"/>
      <c r="W209"/>
    </row>
    <row r="210" spans="1:23" ht="53.25" customHeight="1" thickBot="1">
      <c r="A210" s="750" t="s">
        <v>4300</v>
      </c>
      <c r="B210" s="751">
        <v>45342</v>
      </c>
      <c r="C210" s="468">
        <v>8</v>
      </c>
      <c r="D210" s="752" t="s">
        <v>1182</v>
      </c>
      <c r="E210" s="753" t="s">
        <v>1838</v>
      </c>
      <c r="F210" s="771" t="s">
        <v>1206</v>
      </c>
      <c r="G210" s="763" t="s">
        <v>1199</v>
      </c>
      <c r="H210" s="5299"/>
      <c r="I210" s="5312"/>
      <c r="J210" s="5312" t="s">
        <v>4290</v>
      </c>
      <c r="K210" s="5231" t="s">
        <v>4206</v>
      </c>
      <c r="L210" s="750"/>
      <c r="M210" s="752" t="s">
        <v>30</v>
      </c>
      <c r="N210" s="20" t="s">
        <v>122</v>
      </c>
      <c r="O210" s="20" t="s">
        <v>4285</v>
      </c>
      <c r="P210" s="20" t="s">
        <v>4080</v>
      </c>
      <c r="Q210" s="759"/>
      <c r="R210" s="22"/>
      <c r="S210" s="22"/>
      <c r="T210" s="49"/>
      <c r="U210" s="760" t="s">
        <v>4302</v>
      </c>
      <c r="V210" s="3052"/>
      <c r="W210"/>
    </row>
    <row r="211" spans="1:23" ht="27" customHeight="1" thickBot="1">
      <c r="A211" s="767" t="s">
        <v>4300</v>
      </c>
      <c r="B211" s="768">
        <v>45342</v>
      </c>
      <c r="C211" s="480">
        <v>8</v>
      </c>
      <c r="D211" s="769" t="s">
        <v>2367</v>
      </c>
      <c r="E211" s="770" t="s">
        <v>2006</v>
      </c>
      <c r="F211" s="782" t="s">
        <v>1199</v>
      </c>
      <c r="G211" s="783" t="s">
        <v>1199</v>
      </c>
      <c r="H211" s="784"/>
      <c r="I211" s="757" t="s">
        <v>4290</v>
      </c>
      <c r="J211" s="757"/>
      <c r="K211" s="757"/>
      <c r="L211" s="774" t="s">
        <v>30</v>
      </c>
      <c r="M211" s="769"/>
      <c r="N211" s="20"/>
      <c r="O211" s="769"/>
      <c r="P211" s="769"/>
      <c r="Q211" s="776"/>
      <c r="R211" s="88"/>
      <c r="S211" s="88"/>
      <c r="T211" s="57"/>
      <c r="U211" s="777"/>
      <c r="V211" s="3052"/>
      <c r="W211"/>
    </row>
    <row r="212" spans="1:23" ht="27" customHeight="1" thickBot="1">
      <c r="A212" s="738" t="s">
        <v>85</v>
      </c>
      <c r="B212" s="739">
        <v>45343</v>
      </c>
      <c r="C212" s="465">
        <v>8</v>
      </c>
      <c r="D212" s="740" t="s">
        <v>1293</v>
      </c>
      <c r="E212" s="741" t="s">
        <v>669</v>
      </c>
      <c r="F212" s="785" t="s">
        <v>1199</v>
      </c>
      <c r="G212" s="763" t="s">
        <v>1199</v>
      </c>
      <c r="H212" s="786"/>
      <c r="I212" s="742" t="s">
        <v>4296</v>
      </c>
      <c r="J212" s="742"/>
      <c r="K212" s="742"/>
      <c r="L212" s="747" t="s">
        <v>30</v>
      </c>
      <c r="M212" s="740"/>
      <c r="N212" s="20"/>
      <c r="O212" s="740"/>
      <c r="P212" s="740"/>
      <c r="Q212" s="781"/>
      <c r="R212" s="67"/>
      <c r="S212" s="67"/>
      <c r="T212" s="55"/>
      <c r="U212" s="749"/>
      <c r="V212" s="3052"/>
      <c r="W212"/>
    </row>
    <row r="213" spans="1:23" ht="53.25" customHeight="1" thickBot="1">
      <c r="A213" s="750" t="s">
        <v>85</v>
      </c>
      <c r="B213" s="751">
        <v>45343</v>
      </c>
      <c r="C213" s="468">
        <v>8</v>
      </c>
      <c r="D213" s="752" t="s">
        <v>2515</v>
      </c>
      <c r="E213" s="753" t="s">
        <v>4289</v>
      </c>
      <c r="F213" s="787"/>
      <c r="G213" s="788"/>
      <c r="H213" s="789"/>
      <c r="I213" s="757"/>
      <c r="J213" s="757"/>
      <c r="K213" s="757"/>
      <c r="L213" s="750"/>
      <c r="M213" s="752" t="s">
        <v>37</v>
      </c>
      <c r="N213" s="20" t="s">
        <v>0</v>
      </c>
      <c r="O213" s="20" t="s">
        <v>110</v>
      </c>
      <c r="P213" s="20" t="s">
        <v>4082</v>
      </c>
      <c r="Q213" s="759"/>
      <c r="R213" s="22"/>
      <c r="S213" s="22"/>
      <c r="T213" s="49"/>
      <c r="U213" s="760" t="s">
        <v>1235</v>
      </c>
      <c r="V213" s="3052"/>
      <c r="W213"/>
    </row>
    <row r="214" spans="1:23" ht="27" customHeight="1" thickBot="1">
      <c r="A214" s="750" t="s">
        <v>85</v>
      </c>
      <c r="B214" s="751">
        <v>45343</v>
      </c>
      <c r="C214" s="468">
        <v>8</v>
      </c>
      <c r="D214" s="752" t="s">
        <v>888</v>
      </c>
      <c r="E214" s="753" t="s">
        <v>442</v>
      </c>
      <c r="F214" s="782" t="s">
        <v>1199</v>
      </c>
      <c r="G214" s="783" t="s">
        <v>1199</v>
      </c>
      <c r="H214" s="790"/>
      <c r="I214" s="766" t="s">
        <v>4290</v>
      </c>
      <c r="J214" s="766"/>
      <c r="K214" s="766"/>
      <c r="L214" s="764" t="s">
        <v>30</v>
      </c>
      <c r="M214" s="752"/>
      <c r="N214" s="20"/>
      <c r="O214" s="752"/>
      <c r="P214" s="752"/>
      <c r="Q214" s="759"/>
      <c r="R214" s="22"/>
      <c r="S214" s="752" t="s">
        <v>30</v>
      </c>
      <c r="T214" s="49"/>
      <c r="U214" s="760"/>
      <c r="V214" s="3052"/>
      <c r="W214"/>
    </row>
    <row r="215" spans="1:23" ht="26.25" customHeight="1" thickBot="1">
      <c r="A215" s="750" t="s">
        <v>85</v>
      </c>
      <c r="B215" s="751">
        <v>45343</v>
      </c>
      <c r="C215" s="468">
        <v>8</v>
      </c>
      <c r="D215" s="752" t="s">
        <v>442</v>
      </c>
      <c r="E215" s="753" t="s">
        <v>888</v>
      </c>
      <c r="F215" s="791" t="s">
        <v>1199</v>
      </c>
      <c r="G215" s="792" t="s">
        <v>1199</v>
      </c>
      <c r="H215" s="793"/>
      <c r="I215" s="780" t="s">
        <v>4296</v>
      </c>
      <c r="J215" s="780"/>
      <c r="K215" s="780"/>
      <c r="L215" s="764" t="s">
        <v>30</v>
      </c>
      <c r="M215" s="752"/>
      <c r="N215" s="20"/>
      <c r="O215" s="752"/>
      <c r="P215" s="752"/>
      <c r="Q215" s="759"/>
      <c r="R215" s="22"/>
      <c r="S215" s="752" t="s">
        <v>30</v>
      </c>
      <c r="T215" s="49"/>
      <c r="U215" s="760"/>
      <c r="V215" s="3052"/>
      <c r="W215"/>
    </row>
    <row r="216" spans="1:23" ht="27" customHeight="1" thickBot="1">
      <c r="A216" s="750" t="s">
        <v>85</v>
      </c>
      <c r="B216" s="751">
        <v>45343</v>
      </c>
      <c r="C216" s="468">
        <v>8</v>
      </c>
      <c r="D216" s="752" t="s">
        <v>877</v>
      </c>
      <c r="E216" s="753" t="s">
        <v>4303</v>
      </c>
      <c r="F216" s="794" t="s">
        <v>1199</v>
      </c>
      <c r="G216" s="795" t="s">
        <v>1199</v>
      </c>
      <c r="H216" s="790"/>
      <c r="I216" s="780" t="s">
        <v>4296</v>
      </c>
      <c r="J216" s="780"/>
      <c r="K216" s="780"/>
      <c r="L216" s="764" t="s">
        <v>30</v>
      </c>
      <c r="M216" s="752"/>
      <c r="N216" s="20"/>
      <c r="O216" s="752"/>
      <c r="P216" s="752"/>
      <c r="Q216" s="759"/>
      <c r="R216" s="22"/>
      <c r="S216" s="22"/>
      <c r="T216" s="49"/>
      <c r="U216" s="760"/>
      <c r="V216" s="3052"/>
      <c r="W216"/>
    </row>
    <row r="217" spans="1:23" ht="78.75" customHeight="1" thickBot="1">
      <c r="A217" s="750" t="s">
        <v>85</v>
      </c>
      <c r="B217" s="751">
        <v>45343</v>
      </c>
      <c r="C217" s="468">
        <v>8</v>
      </c>
      <c r="D217" s="752" t="s">
        <v>1325</v>
      </c>
      <c r="E217" s="753" t="s">
        <v>1182</v>
      </c>
      <c r="F217" s="796"/>
      <c r="G217" s="797"/>
      <c r="H217" s="5299"/>
      <c r="I217" s="5311"/>
      <c r="J217" s="5311" t="s">
        <v>4304</v>
      </c>
      <c r="K217" s="5231" t="s">
        <v>4206</v>
      </c>
      <c r="L217" s="750"/>
      <c r="M217" s="752" t="s">
        <v>30</v>
      </c>
      <c r="N217" s="20" t="s">
        <v>71</v>
      </c>
      <c r="O217" s="20" t="s">
        <v>720</v>
      </c>
      <c r="P217" s="20" t="s">
        <v>4080</v>
      </c>
      <c r="Q217" s="759"/>
      <c r="R217" s="22"/>
      <c r="S217" s="22"/>
      <c r="T217" s="49"/>
      <c r="U217" s="760" t="s">
        <v>4305</v>
      </c>
      <c r="V217" s="3052"/>
      <c r="W217"/>
    </row>
    <row r="218" spans="1:23" ht="53.25" customHeight="1" thickBot="1">
      <c r="A218" s="767" t="s">
        <v>85</v>
      </c>
      <c r="B218" s="768">
        <v>45343</v>
      </c>
      <c r="C218" s="480">
        <v>8</v>
      </c>
      <c r="D218" s="769" t="s">
        <v>1780</v>
      </c>
      <c r="E218" s="770" t="s">
        <v>2006</v>
      </c>
      <c r="F218" s="778" t="s">
        <v>1199</v>
      </c>
      <c r="G218" s="779" t="s">
        <v>1199</v>
      </c>
      <c r="H218" s="5300"/>
      <c r="I218" s="5311"/>
      <c r="J218" s="5311" t="s">
        <v>4306</v>
      </c>
      <c r="K218" s="5231" t="s">
        <v>4206</v>
      </c>
      <c r="L218" s="767"/>
      <c r="M218" s="769" t="s">
        <v>30</v>
      </c>
      <c r="N218" s="20" t="s">
        <v>122</v>
      </c>
      <c r="O218" s="20" t="s">
        <v>4285</v>
      </c>
      <c r="P218" s="20" t="s">
        <v>4080</v>
      </c>
      <c r="Q218" s="776"/>
      <c r="R218" s="88"/>
      <c r="S218" s="88"/>
      <c r="T218" s="57"/>
      <c r="U218" s="777"/>
      <c r="V218" s="3052"/>
      <c r="W218"/>
    </row>
    <row r="219" spans="1:23" ht="26.25" customHeight="1" thickBot="1">
      <c r="A219" s="750" t="s">
        <v>105</v>
      </c>
      <c r="B219" s="751">
        <v>45344</v>
      </c>
      <c r="C219" s="468">
        <v>8</v>
      </c>
      <c r="D219" s="752" t="s">
        <v>4307</v>
      </c>
      <c r="E219" s="753" t="s">
        <v>4308</v>
      </c>
      <c r="F219" s="798"/>
      <c r="G219" s="799"/>
      <c r="H219" s="789"/>
      <c r="I219" s="757"/>
      <c r="J219" s="757"/>
      <c r="K219" s="757"/>
      <c r="L219" s="750"/>
      <c r="M219" s="752"/>
      <c r="N219" s="20"/>
      <c r="O219" s="20"/>
      <c r="P219" s="20"/>
      <c r="Q219" s="759"/>
      <c r="R219" s="22"/>
      <c r="S219" s="22"/>
      <c r="T219" s="49"/>
      <c r="U219" s="760" t="s">
        <v>4309</v>
      </c>
      <c r="V219" s="3052"/>
      <c r="W219"/>
    </row>
    <row r="220" spans="1:23" ht="27" customHeight="1" thickBot="1">
      <c r="A220" s="750" t="s">
        <v>105</v>
      </c>
      <c r="B220" s="751">
        <v>45344</v>
      </c>
      <c r="C220" s="468">
        <v>8</v>
      </c>
      <c r="D220" s="752" t="s">
        <v>4310</v>
      </c>
      <c r="E220" s="753" t="s">
        <v>4307</v>
      </c>
      <c r="F220" s="798"/>
      <c r="G220" s="799"/>
      <c r="H220" s="789"/>
      <c r="I220" s="757"/>
      <c r="J220" s="757"/>
      <c r="K220" s="757"/>
      <c r="L220" s="750"/>
      <c r="M220" s="752"/>
      <c r="N220" s="20"/>
      <c r="O220" s="20"/>
      <c r="P220" s="20"/>
      <c r="Q220" s="759"/>
      <c r="R220" s="22"/>
      <c r="S220" s="22"/>
      <c r="T220" s="49"/>
      <c r="U220" s="760" t="s">
        <v>4309</v>
      </c>
      <c r="V220" s="3052"/>
      <c r="W220"/>
    </row>
    <row r="221" spans="1:23" ht="27" customHeight="1" thickBot="1">
      <c r="A221" s="750" t="s">
        <v>1495</v>
      </c>
      <c r="B221" s="751">
        <v>45344</v>
      </c>
      <c r="C221" s="468">
        <v>8</v>
      </c>
      <c r="D221" s="752" t="s">
        <v>1325</v>
      </c>
      <c r="E221" s="753" t="s">
        <v>1182</v>
      </c>
      <c r="F221" s="782" t="s">
        <v>1199</v>
      </c>
      <c r="G221" s="783" t="s">
        <v>1199</v>
      </c>
      <c r="H221" s="5299"/>
      <c r="I221" s="5313" t="s">
        <v>4290</v>
      </c>
      <c r="J221" s="5313"/>
      <c r="K221" s="5231" t="s">
        <v>4206</v>
      </c>
      <c r="L221" s="764" t="s">
        <v>30</v>
      </c>
      <c r="M221" s="752"/>
      <c r="N221" s="20"/>
      <c r="O221" s="752"/>
      <c r="P221" s="752"/>
      <c r="Q221" s="759"/>
      <c r="R221" s="22"/>
      <c r="S221" s="22"/>
      <c r="T221" s="49"/>
      <c r="U221" s="760"/>
      <c r="V221" s="3052"/>
      <c r="W221"/>
    </row>
    <row r="222" spans="1:23" ht="27" customHeight="1" thickBot="1">
      <c r="A222" s="750" t="s">
        <v>105</v>
      </c>
      <c r="B222" s="751">
        <v>45344</v>
      </c>
      <c r="C222" s="468">
        <v>8</v>
      </c>
      <c r="D222" s="752" t="s">
        <v>273</v>
      </c>
      <c r="E222" s="753" t="s">
        <v>4303</v>
      </c>
      <c r="F222" s="800" t="s">
        <v>1199</v>
      </c>
      <c r="G222" s="801" t="s">
        <v>1199</v>
      </c>
      <c r="H222" s="790"/>
      <c r="I222" s="742" t="s">
        <v>4296</v>
      </c>
      <c r="J222" s="742"/>
      <c r="K222" s="742"/>
      <c r="L222" s="764" t="s">
        <v>30</v>
      </c>
      <c r="M222" s="752"/>
      <c r="N222" s="20"/>
      <c r="O222" s="752"/>
      <c r="P222" s="752"/>
      <c r="Q222" s="759"/>
      <c r="R222" s="22"/>
      <c r="S222" s="22"/>
      <c r="T222" s="49"/>
      <c r="U222" s="760"/>
      <c r="V222" s="3052"/>
      <c r="W222"/>
    </row>
    <row r="223" spans="1:23" ht="79.5" customHeight="1" thickBot="1">
      <c r="A223" s="767" t="s">
        <v>105</v>
      </c>
      <c r="B223" s="768">
        <v>45344</v>
      </c>
      <c r="C223" s="480">
        <v>8</v>
      </c>
      <c r="D223" s="802" t="s">
        <v>4311</v>
      </c>
      <c r="E223" s="803" t="s">
        <v>2569</v>
      </c>
      <c r="F223" s="800" t="s">
        <v>1199</v>
      </c>
      <c r="G223" s="801" t="s">
        <v>1199</v>
      </c>
      <c r="H223" s="804"/>
      <c r="I223" s="805"/>
      <c r="J223" s="757" t="s">
        <v>4312</v>
      </c>
      <c r="K223" s="757"/>
      <c r="L223" s="767"/>
      <c r="M223" s="769" t="s">
        <v>30</v>
      </c>
      <c r="N223" s="20" t="s">
        <v>0</v>
      </c>
      <c r="O223" s="20" t="s">
        <v>4226</v>
      </c>
      <c r="P223" s="20" t="s">
        <v>4082</v>
      </c>
      <c r="Q223" s="776"/>
      <c r="R223" s="88"/>
      <c r="S223" s="88"/>
      <c r="T223" s="57"/>
      <c r="U223" s="777" t="s">
        <v>4313</v>
      </c>
      <c r="V223" s="3052"/>
      <c r="W223"/>
    </row>
    <row r="224" spans="1:23" ht="26.25" customHeight="1" thickBot="1">
      <c r="A224" s="806" t="s">
        <v>132</v>
      </c>
      <c r="B224" s="807">
        <v>45345</v>
      </c>
      <c r="C224" s="179">
        <v>8</v>
      </c>
      <c r="D224" s="808" t="s">
        <v>669</v>
      </c>
      <c r="E224" s="808" t="s">
        <v>4314</v>
      </c>
      <c r="F224" s="809" t="s">
        <v>1199</v>
      </c>
      <c r="G224" s="755" t="s">
        <v>1199</v>
      </c>
      <c r="H224" s="810"/>
      <c r="I224" s="766"/>
      <c r="J224" s="766"/>
      <c r="K224" s="766"/>
      <c r="L224" s="810" t="s">
        <v>4315</v>
      </c>
      <c r="M224" s="810"/>
      <c r="N224" s="20"/>
      <c r="O224" s="810"/>
      <c r="P224" s="810"/>
      <c r="Q224" s="811"/>
      <c r="R224" s="182"/>
      <c r="S224" s="182"/>
      <c r="T224" s="111"/>
      <c r="U224" s="811"/>
      <c r="V224" s="3052"/>
      <c r="W224"/>
    </row>
    <row r="225" spans="1:23" ht="27" customHeight="1" thickBot="1">
      <c r="A225" s="812" t="s">
        <v>132</v>
      </c>
      <c r="B225" s="751">
        <v>45345</v>
      </c>
      <c r="C225" s="468">
        <v>8</v>
      </c>
      <c r="D225" s="752" t="s">
        <v>273</v>
      </c>
      <c r="E225" s="752" t="s">
        <v>1564</v>
      </c>
      <c r="F225" s="813" t="s">
        <v>1199</v>
      </c>
      <c r="G225" s="763" t="s">
        <v>1199</v>
      </c>
      <c r="H225" s="752"/>
      <c r="I225" s="742"/>
      <c r="J225" s="742"/>
      <c r="K225" s="742"/>
      <c r="L225" s="752" t="s">
        <v>4315</v>
      </c>
      <c r="M225" s="752"/>
      <c r="N225" s="20"/>
      <c r="O225" s="752"/>
      <c r="P225" s="752"/>
      <c r="Q225" s="759"/>
      <c r="R225" s="22"/>
      <c r="S225" s="22"/>
      <c r="T225" s="49"/>
      <c r="U225" s="759"/>
      <c r="V225" s="3052"/>
      <c r="W225"/>
    </row>
    <row r="226" spans="1:23" ht="27" customHeight="1" thickBot="1">
      <c r="A226" s="812" t="s">
        <v>132</v>
      </c>
      <c r="B226" s="751">
        <v>45345</v>
      </c>
      <c r="C226" s="468">
        <v>8</v>
      </c>
      <c r="D226" s="752" t="s">
        <v>1564</v>
      </c>
      <c r="E226" s="752" t="s">
        <v>273</v>
      </c>
      <c r="F226" s="800" t="s">
        <v>1199</v>
      </c>
      <c r="G226" s="801" t="s">
        <v>1199</v>
      </c>
      <c r="H226" s="814"/>
      <c r="I226" s="757"/>
      <c r="J226" s="757"/>
      <c r="K226" s="757"/>
      <c r="L226" s="814" t="s">
        <v>4299</v>
      </c>
      <c r="M226" s="752"/>
      <c r="N226" s="20"/>
      <c r="O226" s="752"/>
      <c r="P226" s="752"/>
      <c r="Q226" s="759"/>
      <c r="R226" s="22"/>
      <c r="S226" s="22"/>
      <c r="T226" s="49"/>
      <c r="U226" s="759"/>
      <c r="V226" s="3052"/>
      <c r="W226"/>
    </row>
    <row r="227" spans="1:23" ht="26.25" customHeight="1" thickBot="1">
      <c r="A227" s="812" t="s">
        <v>132</v>
      </c>
      <c r="B227" s="751">
        <v>45345</v>
      </c>
      <c r="C227" s="468">
        <v>8</v>
      </c>
      <c r="D227" s="752" t="s">
        <v>4303</v>
      </c>
      <c r="E227" s="752" t="s">
        <v>1171</v>
      </c>
      <c r="F227" s="809" t="s">
        <v>1199</v>
      </c>
      <c r="G227" s="755" t="s">
        <v>1199</v>
      </c>
      <c r="H227" s="49"/>
      <c r="I227" s="766"/>
      <c r="J227" s="766"/>
      <c r="K227" s="766"/>
      <c r="L227" s="814" t="s">
        <v>4299</v>
      </c>
      <c r="M227" s="752"/>
      <c r="N227" s="20"/>
      <c r="O227" s="752"/>
      <c r="P227" s="752"/>
      <c r="Q227" s="759"/>
      <c r="R227" s="22"/>
      <c r="S227" s="22"/>
      <c r="T227" s="49"/>
      <c r="U227" s="759" t="s">
        <v>4316</v>
      </c>
      <c r="V227" s="3052"/>
      <c r="W227"/>
    </row>
    <row r="228" spans="1:23" ht="53.25" customHeight="1" thickBot="1">
      <c r="A228" s="812" t="s">
        <v>132</v>
      </c>
      <c r="B228" s="751">
        <v>45345</v>
      </c>
      <c r="C228" s="468">
        <v>8</v>
      </c>
      <c r="D228" s="752" t="s">
        <v>4289</v>
      </c>
      <c r="E228" s="752" t="s">
        <v>4317</v>
      </c>
      <c r="F228" s="815" t="s">
        <v>1199</v>
      </c>
      <c r="G228" s="816" t="s">
        <v>1199</v>
      </c>
      <c r="H228" s="814"/>
      <c r="I228" s="742" t="s">
        <v>4296</v>
      </c>
      <c r="J228" s="742"/>
      <c r="K228" s="742"/>
      <c r="L228" s="812"/>
      <c r="M228" s="817" t="s">
        <v>4318</v>
      </c>
      <c r="N228" s="20" t="s">
        <v>0</v>
      </c>
      <c r="O228" s="20" t="s">
        <v>4101</v>
      </c>
      <c r="P228" s="20" t="s">
        <v>4082</v>
      </c>
      <c r="Q228" s="759"/>
      <c r="R228" s="22"/>
      <c r="S228" s="22"/>
      <c r="T228" s="49"/>
      <c r="U228" s="759"/>
      <c r="V228" s="3052"/>
      <c r="W228"/>
    </row>
    <row r="229" spans="1:23" ht="53.25" customHeight="1" thickBot="1">
      <c r="A229" s="812" t="s">
        <v>132</v>
      </c>
      <c r="B229" s="751">
        <v>45345</v>
      </c>
      <c r="C229" s="468">
        <v>8</v>
      </c>
      <c r="D229" s="752" t="s">
        <v>3317</v>
      </c>
      <c r="E229" s="752" t="s">
        <v>4314</v>
      </c>
      <c r="F229" s="800" t="s">
        <v>1199</v>
      </c>
      <c r="G229" s="801" t="s">
        <v>1199</v>
      </c>
      <c r="H229" s="814"/>
      <c r="I229" s="757" t="s">
        <v>4319</v>
      </c>
      <c r="J229" s="757"/>
      <c r="K229" s="757"/>
      <c r="L229" s="812"/>
      <c r="M229" s="817" t="s">
        <v>4318</v>
      </c>
      <c r="N229" s="20" t="s">
        <v>0</v>
      </c>
      <c r="O229" s="20" t="s">
        <v>4101</v>
      </c>
      <c r="P229" s="20" t="s">
        <v>4082</v>
      </c>
      <c r="Q229" s="759"/>
      <c r="R229" s="22"/>
      <c r="S229" s="22"/>
      <c r="T229" s="49"/>
      <c r="U229" s="759" t="s">
        <v>4320</v>
      </c>
      <c r="V229" s="3052"/>
      <c r="W229"/>
    </row>
    <row r="230" spans="1:23" ht="27" customHeight="1" thickBot="1">
      <c r="A230" s="812" t="s">
        <v>132</v>
      </c>
      <c r="B230" s="751">
        <v>45345</v>
      </c>
      <c r="C230" s="468">
        <v>8</v>
      </c>
      <c r="D230" s="752" t="s">
        <v>4307</v>
      </c>
      <c r="E230" s="752" t="s">
        <v>4308</v>
      </c>
      <c r="F230" s="818" t="s">
        <v>1199</v>
      </c>
      <c r="G230" s="819" t="s">
        <v>1199</v>
      </c>
      <c r="H230" s="49"/>
      <c r="I230" s="757"/>
      <c r="J230" s="757"/>
      <c r="K230" s="757"/>
      <c r="L230" s="814" t="s">
        <v>4299</v>
      </c>
      <c r="M230" s="752"/>
      <c r="N230" s="20"/>
      <c r="O230" s="752"/>
      <c r="P230" s="752"/>
      <c r="Q230" s="759"/>
      <c r="R230" s="22"/>
      <c r="S230" s="22"/>
      <c r="T230" s="49"/>
      <c r="U230" s="759"/>
      <c r="V230" s="3052"/>
      <c r="W230"/>
    </row>
    <row r="231" spans="1:23" ht="27" customHeight="1" thickBot="1">
      <c r="A231" s="820" t="s">
        <v>132</v>
      </c>
      <c r="B231" s="821">
        <v>45345</v>
      </c>
      <c r="C231" s="471">
        <v>8</v>
      </c>
      <c r="D231" s="822" t="s">
        <v>4310</v>
      </c>
      <c r="E231" s="822" t="s">
        <v>4321</v>
      </c>
      <c r="F231" s="818" t="s">
        <v>1199</v>
      </c>
      <c r="G231" s="819" t="s">
        <v>1199</v>
      </c>
      <c r="H231" s="51"/>
      <c r="I231" s="757"/>
      <c r="J231" s="757"/>
      <c r="K231" s="757"/>
      <c r="L231" s="823" t="s">
        <v>4299</v>
      </c>
      <c r="M231" s="822"/>
      <c r="N231" s="20"/>
      <c r="O231" s="822"/>
      <c r="P231" s="822"/>
      <c r="Q231" s="824"/>
      <c r="R231" s="52"/>
      <c r="S231" s="52"/>
      <c r="T231" s="51"/>
      <c r="U231" s="824"/>
      <c r="V231" s="3052"/>
      <c r="W231"/>
    </row>
    <row r="232" spans="1:23" ht="27" customHeight="1" thickBot="1">
      <c r="A232" s="738" t="s">
        <v>3984</v>
      </c>
      <c r="B232" s="739">
        <v>45347</v>
      </c>
      <c r="C232" s="465">
        <v>8</v>
      </c>
      <c r="D232" s="825" t="s">
        <v>1171</v>
      </c>
      <c r="E232" s="826" t="s">
        <v>3964</v>
      </c>
      <c r="F232" s="782" t="s">
        <v>1206</v>
      </c>
      <c r="G232" s="827"/>
      <c r="H232" s="786"/>
      <c r="I232" s="757"/>
      <c r="J232" s="757"/>
      <c r="K232" s="757"/>
      <c r="L232" s="828" t="s">
        <v>4299</v>
      </c>
      <c r="M232" s="740"/>
      <c r="N232" s="34"/>
      <c r="O232" s="740"/>
      <c r="P232" s="740"/>
      <c r="Q232" s="781"/>
      <c r="R232" s="67"/>
      <c r="S232" s="67"/>
      <c r="T232" s="55"/>
      <c r="U232" s="749"/>
      <c r="V232" s="3052"/>
      <c r="W232"/>
    </row>
    <row r="233" spans="1:23" ht="27" customHeight="1" thickBot="1">
      <c r="A233" s="767" t="s">
        <v>3984</v>
      </c>
      <c r="B233" s="768">
        <v>45347</v>
      </c>
      <c r="C233" s="480">
        <v>8</v>
      </c>
      <c r="D233" s="829" t="s">
        <v>3964</v>
      </c>
      <c r="E233" s="830" t="s">
        <v>4322</v>
      </c>
      <c r="F233" s="791" t="s">
        <v>4323</v>
      </c>
      <c r="G233" s="792" t="s">
        <v>1199</v>
      </c>
      <c r="H233" s="804"/>
      <c r="I233" s="766"/>
      <c r="J233" s="766"/>
      <c r="K233" s="766"/>
      <c r="L233" s="831" t="s">
        <v>4299</v>
      </c>
      <c r="M233" s="769"/>
      <c r="N233" s="35"/>
      <c r="O233" s="769"/>
      <c r="P233" s="769"/>
      <c r="Q233" s="776"/>
      <c r="R233" s="88"/>
      <c r="S233" s="88"/>
      <c r="T233" s="57"/>
      <c r="U233" s="777"/>
      <c r="V233" s="3052"/>
      <c r="W233"/>
    </row>
    <row r="234" spans="1:23" ht="26.25" customHeight="1">
      <c r="A234" s="310" t="s">
        <v>25</v>
      </c>
      <c r="B234" s="455">
        <v>45348</v>
      </c>
      <c r="C234" s="832">
        <f>_xlfn.ISOWEEKNUM(B234)</f>
        <v>9</v>
      </c>
      <c r="D234" s="107" t="s">
        <v>1527</v>
      </c>
      <c r="E234" s="140" t="s">
        <v>140</v>
      </c>
      <c r="F234" s="833" t="s">
        <v>1199</v>
      </c>
      <c r="G234" s="197" t="s">
        <v>1199</v>
      </c>
      <c r="H234" s="5301"/>
      <c r="I234" s="5314"/>
      <c r="J234" s="5247"/>
      <c r="K234" s="5231" t="s">
        <v>4206</v>
      </c>
      <c r="L234" s="834" t="s">
        <v>37</v>
      </c>
      <c r="M234" s="96"/>
      <c r="N234" s="119"/>
      <c r="O234" s="119"/>
      <c r="P234" s="119"/>
      <c r="Q234" s="96"/>
      <c r="R234" s="96"/>
      <c r="S234" s="97"/>
      <c r="T234" s="97"/>
      <c r="U234" s="112"/>
      <c r="V234"/>
      <c r="W234"/>
    </row>
    <row r="235" spans="1:23" ht="26.25" customHeight="1">
      <c r="A235" s="296" t="s">
        <v>25</v>
      </c>
      <c r="B235" s="450">
        <v>45348</v>
      </c>
      <c r="C235" s="82">
        <f t="shared" ref="C235:C297" si="3">_xlfn.ISOWEEKNUM(B235)</f>
        <v>9</v>
      </c>
      <c r="D235" s="68" t="s">
        <v>1293</v>
      </c>
      <c r="E235" s="128" t="s">
        <v>4324</v>
      </c>
      <c r="F235" s="217" t="s">
        <v>1199</v>
      </c>
      <c r="G235" s="198" t="s">
        <v>1199</v>
      </c>
      <c r="H235" s="5249"/>
      <c r="I235" s="5256"/>
      <c r="J235" s="5231"/>
      <c r="K235" s="5231" t="s">
        <v>4206</v>
      </c>
      <c r="L235" s="695" t="s">
        <v>37</v>
      </c>
      <c r="M235" s="70"/>
      <c r="N235" s="21"/>
      <c r="O235" s="21"/>
      <c r="P235" s="21"/>
      <c r="Q235" s="70"/>
      <c r="R235" s="70"/>
      <c r="S235" s="71"/>
      <c r="T235" s="71"/>
      <c r="U235" s="50"/>
      <c r="V235"/>
      <c r="W235"/>
    </row>
    <row r="236" spans="1:23" ht="26.25" customHeight="1">
      <c r="A236" s="296" t="s">
        <v>25</v>
      </c>
      <c r="B236" s="450">
        <v>45348</v>
      </c>
      <c r="C236" s="82">
        <f t="shared" si="3"/>
        <v>9</v>
      </c>
      <c r="D236" s="68" t="s">
        <v>1254</v>
      </c>
      <c r="E236" s="128" t="s">
        <v>3073</v>
      </c>
      <c r="F236" s="217" t="s">
        <v>1199</v>
      </c>
      <c r="G236" s="198" t="s">
        <v>1199</v>
      </c>
      <c r="H236" s="5249"/>
      <c r="I236" s="5256"/>
      <c r="J236" s="5231"/>
      <c r="K236" s="5231" t="s">
        <v>4206</v>
      </c>
      <c r="L236" s="695" t="s">
        <v>37</v>
      </c>
      <c r="M236" s="70"/>
      <c r="N236" s="21"/>
      <c r="O236" s="21"/>
      <c r="P236" s="21"/>
      <c r="Q236" s="70"/>
      <c r="R236" s="70"/>
      <c r="S236" s="71"/>
      <c r="T236" s="71"/>
      <c r="U236" s="50"/>
      <c r="V236"/>
      <c r="W236"/>
    </row>
    <row r="237" spans="1:23" ht="26.25" customHeight="1">
      <c r="A237" s="296" t="s">
        <v>25</v>
      </c>
      <c r="B237" s="450">
        <v>45348</v>
      </c>
      <c r="C237" s="82">
        <f t="shared" si="3"/>
        <v>9</v>
      </c>
      <c r="D237" s="68" t="s">
        <v>282</v>
      </c>
      <c r="E237" s="128" t="s">
        <v>3006</v>
      </c>
      <c r="F237" s="219" t="s">
        <v>1206</v>
      </c>
      <c r="G237" s="200" t="s">
        <v>1206</v>
      </c>
      <c r="H237" s="5249"/>
      <c r="I237" s="5256"/>
      <c r="J237" s="5231"/>
      <c r="K237" s="5231" t="s">
        <v>4206</v>
      </c>
      <c r="L237" s="695" t="s">
        <v>37</v>
      </c>
      <c r="M237" s="70"/>
      <c r="N237" s="21"/>
      <c r="O237" s="21"/>
      <c r="P237" s="21"/>
      <c r="Q237" s="70"/>
      <c r="R237" s="70"/>
      <c r="S237" s="71"/>
      <c r="T237" s="71"/>
      <c r="U237" s="50"/>
      <c r="V237"/>
      <c r="W237"/>
    </row>
    <row r="238" spans="1:23" ht="26.25" customHeight="1">
      <c r="A238" s="296" t="s">
        <v>25</v>
      </c>
      <c r="B238" s="450">
        <v>45348</v>
      </c>
      <c r="C238" s="82">
        <f t="shared" si="3"/>
        <v>9</v>
      </c>
      <c r="D238" s="835" t="s">
        <v>1254</v>
      </c>
      <c r="E238" s="836" t="s">
        <v>183</v>
      </c>
      <c r="F238" s="837" t="s">
        <v>1199</v>
      </c>
      <c r="G238" s="201" t="s">
        <v>1199</v>
      </c>
      <c r="H238" s="876"/>
      <c r="I238" s="873"/>
      <c r="J238" s="70"/>
      <c r="K238" s="484" t="s">
        <v>29</v>
      </c>
      <c r="L238" s="695" t="s">
        <v>37</v>
      </c>
      <c r="M238" s="70"/>
      <c r="N238" s="21"/>
      <c r="O238" s="21"/>
      <c r="P238" s="21"/>
      <c r="Q238" s="70"/>
      <c r="R238" s="70"/>
      <c r="S238" s="71"/>
      <c r="T238" s="71"/>
      <c r="U238" s="50"/>
      <c r="V238"/>
      <c r="W238"/>
    </row>
    <row r="239" spans="1:23" ht="26.25" customHeight="1">
      <c r="A239" s="296" t="s">
        <v>25</v>
      </c>
      <c r="B239" s="450">
        <v>45348</v>
      </c>
      <c r="C239" s="82">
        <f t="shared" si="3"/>
        <v>9</v>
      </c>
      <c r="D239" s="81" t="s">
        <v>282</v>
      </c>
      <c r="E239" s="127" t="s">
        <v>2276</v>
      </c>
      <c r="F239" s="219" t="s">
        <v>1206</v>
      </c>
      <c r="G239" s="200" t="s">
        <v>1206</v>
      </c>
      <c r="H239" s="838"/>
      <c r="I239" s="221"/>
      <c r="J239" s="70"/>
      <c r="K239" s="70"/>
      <c r="L239" s="695" t="s">
        <v>37</v>
      </c>
      <c r="M239" s="70"/>
      <c r="N239" s="21"/>
      <c r="O239" s="21"/>
      <c r="P239" s="21"/>
      <c r="Q239" s="70"/>
      <c r="R239" s="70"/>
      <c r="S239" s="71"/>
      <c r="T239" s="71"/>
      <c r="U239" s="50"/>
      <c r="V239"/>
      <c r="W239"/>
    </row>
    <row r="240" spans="1:23" ht="26.25" customHeight="1">
      <c r="A240" s="296" t="s">
        <v>25</v>
      </c>
      <c r="B240" s="450">
        <v>45348</v>
      </c>
      <c r="C240" s="82">
        <f t="shared" si="3"/>
        <v>9</v>
      </c>
      <c r="D240" s="81" t="s">
        <v>339</v>
      </c>
      <c r="E240" s="127" t="s">
        <v>2461</v>
      </c>
      <c r="F240" s="219" t="s">
        <v>1206</v>
      </c>
      <c r="G240" s="200" t="s">
        <v>1206</v>
      </c>
      <c r="H240" s="838"/>
      <c r="I240" s="221"/>
      <c r="J240" s="70"/>
      <c r="K240" s="70"/>
      <c r="L240" s="695" t="s">
        <v>37</v>
      </c>
      <c r="M240" s="70"/>
      <c r="N240" s="21"/>
      <c r="O240" s="21"/>
      <c r="P240" s="21"/>
      <c r="Q240" s="70"/>
      <c r="R240" s="70"/>
      <c r="S240" s="71"/>
      <c r="T240" s="71"/>
      <c r="U240" s="50"/>
      <c r="V240"/>
      <c r="W240"/>
    </row>
    <row r="241" spans="1:24">
      <c r="A241" s="296" t="s">
        <v>25</v>
      </c>
      <c r="B241" s="450">
        <v>45348</v>
      </c>
      <c r="C241" s="82">
        <f t="shared" si="3"/>
        <v>9</v>
      </c>
      <c r="D241" s="68" t="s">
        <v>943</v>
      </c>
      <c r="E241" s="128" t="s">
        <v>124</v>
      </c>
      <c r="F241" s="837" t="s">
        <v>1206</v>
      </c>
      <c r="G241" s="201" t="s">
        <v>1206</v>
      </c>
      <c r="H241" s="5249">
        <v>701</v>
      </c>
      <c r="I241" s="5256"/>
      <c r="J241" s="5231"/>
      <c r="K241" s="5227" t="s">
        <v>1630</v>
      </c>
      <c r="L241" s="695" t="s">
        <v>37</v>
      </c>
      <c r="M241" s="70"/>
      <c r="N241" s="21"/>
      <c r="O241" s="21"/>
      <c r="P241" s="21"/>
      <c r="Q241" s="70"/>
      <c r="R241" s="70"/>
      <c r="S241" s="71"/>
      <c r="T241" s="71"/>
      <c r="U241" s="50"/>
      <c r="V241"/>
      <c r="W241"/>
    </row>
    <row r="242" spans="1:24" ht="26.25" customHeight="1">
      <c r="A242" s="296" t="s">
        <v>25</v>
      </c>
      <c r="B242" s="450">
        <v>45348</v>
      </c>
      <c r="C242" s="82">
        <f t="shared" si="3"/>
        <v>9</v>
      </c>
      <c r="D242" s="839" t="s">
        <v>1598</v>
      </c>
      <c r="E242" s="840" t="s">
        <v>3647</v>
      </c>
      <c r="F242" s="837" t="s">
        <v>1206</v>
      </c>
      <c r="G242" s="201" t="s">
        <v>1206</v>
      </c>
      <c r="H242" s="838"/>
      <c r="I242" s="221"/>
      <c r="J242" s="70"/>
      <c r="K242" s="70"/>
      <c r="L242" s="695" t="s">
        <v>37</v>
      </c>
      <c r="M242" s="70"/>
      <c r="N242" s="21"/>
      <c r="O242" s="21"/>
      <c r="P242" s="21"/>
      <c r="Q242" s="70"/>
      <c r="R242" s="70"/>
      <c r="S242" s="71"/>
      <c r="T242" s="71"/>
      <c r="U242" s="50"/>
      <c r="V242"/>
      <c r="W242"/>
    </row>
    <row r="243" spans="1:24" ht="27" customHeight="1" thickBot="1">
      <c r="A243" s="307" t="s">
        <v>25</v>
      </c>
      <c r="B243" s="453">
        <v>45348</v>
      </c>
      <c r="C243" s="169">
        <f t="shared" si="3"/>
        <v>9</v>
      </c>
      <c r="D243" s="841" t="s">
        <v>939</v>
      </c>
      <c r="E243" s="842" t="s">
        <v>1654</v>
      </c>
      <c r="F243" s="843" t="s">
        <v>1206</v>
      </c>
      <c r="G243" s="844" t="s">
        <v>1206</v>
      </c>
      <c r="H243" s="845"/>
      <c r="I243" s="222"/>
      <c r="J243" s="90"/>
      <c r="K243" s="90"/>
      <c r="L243" s="697" t="s">
        <v>37</v>
      </c>
      <c r="M243" s="31"/>
      <c r="N243" s="24"/>
      <c r="O243" s="24"/>
      <c r="P243" s="24"/>
      <c r="Q243" s="31"/>
      <c r="R243" s="31"/>
      <c r="S243" s="33"/>
      <c r="T243" s="33"/>
      <c r="U243" s="53"/>
      <c r="V243"/>
      <c r="W243"/>
    </row>
    <row r="244" spans="1:24" ht="26.25" customHeight="1">
      <c r="A244" s="297" t="s">
        <v>67</v>
      </c>
      <c r="B244" s="454">
        <v>45349</v>
      </c>
      <c r="C244" s="846">
        <f t="shared" si="3"/>
        <v>9</v>
      </c>
      <c r="D244" s="847" t="s">
        <v>89</v>
      </c>
      <c r="E244" s="848" t="s">
        <v>3483</v>
      </c>
      <c r="F244" s="833" t="s">
        <v>1199</v>
      </c>
      <c r="G244" s="197" t="s">
        <v>1199</v>
      </c>
      <c r="H244" s="849"/>
      <c r="I244" s="850"/>
      <c r="J244" s="63"/>
      <c r="K244" s="63"/>
      <c r="L244" s="693" t="s">
        <v>37</v>
      </c>
      <c r="M244" s="63"/>
      <c r="N244" s="34"/>
      <c r="O244" s="34"/>
      <c r="P244" s="34"/>
      <c r="Q244" s="63"/>
      <c r="R244" s="63"/>
      <c r="S244" s="64"/>
      <c r="T244" s="64"/>
      <c r="U244" s="56"/>
      <c r="V244"/>
      <c r="W244"/>
    </row>
    <row r="245" spans="1:24" ht="26.25" customHeight="1">
      <c r="A245" s="296" t="s">
        <v>67</v>
      </c>
      <c r="B245" s="450">
        <v>45349</v>
      </c>
      <c r="C245" s="82">
        <f t="shared" si="3"/>
        <v>9</v>
      </c>
      <c r="D245" s="835" t="s">
        <v>169</v>
      </c>
      <c r="E245" s="836" t="s">
        <v>4325</v>
      </c>
      <c r="F245" s="837" t="s">
        <v>1199</v>
      </c>
      <c r="G245" s="201" t="s">
        <v>1199</v>
      </c>
      <c r="H245" s="838"/>
      <c r="I245" s="221"/>
      <c r="J245" s="70"/>
      <c r="K245" s="70"/>
      <c r="L245" s="695" t="s">
        <v>37</v>
      </c>
      <c r="M245" s="70"/>
      <c r="N245" s="21"/>
      <c r="O245" s="21"/>
      <c r="P245" s="21"/>
      <c r="Q245" s="70"/>
      <c r="R245" s="70"/>
      <c r="S245" s="71"/>
      <c r="T245" s="71"/>
      <c r="U245" s="50"/>
      <c r="V245"/>
      <c r="W245"/>
    </row>
    <row r="246" spans="1:24" ht="52.5" customHeight="1">
      <c r="A246" s="296" t="s">
        <v>67</v>
      </c>
      <c r="B246" s="450">
        <v>45349</v>
      </c>
      <c r="C246" s="82">
        <f t="shared" si="3"/>
        <v>9</v>
      </c>
      <c r="D246" s="68" t="s">
        <v>3073</v>
      </c>
      <c r="E246" s="128" t="s">
        <v>1598</v>
      </c>
      <c r="F246" s="837" t="s">
        <v>1206</v>
      </c>
      <c r="G246" s="201" t="s">
        <v>1206</v>
      </c>
      <c r="H246" s="838"/>
      <c r="I246" s="221"/>
      <c r="J246" s="70"/>
      <c r="K246" s="70"/>
      <c r="L246" s="695"/>
      <c r="M246" s="70" t="s">
        <v>37</v>
      </c>
      <c r="N246" s="20" t="s">
        <v>109</v>
      </c>
      <c r="O246" s="20" t="s">
        <v>484</v>
      </c>
      <c r="P246" s="20" t="s">
        <v>4102</v>
      </c>
      <c r="Q246" s="632">
        <v>1</v>
      </c>
      <c r="R246" s="70"/>
      <c r="S246" s="71"/>
      <c r="T246" s="71"/>
      <c r="U246" s="66" t="s">
        <v>4326</v>
      </c>
      <c r="V246" s="2564"/>
      <c r="W246"/>
    </row>
    <row r="247" spans="1:24" ht="26.25" customHeight="1">
      <c r="A247" s="296" t="s">
        <v>67</v>
      </c>
      <c r="B247" s="450">
        <v>45349</v>
      </c>
      <c r="C247" s="82">
        <f t="shared" si="3"/>
        <v>9</v>
      </c>
      <c r="D247" s="851" t="s">
        <v>939</v>
      </c>
      <c r="E247" s="852" t="s">
        <v>4327</v>
      </c>
      <c r="F247" s="837" t="s">
        <v>1206</v>
      </c>
      <c r="G247" s="201" t="s">
        <v>1206</v>
      </c>
      <c r="H247" s="5249"/>
      <c r="I247" s="5256"/>
      <c r="J247" s="5231"/>
      <c r="K247" s="5231" t="s">
        <v>4206</v>
      </c>
      <c r="L247" s="695" t="s">
        <v>37</v>
      </c>
      <c r="M247" s="70"/>
      <c r="N247" s="21"/>
      <c r="O247" s="21"/>
      <c r="P247" s="21"/>
      <c r="Q247" s="70"/>
      <c r="R247" s="70"/>
      <c r="S247" s="71"/>
      <c r="T247" s="71"/>
      <c r="U247" s="50"/>
      <c r="V247"/>
      <c r="W247"/>
    </row>
    <row r="248" spans="1:24" ht="76.5" customHeight="1">
      <c r="A248" s="296" t="s">
        <v>67</v>
      </c>
      <c r="B248" s="450">
        <v>45349</v>
      </c>
      <c r="C248" s="82">
        <f t="shared" si="3"/>
        <v>9</v>
      </c>
      <c r="D248" s="68" t="s">
        <v>3006</v>
      </c>
      <c r="E248" s="128" t="s">
        <v>1698</v>
      </c>
      <c r="F248" s="216" t="s">
        <v>1199</v>
      </c>
      <c r="G248" s="203" t="s">
        <v>1199</v>
      </c>
      <c r="H248" s="838"/>
      <c r="I248" s="221"/>
      <c r="J248" s="70"/>
      <c r="K248" s="70"/>
      <c r="L248" s="695"/>
      <c r="M248" s="70" t="s">
        <v>37</v>
      </c>
      <c r="N248" s="20" t="s">
        <v>0</v>
      </c>
      <c r="O248" s="20" t="s">
        <v>3799</v>
      </c>
      <c r="P248" s="20" t="s">
        <v>4080</v>
      </c>
      <c r="Q248" s="70"/>
      <c r="R248" s="70"/>
      <c r="S248" s="71"/>
      <c r="T248" s="71"/>
      <c r="U248" s="66" t="s">
        <v>4328</v>
      </c>
      <c r="V248" s="2564"/>
      <c r="W248"/>
    </row>
    <row r="249" spans="1:24">
      <c r="A249" s="296" t="s">
        <v>67</v>
      </c>
      <c r="B249" s="450">
        <v>45349</v>
      </c>
      <c r="C249" s="82">
        <f t="shared" si="3"/>
        <v>9</v>
      </c>
      <c r="D249" s="68" t="s">
        <v>100</v>
      </c>
      <c r="E249" s="128" t="s">
        <v>4329</v>
      </c>
      <c r="F249" s="217" t="s">
        <v>1199</v>
      </c>
      <c r="G249" s="198" t="s">
        <v>1199</v>
      </c>
      <c r="H249" s="5231">
        <v>702</v>
      </c>
      <c r="I249" s="5256"/>
      <c r="J249" s="5231"/>
      <c r="K249" s="5227" t="s">
        <v>1630</v>
      </c>
      <c r="L249" s="695" t="s">
        <v>37</v>
      </c>
      <c r="M249" s="70"/>
      <c r="N249" s="21"/>
      <c r="O249" s="21"/>
      <c r="P249" s="21"/>
      <c r="Q249" s="70"/>
      <c r="R249" s="70"/>
      <c r="S249" s="71"/>
      <c r="T249" s="71"/>
      <c r="U249" s="50"/>
      <c r="V249"/>
      <c r="W249"/>
    </row>
    <row r="250" spans="1:24" ht="52.5">
      <c r="A250" s="296" t="s">
        <v>67</v>
      </c>
      <c r="B250" s="450">
        <v>45349</v>
      </c>
      <c r="C250" s="82">
        <f t="shared" si="3"/>
        <v>9</v>
      </c>
      <c r="D250" s="638" t="s">
        <v>675</v>
      </c>
      <c r="E250" s="853" t="s">
        <v>56</v>
      </c>
      <c r="F250" s="854"/>
      <c r="G250" s="855"/>
      <c r="H250" s="5231">
        <v>705</v>
      </c>
      <c r="I250" s="5256"/>
      <c r="J250" s="5231"/>
      <c r="K250" s="5227" t="s">
        <v>1630</v>
      </c>
      <c r="L250" s="695"/>
      <c r="M250" s="70" t="s">
        <v>37</v>
      </c>
      <c r="N250" s="20" t="s">
        <v>122</v>
      </c>
      <c r="O250" s="20" t="s">
        <v>123</v>
      </c>
      <c r="P250" s="20" t="s">
        <v>4330</v>
      </c>
      <c r="Q250" s="70"/>
      <c r="R250" s="70"/>
      <c r="S250" s="71"/>
      <c r="T250" s="71"/>
      <c r="U250" s="50" t="s">
        <v>4331</v>
      </c>
      <c r="V250"/>
      <c r="W250"/>
    </row>
    <row r="251" spans="1:24" ht="27" customHeight="1">
      <c r="A251" s="296" t="s">
        <v>67</v>
      </c>
      <c r="B251" s="450">
        <v>45349</v>
      </c>
      <c r="C251" s="82">
        <f t="shared" si="3"/>
        <v>9</v>
      </c>
      <c r="D251" s="72" t="s">
        <v>4332</v>
      </c>
      <c r="E251" s="856" t="s">
        <v>4333</v>
      </c>
      <c r="F251" s="221" t="s">
        <v>1199</v>
      </c>
      <c r="G251" s="205" t="s">
        <v>1199</v>
      </c>
      <c r="H251" s="838"/>
      <c r="I251" s="221"/>
      <c r="J251" s="70"/>
      <c r="K251" s="70"/>
      <c r="L251" s="695" t="s">
        <v>37</v>
      </c>
      <c r="M251" s="70"/>
      <c r="N251" s="21"/>
      <c r="O251" s="21"/>
      <c r="P251" s="21"/>
      <c r="Q251" s="70"/>
      <c r="R251" s="70"/>
      <c r="S251" s="71"/>
      <c r="T251" s="71"/>
      <c r="U251" s="50"/>
      <c r="V251"/>
      <c r="W251"/>
    </row>
    <row r="252" spans="1:24" ht="27" customHeight="1">
      <c r="A252" s="296" t="s">
        <v>67</v>
      </c>
      <c r="B252" s="450">
        <v>45349</v>
      </c>
      <c r="C252" s="82">
        <f t="shared" si="3"/>
        <v>9</v>
      </c>
      <c r="D252" s="68" t="s">
        <v>4334</v>
      </c>
      <c r="E252" s="128" t="s">
        <v>4335</v>
      </c>
      <c r="F252" s="217" t="s">
        <v>1199</v>
      </c>
      <c r="G252" s="198" t="s">
        <v>1199</v>
      </c>
      <c r="H252" s="857"/>
      <c r="I252" s="858"/>
      <c r="J252" s="70"/>
      <c r="K252" s="70"/>
      <c r="L252" s="695" t="s">
        <v>37</v>
      </c>
      <c r="M252" s="70"/>
      <c r="N252" s="21"/>
      <c r="O252" s="21"/>
      <c r="P252" s="21"/>
      <c r="Q252" s="70"/>
      <c r="R252" s="70"/>
      <c r="S252" s="71" t="s">
        <v>37</v>
      </c>
      <c r="T252" s="71"/>
      <c r="U252" s="50"/>
      <c r="V252"/>
      <c r="W252"/>
    </row>
    <row r="253" spans="1:24" ht="27" customHeight="1" thickBot="1">
      <c r="A253" s="307" t="s">
        <v>67</v>
      </c>
      <c r="B253" s="453">
        <v>45349</v>
      </c>
      <c r="C253" s="169">
        <f t="shared" si="3"/>
        <v>9</v>
      </c>
      <c r="D253" s="30" t="s">
        <v>1776</v>
      </c>
      <c r="E253" s="141" t="s">
        <v>4329</v>
      </c>
      <c r="F253" s="859" t="s">
        <v>1199</v>
      </c>
      <c r="G253" s="860" t="s">
        <v>1199</v>
      </c>
      <c r="H253" s="861"/>
      <c r="I253" s="862"/>
      <c r="J253" s="863"/>
      <c r="K253" s="863"/>
      <c r="L253" s="697" t="s">
        <v>37</v>
      </c>
      <c r="M253" s="31"/>
      <c r="N253" s="24"/>
      <c r="O253" s="24"/>
      <c r="P253" s="24"/>
      <c r="Q253" s="31"/>
      <c r="R253" s="31"/>
      <c r="S253" s="33" t="s">
        <v>37</v>
      </c>
      <c r="T253" s="33"/>
      <c r="U253" s="53"/>
      <c r="V253"/>
      <c r="W253"/>
    </row>
    <row r="254" spans="1:24" ht="27" customHeight="1">
      <c r="A254" s="297" t="s">
        <v>85</v>
      </c>
      <c r="B254" s="454">
        <v>45350</v>
      </c>
      <c r="C254" s="846">
        <f t="shared" si="3"/>
        <v>9</v>
      </c>
      <c r="D254" s="864" t="s">
        <v>1736</v>
      </c>
      <c r="E254" s="865" t="s">
        <v>4336</v>
      </c>
      <c r="F254" s="833" t="s">
        <v>1199</v>
      </c>
      <c r="G254" s="197" t="s">
        <v>1199</v>
      </c>
      <c r="H254" s="5287"/>
      <c r="I254" s="850"/>
      <c r="J254" s="63"/>
      <c r="K254" s="63"/>
      <c r="L254" s="693" t="s">
        <v>37</v>
      </c>
      <c r="M254" s="63"/>
      <c r="N254" s="34"/>
      <c r="O254" s="34"/>
      <c r="P254" s="34"/>
      <c r="Q254" s="63"/>
      <c r="R254" s="63"/>
      <c r="S254" s="64"/>
      <c r="T254" s="64"/>
      <c r="U254" s="56"/>
      <c r="V254"/>
      <c r="W254"/>
    </row>
    <row r="255" spans="1:24" ht="53.25" customHeight="1">
      <c r="A255" s="296" t="s">
        <v>85</v>
      </c>
      <c r="B255" s="450">
        <v>45350</v>
      </c>
      <c r="C255" s="82">
        <f t="shared" si="3"/>
        <v>9</v>
      </c>
      <c r="D255" s="72" t="s">
        <v>1071</v>
      </c>
      <c r="E255" s="856" t="s">
        <v>4337</v>
      </c>
      <c r="F255" s="223" t="s">
        <v>1199</v>
      </c>
      <c r="G255" s="208" t="s">
        <v>1199</v>
      </c>
      <c r="H255" s="5288">
        <v>705</v>
      </c>
      <c r="I255" s="221"/>
      <c r="J255" s="70"/>
      <c r="K255" s="70"/>
      <c r="L255" s="695"/>
      <c r="M255" s="70" t="s">
        <v>37</v>
      </c>
      <c r="N255" s="20" t="s">
        <v>109</v>
      </c>
      <c r="O255" s="20" t="s">
        <v>484</v>
      </c>
      <c r="P255" s="20" t="s">
        <v>4330</v>
      </c>
      <c r="Q255" s="867">
        <v>3</v>
      </c>
      <c r="R255" s="70"/>
      <c r="S255" s="71"/>
      <c r="T255" s="71"/>
      <c r="U255" s="50" t="s">
        <v>4338</v>
      </c>
      <c r="V255"/>
      <c r="W255"/>
      <c r="X255">
        <f ca="1">X255</f>
        <v>0</v>
      </c>
    </row>
    <row r="256" spans="1:24" ht="27" customHeight="1">
      <c r="A256" s="296" t="s">
        <v>85</v>
      </c>
      <c r="B256" s="450">
        <v>45350</v>
      </c>
      <c r="C256" s="82">
        <f t="shared" si="3"/>
        <v>9</v>
      </c>
      <c r="D256" s="68" t="s">
        <v>4303</v>
      </c>
      <c r="E256" s="128" t="s">
        <v>129</v>
      </c>
      <c r="F256" s="221" t="s">
        <v>1199</v>
      </c>
      <c r="G256" s="205" t="s">
        <v>1199</v>
      </c>
      <c r="H256" s="5288">
        <v>701</v>
      </c>
      <c r="I256" s="221"/>
      <c r="J256" s="70"/>
      <c r="K256" s="70"/>
      <c r="L256" s="695"/>
      <c r="M256" s="70" t="s">
        <v>37</v>
      </c>
      <c r="N256" s="20" t="s">
        <v>0</v>
      </c>
      <c r="O256" s="20" t="s">
        <v>31</v>
      </c>
      <c r="P256" s="20" t="s">
        <v>4339</v>
      </c>
      <c r="Q256" s="70"/>
      <c r="R256" s="70"/>
      <c r="S256" s="71" t="s">
        <v>37</v>
      </c>
      <c r="T256" s="71"/>
      <c r="U256" s="50" t="s">
        <v>4340</v>
      </c>
      <c r="V256"/>
      <c r="W256"/>
    </row>
    <row r="257" spans="1:23" ht="27" customHeight="1">
      <c r="A257" s="296" t="s">
        <v>85</v>
      </c>
      <c r="B257" s="450">
        <v>45350</v>
      </c>
      <c r="C257" s="82">
        <f t="shared" si="3"/>
        <v>9</v>
      </c>
      <c r="D257" s="851" t="s">
        <v>4341</v>
      </c>
      <c r="E257" s="852" t="s">
        <v>1446</v>
      </c>
      <c r="F257" s="216" t="s">
        <v>1199</v>
      </c>
      <c r="G257" s="203" t="s">
        <v>1199</v>
      </c>
      <c r="H257" s="5288"/>
      <c r="I257" s="221"/>
      <c r="J257" s="70"/>
      <c r="K257" s="70"/>
      <c r="L257" s="695" t="s">
        <v>37</v>
      </c>
      <c r="M257" s="70"/>
      <c r="N257" s="21"/>
      <c r="O257" s="21"/>
      <c r="P257" s="21"/>
      <c r="Q257" s="70"/>
      <c r="R257" s="70"/>
      <c r="S257" s="71"/>
      <c r="T257" s="71"/>
      <c r="U257" s="50"/>
      <c r="V257"/>
      <c r="W257"/>
    </row>
    <row r="258" spans="1:23" ht="27" customHeight="1">
      <c r="A258" s="296" t="s">
        <v>85</v>
      </c>
      <c r="B258" s="450">
        <v>45350</v>
      </c>
      <c r="C258" s="82">
        <f t="shared" si="3"/>
        <v>9</v>
      </c>
      <c r="D258" s="68" t="s">
        <v>3073</v>
      </c>
      <c r="E258" s="128" t="s">
        <v>1598</v>
      </c>
      <c r="F258" s="223" t="s">
        <v>1199</v>
      </c>
      <c r="G258" s="208" t="s">
        <v>1199</v>
      </c>
      <c r="H258" s="5288"/>
      <c r="I258" s="221"/>
      <c r="J258" s="70"/>
      <c r="K258" s="70"/>
      <c r="L258" s="695" t="s">
        <v>37</v>
      </c>
      <c r="M258" s="70"/>
      <c r="N258" s="21"/>
      <c r="O258" s="21"/>
      <c r="P258" s="21"/>
      <c r="Q258" s="70"/>
      <c r="R258" s="632">
        <v>1</v>
      </c>
      <c r="S258" s="71"/>
      <c r="T258" s="71"/>
      <c r="U258" s="50"/>
      <c r="V258"/>
      <c r="W258"/>
    </row>
    <row r="259" spans="1:23" ht="27" customHeight="1">
      <c r="A259" s="296" t="s">
        <v>85</v>
      </c>
      <c r="B259" s="450">
        <v>45350</v>
      </c>
      <c r="C259" s="82">
        <f t="shared" si="3"/>
        <v>9</v>
      </c>
      <c r="D259" s="835" t="s">
        <v>216</v>
      </c>
      <c r="E259" s="836" t="s">
        <v>4212</v>
      </c>
      <c r="F259" s="216" t="s">
        <v>1199</v>
      </c>
      <c r="G259" s="203" t="s">
        <v>1199</v>
      </c>
      <c r="H259" s="5288"/>
      <c r="I259" s="221"/>
      <c r="J259" s="70"/>
      <c r="K259" s="70"/>
      <c r="L259" s="695" t="s">
        <v>37</v>
      </c>
      <c r="M259" s="70"/>
      <c r="N259" s="21"/>
      <c r="O259" s="21"/>
      <c r="P259" s="21"/>
      <c r="Q259" s="70"/>
      <c r="R259" s="70"/>
      <c r="S259" s="71"/>
      <c r="T259" s="71"/>
      <c r="U259" s="50"/>
      <c r="V259"/>
      <c r="W259"/>
    </row>
    <row r="260" spans="1:23" ht="27" customHeight="1">
      <c r="A260" s="296" t="s">
        <v>85</v>
      </c>
      <c r="B260" s="450">
        <v>45350</v>
      </c>
      <c r="C260" s="82">
        <f t="shared" si="3"/>
        <v>9</v>
      </c>
      <c r="D260" s="835" t="s">
        <v>4213</v>
      </c>
      <c r="E260" s="836" t="s">
        <v>3462</v>
      </c>
      <c r="F260" s="216" t="s">
        <v>1199</v>
      </c>
      <c r="G260" s="203" t="s">
        <v>1199</v>
      </c>
      <c r="H260" s="5288"/>
      <c r="I260" s="221"/>
      <c r="J260" s="70"/>
      <c r="K260" s="70"/>
      <c r="L260" s="695" t="s">
        <v>37</v>
      </c>
      <c r="M260" s="70"/>
      <c r="N260" s="21"/>
      <c r="O260" s="21"/>
      <c r="P260" s="21"/>
      <c r="Q260" s="70"/>
      <c r="R260" s="70"/>
      <c r="S260" s="71"/>
      <c r="T260" s="71"/>
      <c r="U260" s="50"/>
      <c r="V260"/>
      <c r="W260"/>
    </row>
    <row r="261" spans="1:23" ht="27" customHeight="1">
      <c r="A261" s="296" t="s">
        <v>85</v>
      </c>
      <c r="B261" s="450">
        <v>45350</v>
      </c>
      <c r="C261" s="82">
        <f t="shared" si="3"/>
        <v>9</v>
      </c>
      <c r="D261" s="134" t="s">
        <v>4342</v>
      </c>
      <c r="E261" s="138" t="s">
        <v>4155</v>
      </c>
      <c r="F261" s="223" t="s">
        <v>1199</v>
      </c>
      <c r="G261" s="208" t="s">
        <v>1199</v>
      </c>
      <c r="H261" s="5288"/>
      <c r="I261" s="221"/>
      <c r="J261" s="70"/>
      <c r="K261" s="70"/>
      <c r="L261" s="695" t="s">
        <v>37</v>
      </c>
      <c r="M261" s="70"/>
      <c r="N261" s="21"/>
      <c r="O261" s="21"/>
      <c r="P261" s="21"/>
      <c r="Q261" s="70"/>
      <c r="R261" s="70"/>
      <c r="S261" s="71"/>
      <c r="T261" s="71"/>
      <c r="U261" s="50"/>
      <c r="V261"/>
      <c r="W261"/>
    </row>
    <row r="262" spans="1:23" ht="27" customHeight="1">
      <c r="A262" s="296" t="s">
        <v>85</v>
      </c>
      <c r="B262" s="450">
        <v>45350</v>
      </c>
      <c r="C262" s="82">
        <f t="shared" si="3"/>
        <v>9</v>
      </c>
      <c r="D262" s="134" t="s">
        <v>1698</v>
      </c>
      <c r="E262" s="138" t="s">
        <v>3006</v>
      </c>
      <c r="F262" s="223" t="s">
        <v>1199</v>
      </c>
      <c r="G262" s="208" t="s">
        <v>1199</v>
      </c>
      <c r="H262" s="5288"/>
      <c r="I262" s="221"/>
      <c r="J262" s="70"/>
      <c r="K262" s="70"/>
      <c r="L262" s="695" t="s">
        <v>37</v>
      </c>
      <c r="M262" s="70"/>
      <c r="N262" s="21"/>
      <c r="O262" s="21"/>
      <c r="P262" s="21"/>
      <c r="Q262" s="70"/>
      <c r="R262" s="70"/>
      <c r="S262" s="71"/>
      <c r="T262" s="71"/>
      <c r="U262" s="50"/>
      <c r="V262"/>
      <c r="W262"/>
    </row>
    <row r="263" spans="1:23" ht="27" customHeight="1">
      <c r="A263" s="296" t="s">
        <v>85</v>
      </c>
      <c r="B263" s="450">
        <v>45350</v>
      </c>
      <c r="C263" s="82">
        <f t="shared" si="3"/>
        <v>9</v>
      </c>
      <c r="D263" s="171" t="s">
        <v>4343</v>
      </c>
      <c r="E263" s="868" t="s">
        <v>4344</v>
      </c>
      <c r="F263" s="216" t="s">
        <v>1199</v>
      </c>
      <c r="G263" s="203" t="s">
        <v>1199</v>
      </c>
      <c r="H263" s="872"/>
      <c r="I263" s="143"/>
      <c r="J263" s="70"/>
      <c r="K263" s="70"/>
      <c r="L263" s="695" t="s">
        <v>37</v>
      </c>
      <c r="M263" s="70"/>
      <c r="N263" s="21"/>
      <c r="O263" s="21"/>
      <c r="P263" s="21"/>
      <c r="Q263" s="70"/>
      <c r="R263" s="70"/>
      <c r="S263" s="71"/>
      <c r="T263" s="71"/>
      <c r="U263" s="50"/>
      <c r="V263"/>
      <c r="W263"/>
    </row>
    <row r="264" spans="1:23" ht="53.25" customHeight="1">
      <c r="A264" s="296" t="s">
        <v>85</v>
      </c>
      <c r="B264" s="450">
        <v>45350</v>
      </c>
      <c r="C264" s="82">
        <f t="shared" si="3"/>
        <v>9</v>
      </c>
      <c r="D264" s="171" t="s">
        <v>939</v>
      </c>
      <c r="E264" s="868" t="s">
        <v>4345</v>
      </c>
      <c r="F264" s="216" t="s">
        <v>1768</v>
      </c>
      <c r="G264" s="203" t="s">
        <v>1768</v>
      </c>
      <c r="H264" s="876"/>
      <c r="I264" s="873"/>
      <c r="J264" s="70"/>
      <c r="K264" s="5227" t="s">
        <v>174</v>
      </c>
      <c r="L264" s="695"/>
      <c r="M264" s="70" t="s">
        <v>37</v>
      </c>
      <c r="N264" s="20" t="s">
        <v>0</v>
      </c>
      <c r="O264" s="20" t="s">
        <v>319</v>
      </c>
      <c r="P264" s="20" t="s">
        <v>4082</v>
      </c>
      <c r="Q264" s="70"/>
      <c r="R264" s="70"/>
      <c r="S264" s="71"/>
      <c r="T264" s="71"/>
      <c r="U264" s="50" t="s">
        <v>4346</v>
      </c>
      <c r="V264"/>
      <c r="W264"/>
    </row>
    <row r="265" spans="1:23" ht="27" customHeight="1">
      <c r="A265" s="296" t="s">
        <v>85</v>
      </c>
      <c r="B265" s="450">
        <v>45350</v>
      </c>
      <c r="C265" s="82">
        <f t="shared" si="3"/>
        <v>9</v>
      </c>
      <c r="D265" s="68" t="s">
        <v>4343</v>
      </c>
      <c r="E265" s="128" t="s">
        <v>1091</v>
      </c>
      <c r="F265" s="223" t="s">
        <v>1199</v>
      </c>
      <c r="G265" s="208" t="s">
        <v>1199</v>
      </c>
      <c r="H265" s="5249"/>
      <c r="I265" s="5256"/>
      <c r="J265" s="5231"/>
      <c r="K265" s="5231" t="s">
        <v>4206</v>
      </c>
      <c r="L265" s="695" t="s">
        <v>37</v>
      </c>
      <c r="M265" s="70"/>
      <c r="N265" s="21"/>
      <c r="O265" s="21"/>
      <c r="P265" s="21"/>
      <c r="Q265" s="70"/>
      <c r="R265" s="70"/>
      <c r="S265" s="71"/>
      <c r="T265" s="71"/>
      <c r="U265" s="50"/>
      <c r="V265"/>
      <c r="W265"/>
    </row>
    <row r="266" spans="1:23" ht="27" customHeight="1" thickBot="1">
      <c r="A266" s="307" t="s">
        <v>85</v>
      </c>
      <c r="B266" s="453">
        <v>45350</v>
      </c>
      <c r="C266" s="169">
        <f t="shared" si="3"/>
        <v>9</v>
      </c>
      <c r="D266" s="168" t="s">
        <v>1598</v>
      </c>
      <c r="E266" s="869" t="s">
        <v>205</v>
      </c>
      <c r="F266" s="859" t="s">
        <v>1199</v>
      </c>
      <c r="G266" s="860" t="s">
        <v>1199</v>
      </c>
      <c r="H266" s="5248"/>
      <c r="I266" s="5315"/>
      <c r="J266" s="5309"/>
      <c r="K266" s="5231" t="s">
        <v>4206</v>
      </c>
      <c r="L266" s="697" t="s">
        <v>37</v>
      </c>
      <c r="M266" s="31"/>
      <c r="N266" s="24"/>
      <c r="O266" s="24"/>
      <c r="P266" s="24"/>
      <c r="Q266" s="31"/>
      <c r="R266" s="31"/>
      <c r="S266" s="33"/>
      <c r="T266" s="33"/>
      <c r="U266" s="53"/>
      <c r="V266"/>
      <c r="W266"/>
    </row>
    <row r="267" spans="1:23" ht="27" customHeight="1">
      <c r="A267" s="297" t="s">
        <v>105</v>
      </c>
      <c r="B267" s="454">
        <v>45351</v>
      </c>
      <c r="C267" s="846">
        <f t="shared" si="3"/>
        <v>9</v>
      </c>
      <c r="D267" s="104" t="s">
        <v>216</v>
      </c>
      <c r="E267" s="870" t="s">
        <v>514</v>
      </c>
      <c r="F267" s="215" t="s">
        <v>1199</v>
      </c>
      <c r="G267" s="207" t="s">
        <v>1199</v>
      </c>
      <c r="H267" s="5302"/>
      <c r="I267" s="5314"/>
      <c r="J267" s="5247"/>
      <c r="K267" s="5231" t="s">
        <v>4206</v>
      </c>
      <c r="L267" s="693" t="s">
        <v>37</v>
      </c>
      <c r="M267" s="63"/>
      <c r="N267" s="34"/>
      <c r="O267" s="34"/>
      <c r="P267" s="34"/>
      <c r="Q267" s="63"/>
      <c r="R267" s="63"/>
      <c r="S267" s="64"/>
      <c r="T267" s="64"/>
      <c r="U267" s="56"/>
      <c r="V267"/>
      <c r="W267"/>
    </row>
    <row r="268" spans="1:23" ht="27" customHeight="1">
      <c r="A268" s="296" t="s">
        <v>105</v>
      </c>
      <c r="B268" s="450">
        <v>45351</v>
      </c>
      <c r="C268" s="82">
        <f t="shared" si="3"/>
        <v>9</v>
      </c>
      <c r="D268" s="72" t="s">
        <v>4347</v>
      </c>
      <c r="E268" s="856" t="s">
        <v>4337</v>
      </c>
      <c r="F268" s="220" t="s">
        <v>1199</v>
      </c>
      <c r="G268" s="871" t="s">
        <v>1199</v>
      </c>
      <c r="H268" s="866"/>
      <c r="I268" s="221"/>
      <c r="J268" s="70"/>
      <c r="K268" s="70"/>
      <c r="L268" s="695" t="s">
        <v>37</v>
      </c>
      <c r="M268" s="70"/>
      <c r="N268" s="21"/>
      <c r="O268" s="21"/>
      <c r="P268" s="21"/>
      <c r="Q268" s="70"/>
      <c r="R268" s="70"/>
      <c r="S268" s="71"/>
      <c r="T268" s="71"/>
      <c r="U268" s="50" t="s">
        <v>4348</v>
      </c>
      <c r="V268"/>
      <c r="W268"/>
    </row>
    <row r="269" spans="1:23" ht="53.25" customHeight="1">
      <c r="A269" s="296" t="s">
        <v>105</v>
      </c>
      <c r="B269" s="450">
        <v>45351</v>
      </c>
      <c r="C269" s="82">
        <f t="shared" si="3"/>
        <v>9</v>
      </c>
      <c r="D269" s="72" t="s">
        <v>77</v>
      </c>
      <c r="E269" s="856" t="s">
        <v>4349</v>
      </c>
      <c r="F269" s="216" t="s">
        <v>3383</v>
      </c>
      <c r="G269" s="203" t="s">
        <v>3383</v>
      </c>
      <c r="H269" s="872"/>
      <c r="I269" s="873"/>
      <c r="J269" s="70"/>
      <c r="K269" s="70"/>
      <c r="L269" s="695"/>
      <c r="M269" s="70" t="s">
        <v>37</v>
      </c>
      <c r="N269" s="20" t="s">
        <v>109</v>
      </c>
      <c r="O269" s="20" t="s">
        <v>484</v>
      </c>
      <c r="P269" s="20" t="s">
        <v>4082</v>
      </c>
      <c r="Q269" s="70"/>
      <c r="R269" s="867">
        <v>3</v>
      </c>
      <c r="S269" s="71"/>
      <c r="T269" s="71"/>
      <c r="U269" s="50" t="s">
        <v>4350</v>
      </c>
      <c r="V269"/>
      <c r="W269"/>
    </row>
    <row r="270" spans="1:23" ht="27" customHeight="1">
      <c r="A270" s="296" t="s">
        <v>105</v>
      </c>
      <c r="B270" s="450">
        <v>45351</v>
      </c>
      <c r="C270" s="82">
        <f t="shared" si="3"/>
        <v>9</v>
      </c>
      <c r="D270" s="68" t="s">
        <v>857</v>
      </c>
      <c r="E270" s="128" t="s">
        <v>4351</v>
      </c>
      <c r="F270" s="216" t="s">
        <v>1199</v>
      </c>
      <c r="G270" s="203" t="s">
        <v>1199</v>
      </c>
      <c r="H270" s="5249">
        <v>701</v>
      </c>
      <c r="I270" s="5256"/>
      <c r="J270" s="5231"/>
      <c r="K270" s="70" t="s">
        <v>627</v>
      </c>
      <c r="L270" s="695" t="s">
        <v>37</v>
      </c>
      <c r="M270" s="70"/>
      <c r="N270" s="21"/>
      <c r="O270" s="21"/>
      <c r="P270" s="21"/>
      <c r="Q270" s="70"/>
      <c r="R270" s="70"/>
      <c r="S270" s="71"/>
      <c r="T270" s="71"/>
      <c r="U270" s="50" t="s">
        <v>4352</v>
      </c>
      <c r="V270"/>
      <c r="W270"/>
    </row>
    <row r="271" spans="1:23" ht="53.25" customHeight="1">
      <c r="A271" s="296" t="s">
        <v>105</v>
      </c>
      <c r="B271" s="450">
        <v>45351</v>
      </c>
      <c r="C271" s="82">
        <f t="shared" si="3"/>
        <v>9</v>
      </c>
      <c r="D271" s="68" t="s">
        <v>1698</v>
      </c>
      <c r="E271" s="128" t="s">
        <v>502</v>
      </c>
      <c r="F271" s="216" t="s">
        <v>1206</v>
      </c>
      <c r="G271" s="203" t="s">
        <v>1206</v>
      </c>
      <c r="H271" s="838"/>
      <c r="I271" s="221"/>
      <c r="J271" s="70"/>
      <c r="K271" s="70"/>
      <c r="L271" s="695"/>
      <c r="M271" s="70" t="s">
        <v>37</v>
      </c>
      <c r="N271" s="20" t="s">
        <v>109</v>
      </c>
      <c r="O271" s="20" t="s">
        <v>1109</v>
      </c>
      <c r="P271" s="20" t="s">
        <v>4080</v>
      </c>
      <c r="Q271" s="874">
        <v>2</v>
      </c>
      <c r="R271" s="70"/>
      <c r="S271" s="71"/>
      <c r="T271" s="71"/>
      <c r="U271" s="50" t="s">
        <v>4353</v>
      </c>
      <c r="V271"/>
      <c r="W271"/>
    </row>
    <row r="272" spans="1:23" ht="53.25" customHeight="1">
      <c r="A272" s="296" t="s">
        <v>105</v>
      </c>
      <c r="B272" s="450">
        <v>45351</v>
      </c>
      <c r="C272" s="82">
        <f t="shared" si="3"/>
        <v>9</v>
      </c>
      <c r="D272" s="177" t="s">
        <v>1685</v>
      </c>
      <c r="E272" s="696" t="s">
        <v>275</v>
      </c>
      <c r="F272" s="216" t="s">
        <v>1199</v>
      </c>
      <c r="G272" s="203" t="s">
        <v>1199</v>
      </c>
      <c r="H272" s="876"/>
      <c r="I272" s="873"/>
      <c r="J272" s="70"/>
      <c r="K272" s="484" t="s">
        <v>29</v>
      </c>
      <c r="L272" s="695"/>
      <c r="M272" s="70" t="s">
        <v>37</v>
      </c>
      <c r="N272" s="20" t="s">
        <v>0</v>
      </c>
      <c r="O272" s="20" t="s">
        <v>4101</v>
      </c>
      <c r="P272" s="20" t="s">
        <v>4102</v>
      </c>
      <c r="Q272" s="70"/>
      <c r="R272" s="70"/>
      <c r="S272" s="71"/>
      <c r="T272" s="71"/>
      <c r="U272" s="50" t="s">
        <v>4354</v>
      </c>
      <c r="V272"/>
      <c r="W272"/>
    </row>
    <row r="273" spans="1:23" ht="27" customHeight="1">
      <c r="A273" s="296" t="s">
        <v>105</v>
      </c>
      <c r="B273" s="450">
        <v>45351</v>
      </c>
      <c r="C273" s="82">
        <f t="shared" si="3"/>
        <v>9</v>
      </c>
      <c r="D273" s="76" t="s">
        <v>4355</v>
      </c>
      <c r="E273" s="137" t="s">
        <v>4356</v>
      </c>
      <c r="F273" s="837" t="s">
        <v>1206</v>
      </c>
      <c r="G273" s="201" t="s">
        <v>1206</v>
      </c>
      <c r="H273" s="872"/>
      <c r="I273" s="873"/>
      <c r="J273" s="70"/>
      <c r="K273" s="70"/>
      <c r="L273" s="695" t="s">
        <v>37</v>
      </c>
      <c r="M273" s="70"/>
      <c r="N273" s="21"/>
      <c r="O273" s="21"/>
      <c r="P273" s="21"/>
      <c r="Q273" s="70"/>
      <c r="R273" s="70"/>
      <c r="S273" s="71" t="s">
        <v>37</v>
      </c>
      <c r="T273" s="71"/>
      <c r="U273" s="50"/>
      <c r="V273"/>
      <c r="W273"/>
    </row>
    <row r="274" spans="1:23" ht="27" customHeight="1">
      <c r="A274" s="296" t="s">
        <v>105</v>
      </c>
      <c r="B274" s="450">
        <v>45351</v>
      </c>
      <c r="C274" s="82">
        <f t="shared" si="3"/>
        <v>9</v>
      </c>
      <c r="D274" s="68" t="s">
        <v>63</v>
      </c>
      <c r="E274" s="128" t="s">
        <v>1987</v>
      </c>
      <c r="F274" s="221" t="s">
        <v>1199</v>
      </c>
      <c r="G274" s="203" t="s">
        <v>1199</v>
      </c>
      <c r="H274" s="838"/>
      <c r="I274" s="221"/>
      <c r="J274" s="70"/>
      <c r="K274" s="70"/>
      <c r="L274" s="695" t="s">
        <v>37</v>
      </c>
      <c r="M274" s="70"/>
      <c r="N274" s="21"/>
      <c r="O274" s="21"/>
      <c r="P274" s="21"/>
      <c r="Q274" s="70"/>
      <c r="R274" s="70"/>
      <c r="S274" s="71"/>
      <c r="T274" s="71"/>
      <c r="U274" s="50"/>
      <c r="V274"/>
      <c r="W274"/>
    </row>
    <row r="275" spans="1:23" ht="27" customHeight="1" thickBot="1">
      <c r="A275" s="307" t="s">
        <v>105</v>
      </c>
      <c r="B275" s="453">
        <v>45351</v>
      </c>
      <c r="C275" s="169">
        <f t="shared" si="3"/>
        <v>9</v>
      </c>
      <c r="D275" s="168" t="s">
        <v>4357</v>
      </c>
      <c r="E275" s="869" t="s">
        <v>659</v>
      </c>
      <c r="F275" s="843" t="s">
        <v>1199</v>
      </c>
      <c r="G275" s="844" t="s">
        <v>1199</v>
      </c>
      <c r="H275" s="845"/>
      <c r="I275" s="222"/>
      <c r="J275" s="90"/>
      <c r="K275" s="90"/>
      <c r="L275" s="697" t="s">
        <v>37</v>
      </c>
      <c r="M275" s="31"/>
      <c r="N275" s="24"/>
      <c r="O275" s="24"/>
      <c r="P275" s="24"/>
      <c r="Q275" s="31"/>
      <c r="R275" s="31"/>
      <c r="S275" s="33"/>
      <c r="T275" s="33"/>
      <c r="U275" s="53"/>
      <c r="V275"/>
      <c r="W275"/>
    </row>
    <row r="276" spans="1:23" ht="27" customHeight="1">
      <c r="A276" s="297" t="s">
        <v>132</v>
      </c>
      <c r="B276" s="454">
        <v>45352</v>
      </c>
      <c r="C276" s="846">
        <f t="shared" si="3"/>
        <v>9</v>
      </c>
      <c r="D276" s="104" t="s">
        <v>450</v>
      </c>
      <c r="E276" s="870" t="s">
        <v>4358</v>
      </c>
      <c r="F276" s="215" t="s">
        <v>1199</v>
      </c>
      <c r="G276" s="207" t="s">
        <v>1199</v>
      </c>
      <c r="H276" s="849"/>
      <c r="I276" s="850"/>
      <c r="J276" s="63"/>
      <c r="K276" s="63"/>
      <c r="L276" s="693" t="s">
        <v>37</v>
      </c>
      <c r="M276" s="63"/>
      <c r="N276" s="34"/>
      <c r="O276" s="34"/>
      <c r="P276" s="34"/>
      <c r="Q276" s="63"/>
      <c r="R276" s="63"/>
      <c r="S276" s="64"/>
      <c r="T276" s="64"/>
      <c r="U276" s="56"/>
      <c r="V276"/>
      <c r="W276"/>
    </row>
    <row r="277" spans="1:23" ht="27" customHeight="1">
      <c r="A277" s="296" t="s">
        <v>132</v>
      </c>
      <c r="B277" s="450">
        <v>45352</v>
      </c>
      <c r="C277" s="82">
        <f t="shared" si="3"/>
        <v>9</v>
      </c>
      <c r="D277" s="651" t="s">
        <v>1685</v>
      </c>
      <c r="E277" s="875" t="s">
        <v>4359</v>
      </c>
      <c r="F277" s="223" t="s">
        <v>1199</v>
      </c>
      <c r="G277" s="208" t="s">
        <v>1199</v>
      </c>
      <c r="H277" s="876"/>
      <c r="I277" s="873"/>
      <c r="J277" s="70"/>
      <c r="K277" s="484" t="s">
        <v>29</v>
      </c>
      <c r="L277" s="695" t="s">
        <v>37</v>
      </c>
      <c r="M277" s="70"/>
      <c r="N277" s="21"/>
      <c r="O277" s="21"/>
      <c r="P277" s="21"/>
      <c r="Q277" s="70"/>
      <c r="R277" s="70"/>
      <c r="S277" s="71"/>
      <c r="T277" s="71"/>
      <c r="U277" s="50"/>
      <c r="V277"/>
      <c r="W277"/>
    </row>
    <row r="278" spans="1:23" ht="27" customHeight="1">
      <c r="A278" s="296" t="s">
        <v>132</v>
      </c>
      <c r="B278" s="450">
        <v>45352</v>
      </c>
      <c r="C278" s="82">
        <f t="shared" si="3"/>
        <v>9</v>
      </c>
      <c r="D278" s="72" t="s">
        <v>77</v>
      </c>
      <c r="E278" s="856" t="s">
        <v>4360</v>
      </c>
      <c r="F278" s="223" t="s">
        <v>1199</v>
      </c>
      <c r="G278" s="208" t="s">
        <v>1199</v>
      </c>
      <c r="H278" s="876"/>
      <c r="I278" s="873"/>
      <c r="J278" s="70"/>
      <c r="K278" s="70" t="s">
        <v>1613</v>
      </c>
      <c r="L278" s="695" t="s">
        <v>37</v>
      </c>
      <c r="M278" s="70"/>
      <c r="N278" s="21"/>
      <c r="O278" s="21"/>
      <c r="P278" s="21"/>
      <c r="Q278" s="70"/>
      <c r="R278" s="70"/>
      <c r="S278" s="71"/>
      <c r="T278" s="71"/>
      <c r="U278" s="50"/>
      <c r="V278"/>
      <c r="W278"/>
    </row>
    <row r="279" spans="1:23" ht="27" customHeight="1">
      <c r="A279" s="296" t="s">
        <v>132</v>
      </c>
      <c r="B279" s="450">
        <v>45352</v>
      </c>
      <c r="C279" s="82">
        <f t="shared" si="3"/>
        <v>9</v>
      </c>
      <c r="D279" s="72" t="s">
        <v>2429</v>
      </c>
      <c r="E279" s="856" t="s">
        <v>879</v>
      </c>
      <c r="F279" s="223"/>
      <c r="G279" s="208"/>
      <c r="H279" s="876"/>
      <c r="I279" s="873"/>
      <c r="J279" s="70"/>
      <c r="K279" s="70"/>
      <c r="L279" s="695" t="s">
        <v>37</v>
      </c>
      <c r="M279" s="70"/>
      <c r="N279" s="21"/>
      <c r="O279" s="21"/>
      <c r="P279" s="21"/>
      <c r="Q279" s="70"/>
      <c r="R279" s="70"/>
      <c r="S279" s="71" t="s">
        <v>37</v>
      </c>
      <c r="T279" s="71"/>
      <c r="U279" s="50"/>
      <c r="V279"/>
      <c r="W279"/>
    </row>
    <row r="280" spans="1:23" ht="27" customHeight="1">
      <c r="A280" s="296" t="s">
        <v>132</v>
      </c>
      <c r="B280" s="450">
        <v>45352</v>
      </c>
      <c r="C280" s="82">
        <f t="shared" si="3"/>
        <v>9</v>
      </c>
      <c r="D280" s="68" t="s">
        <v>1698</v>
      </c>
      <c r="E280" s="128" t="s">
        <v>502</v>
      </c>
      <c r="F280" s="223" t="s">
        <v>1199</v>
      </c>
      <c r="G280" s="208" t="s">
        <v>1199</v>
      </c>
      <c r="H280" s="703"/>
      <c r="I280" s="216"/>
      <c r="J280" s="69"/>
      <c r="K280" s="69"/>
      <c r="L280" s="695" t="s">
        <v>37</v>
      </c>
      <c r="M280" s="49"/>
      <c r="N280" s="21"/>
      <c r="O280" s="21"/>
      <c r="P280" s="21"/>
      <c r="Q280" s="70"/>
      <c r="R280" s="874">
        <v>2</v>
      </c>
      <c r="S280" s="71"/>
      <c r="T280" s="71"/>
      <c r="U280" s="50"/>
      <c r="V280"/>
      <c r="W280"/>
    </row>
    <row r="281" spans="1:23" ht="27" customHeight="1">
      <c r="A281" s="296" t="s">
        <v>132</v>
      </c>
      <c r="B281" s="450">
        <v>45352</v>
      </c>
      <c r="C281" s="82">
        <f t="shared" si="3"/>
        <v>9</v>
      </c>
      <c r="D281" s="156" t="s">
        <v>3006</v>
      </c>
      <c r="E281" s="877" t="s">
        <v>1052</v>
      </c>
      <c r="F281" s="878" t="s">
        <v>1199</v>
      </c>
      <c r="G281" s="879" t="s">
        <v>1199</v>
      </c>
      <c r="H281" s="872"/>
      <c r="I281" s="873"/>
      <c r="J281" s="70"/>
      <c r="K281" s="70"/>
      <c r="L281" s="695" t="s">
        <v>37</v>
      </c>
      <c r="M281" s="70"/>
      <c r="N281" s="21"/>
      <c r="O281" s="21"/>
      <c r="P281" s="21"/>
      <c r="Q281" s="70"/>
      <c r="R281" s="70"/>
      <c r="S281" s="71"/>
      <c r="T281" s="71"/>
      <c r="U281" s="50"/>
      <c r="V281"/>
      <c r="W281"/>
    </row>
    <row r="282" spans="1:23" ht="27" customHeight="1">
      <c r="A282" s="296" t="s">
        <v>132</v>
      </c>
      <c r="B282" s="450">
        <v>45352</v>
      </c>
      <c r="C282" s="82">
        <f t="shared" si="3"/>
        <v>9</v>
      </c>
      <c r="D282" s="156" t="s">
        <v>258</v>
      </c>
      <c r="E282" s="877" t="s">
        <v>61</v>
      </c>
      <c r="F282" s="139" t="s">
        <v>1199</v>
      </c>
      <c r="G282" s="202" t="s">
        <v>1199</v>
      </c>
      <c r="H282" s="872"/>
      <c r="I282" s="873"/>
      <c r="J282" s="70"/>
      <c r="K282" s="70"/>
      <c r="L282" s="695" t="s">
        <v>37</v>
      </c>
      <c r="M282" s="70"/>
      <c r="N282" s="21"/>
      <c r="O282" s="21"/>
      <c r="P282" s="21"/>
      <c r="Q282" s="70"/>
      <c r="R282" s="70"/>
      <c r="S282" s="71"/>
      <c r="T282" s="71"/>
      <c r="U282" s="50"/>
      <c r="V282"/>
      <c r="W282"/>
    </row>
    <row r="283" spans="1:23" ht="27" customHeight="1">
      <c r="A283" s="296" t="s">
        <v>132</v>
      </c>
      <c r="B283" s="450">
        <v>45352</v>
      </c>
      <c r="C283" s="82">
        <f t="shared" si="3"/>
        <v>9</v>
      </c>
      <c r="D283" s="68" t="s">
        <v>1838</v>
      </c>
      <c r="E283" s="128" t="s">
        <v>1698</v>
      </c>
      <c r="F283" s="837" t="s">
        <v>1199</v>
      </c>
      <c r="G283" s="201" t="s">
        <v>1199</v>
      </c>
      <c r="H283" s="838"/>
      <c r="I283" s="221"/>
      <c r="J283" s="70"/>
      <c r="K283" s="70"/>
      <c r="L283" s="695" t="s">
        <v>37</v>
      </c>
      <c r="M283" s="70"/>
      <c r="N283" s="21"/>
      <c r="O283" s="21"/>
      <c r="P283" s="21"/>
      <c r="Q283" s="70"/>
      <c r="R283" s="70"/>
      <c r="S283" s="71"/>
      <c r="T283" s="71"/>
      <c r="U283" s="50"/>
      <c r="V283"/>
      <c r="W283"/>
    </row>
    <row r="284" spans="1:23" ht="27" customHeight="1">
      <c r="A284" s="296" t="s">
        <v>132</v>
      </c>
      <c r="B284" s="450">
        <v>45352</v>
      </c>
      <c r="C284" s="82">
        <f t="shared" si="3"/>
        <v>9</v>
      </c>
      <c r="D284" s="68" t="s">
        <v>2717</v>
      </c>
      <c r="E284" s="128" t="s">
        <v>943</v>
      </c>
      <c r="F284" s="219" t="s">
        <v>1206</v>
      </c>
      <c r="G284" s="205" t="s">
        <v>1764</v>
      </c>
      <c r="H284" s="838"/>
      <c r="I284" s="221"/>
      <c r="J284" s="70"/>
      <c r="K284" s="70"/>
      <c r="L284" s="695" t="s">
        <v>37</v>
      </c>
      <c r="M284" s="70"/>
      <c r="N284" s="21"/>
      <c r="O284" s="21"/>
      <c r="P284" s="21"/>
      <c r="Q284" s="70"/>
      <c r="R284" s="70"/>
      <c r="S284" s="71"/>
      <c r="T284" s="71"/>
      <c r="U284" s="50"/>
      <c r="V284"/>
      <c r="W284"/>
    </row>
    <row r="285" spans="1:23" ht="27" customHeight="1">
      <c r="A285" s="296" t="s">
        <v>132</v>
      </c>
      <c r="B285" s="450">
        <v>45352</v>
      </c>
      <c r="C285" s="82">
        <f t="shared" si="3"/>
        <v>9</v>
      </c>
      <c r="D285" s="68" t="s">
        <v>675</v>
      </c>
      <c r="E285" s="128" t="s">
        <v>4361</v>
      </c>
      <c r="F285" s="139" t="s">
        <v>1199</v>
      </c>
      <c r="G285" s="202" t="s">
        <v>1764</v>
      </c>
      <c r="H285" s="5249">
        <v>701</v>
      </c>
      <c r="I285" s="5256"/>
      <c r="J285" s="5231"/>
      <c r="K285" s="70" t="s">
        <v>627</v>
      </c>
      <c r="L285" s="695" t="s">
        <v>37</v>
      </c>
      <c r="M285" s="70"/>
      <c r="N285" s="21"/>
      <c r="O285" s="21"/>
      <c r="P285" s="21"/>
      <c r="Q285" s="70"/>
      <c r="R285" s="70"/>
      <c r="S285" s="71"/>
      <c r="T285" s="71"/>
      <c r="U285" s="50"/>
      <c r="V285"/>
      <c r="W285"/>
    </row>
    <row r="286" spans="1:23" ht="27" customHeight="1" thickBot="1">
      <c r="A286" s="307" t="s">
        <v>143</v>
      </c>
      <c r="B286" s="453">
        <v>45353</v>
      </c>
      <c r="C286" s="169">
        <f t="shared" si="3"/>
        <v>9</v>
      </c>
      <c r="D286" s="30" t="s">
        <v>216</v>
      </c>
      <c r="E286" s="141" t="s">
        <v>924</v>
      </c>
      <c r="F286" s="880" t="s">
        <v>1199</v>
      </c>
      <c r="G286" s="209" t="s">
        <v>1199</v>
      </c>
      <c r="H286" s="5248"/>
      <c r="I286" s="5310"/>
      <c r="J286" s="5232"/>
      <c r="K286" s="5231" t="s">
        <v>4206</v>
      </c>
      <c r="L286" s="697" t="s">
        <v>37</v>
      </c>
      <c r="M286" s="31"/>
      <c r="N286" s="24"/>
      <c r="O286" s="24"/>
      <c r="P286" s="24"/>
      <c r="Q286" s="31"/>
      <c r="R286" s="31"/>
      <c r="S286" s="33"/>
      <c r="T286" s="33"/>
      <c r="U286" s="53"/>
      <c r="V286"/>
      <c r="W286"/>
    </row>
    <row r="287" spans="1:23" ht="53.25" customHeight="1">
      <c r="A287" s="297" t="s">
        <v>25</v>
      </c>
      <c r="B287" s="454">
        <v>45355</v>
      </c>
      <c r="C287" s="846">
        <f t="shared" si="3"/>
        <v>10</v>
      </c>
      <c r="D287" s="60" t="s">
        <v>1307</v>
      </c>
      <c r="E287" s="60" t="s">
        <v>4362</v>
      </c>
      <c r="F287" s="61" t="s">
        <v>1199</v>
      </c>
      <c r="G287" s="881" t="s">
        <v>1199</v>
      </c>
      <c r="H287" s="63"/>
      <c r="I287" s="62" t="s">
        <v>1199</v>
      </c>
      <c r="J287" s="63"/>
      <c r="K287" s="63"/>
      <c r="L287" s="63" t="s">
        <v>37</v>
      </c>
      <c r="M287" s="63"/>
      <c r="N287" s="34"/>
      <c r="O287" s="34"/>
      <c r="P287" s="34"/>
      <c r="Q287" s="63"/>
      <c r="R287" s="63"/>
      <c r="S287" s="64"/>
      <c r="T287" s="64" t="s">
        <v>4363</v>
      </c>
      <c r="U287" s="56"/>
      <c r="V287"/>
      <c r="W287"/>
    </row>
    <row r="288" spans="1:23" ht="27" customHeight="1">
      <c r="A288" s="296" t="s">
        <v>25</v>
      </c>
      <c r="B288" s="450">
        <v>45355</v>
      </c>
      <c r="C288" s="82">
        <f t="shared" si="3"/>
        <v>10</v>
      </c>
      <c r="D288" s="68" t="s">
        <v>4086</v>
      </c>
      <c r="E288" s="68" t="s">
        <v>4364</v>
      </c>
      <c r="F288" s="69" t="s">
        <v>1764</v>
      </c>
      <c r="G288" s="45" t="s">
        <v>1199</v>
      </c>
      <c r="H288" s="5231"/>
      <c r="I288" s="5231"/>
      <c r="J288" s="5231"/>
      <c r="K288" s="5231" t="s">
        <v>4206</v>
      </c>
      <c r="L288" s="70" t="s">
        <v>37</v>
      </c>
      <c r="M288" s="70"/>
      <c r="N288" s="21"/>
      <c r="O288" s="21"/>
      <c r="P288" s="21"/>
      <c r="Q288" s="70"/>
      <c r="R288" s="70"/>
      <c r="S288" s="71"/>
      <c r="T288" s="71"/>
      <c r="U288" s="50"/>
      <c r="V288"/>
      <c r="W288"/>
    </row>
    <row r="289" spans="1:23" ht="27" customHeight="1">
      <c r="A289" s="296" t="s">
        <v>25</v>
      </c>
      <c r="B289" s="450">
        <v>45355</v>
      </c>
      <c r="C289" s="82">
        <f t="shared" si="3"/>
        <v>10</v>
      </c>
      <c r="D289" s="68" t="s">
        <v>1293</v>
      </c>
      <c r="E289" s="68" t="s">
        <v>1564</v>
      </c>
      <c r="F289" s="45" t="s">
        <v>1199</v>
      </c>
      <c r="G289" s="45" t="s">
        <v>1199</v>
      </c>
      <c r="H289" s="5231"/>
      <c r="I289" s="5231"/>
      <c r="J289" s="5231"/>
      <c r="K289" s="5231" t="s">
        <v>4206</v>
      </c>
      <c r="L289" s="70" t="s">
        <v>37</v>
      </c>
      <c r="M289" s="70"/>
      <c r="N289" s="21"/>
      <c r="O289" s="21"/>
      <c r="P289" s="21"/>
      <c r="Q289" s="70"/>
      <c r="R289" s="70"/>
      <c r="S289" s="71"/>
      <c r="T289" s="71"/>
      <c r="U289" s="50"/>
      <c r="V289"/>
      <c r="W289"/>
    </row>
    <row r="290" spans="1:23" ht="27" customHeight="1">
      <c r="A290" s="296" t="s">
        <v>25</v>
      </c>
      <c r="B290" s="450">
        <v>45355</v>
      </c>
      <c r="C290" s="82">
        <f t="shared" si="3"/>
        <v>10</v>
      </c>
      <c r="D290" s="882"/>
      <c r="E290" s="68" t="s">
        <v>4365</v>
      </c>
      <c r="F290" s="69" t="s">
        <v>1199</v>
      </c>
      <c r="G290" s="69" t="s">
        <v>1199</v>
      </c>
      <c r="H290" s="673"/>
      <c r="I290" s="673"/>
      <c r="J290" s="70"/>
      <c r="K290" s="70" t="s">
        <v>1613</v>
      </c>
      <c r="L290" s="70" t="s">
        <v>37</v>
      </c>
      <c r="M290" s="70"/>
      <c r="N290" s="21"/>
      <c r="O290" s="21"/>
      <c r="P290" s="21"/>
      <c r="Q290" s="70"/>
      <c r="R290" s="70"/>
      <c r="S290" s="71"/>
      <c r="T290" s="71"/>
      <c r="U290" s="50"/>
      <c r="V290"/>
      <c r="W290"/>
    </row>
    <row r="291" spans="1:23" ht="27" customHeight="1">
      <c r="A291" s="296" t="s">
        <v>25</v>
      </c>
      <c r="B291" s="450">
        <v>45355</v>
      </c>
      <c r="C291" s="82">
        <f t="shared" si="3"/>
        <v>10</v>
      </c>
      <c r="D291" s="68" t="s">
        <v>258</v>
      </c>
      <c r="E291" s="68" t="s">
        <v>502</v>
      </c>
      <c r="F291" s="69" t="s">
        <v>1199</v>
      </c>
      <c r="G291" s="883" t="s">
        <v>1199</v>
      </c>
      <c r="H291" s="70"/>
      <c r="I291" s="45" t="s">
        <v>1199</v>
      </c>
      <c r="J291" s="70"/>
      <c r="K291" s="70"/>
      <c r="L291" s="70" t="s">
        <v>37</v>
      </c>
      <c r="M291" s="70"/>
      <c r="N291" s="21"/>
      <c r="O291" s="21"/>
      <c r="P291" s="21"/>
      <c r="Q291" s="70"/>
      <c r="R291" s="70"/>
      <c r="S291" s="71"/>
      <c r="T291" s="71"/>
      <c r="U291" s="50"/>
      <c r="V291"/>
      <c r="W291"/>
    </row>
    <row r="292" spans="1:23" ht="27" customHeight="1">
      <c r="A292" s="296" t="s">
        <v>25</v>
      </c>
      <c r="B292" s="450">
        <v>45355</v>
      </c>
      <c r="C292" s="82">
        <f t="shared" si="3"/>
        <v>10</v>
      </c>
      <c r="D292" s="68" t="s">
        <v>877</v>
      </c>
      <c r="E292" s="68" t="s">
        <v>4366</v>
      </c>
      <c r="F292" s="69" t="s">
        <v>1199</v>
      </c>
      <c r="G292" s="69" t="s">
        <v>1199</v>
      </c>
      <c r="H292" s="70"/>
      <c r="I292" s="70"/>
      <c r="J292" s="70"/>
      <c r="K292" s="70"/>
      <c r="L292" s="70" t="s">
        <v>37</v>
      </c>
      <c r="M292" s="70"/>
      <c r="N292" s="21"/>
      <c r="O292" s="21"/>
      <c r="P292" s="21"/>
      <c r="Q292" s="70"/>
      <c r="R292" s="70"/>
      <c r="S292" s="71"/>
      <c r="T292" s="71"/>
      <c r="U292" s="50"/>
      <c r="V292"/>
      <c r="W292"/>
    </row>
    <row r="293" spans="1:23" ht="27" customHeight="1" thickBot="1">
      <c r="A293" s="307" t="s">
        <v>25</v>
      </c>
      <c r="B293" s="453">
        <v>45355</v>
      </c>
      <c r="C293" s="169">
        <f t="shared" si="3"/>
        <v>10</v>
      </c>
      <c r="D293" s="884" t="s">
        <v>4367</v>
      </c>
      <c r="E293" s="884" t="s">
        <v>4368</v>
      </c>
      <c r="F293" s="635" t="s">
        <v>1199</v>
      </c>
      <c r="G293" s="635" t="s">
        <v>1199</v>
      </c>
      <c r="H293" s="31"/>
      <c r="I293" s="65" t="s">
        <v>1199</v>
      </c>
      <c r="J293" s="31"/>
      <c r="K293" s="31"/>
      <c r="L293" s="31" t="s">
        <v>37</v>
      </c>
      <c r="M293" s="31"/>
      <c r="N293" s="24"/>
      <c r="O293" s="24"/>
      <c r="P293" s="24"/>
      <c r="Q293" s="31"/>
      <c r="R293" s="31"/>
      <c r="S293" s="33"/>
      <c r="T293" s="33"/>
      <c r="U293" s="53"/>
      <c r="V293"/>
      <c r="W293"/>
    </row>
    <row r="294" spans="1:23" ht="27" customHeight="1">
      <c r="A294" s="297" t="s">
        <v>180</v>
      </c>
      <c r="B294" s="454">
        <v>45356</v>
      </c>
      <c r="C294" s="846">
        <f t="shared" si="3"/>
        <v>10</v>
      </c>
      <c r="D294" s="637" t="s">
        <v>4369</v>
      </c>
      <c r="E294" s="637" t="s">
        <v>4370</v>
      </c>
      <c r="F294" s="885" t="s">
        <v>1199</v>
      </c>
      <c r="G294" s="885" t="s">
        <v>1199</v>
      </c>
      <c r="H294" s="629"/>
      <c r="I294" s="630" t="s">
        <v>37</v>
      </c>
      <c r="J294" s="63"/>
      <c r="K294" s="63"/>
      <c r="L294" s="63" t="s">
        <v>37</v>
      </c>
      <c r="M294" s="63"/>
      <c r="N294" s="34"/>
      <c r="O294" s="34"/>
      <c r="P294" s="34"/>
      <c r="Q294" s="63"/>
      <c r="R294" s="63"/>
      <c r="S294" s="64"/>
      <c r="T294" s="64"/>
      <c r="U294" s="56"/>
      <c r="V294"/>
      <c r="W294"/>
    </row>
    <row r="295" spans="1:23" ht="27" customHeight="1">
      <c r="A295" s="296" t="s">
        <v>180</v>
      </c>
      <c r="B295" s="450">
        <v>45356</v>
      </c>
      <c r="C295" s="82">
        <f t="shared" si="3"/>
        <v>10</v>
      </c>
      <c r="D295" s="68" t="s">
        <v>879</v>
      </c>
      <c r="E295" s="68" t="s">
        <v>4084</v>
      </c>
      <c r="F295" s="675" t="s">
        <v>1206</v>
      </c>
      <c r="G295" s="675" t="s">
        <v>1206</v>
      </c>
      <c r="H295" s="86"/>
      <c r="I295" s="87" t="s">
        <v>30</v>
      </c>
      <c r="J295" s="70"/>
      <c r="K295" s="70"/>
      <c r="L295" s="70" t="s">
        <v>37</v>
      </c>
      <c r="M295" s="70"/>
      <c r="N295" s="21"/>
      <c r="O295" s="21"/>
      <c r="P295" s="21"/>
      <c r="Q295" s="70"/>
      <c r="R295" s="70"/>
      <c r="S295" s="75" t="s">
        <v>37</v>
      </c>
      <c r="T295" s="71"/>
      <c r="U295" s="50"/>
      <c r="V295"/>
      <c r="W295"/>
    </row>
    <row r="296" spans="1:23" ht="53.25" customHeight="1">
      <c r="A296" s="296" t="s">
        <v>180</v>
      </c>
      <c r="B296" s="450">
        <v>45356</v>
      </c>
      <c r="C296" s="82">
        <f t="shared" si="3"/>
        <v>10</v>
      </c>
      <c r="D296" s="92" t="s">
        <v>4371</v>
      </c>
      <c r="E296" s="92" t="s">
        <v>1158</v>
      </c>
      <c r="F296" s="94" t="s">
        <v>1199</v>
      </c>
      <c r="G296" s="94" t="s">
        <v>1764</v>
      </c>
      <c r="H296" s="5231"/>
      <c r="I296" s="5231"/>
      <c r="J296" s="5231"/>
      <c r="K296" s="5231" t="s">
        <v>4206</v>
      </c>
      <c r="L296" s="70"/>
      <c r="M296" s="70" t="s">
        <v>37</v>
      </c>
      <c r="N296" s="20" t="s">
        <v>0</v>
      </c>
      <c r="O296" s="20" t="s">
        <v>3799</v>
      </c>
      <c r="P296" s="20" t="s">
        <v>4102</v>
      </c>
      <c r="Q296" s="70"/>
      <c r="R296" s="70"/>
      <c r="S296" s="71"/>
      <c r="T296" s="71"/>
      <c r="U296" s="66" t="s">
        <v>4372</v>
      </c>
      <c r="V296" s="2564"/>
      <c r="W296"/>
    </row>
    <row r="297" spans="1:23" ht="27" customHeight="1" thickBot="1">
      <c r="A297" s="307" t="s">
        <v>180</v>
      </c>
      <c r="B297" s="453">
        <v>45356</v>
      </c>
      <c r="C297" s="169">
        <f t="shared" si="3"/>
        <v>10</v>
      </c>
      <c r="D297" s="115" t="s">
        <v>3373</v>
      </c>
      <c r="E297" s="115" t="s">
        <v>4373</v>
      </c>
      <c r="F297" s="886" t="s">
        <v>1199</v>
      </c>
      <c r="G297" s="886" t="s">
        <v>1199</v>
      </c>
      <c r="H297" s="635"/>
      <c r="I297" s="634"/>
      <c r="J297" s="31"/>
      <c r="K297" s="31"/>
      <c r="L297" s="31" t="s">
        <v>37</v>
      </c>
      <c r="M297" s="31"/>
      <c r="N297" s="24"/>
      <c r="O297" s="24"/>
      <c r="P297" s="24"/>
      <c r="Q297" s="31"/>
      <c r="R297" s="31"/>
      <c r="S297" s="33"/>
      <c r="T297" s="33"/>
      <c r="U297" s="53"/>
      <c r="V297"/>
      <c r="W297"/>
    </row>
    <row r="298" spans="1:23" ht="27" customHeight="1">
      <c r="A298" s="297" t="s">
        <v>1323</v>
      </c>
      <c r="B298" s="454">
        <v>45357</v>
      </c>
      <c r="C298" s="846">
        <f t="shared" ref="C298:C361" si="4">_xlfn.ISOWEEKNUM(B298)</f>
        <v>10</v>
      </c>
      <c r="D298" s="864" t="s">
        <v>4374</v>
      </c>
      <c r="E298" s="864" t="s">
        <v>4375</v>
      </c>
      <c r="F298" s="61" t="s">
        <v>1199</v>
      </c>
      <c r="G298" s="61" t="s">
        <v>1199</v>
      </c>
      <c r="H298" s="887"/>
      <c r="I298" s="887" t="s">
        <v>37</v>
      </c>
      <c r="J298" s="64"/>
      <c r="K298" s="64"/>
      <c r="L298" s="64" t="s">
        <v>37</v>
      </c>
      <c r="M298" s="64"/>
      <c r="N298" s="34"/>
      <c r="O298" s="34"/>
      <c r="P298" s="34"/>
      <c r="Q298" s="64"/>
      <c r="R298" s="64"/>
      <c r="S298" s="64"/>
      <c r="T298" s="64"/>
      <c r="U298" s="56"/>
      <c r="V298"/>
      <c r="W298"/>
    </row>
    <row r="299" spans="1:23" ht="27" customHeight="1">
      <c r="A299" s="296" t="s">
        <v>1323</v>
      </c>
      <c r="B299" s="450">
        <v>45357</v>
      </c>
      <c r="C299" s="82">
        <f t="shared" si="4"/>
        <v>10</v>
      </c>
      <c r="D299" s="72" t="s">
        <v>4376</v>
      </c>
      <c r="E299" s="72" t="s">
        <v>4377</v>
      </c>
      <c r="F299" s="888" t="s">
        <v>1199</v>
      </c>
      <c r="G299" s="888" t="s">
        <v>1199</v>
      </c>
      <c r="H299" s="86"/>
      <c r="I299" s="86" t="s">
        <v>37</v>
      </c>
      <c r="J299" s="70"/>
      <c r="K299" s="70"/>
      <c r="L299" s="70" t="s">
        <v>37</v>
      </c>
      <c r="M299" s="70"/>
      <c r="N299" s="21"/>
      <c r="O299" s="21"/>
      <c r="P299" s="21"/>
      <c r="Q299" s="70"/>
      <c r="R299" s="70"/>
      <c r="S299" s="71"/>
      <c r="T299" s="71"/>
      <c r="U299" s="50"/>
      <c r="V299"/>
      <c r="W299"/>
    </row>
    <row r="300" spans="1:23" ht="27" customHeight="1">
      <c r="A300" s="296" t="s">
        <v>1323</v>
      </c>
      <c r="B300" s="450">
        <v>45357</v>
      </c>
      <c r="C300" s="82">
        <f t="shared" si="4"/>
        <v>10</v>
      </c>
      <c r="D300" s="76" t="s">
        <v>1082</v>
      </c>
      <c r="E300" s="76" t="s">
        <v>447</v>
      </c>
      <c r="F300" s="888" t="s">
        <v>1199</v>
      </c>
      <c r="G300" s="888" t="s">
        <v>1199</v>
      </c>
      <c r="H300" s="86"/>
      <c r="I300" s="86" t="s">
        <v>37</v>
      </c>
      <c r="J300" s="70"/>
      <c r="K300" s="70"/>
      <c r="L300" s="70" t="s">
        <v>37</v>
      </c>
      <c r="M300" s="70"/>
      <c r="N300" s="21"/>
      <c r="O300" s="21"/>
      <c r="P300" s="21"/>
      <c r="Q300" s="70"/>
      <c r="R300" s="70"/>
      <c r="S300" s="71" t="s">
        <v>37</v>
      </c>
      <c r="T300" s="71"/>
      <c r="U300" s="50"/>
      <c r="V300"/>
      <c r="W300"/>
    </row>
    <row r="301" spans="1:23" ht="27" customHeight="1">
      <c r="A301" s="296" t="s">
        <v>1323</v>
      </c>
      <c r="B301" s="450">
        <v>45357</v>
      </c>
      <c r="C301" s="82">
        <f t="shared" si="4"/>
        <v>10</v>
      </c>
      <c r="D301" s="835" t="s">
        <v>4086</v>
      </c>
      <c r="E301" s="835" t="s">
        <v>4317</v>
      </c>
      <c r="F301" s="69" t="s">
        <v>1199</v>
      </c>
      <c r="G301" s="69" t="s">
        <v>1199</v>
      </c>
      <c r="H301" s="86"/>
      <c r="I301" s="86"/>
      <c r="J301" s="70"/>
      <c r="K301" s="70"/>
      <c r="L301" s="70" t="s">
        <v>37</v>
      </c>
      <c r="M301" s="70"/>
      <c r="N301" s="21"/>
      <c r="O301" s="21"/>
      <c r="P301" s="21"/>
      <c r="Q301" s="70"/>
      <c r="R301" s="70"/>
      <c r="S301" s="71" t="s">
        <v>37</v>
      </c>
      <c r="T301" s="71"/>
      <c r="U301" s="50"/>
      <c r="V301"/>
      <c r="W301"/>
    </row>
    <row r="302" spans="1:23" ht="27" customHeight="1">
      <c r="A302" s="296" t="s">
        <v>1323</v>
      </c>
      <c r="B302" s="450">
        <v>45357</v>
      </c>
      <c r="C302" s="82">
        <f t="shared" si="4"/>
        <v>10</v>
      </c>
      <c r="D302" s="835" t="s">
        <v>4378</v>
      </c>
      <c r="E302" s="835" t="s">
        <v>4379</v>
      </c>
      <c r="F302" s="69" t="s">
        <v>1199</v>
      </c>
      <c r="G302" s="69" t="s">
        <v>1199</v>
      </c>
      <c r="H302" s="86"/>
      <c r="I302" s="86" t="s">
        <v>37</v>
      </c>
      <c r="J302" s="70"/>
      <c r="K302" s="70"/>
      <c r="L302" s="70" t="s">
        <v>37</v>
      </c>
      <c r="M302" s="70"/>
      <c r="N302" s="21"/>
      <c r="O302" s="21"/>
      <c r="P302" s="21"/>
      <c r="Q302" s="70"/>
      <c r="R302" s="70"/>
      <c r="S302" s="71" t="s">
        <v>37</v>
      </c>
      <c r="T302" s="71"/>
      <c r="U302" s="50"/>
      <c r="V302"/>
      <c r="W302"/>
    </row>
    <row r="303" spans="1:23" ht="27" customHeight="1">
      <c r="A303" s="296" t="s">
        <v>1323</v>
      </c>
      <c r="B303" s="450">
        <v>45357</v>
      </c>
      <c r="C303" s="82">
        <f t="shared" si="4"/>
        <v>10</v>
      </c>
      <c r="D303" s="92" t="s">
        <v>1512</v>
      </c>
      <c r="E303" s="92" t="s">
        <v>4380</v>
      </c>
      <c r="F303" s="69" t="s">
        <v>1199</v>
      </c>
      <c r="G303" s="69" t="s">
        <v>1199</v>
      </c>
      <c r="H303" s="86"/>
      <c r="I303" s="86" t="s">
        <v>37</v>
      </c>
      <c r="J303" s="70"/>
      <c r="K303" s="70"/>
      <c r="L303" s="70" t="s">
        <v>37</v>
      </c>
      <c r="M303" s="70"/>
      <c r="N303" s="21"/>
      <c r="O303" s="21"/>
      <c r="P303" s="21"/>
      <c r="Q303" s="70"/>
      <c r="R303" s="70"/>
      <c r="S303" s="71"/>
      <c r="T303" s="71"/>
      <c r="U303" s="50"/>
      <c r="V303"/>
      <c r="W303"/>
    </row>
    <row r="304" spans="1:23" ht="53.25" customHeight="1" thickBot="1">
      <c r="A304" s="307" t="s">
        <v>1323</v>
      </c>
      <c r="B304" s="453">
        <v>45357</v>
      </c>
      <c r="C304" s="169">
        <f t="shared" si="4"/>
        <v>10</v>
      </c>
      <c r="D304" s="889" t="s">
        <v>4381</v>
      </c>
      <c r="E304" s="889" t="s">
        <v>4382</v>
      </c>
      <c r="F304" s="658" t="s">
        <v>1206</v>
      </c>
      <c r="G304" s="658" t="s">
        <v>1206</v>
      </c>
      <c r="H304" s="635"/>
      <c r="I304" s="635" t="s">
        <v>37</v>
      </c>
      <c r="J304" s="31"/>
      <c r="K304" s="31"/>
      <c r="L304" s="31"/>
      <c r="M304" s="31" t="s">
        <v>37</v>
      </c>
      <c r="N304" s="20" t="s">
        <v>0</v>
      </c>
      <c r="O304" s="20" t="s">
        <v>4226</v>
      </c>
      <c r="P304" s="20" t="s">
        <v>4102</v>
      </c>
      <c r="Q304" s="31"/>
      <c r="R304" s="31"/>
      <c r="S304" s="33"/>
      <c r="T304" s="33"/>
      <c r="U304" s="53" t="s">
        <v>4383</v>
      </c>
      <c r="V304"/>
      <c r="W304"/>
    </row>
    <row r="305" spans="1:23" ht="53.25" customHeight="1">
      <c r="A305" s="297" t="s">
        <v>1495</v>
      </c>
      <c r="B305" s="454">
        <v>45358</v>
      </c>
      <c r="C305" s="846">
        <f t="shared" si="4"/>
        <v>10</v>
      </c>
      <c r="D305" s="864" t="s">
        <v>1160</v>
      </c>
      <c r="E305" s="864" t="s">
        <v>4384</v>
      </c>
      <c r="F305" s="61" t="s">
        <v>1199</v>
      </c>
      <c r="G305" s="61" t="s">
        <v>1199</v>
      </c>
      <c r="H305" s="5247"/>
      <c r="I305" s="5247"/>
      <c r="J305" s="5247"/>
      <c r="K305" s="5231" t="s">
        <v>4206</v>
      </c>
      <c r="L305" s="63"/>
      <c r="M305" s="63" t="s">
        <v>37</v>
      </c>
      <c r="N305" s="120" t="s">
        <v>0</v>
      </c>
      <c r="O305" s="120" t="s">
        <v>31</v>
      </c>
      <c r="P305" s="120" t="s">
        <v>4102</v>
      </c>
      <c r="Q305" s="63"/>
      <c r="R305" s="63">
        <v>1</v>
      </c>
      <c r="S305" s="64"/>
      <c r="T305" s="64"/>
      <c r="U305" s="56" t="s">
        <v>4385</v>
      </c>
      <c r="V305"/>
      <c r="W305"/>
    </row>
    <row r="306" spans="1:23" ht="27" customHeight="1">
      <c r="A306" s="296" t="s">
        <v>1495</v>
      </c>
      <c r="B306" s="450">
        <v>45358</v>
      </c>
      <c r="C306" s="82">
        <f t="shared" si="4"/>
        <v>10</v>
      </c>
      <c r="D306" s="126" t="s">
        <v>2430</v>
      </c>
      <c r="E306" s="126" t="s">
        <v>4386</v>
      </c>
      <c r="F306" s="69" t="s">
        <v>1199</v>
      </c>
      <c r="G306" s="69" t="s">
        <v>1199</v>
      </c>
      <c r="H306" s="135"/>
      <c r="I306" s="135"/>
      <c r="J306" s="70"/>
      <c r="K306" s="70"/>
      <c r="L306" s="70" t="s">
        <v>37</v>
      </c>
      <c r="M306" s="70"/>
      <c r="N306" s="21"/>
      <c r="O306" s="21"/>
      <c r="P306" s="21"/>
      <c r="Q306" s="70"/>
      <c r="R306" s="70"/>
      <c r="S306" s="71" t="s">
        <v>37</v>
      </c>
      <c r="T306" s="71"/>
      <c r="U306" s="50"/>
      <c r="V306"/>
      <c r="W306"/>
    </row>
    <row r="307" spans="1:23" ht="27" customHeight="1">
      <c r="A307" s="296" t="s">
        <v>1495</v>
      </c>
      <c r="B307" s="450">
        <v>45358</v>
      </c>
      <c r="C307" s="82">
        <f t="shared" si="4"/>
        <v>10</v>
      </c>
      <c r="D307" s="126" t="s">
        <v>3620</v>
      </c>
      <c r="E307" s="126" t="s">
        <v>4387</v>
      </c>
      <c r="F307" s="69" t="s">
        <v>1199</v>
      </c>
      <c r="G307" s="69" t="s">
        <v>1199</v>
      </c>
      <c r="H307" s="135"/>
      <c r="I307" s="135"/>
      <c r="J307" s="70"/>
      <c r="K307" s="70"/>
      <c r="L307" s="70" t="s">
        <v>37</v>
      </c>
      <c r="M307" s="70"/>
      <c r="N307" s="21"/>
      <c r="O307" s="21"/>
      <c r="P307" s="21"/>
      <c r="Q307" s="70"/>
      <c r="R307" s="70"/>
      <c r="S307" s="71" t="s">
        <v>37</v>
      </c>
      <c r="T307" s="71"/>
      <c r="U307" s="50"/>
      <c r="V307"/>
      <c r="W307"/>
    </row>
    <row r="308" spans="1:23" ht="79.5" customHeight="1" thickBot="1">
      <c r="A308" s="298" t="s">
        <v>1495</v>
      </c>
      <c r="B308" s="457">
        <v>45358</v>
      </c>
      <c r="C308" s="85">
        <f t="shared" si="4"/>
        <v>10</v>
      </c>
      <c r="D308" s="890" t="s">
        <v>1140</v>
      </c>
      <c r="E308" s="890" t="s">
        <v>4388</v>
      </c>
      <c r="F308" s="89" t="s">
        <v>1199</v>
      </c>
      <c r="G308" s="89" t="s">
        <v>1199</v>
      </c>
      <c r="H308" s="647"/>
      <c r="I308" s="891"/>
      <c r="J308" s="90"/>
      <c r="K308" s="90"/>
      <c r="L308" s="90"/>
      <c r="M308" s="90" t="s">
        <v>37</v>
      </c>
      <c r="N308" s="20" t="s">
        <v>109</v>
      </c>
      <c r="O308" s="20" t="s">
        <v>1589</v>
      </c>
      <c r="P308" s="20" t="s">
        <v>4102</v>
      </c>
      <c r="Q308" s="90"/>
      <c r="R308" s="90"/>
      <c r="S308" s="91"/>
      <c r="T308" s="91"/>
      <c r="U308" s="99" t="s">
        <v>4389</v>
      </c>
      <c r="V308"/>
      <c r="W308"/>
    </row>
    <row r="309" spans="1:23" ht="53.25" customHeight="1" thickBot="1">
      <c r="A309" s="297" t="s">
        <v>1857</v>
      </c>
      <c r="B309" s="454">
        <v>45359</v>
      </c>
      <c r="C309" s="846">
        <f t="shared" si="4"/>
        <v>10</v>
      </c>
      <c r="D309" s="60" t="s">
        <v>4390</v>
      </c>
      <c r="E309" s="60" t="s">
        <v>4391</v>
      </c>
      <c r="F309" s="892" t="s">
        <v>1768</v>
      </c>
      <c r="G309" s="892" t="s">
        <v>1768</v>
      </c>
      <c r="H309" s="5247"/>
      <c r="I309" s="5247"/>
      <c r="J309" s="5247"/>
      <c r="K309" s="5231" t="s">
        <v>4206</v>
      </c>
      <c r="L309" s="63"/>
      <c r="M309" s="63" t="s">
        <v>37</v>
      </c>
      <c r="N309" s="120" t="s">
        <v>0</v>
      </c>
      <c r="O309" s="120" t="s">
        <v>31</v>
      </c>
      <c r="P309" s="120" t="s">
        <v>4102</v>
      </c>
      <c r="Q309" s="63">
        <v>1</v>
      </c>
      <c r="R309" s="63"/>
      <c r="S309" s="64"/>
      <c r="T309" s="64"/>
      <c r="U309" s="56" t="s">
        <v>4392</v>
      </c>
      <c r="V309"/>
      <c r="W309"/>
    </row>
    <row r="310" spans="1:23" ht="53.25" customHeight="1" thickBot="1">
      <c r="A310" s="296" t="s">
        <v>1857</v>
      </c>
      <c r="B310" s="450">
        <v>45359</v>
      </c>
      <c r="C310" s="82">
        <f t="shared" si="4"/>
        <v>10</v>
      </c>
      <c r="D310" s="68" t="s">
        <v>4391</v>
      </c>
      <c r="E310" s="68" t="s">
        <v>1148</v>
      </c>
      <c r="F310" s="893" t="s">
        <v>1768</v>
      </c>
      <c r="G310" s="893" t="s">
        <v>1768</v>
      </c>
      <c r="H310" s="5231"/>
      <c r="I310" s="5231"/>
      <c r="J310" s="5231"/>
      <c r="K310" s="5231" t="s">
        <v>4206</v>
      </c>
      <c r="L310" s="70"/>
      <c r="M310" s="70" t="s">
        <v>37</v>
      </c>
      <c r="N310" s="120" t="s">
        <v>0</v>
      </c>
      <c r="O310" s="120" t="s">
        <v>319</v>
      </c>
      <c r="P310" s="120" t="s">
        <v>4102</v>
      </c>
      <c r="Q310" s="70"/>
      <c r="R310" s="70"/>
      <c r="S310" s="71"/>
      <c r="T310" s="71"/>
      <c r="U310" s="50"/>
      <c r="V310"/>
      <c r="W310"/>
    </row>
    <row r="311" spans="1:23" ht="27" customHeight="1" thickBot="1">
      <c r="A311" s="296" t="s">
        <v>1857</v>
      </c>
      <c r="B311" s="450">
        <v>45359</v>
      </c>
      <c r="C311" s="82">
        <f t="shared" si="4"/>
        <v>10</v>
      </c>
      <c r="D311" s="68" t="s">
        <v>4393</v>
      </c>
      <c r="E311" s="68" t="s">
        <v>63</v>
      </c>
      <c r="F311" s="69" t="s">
        <v>1199</v>
      </c>
      <c r="G311" s="69" t="s">
        <v>1199</v>
      </c>
      <c r="H311" s="5231"/>
      <c r="I311" s="5231"/>
      <c r="J311" s="5231"/>
      <c r="K311" s="5231" t="s">
        <v>4206</v>
      </c>
      <c r="L311" s="70" t="s">
        <v>37</v>
      </c>
      <c r="M311" s="70"/>
      <c r="N311" s="120"/>
      <c r="O311" s="21"/>
      <c r="P311" s="21"/>
      <c r="Q311" s="70"/>
      <c r="R311" s="70"/>
      <c r="S311" s="71"/>
      <c r="T311" s="71"/>
      <c r="U311" s="50"/>
      <c r="V311"/>
      <c r="W311"/>
    </row>
    <row r="312" spans="1:23" ht="53.25" customHeight="1">
      <c r="A312" s="296" t="s">
        <v>1857</v>
      </c>
      <c r="B312" s="450">
        <v>45359</v>
      </c>
      <c r="C312" s="82">
        <f t="shared" si="4"/>
        <v>10</v>
      </c>
      <c r="D312" s="68" t="s">
        <v>4394</v>
      </c>
      <c r="E312" s="68" t="s">
        <v>4395</v>
      </c>
      <c r="F312" s="69" t="s">
        <v>1764</v>
      </c>
      <c r="G312" s="69" t="s">
        <v>1199</v>
      </c>
      <c r="H312" s="5231"/>
      <c r="I312" s="5231"/>
      <c r="J312" s="5231"/>
      <c r="K312" s="5231" t="s">
        <v>4206</v>
      </c>
      <c r="L312" s="70"/>
      <c r="M312" s="70" t="s">
        <v>37</v>
      </c>
      <c r="N312" s="120" t="s">
        <v>0</v>
      </c>
      <c r="O312" s="120" t="s">
        <v>4101</v>
      </c>
      <c r="P312" s="120" t="s">
        <v>4330</v>
      </c>
      <c r="Q312" s="70"/>
      <c r="R312" s="70"/>
      <c r="S312" s="71"/>
      <c r="T312" s="71"/>
      <c r="U312" s="50" t="s">
        <v>4396</v>
      </c>
      <c r="V312"/>
      <c r="W312"/>
    </row>
    <row r="313" spans="1:23" ht="27" customHeight="1">
      <c r="A313" s="296" t="s">
        <v>1857</v>
      </c>
      <c r="B313" s="450">
        <v>45359</v>
      </c>
      <c r="C313" s="82">
        <f t="shared" si="4"/>
        <v>10</v>
      </c>
      <c r="D313" s="68" t="s">
        <v>3317</v>
      </c>
      <c r="E313" s="68" t="s">
        <v>1564</v>
      </c>
      <c r="F313" s="69" t="s">
        <v>1199</v>
      </c>
      <c r="G313" s="69" t="s">
        <v>1199</v>
      </c>
      <c r="H313" s="5231"/>
      <c r="I313" s="5231"/>
      <c r="J313" s="5231"/>
      <c r="K313" s="5231" t="s">
        <v>4206</v>
      </c>
      <c r="L313" s="70" t="s">
        <v>37</v>
      </c>
      <c r="M313" s="70"/>
      <c r="N313" s="21"/>
      <c r="O313" s="21"/>
      <c r="P313" s="21"/>
      <c r="Q313" s="70"/>
      <c r="R313" s="70"/>
      <c r="S313" s="71"/>
      <c r="T313" s="71"/>
      <c r="U313" s="50"/>
      <c r="V313"/>
      <c r="W313"/>
    </row>
    <row r="314" spans="1:23" ht="27" customHeight="1">
      <c r="A314" s="296" t="s">
        <v>1857</v>
      </c>
      <c r="B314" s="450">
        <v>45359</v>
      </c>
      <c r="C314" s="82">
        <f t="shared" si="4"/>
        <v>10</v>
      </c>
      <c r="D314" s="68" t="s">
        <v>4397</v>
      </c>
      <c r="E314" s="68" t="s">
        <v>4398</v>
      </c>
      <c r="F314" s="69" t="s">
        <v>1199</v>
      </c>
      <c r="G314" s="69" t="s">
        <v>1199</v>
      </c>
      <c r="H314" s="135"/>
      <c r="I314" s="135"/>
      <c r="J314" s="70"/>
      <c r="K314" s="70"/>
      <c r="L314" s="70" t="s">
        <v>37</v>
      </c>
      <c r="M314" s="70"/>
      <c r="N314" s="21"/>
      <c r="O314" s="21"/>
      <c r="P314" s="21"/>
      <c r="Q314" s="70"/>
      <c r="R314" s="70"/>
      <c r="S314" s="71"/>
      <c r="T314" s="71"/>
      <c r="U314" s="50"/>
      <c r="V314"/>
      <c r="W314"/>
    </row>
    <row r="315" spans="1:23" ht="27" customHeight="1" thickBot="1">
      <c r="A315" s="298" t="s">
        <v>1857</v>
      </c>
      <c r="B315" s="457">
        <v>45359</v>
      </c>
      <c r="C315" s="85">
        <f t="shared" si="4"/>
        <v>10</v>
      </c>
      <c r="D315" s="108" t="s">
        <v>4399</v>
      </c>
      <c r="E315" s="108" t="s">
        <v>669</v>
      </c>
      <c r="F315" s="89" t="s">
        <v>1199</v>
      </c>
      <c r="G315" s="89" t="s">
        <v>1199</v>
      </c>
      <c r="H315" s="894"/>
      <c r="I315" s="894"/>
      <c r="J315" s="90"/>
      <c r="K315" s="90"/>
      <c r="L315" s="90" t="s">
        <v>37</v>
      </c>
      <c r="M315" s="90"/>
      <c r="N315" s="35"/>
      <c r="O315" s="35"/>
      <c r="P315" s="35"/>
      <c r="Q315" s="90"/>
      <c r="R315" s="90"/>
      <c r="S315" s="91"/>
      <c r="T315" s="91"/>
      <c r="U315" s="99"/>
      <c r="V315"/>
      <c r="W315"/>
    </row>
    <row r="316" spans="1:23" ht="27" thickBot="1">
      <c r="A316" s="327" t="s">
        <v>1519</v>
      </c>
      <c r="B316" s="538">
        <v>45360</v>
      </c>
      <c r="C316" s="903">
        <f t="shared" si="4"/>
        <v>10</v>
      </c>
      <c r="D316" s="191" t="s">
        <v>4148</v>
      </c>
      <c r="E316" s="191" t="s">
        <v>1153</v>
      </c>
      <c r="F316" s="904" t="s">
        <v>1199</v>
      </c>
      <c r="G316" s="904" t="s">
        <v>1764</v>
      </c>
      <c r="H316" s="5231">
        <v>702</v>
      </c>
      <c r="I316" s="5237"/>
      <c r="J316" s="5237"/>
      <c r="K316" s="5227" t="s">
        <v>1630</v>
      </c>
      <c r="L316" s="719" t="s">
        <v>37</v>
      </c>
      <c r="M316" s="719"/>
      <c r="N316" s="120"/>
      <c r="O316" s="120"/>
      <c r="P316" s="120"/>
      <c r="Q316" s="719"/>
      <c r="R316" s="719"/>
      <c r="S316" s="905"/>
      <c r="T316" s="905"/>
      <c r="U316" s="906"/>
      <c r="V316"/>
      <c r="W316"/>
    </row>
    <row r="317" spans="1:23" ht="26.25" customHeight="1">
      <c r="A317" s="297" t="s">
        <v>25</v>
      </c>
      <c r="B317" s="454">
        <v>45362</v>
      </c>
      <c r="C317" s="846">
        <f t="shared" si="4"/>
        <v>11</v>
      </c>
      <c r="D317" s="60" t="s">
        <v>4180</v>
      </c>
      <c r="E317" s="60" t="s">
        <v>4400</v>
      </c>
      <c r="F317" s="61" t="s">
        <v>1199</v>
      </c>
      <c r="G317" s="881" t="s">
        <v>1199</v>
      </c>
      <c r="H317" s="63"/>
      <c r="I317" s="62"/>
      <c r="J317" s="63"/>
      <c r="K317" s="63"/>
      <c r="L317" s="63" t="s">
        <v>37</v>
      </c>
      <c r="M317" s="63"/>
      <c r="N317" s="733"/>
      <c r="O317" s="733"/>
      <c r="P317" s="733"/>
      <c r="Q317" s="63"/>
      <c r="R317" s="63"/>
      <c r="S317" s="64"/>
      <c r="T317" s="64"/>
      <c r="U317" s="56"/>
      <c r="V317"/>
      <c r="W317"/>
    </row>
    <row r="318" spans="1:23" ht="26.25" customHeight="1">
      <c r="A318" s="296" t="s">
        <v>25</v>
      </c>
      <c r="B318" s="450">
        <v>45362</v>
      </c>
      <c r="C318" s="82">
        <f t="shared" si="4"/>
        <v>11</v>
      </c>
      <c r="D318" s="68" t="s">
        <v>4401</v>
      </c>
      <c r="E318" s="68" t="s">
        <v>2849</v>
      </c>
      <c r="F318" s="86" t="s">
        <v>1206</v>
      </c>
      <c r="G318" s="86" t="s">
        <v>1206</v>
      </c>
      <c r="H318" s="70"/>
      <c r="I318" s="45"/>
      <c r="J318" s="70"/>
      <c r="K318" s="70"/>
      <c r="L318" s="70" t="s">
        <v>37</v>
      </c>
      <c r="M318" s="70"/>
      <c r="N318" s="26"/>
      <c r="O318" s="26"/>
      <c r="P318" s="26"/>
      <c r="Q318" s="70"/>
      <c r="R318" s="70"/>
      <c r="S318" s="71"/>
      <c r="T318" s="71"/>
      <c r="U318" s="50"/>
      <c r="V318"/>
      <c r="W318"/>
    </row>
    <row r="319" spans="1:23" ht="26.25" customHeight="1">
      <c r="A319" s="296" t="s">
        <v>25</v>
      </c>
      <c r="B319" s="450">
        <v>45362</v>
      </c>
      <c r="C319" s="82">
        <f t="shared" si="4"/>
        <v>11</v>
      </c>
      <c r="D319" s="68" t="s">
        <v>304</v>
      </c>
      <c r="E319" s="68" t="s">
        <v>2750</v>
      </c>
      <c r="F319" s="69" t="s">
        <v>1199</v>
      </c>
      <c r="G319" s="69" t="s">
        <v>1199</v>
      </c>
      <c r="H319" s="3250">
        <v>706</v>
      </c>
      <c r="I319" s="673"/>
      <c r="J319" s="70"/>
      <c r="K319" s="70"/>
      <c r="L319" s="70" t="s">
        <v>37</v>
      </c>
      <c r="M319" s="70"/>
      <c r="N319" s="26"/>
      <c r="O319" s="26"/>
      <c r="P319" s="26"/>
      <c r="Q319" s="70"/>
      <c r="R319" s="70"/>
      <c r="S319" s="71"/>
      <c r="T319" s="71"/>
      <c r="U319" s="50"/>
      <c r="V319"/>
      <c r="W319"/>
    </row>
    <row r="320" spans="1:23" ht="26.25" customHeight="1">
      <c r="A320" s="296" t="s">
        <v>25</v>
      </c>
      <c r="B320" s="450">
        <v>45362</v>
      </c>
      <c r="C320" s="82">
        <f t="shared" si="4"/>
        <v>11</v>
      </c>
      <c r="D320" s="125" t="s">
        <v>4402</v>
      </c>
      <c r="E320" s="125" t="s">
        <v>4403</v>
      </c>
      <c r="F320" s="69" t="s">
        <v>1199</v>
      </c>
      <c r="G320" s="883" t="s">
        <v>1199</v>
      </c>
      <c r="H320" s="70"/>
      <c r="I320" s="45"/>
      <c r="J320" s="70"/>
      <c r="K320" s="70"/>
      <c r="L320" s="70" t="s">
        <v>37</v>
      </c>
      <c r="M320" s="70"/>
      <c r="N320" s="26"/>
      <c r="O320" s="26"/>
      <c r="P320" s="26"/>
      <c r="Q320" s="70"/>
      <c r="R320" s="70"/>
      <c r="S320" s="71"/>
      <c r="T320" s="71"/>
      <c r="U320" s="50"/>
      <c r="V320"/>
      <c r="W320"/>
    </row>
    <row r="321" spans="1:23" ht="26.25" customHeight="1">
      <c r="A321" s="296" t="s">
        <v>25</v>
      </c>
      <c r="B321" s="450">
        <v>45362</v>
      </c>
      <c r="C321" s="82">
        <f t="shared" si="4"/>
        <v>11</v>
      </c>
      <c r="D321" s="895" t="s">
        <v>1165</v>
      </c>
      <c r="E321" s="895" t="s">
        <v>4404</v>
      </c>
      <c r="F321" s="94" t="s">
        <v>1199</v>
      </c>
      <c r="G321" s="883" t="s">
        <v>1199</v>
      </c>
      <c r="H321" s="5231"/>
      <c r="I321" s="5231"/>
      <c r="J321" s="5231"/>
      <c r="K321" s="5231" t="s">
        <v>4206</v>
      </c>
      <c r="L321" s="70" t="s">
        <v>37</v>
      </c>
      <c r="M321" s="70"/>
      <c r="N321" s="26"/>
      <c r="O321" s="26"/>
      <c r="P321" s="26"/>
      <c r="Q321" s="70"/>
      <c r="R321" s="70"/>
      <c r="S321" s="71"/>
      <c r="T321" s="71"/>
      <c r="U321" s="50"/>
      <c r="V321"/>
      <c r="W321"/>
    </row>
    <row r="322" spans="1:23" ht="26.25" customHeight="1">
      <c r="A322" s="296" t="s">
        <v>25</v>
      </c>
      <c r="B322" s="450">
        <v>45362</v>
      </c>
      <c r="C322" s="82">
        <f t="shared" si="4"/>
        <v>11</v>
      </c>
      <c r="D322" s="895" t="s">
        <v>4405</v>
      </c>
      <c r="E322" s="895" t="s">
        <v>1778</v>
      </c>
      <c r="F322" s="69" t="s">
        <v>1199</v>
      </c>
      <c r="G322" s="69" t="s">
        <v>1199</v>
      </c>
      <c r="H322" s="5231"/>
      <c r="I322" s="5231"/>
      <c r="J322" s="5231"/>
      <c r="K322" s="5231" t="s">
        <v>4206</v>
      </c>
      <c r="L322" s="70" t="s">
        <v>37</v>
      </c>
      <c r="M322" s="70"/>
      <c r="N322" s="26"/>
      <c r="O322" s="26"/>
      <c r="P322" s="26"/>
      <c r="Q322" s="70"/>
      <c r="R322" s="70"/>
      <c r="S322" s="71"/>
      <c r="T322" s="71"/>
      <c r="U322" s="50"/>
      <c r="V322"/>
      <c r="W322"/>
    </row>
    <row r="323" spans="1:23" ht="78.75" customHeight="1">
      <c r="A323" s="296" t="s">
        <v>25</v>
      </c>
      <c r="B323" s="450">
        <v>45362</v>
      </c>
      <c r="C323" s="82">
        <f t="shared" si="4"/>
        <v>11</v>
      </c>
      <c r="D323" s="72" t="s">
        <v>4086</v>
      </c>
      <c r="E323" s="72" t="s">
        <v>574</v>
      </c>
      <c r="F323" s="69" t="s">
        <v>1199</v>
      </c>
      <c r="G323" s="69" t="s">
        <v>1199</v>
      </c>
      <c r="H323" s="5231"/>
      <c r="I323" s="5260"/>
      <c r="J323" s="5231"/>
      <c r="K323" s="5231" t="s">
        <v>4206</v>
      </c>
      <c r="L323" s="70"/>
      <c r="M323" s="70" t="s">
        <v>37</v>
      </c>
      <c r="N323" s="20" t="s">
        <v>109</v>
      </c>
      <c r="O323" s="20" t="s">
        <v>1589</v>
      </c>
      <c r="P323" s="20" t="s">
        <v>4082</v>
      </c>
      <c r="Q323" s="70"/>
      <c r="R323" s="70"/>
      <c r="S323" s="71"/>
      <c r="T323" s="71"/>
      <c r="U323" s="50" t="s">
        <v>4406</v>
      </c>
      <c r="V323"/>
      <c r="W323"/>
    </row>
    <row r="324" spans="1:23" ht="26.25" customHeight="1">
      <c r="A324" s="296" t="s">
        <v>25</v>
      </c>
      <c r="B324" s="450">
        <v>45362</v>
      </c>
      <c r="C324" s="82">
        <f t="shared" si="4"/>
        <v>11</v>
      </c>
      <c r="D324" s="72" t="s">
        <v>1148</v>
      </c>
      <c r="E324" s="72" t="s">
        <v>4407</v>
      </c>
      <c r="F324" s="86" t="s">
        <v>1206</v>
      </c>
      <c r="G324" s="86" t="s">
        <v>1206</v>
      </c>
      <c r="H324" s="5231"/>
      <c r="I324" s="5260"/>
      <c r="J324" s="5231"/>
      <c r="K324" s="5231" t="s">
        <v>4206</v>
      </c>
      <c r="L324" s="70" t="s">
        <v>37</v>
      </c>
      <c r="M324" s="70"/>
      <c r="N324" s="26"/>
      <c r="O324" s="26"/>
      <c r="P324" s="26"/>
      <c r="Q324" s="70"/>
      <c r="R324" s="70"/>
      <c r="S324" s="71"/>
      <c r="T324" s="71"/>
      <c r="U324" s="50"/>
      <c r="V324"/>
      <c r="W324"/>
    </row>
    <row r="325" spans="1:23" ht="26.25" customHeight="1">
      <c r="A325" s="296" t="s">
        <v>25</v>
      </c>
      <c r="B325" s="450">
        <v>45362</v>
      </c>
      <c r="C325" s="82">
        <f t="shared" si="4"/>
        <v>11</v>
      </c>
      <c r="D325" s="68" t="s">
        <v>1512</v>
      </c>
      <c r="E325" s="68" t="s">
        <v>4408</v>
      </c>
      <c r="F325" s="69" t="s">
        <v>1199</v>
      </c>
      <c r="G325" s="69" t="s">
        <v>1199</v>
      </c>
      <c r="H325" s="896"/>
      <c r="I325" s="896"/>
      <c r="J325" s="70"/>
      <c r="K325" s="70"/>
      <c r="L325" s="70" t="s">
        <v>37</v>
      </c>
      <c r="M325" s="70"/>
      <c r="N325" s="26"/>
      <c r="O325" s="26"/>
      <c r="P325" s="26"/>
      <c r="Q325" s="70"/>
      <c r="R325" s="70"/>
      <c r="S325" s="71"/>
      <c r="T325" s="71"/>
      <c r="U325" s="50"/>
      <c r="V325"/>
      <c r="W325"/>
    </row>
    <row r="326" spans="1:23" ht="26.25" customHeight="1">
      <c r="A326" s="296" t="s">
        <v>25</v>
      </c>
      <c r="B326" s="450">
        <v>45362</v>
      </c>
      <c r="C326" s="82">
        <f t="shared" si="4"/>
        <v>11</v>
      </c>
      <c r="D326" s="106" t="s">
        <v>1564</v>
      </c>
      <c r="E326" s="106" t="s">
        <v>731</v>
      </c>
      <c r="F326" s="69" t="s">
        <v>1199</v>
      </c>
      <c r="G326" s="69" t="s">
        <v>1199</v>
      </c>
      <c r="H326" s="896"/>
      <c r="I326" s="896"/>
      <c r="J326" s="70"/>
      <c r="K326" s="70"/>
      <c r="L326" s="70" t="s">
        <v>37</v>
      </c>
      <c r="M326" s="70"/>
      <c r="N326" s="26"/>
      <c r="O326" s="26"/>
      <c r="P326" s="26"/>
      <c r="Q326" s="70"/>
      <c r="R326" s="70"/>
      <c r="S326" s="71"/>
      <c r="T326" s="71"/>
      <c r="U326" s="50"/>
      <c r="V326"/>
      <c r="W326"/>
    </row>
    <row r="327" spans="1:23" ht="26.25" customHeight="1">
      <c r="A327" s="296" t="s">
        <v>25</v>
      </c>
      <c r="B327" s="450">
        <v>45362</v>
      </c>
      <c r="C327" s="82">
        <f t="shared" si="4"/>
        <v>11</v>
      </c>
      <c r="D327" s="106" t="s">
        <v>273</v>
      </c>
      <c r="E327" s="106" t="s">
        <v>4409</v>
      </c>
      <c r="F327" s="69" t="s">
        <v>1199</v>
      </c>
      <c r="G327" s="69" t="s">
        <v>1199</v>
      </c>
      <c r="H327" s="896"/>
      <c r="I327" s="896"/>
      <c r="J327" s="70"/>
      <c r="K327" s="70"/>
      <c r="L327" s="70" t="s">
        <v>37</v>
      </c>
      <c r="M327" s="70"/>
      <c r="N327" s="26"/>
      <c r="O327" s="26"/>
      <c r="P327" s="26"/>
      <c r="Q327" s="70"/>
      <c r="R327" s="70"/>
      <c r="S327" s="71"/>
      <c r="T327" s="71"/>
      <c r="U327" s="50"/>
      <c r="V327"/>
      <c r="W327"/>
    </row>
    <row r="328" spans="1:23" ht="26.25" customHeight="1">
      <c r="A328" s="296" t="s">
        <v>25</v>
      </c>
      <c r="B328" s="450">
        <v>45362</v>
      </c>
      <c r="C328" s="82">
        <f t="shared" si="4"/>
        <v>11</v>
      </c>
      <c r="D328" s="651" t="s">
        <v>4410</v>
      </c>
      <c r="E328" s="651" t="s">
        <v>1661</v>
      </c>
      <c r="F328" s="69" t="s">
        <v>1199</v>
      </c>
      <c r="G328" s="69" t="s">
        <v>1199</v>
      </c>
      <c r="H328" s="5231"/>
      <c r="I328" s="5260"/>
      <c r="J328" s="5231"/>
      <c r="K328" s="5231" t="s">
        <v>4206</v>
      </c>
      <c r="L328" s="70" t="s">
        <v>37</v>
      </c>
      <c r="M328" s="70"/>
      <c r="N328" s="26"/>
      <c r="O328" s="26"/>
      <c r="P328" s="26"/>
      <c r="Q328" s="70"/>
      <c r="R328" s="70"/>
      <c r="S328" s="71"/>
      <c r="T328" s="71"/>
      <c r="U328" s="50"/>
      <c r="V328"/>
      <c r="W328"/>
    </row>
    <row r="329" spans="1:23" ht="26.25" customHeight="1">
      <c r="A329" s="296" t="s">
        <v>25</v>
      </c>
      <c r="B329" s="450">
        <v>45362</v>
      </c>
      <c r="C329" s="82">
        <f t="shared" si="4"/>
        <v>11</v>
      </c>
      <c r="D329" s="651" t="s">
        <v>1664</v>
      </c>
      <c r="E329" s="651" t="s">
        <v>1665</v>
      </c>
      <c r="F329" s="69" t="s">
        <v>1199</v>
      </c>
      <c r="G329" s="45" t="s">
        <v>1199</v>
      </c>
      <c r="H329" s="5231"/>
      <c r="I329" s="5260"/>
      <c r="J329" s="5231"/>
      <c r="K329" s="5231" t="s">
        <v>4206</v>
      </c>
      <c r="L329" s="70" t="s">
        <v>37</v>
      </c>
      <c r="M329" s="70"/>
      <c r="N329" s="26"/>
      <c r="O329" s="26"/>
      <c r="P329" s="26"/>
      <c r="Q329" s="70"/>
      <c r="R329" s="70"/>
      <c r="S329" s="71"/>
      <c r="T329" s="71"/>
      <c r="U329" s="50"/>
      <c r="V329"/>
      <c r="W329"/>
    </row>
    <row r="330" spans="1:23" ht="27" customHeight="1" thickBot="1">
      <c r="A330" s="307" t="s">
        <v>25</v>
      </c>
      <c r="B330" s="453">
        <v>45362</v>
      </c>
      <c r="C330" s="169">
        <f t="shared" si="4"/>
        <v>11</v>
      </c>
      <c r="D330" s="30" t="s">
        <v>4411</v>
      </c>
      <c r="E330" s="30" t="s">
        <v>4412</v>
      </c>
      <c r="F330" s="640" t="s">
        <v>1199</v>
      </c>
      <c r="G330" s="640" t="s">
        <v>1199</v>
      </c>
      <c r="H330" s="5232"/>
      <c r="I330" s="5232"/>
      <c r="J330" s="5232"/>
      <c r="K330" s="5231" t="s">
        <v>4206</v>
      </c>
      <c r="L330" s="31"/>
      <c r="M330" s="31" t="s">
        <v>37</v>
      </c>
      <c r="N330" s="20" t="s">
        <v>0</v>
      </c>
      <c r="O330" s="20" t="s">
        <v>757</v>
      </c>
      <c r="P330" s="20" t="s">
        <v>4102</v>
      </c>
      <c r="Q330" s="907">
        <v>1</v>
      </c>
      <c r="R330" s="31"/>
      <c r="S330" s="33"/>
      <c r="T330" s="33"/>
      <c r="U330" s="282" t="s">
        <v>4413</v>
      </c>
      <c r="V330" s="2564"/>
      <c r="W330"/>
    </row>
    <row r="331" spans="1:23" ht="26.25" customHeight="1">
      <c r="A331" s="297" t="s">
        <v>67</v>
      </c>
      <c r="B331" s="454">
        <v>45363</v>
      </c>
      <c r="C331" s="846">
        <f t="shared" si="4"/>
        <v>11</v>
      </c>
      <c r="D331" s="167" t="s">
        <v>1153</v>
      </c>
      <c r="E331" s="167" t="s">
        <v>3012</v>
      </c>
      <c r="F331" s="885" t="s">
        <v>1764</v>
      </c>
      <c r="G331" s="885" t="s">
        <v>1199</v>
      </c>
      <c r="H331" s="63"/>
      <c r="I331" s="908" t="s">
        <v>1199</v>
      </c>
      <c r="J331" s="63"/>
      <c r="K331" s="63"/>
      <c r="L331" s="63" t="s">
        <v>37</v>
      </c>
      <c r="M331" s="63"/>
      <c r="N331" s="733"/>
      <c r="O331" s="733"/>
      <c r="P331" s="733"/>
      <c r="Q331" s="63"/>
      <c r="R331" s="63"/>
      <c r="S331" s="64"/>
      <c r="T331" s="64"/>
      <c r="U331" s="56"/>
      <c r="V331"/>
      <c r="W331"/>
    </row>
    <row r="332" spans="1:23" ht="26.25" customHeight="1">
      <c r="A332" s="296" t="s">
        <v>67</v>
      </c>
      <c r="B332" s="450">
        <v>45363</v>
      </c>
      <c r="C332" s="82">
        <f t="shared" si="4"/>
        <v>11</v>
      </c>
      <c r="D332" s="72" t="s">
        <v>4228</v>
      </c>
      <c r="E332" s="72" t="s">
        <v>535</v>
      </c>
      <c r="F332" s="888" t="s">
        <v>1764</v>
      </c>
      <c r="G332" s="888" t="s">
        <v>1199</v>
      </c>
      <c r="H332" s="5231"/>
      <c r="I332" s="5231" t="s">
        <v>1199</v>
      </c>
      <c r="J332" s="5231"/>
      <c r="K332" s="5231" t="s">
        <v>4206</v>
      </c>
      <c r="L332" s="70" t="s">
        <v>37</v>
      </c>
      <c r="M332" s="70"/>
      <c r="N332" s="26"/>
      <c r="O332" s="26"/>
      <c r="P332" s="26"/>
      <c r="Q332" s="70"/>
      <c r="R332" s="70"/>
      <c r="S332" s="71"/>
      <c r="T332" s="71"/>
      <c r="U332" s="50" t="s">
        <v>4414</v>
      </c>
      <c r="V332"/>
      <c r="W332"/>
    </row>
    <row r="333" spans="1:23" ht="26.25" customHeight="1">
      <c r="A333" s="296" t="s">
        <v>67</v>
      </c>
      <c r="B333" s="450">
        <v>45363</v>
      </c>
      <c r="C333" s="82">
        <f t="shared" si="4"/>
        <v>11</v>
      </c>
      <c r="D333" s="76" t="s">
        <v>4415</v>
      </c>
      <c r="E333" s="76" t="s">
        <v>4416</v>
      </c>
      <c r="F333" s="888" t="s">
        <v>1764</v>
      </c>
      <c r="G333" s="888" t="s">
        <v>1199</v>
      </c>
      <c r="H333" s="5231"/>
      <c r="I333" s="5231"/>
      <c r="J333" s="5231"/>
      <c r="K333" s="5231" t="s">
        <v>4206</v>
      </c>
      <c r="L333" s="70" t="s">
        <v>37</v>
      </c>
      <c r="M333" s="70"/>
      <c r="N333" s="26"/>
      <c r="O333" s="26"/>
      <c r="P333" s="26"/>
      <c r="Q333" s="70"/>
      <c r="R333" s="897">
        <v>1</v>
      </c>
      <c r="S333" s="71"/>
      <c r="T333" s="71"/>
      <c r="U333" s="50"/>
      <c r="V333"/>
      <c r="W333"/>
    </row>
    <row r="334" spans="1:23" ht="26.25" customHeight="1">
      <c r="A334" s="296" t="s">
        <v>67</v>
      </c>
      <c r="B334" s="450">
        <v>45363</v>
      </c>
      <c r="C334" s="82">
        <f t="shared" si="4"/>
        <v>11</v>
      </c>
      <c r="D334" s="895" t="s">
        <v>3429</v>
      </c>
      <c r="E334" s="895" t="s">
        <v>4417</v>
      </c>
      <c r="F334" s="69" t="s">
        <v>1764</v>
      </c>
      <c r="G334" s="69" t="s">
        <v>1199</v>
      </c>
      <c r="H334" s="5231"/>
      <c r="I334" s="5231"/>
      <c r="J334" s="5231"/>
      <c r="K334" s="5231" t="s">
        <v>4206</v>
      </c>
      <c r="L334" s="70" t="s">
        <v>37</v>
      </c>
      <c r="M334" s="70"/>
      <c r="N334" s="26"/>
      <c r="O334" s="26"/>
      <c r="P334" s="26"/>
      <c r="Q334" s="70"/>
      <c r="R334" s="70"/>
      <c r="S334" s="71"/>
      <c r="T334" s="71"/>
      <c r="U334" s="50"/>
      <c r="V334"/>
      <c r="W334"/>
    </row>
    <row r="335" spans="1:23" ht="26.25" customHeight="1">
      <c r="A335" s="296" t="s">
        <v>67</v>
      </c>
      <c r="B335" s="450">
        <v>45363</v>
      </c>
      <c r="C335" s="82">
        <f t="shared" si="4"/>
        <v>11</v>
      </c>
      <c r="D335" s="895" t="s">
        <v>204</v>
      </c>
      <c r="E335" s="895" t="s">
        <v>4418</v>
      </c>
      <c r="F335" s="75" t="s">
        <v>1764</v>
      </c>
      <c r="G335" s="75" t="s">
        <v>1764</v>
      </c>
      <c r="H335" s="5231"/>
      <c r="I335" s="5231"/>
      <c r="J335" s="5231"/>
      <c r="K335" s="5231" t="s">
        <v>4206</v>
      </c>
      <c r="L335" s="70" t="s">
        <v>37</v>
      </c>
      <c r="M335" s="70"/>
      <c r="N335" s="26"/>
      <c r="O335" s="26"/>
      <c r="P335" s="26"/>
      <c r="Q335" s="70"/>
      <c r="R335" s="70"/>
      <c r="S335" s="71"/>
      <c r="T335" s="71"/>
      <c r="U335" s="50"/>
      <c r="V335"/>
      <c r="W335"/>
    </row>
    <row r="336" spans="1:23" ht="26.25" customHeight="1">
      <c r="A336" s="296" t="s">
        <v>67</v>
      </c>
      <c r="B336" s="450">
        <v>45363</v>
      </c>
      <c r="C336" s="82">
        <f t="shared" si="4"/>
        <v>11</v>
      </c>
      <c r="D336" s="68" t="s">
        <v>4391</v>
      </c>
      <c r="E336" s="68" t="s">
        <v>1148</v>
      </c>
      <c r="F336" s="69" t="s">
        <v>1764</v>
      </c>
      <c r="G336" s="69" t="s">
        <v>1764</v>
      </c>
      <c r="H336" s="5231"/>
      <c r="I336" s="5231"/>
      <c r="J336" s="5231"/>
      <c r="K336" s="5231" t="s">
        <v>4206</v>
      </c>
      <c r="L336" s="70" t="s">
        <v>37</v>
      </c>
      <c r="M336" s="70"/>
      <c r="N336" s="26"/>
      <c r="O336" s="26"/>
      <c r="P336" s="26"/>
      <c r="Q336" s="70"/>
      <c r="R336" s="70"/>
      <c r="S336" s="71"/>
      <c r="T336" s="71"/>
      <c r="U336" s="50"/>
      <c r="V336"/>
      <c r="W336"/>
    </row>
    <row r="337" spans="1:23" ht="26.25" customHeight="1">
      <c r="A337" s="296" t="s">
        <v>67</v>
      </c>
      <c r="B337" s="450">
        <v>45363</v>
      </c>
      <c r="C337" s="82">
        <f t="shared" si="4"/>
        <v>11</v>
      </c>
      <c r="D337" s="68" t="s">
        <v>1148</v>
      </c>
      <c r="E337" s="68" t="s">
        <v>4419</v>
      </c>
      <c r="F337" s="69" t="s">
        <v>4420</v>
      </c>
      <c r="G337" s="69" t="s">
        <v>4421</v>
      </c>
      <c r="H337" s="5231"/>
      <c r="I337" s="5231"/>
      <c r="J337" s="5231"/>
      <c r="K337" s="5231" t="s">
        <v>4206</v>
      </c>
      <c r="L337" s="70"/>
      <c r="M337" s="70"/>
      <c r="N337" s="26"/>
      <c r="O337" s="26"/>
      <c r="P337" s="26"/>
      <c r="Q337" s="70"/>
      <c r="R337" s="70"/>
      <c r="S337" s="71"/>
      <c r="T337" s="71"/>
      <c r="U337" s="50"/>
      <c r="V337"/>
      <c r="W337"/>
    </row>
    <row r="338" spans="1:23" ht="26.25" customHeight="1">
      <c r="A338" s="296" t="s">
        <v>67</v>
      </c>
      <c r="B338" s="450">
        <v>45363</v>
      </c>
      <c r="C338" s="82">
        <f t="shared" si="4"/>
        <v>11</v>
      </c>
      <c r="D338" s="134" t="s">
        <v>4422</v>
      </c>
      <c r="E338" s="134" t="s">
        <v>4423</v>
      </c>
      <c r="F338" s="888" t="s">
        <v>1764</v>
      </c>
      <c r="G338" s="888" t="s">
        <v>1199</v>
      </c>
      <c r="H338" s="5231"/>
      <c r="I338" s="5231" t="s">
        <v>1199</v>
      </c>
      <c r="J338" s="5231"/>
      <c r="K338" s="5231" t="s">
        <v>4206</v>
      </c>
      <c r="L338" s="70" t="s">
        <v>37</v>
      </c>
      <c r="M338" s="70"/>
      <c r="N338" s="26"/>
      <c r="O338" s="26"/>
      <c r="P338" s="26"/>
      <c r="Q338" s="70"/>
      <c r="R338" s="70"/>
      <c r="S338" s="71"/>
      <c r="T338" s="71"/>
      <c r="U338" s="50"/>
      <c r="V338"/>
      <c r="W338"/>
    </row>
    <row r="339" spans="1:23" ht="26.25" customHeight="1">
      <c r="A339" s="296" t="s">
        <v>67</v>
      </c>
      <c r="B339" s="450">
        <v>45363</v>
      </c>
      <c r="C339" s="82">
        <f t="shared" si="4"/>
        <v>11</v>
      </c>
      <c r="D339" s="898" t="s">
        <v>4231</v>
      </c>
      <c r="E339" s="898" t="s">
        <v>4424</v>
      </c>
      <c r="F339" s="69" t="s">
        <v>1764</v>
      </c>
      <c r="G339" s="69" t="s">
        <v>1199</v>
      </c>
      <c r="H339" s="673"/>
      <c r="I339" s="673"/>
      <c r="J339" s="70"/>
      <c r="K339" s="5246" t="s">
        <v>3346</v>
      </c>
      <c r="L339" s="70" t="s">
        <v>37</v>
      </c>
      <c r="M339" s="70"/>
      <c r="N339" s="26"/>
      <c r="O339" s="26"/>
      <c r="P339" s="26"/>
      <c r="Q339" s="70"/>
      <c r="R339" s="70"/>
      <c r="S339" s="71"/>
      <c r="T339" s="71"/>
      <c r="U339" s="50"/>
      <c r="V339"/>
      <c r="W339"/>
    </row>
    <row r="340" spans="1:23" ht="32.25" customHeight="1">
      <c r="A340" s="296" t="s">
        <v>67</v>
      </c>
      <c r="B340" s="450">
        <v>45363</v>
      </c>
      <c r="C340" s="82">
        <f t="shared" si="4"/>
        <v>11</v>
      </c>
      <c r="D340" s="126" t="s">
        <v>4231</v>
      </c>
      <c r="E340" s="126" t="s">
        <v>4425</v>
      </c>
      <c r="F340" s="69" t="s">
        <v>1764</v>
      </c>
      <c r="G340" s="69" t="s">
        <v>1199</v>
      </c>
      <c r="H340" s="673"/>
      <c r="I340" s="673"/>
      <c r="J340" s="70"/>
      <c r="K340" s="484" t="s">
        <v>29</v>
      </c>
      <c r="L340" s="70"/>
      <c r="M340" s="70" t="s">
        <v>37</v>
      </c>
      <c r="N340" s="20" t="s">
        <v>0</v>
      </c>
      <c r="O340" s="20"/>
      <c r="P340" s="20"/>
      <c r="Q340" s="70"/>
      <c r="R340" s="70"/>
      <c r="S340" s="71"/>
      <c r="T340" s="71"/>
      <c r="U340" s="66" t="s">
        <v>4427</v>
      </c>
      <c r="V340" s="2564"/>
      <c r="W340"/>
    </row>
    <row r="341" spans="1:23" ht="32.25" customHeight="1" thickBot="1">
      <c r="A341" s="307" t="s">
        <v>67</v>
      </c>
      <c r="B341" s="453">
        <v>45363</v>
      </c>
      <c r="C341" s="169">
        <f t="shared" si="4"/>
        <v>11</v>
      </c>
      <c r="D341" s="909" t="s">
        <v>4428</v>
      </c>
      <c r="E341" s="909" t="s">
        <v>4429</v>
      </c>
      <c r="F341" s="640" t="s">
        <v>1764</v>
      </c>
      <c r="G341" s="640" t="s">
        <v>1199</v>
      </c>
      <c r="H341" s="669"/>
      <c r="I341" s="669"/>
      <c r="J341" s="31"/>
      <c r="K341" s="484" t="s">
        <v>29</v>
      </c>
      <c r="L341" s="31"/>
      <c r="M341" s="31" t="s">
        <v>37</v>
      </c>
      <c r="N341" s="20" t="s">
        <v>0</v>
      </c>
      <c r="O341" s="20" t="s">
        <v>110</v>
      </c>
      <c r="P341" s="20" t="s">
        <v>4082</v>
      </c>
      <c r="Q341" s="31"/>
      <c r="R341" s="31"/>
      <c r="S341" s="33"/>
      <c r="T341" s="33"/>
      <c r="U341" s="282" t="s">
        <v>4427</v>
      </c>
      <c r="V341" s="2564"/>
      <c r="W341"/>
    </row>
    <row r="342" spans="1:23" ht="26.25" customHeight="1">
      <c r="A342" s="297" t="s">
        <v>85</v>
      </c>
      <c r="B342" s="454">
        <v>45364</v>
      </c>
      <c r="C342" s="846">
        <f t="shared" si="4"/>
        <v>11</v>
      </c>
      <c r="D342" s="167" t="s">
        <v>68</v>
      </c>
      <c r="E342" s="167" t="s">
        <v>4181</v>
      </c>
      <c r="F342" s="885" t="s">
        <v>1199</v>
      </c>
      <c r="G342" s="885" t="s">
        <v>1199</v>
      </c>
      <c r="H342" s="686"/>
      <c r="I342" s="686"/>
      <c r="J342" s="63"/>
      <c r="K342" s="484" t="s">
        <v>29</v>
      </c>
      <c r="L342" s="63" t="s">
        <v>37</v>
      </c>
      <c r="M342" s="63"/>
      <c r="N342" s="733"/>
      <c r="O342" s="733"/>
      <c r="P342" s="733"/>
      <c r="Q342" s="63"/>
      <c r="R342" s="63"/>
      <c r="S342" s="64"/>
      <c r="T342" s="64"/>
      <c r="U342" s="56" t="s">
        <v>4430</v>
      </c>
      <c r="V342"/>
      <c r="W342"/>
    </row>
    <row r="343" spans="1:23" ht="26.25" customHeight="1">
      <c r="A343" s="296" t="s">
        <v>85</v>
      </c>
      <c r="B343" s="450">
        <v>45364</v>
      </c>
      <c r="C343" s="82">
        <f t="shared" si="4"/>
        <v>11</v>
      </c>
      <c r="D343" s="898" t="s">
        <v>2141</v>
      </c>
      <c r="E343" s="898" t="s">
        <v>4431</v>
      </c>
      <c r="F343" s="45" t="s">
        <v>1199</v>
      </c>
      <c r="G343" s="45" t="s">
        <v>1199</v>
      </c>
      <c r="H343" s="673"/>
      <c r="I343" s="673"/>
      <c r="J343" s="70"/>
      <c r="K343" s="5246" t="s">
        <v>3346</v>
      </c>
      <c r="L343" s="70" t="s">
        <v>37</v>
      </c>
      <c r="M343" s="70"/>
      <c r="N343" s="26"/>
      <c r="O343" s="26"/>
      <c r="P343" s="26"/>
      <c r="Q343" s="70"/>
      <c r="R343" s="70"/>
      <c r="S343" s="71"/>
      <c r="T343" s="71"/>
      <c r="U343" s="50"/>
      <c r="V343"/>
      <c r="W343"/>
    </row>
    <row r="344" spans="1:23" ht="26.25" customHeight="1">
      <c r="A344" s="296" t="s">
        <v>85</v>
      </c>
      <c r="B344" s="450">
        <v>45364</v>
      </c>
      <c r="C344" s="82">
        <f t="shared" si="4"/>
        <v>11</v>
      </c>
      <c r="D344" s="134" t="s">
        <v>4432</v>
      </c>
      <c r="E344" s="134" t="s">
        <v>4433</v>
      </c>
      <c r="F344" s="69" t="s">
        <v>1199</v>
      </c>
      <c r="G344" s="69" t="s">
        <v>1199</v>
      </c>
      <c r="H344" s="5231"/>
      <c r="I344" s="5231" t="s">
        <v>1199</v>
      </c>
      <c r="J344" s="5231"/>
      <c r="K344" s="5231" t="s">
        <v>4206</v>
      </c>
      <c r="L344" s="70" t="s">
        <v>37</v>
      </c>
      <c r="M344" s="70"/>
      <c r="N344" s="20"/>
      <c r="O344" s="20"/>
      <c r="P344" s="20"/>
      <c r="Q344" s="70"/>
      <c r="R344" s="70"/>
      <c r="S344" s="71"/>
      <c r="T344" s="71"/>
      <c r="U344" s="50"/>
      <c r="V344"/>
      <c r="W344"/>
    </row>
    <row r="345" spans="1:23" ht="91.5" customHeight="1">
      <c r="A345" s="296" t="s">
        <v>85</v>
      </c>
      <c r="B345" s="450">
        <v>45364</v>
      </c>
      <c r="C345" s="82">
        <f t="shared" si="4"/>
        <v>11</v>
      </c>
      <c r="D345" s="134" t="s">
        <v>4148</v>
      </c>
      <c r="E345" s="134" t="s">
        <v>4434</v>
      </c>
      <c r="F345" s="69" t="s">
        <v>1764</v>
      </c>
      <c r="G345" s="69" t="s">
        <v>1764</v>
      </c>
      <c r="H345" s="5231"/>
      <c r="I345" s="5231"/>
      <c r="J345" s="5231"/>
      <c r="K345" s="5231" t="s">
        <v>4206</v>
      </c>
      <c r="L345" s="70"/>
      <c r="M345" s="70" t="s">
        <v>37</v>
      </c>
      <c r="N345" s="20" t="s">
        <v>122</v>
      </c>
      <c r="O345" s="20" t="s">
        <v>110</v>
      </c>
      <c r="P345" s="20" t="s">
        <v>4082</v>
      </c>
      <c r="Q345" s="70"/>
      <c r="R345" s="70"/>
      <c r="S345" s="71"/>
      <c r="T345" s="71"/>
      <c r="U345" s="66" t="s">
        <v>4435</v>
      </c>
      <c r="V345" s="2564"/>
      <c r="W345"/>
    </row>
    <row r="346" spans="1:23" ht="26.25" customHeight="1">
      <c r="A346" s="296" t="s">
        <v>85</v>
      </c>
      <c r="B346" s="450">
        <v>45364</v>
      </c>
      <c r="C346" s="82">
        <f t="shared" si="4"/>
        <v>11</v>
      </c>
      <c r="D346" s="73" t="s">
        <v>447</v>
      </c>
      <c r="E346" s="73" t="s">
        <v>4436</v>
      </c>
      <c r="F346" s="69" t="s">
        <v>1199</v>
      </c>
      <c r="G346" s="69" t="s">
        <v>1764</v>
      </c>
      <c r="H346" s="896"/>
      <c r="I346" s="94" t="s">
        <v>1199</v>
      </c>
      <c r="J346" s="70"/>
      <c r="K346" s="70"/>
      <c r="L346" s="70" t="s">
        <v>37</v>
      </c>
      <c r="M346" s="70"/>
      <c r="N346" s="26"/>
      <c r="O346" s="26"/>
      <c r="P346" s="26"/>
      <c r="Q346" s="70"/>
      <c r="R346" s="70"/>
      <c r="S346" s="71"/>
      <c r="T346" s="71"/>
      <c r="U346" s="50"/>
      <c r="V346"/>
      <c r="W346"/>
    </row>
    <row r="347" spans="1:23" ht="26.25" customHeight="1">
      <c r="A347" s="296" t="s">
        <v>85</v>
      </c>
      <c r="B347" s="450">
        <v>45364</v>
      </c>
      <c r="C347" s="82">
        <f t="shared" si="4"/>
        <v>11</v>
      </c>
      <c r="D347" s="73" t="s">
        <v>4436</v>
      </c>
      <c r="E347" s="73" t="s">
        <v>447</v>
      </c>
      <c r="F347" s="69" t="s">
        <v>1199</v>
      </c>
      <c r="G347" s="69" t="s">
        <v>1764</v>
      </c>
      <c r="H347" s="49"/>
      <c r="I347" s="94" t="s">
        <v>1199</v>
      </c>
      <c r="J347" s="49"/>
      <c r="K347" s="49"/>
      <c r="L347" s="70" t="s">
        <v>37</v>
      </c>
      <c r="M347" s="49"/>
      <c r="N347" s="49"/>
      <c r="O347" s="49"/>
      <c r="P347" s="49"/>
      <c r="Q347" s="49"/>
      <c r="R347" s="49"/>
      <c r="S347" s="49"/>
      <c r="T347" s="49"/>
      <c r="U347" s="50"/>
      <c r="V347"/>
      <c r="W347"/>
    </row>
    <row r="348" spans="1:23" ht="26.25" customHeight="1">
      <c r="A348" s="296" t="s">
        <v>85</v>
      </c>
      <c r="B348" s="450">
        <v>45364</v>
      </c>
      <c r="C348" s="82">
        <f t="shared" si="4"/>
        <v>11</v>
      </c>
      <c r="D348" s="68" t="s">
        <v>1148</v>
      </c>
      <c r="E348" s="68" t="s">
        <v>4419</v>
      </c>
      <c r="F348" s="69" t="s">
        <v>1199</v>
      </c>
      <c r="G348" s="69" t="s">
        <v>1764</v>
      </c>
      <c r="H348" s="5231"/>
      <c r="I348" s="5231"/>
      <c r="J348" s="5231"/>
      <c r="K348" s="5231" t="s">
        <v>4206</v>
      </c>
      <c r="L348" s="70" t="s">
        <v>37</v>
      </c>
      <c r="M348" s="70"/>
      <c r="N348" s="26"/>
      <c r="O348" s="26"/>
      <c r="P348" s="26"/>
      <c r="Q348" s="70"/>
      <c r="R348" s="70"/>
      <c r="S348" s="71"/>
      <c r="T348" s="71"/>
      <c r="U348" s="50"/>
      <c r="V348"/>
      <c r="W348"/>
    </row>
    <row r="349" spans="1:23" ht="26.25" customHeight="1">
      <c r="A349" s="296" t="s">
        <v>85</v>
      </c>
      <c r="B349" s="450">
        <v>45364</v>
      </c>
      <c r="C349" s="82">
        <f t="shared" si="4"/>
        <v>11</v>
      </c>
      <c r="D349" s="666" t="s">
        <v>273</v>
      </c>
      <c r="E349" s="666" t="s">
        <v>4437</v>
      </c>
      <c r="F349" s="69" t="s">
        <v>1199</v>
      </c>
      <c r="G349" s="69" t="s">
        <v>1199</v>
      </c>
      <c r="H349" s="5231"/>
      <c r="I349" s="5231" t="s">
        <v>1199</v>
      </c>
      <c r="J349" s="5231"/>
      <c r="K349" s="5231" t="s">
        <v>4206</v>
      </c>
      <c r="L349" s="70" t="s">
        <v>37</v>
      </c>
      <c r="M349" s="70"/>
      <c r="N349" s="26"/>
      <c r="O349" s="26"/>
      <c r="P349" s="26"/>
      <c r="Q349" s="70"/>
      <c r="R349" s="70"/>
      <c r="S349" s="71"/>
      <c r="T349" s="71"/>
      <c r="U349" s="50"/>
      <c r="V349"/>
      <c r="W349"/>
    </row>
    <row r="350" spans="1:23" ht="26.25" customHeight="1">
      <c r="A350" s="296" t="s">
        <v>85</v>
      </c>
      <c r="B350" s="450">
        <v>45364</v>
      </c>
      <c r="C350" s="82">
        <f t="shared" si="4"/>
        <v>11</v>
      </c>
      <c r="D350" s="666" t="s">
        <v>1870</v>
      </c>
      <c r="E350" s="666" t="s">
        <v>4438</v>
      </c>
      <c r="F350" s="893" t="s">
        <v>1199</v>
      </c>
      <c r="G350" s="899" t="s">
        <v>1199</v>
      </c>
      <c r="H350" s="5231"/>
      <c r="I350" s="5231"/>
      <c r="J350" s="5231"/>
      <c r="K350" s="5231" t="s">
        <v>4206</v>
      </c>
      <c r="L350" s="70" t="s">
        <v>37</v>
      </c>
      <c r="M350" s="70"/>
      <c r="N350" s="26"/>
      <c r="O350" s="26"/>
      <c r="P350" s="26"/>
      <c r="Q350" s="70"/>
      <c r="R350" s="70"/>
      <c r="S350" s="71"/>
      <c r="T350" s="71"/>
      <c r="U350" s="50"/>
      <c r="V350"/>
      <c r="W350"/>
    </row>
    <row r="351" spans="1:23" ht="26.25" customHeight="1">
      <c r="A351" s="296" t="s">
        <v>85</v>
      </c>
      <c r="B351" s="450">
        <v>45364</v>
      </c>
      <c r="C351" s="82">
        <f t="shared" si="4"/>
        <v>11</v>
      </c>
      <c r="D351" s="666" t="s">
        <v>1182</v>
      </c>
      <c r="E351" s="666" t="s">
        <v>3610</v>
      </c>
      <c r="F351" s="893" t="s">
        <v>1199</v>
      </c>
      <c r="G351" s="899" t="s">
        <v>1199</v>
      </c>
      <c r="H351" s="5231"/>
      <c r="I351" s="5231"/>
      <c r="J351" s="5231"/>
      <c r="K351" s="5231" t="s">
        <v>4206</v>
      </c>
      <c r="L351" s="70" t="s">
        <v>37</v>
      </c>
      <c r="M351" s="70"/>
      <c r="N351" s="26"/>
      <c r="O351" s="26"/>
      <c r="P351" s="26"/>
      <c r="Q351" s="70"/>
      <c r="R351" s="70"/>
      <c r="S351" s="71"/>
      <c r="T351" s="71"/>
      <c r="U351" s="50"/>
      <c r="V351"/>
      <c r="W351"/>
    </row>
    <row r="352" spans="1:23" ht="26.25" customHeight="1">
      <c r="A352" s="296" t="s">
        <v>85</v>
      </c>
      <c r="B352" s="450">
        <v>45364</v>
      </c>
      <c r="C352" s="82">
        <f t="shared" si="4"/>
        <v>11</v>
      </c>
      <c r="D352" s="68" t="s">
        <v>4439</v>
      </c>
      <c r="E352" s="68" t="s">
        <v>4412</v>
      </c>
      <c r="F352" s="69" t="s">
        <v>1199</v>
      </c>
      <c r="G352" s="69" t="s">
        <v>1199</v>
      </c>
      <c r="H352" s="673"/>
      <c r="I352" s="673"/>
      <c r="J352" s="70"/>
      <c r="K352" s="484" t="s">
        <v>29</v>
      </c>
      <c r="L352" s="70" t="s">
        <v>37</v>
      </c>
      <c r="M352" s="70"/>
      <c r="N352" s="26"/>
      <c r="O352" s="26"/>
      <c r="P352" s="26"/>
      <c r="Q352" s="70"/>
      <c r="R352" s="70"/>
      <c r="S352" s="71"/>
      <c r="T352" s="71"/>
      <c r="U352" s="50"/>
      <c r="V352"/>
      <c r="W352"/>
    </row>
    <row r="353" spans="1:23" ht="26.25" customHeight="1">
      <c r="A353" s="296" t="s">
        <v>85</v>
      </c>
      <c r="B353" s="450">
        <v>45364</v>
      </c>
      <c r="C353" s="82">
        <f t="shared" si="4"/>
        <v>11</v>
      </c>
      <c r="D353" s="68" t="s">
        <v>4440</v>
      </c>
      <c r="E353" s="68" t="s">
        <v>4441</v>
      </c>
      <c r="F353" s="69" t="s">
        <v>1199</v>
      </c>
      <c r="G353" s="69" t="s">
        <v>1199</v>
      </c>
      <c r="H353" s="673"/>
      <c r="I353" s="673"/>
      <c r="J353" s="70"/>
      <c r="K353" s="5227" t="s">
        <v>174</v>
      </c>
      <c r="L353" s="70" t="s">
        <v>37</v>
      </c>
      <c r="M353" s="70"/>
      <c r="N353" s="26"/>
      <c r="O353" s="26"/>
      <c r="P353" s="26"/>
      <c r="Q353" s="70"/>
      <c r="R353" s="70"/>
      <c r="S353" s="71"/>
      <c r="T353" s="71"/>
      <c r="U353" s="50"/>
      <c r="V353"/>
      <c r="W353"/>
    </row>
    <row r="354" spans="1:23" ht="26.25" customHeight="1">
      <c r="A354" s="296" t="s">
        <v>85</v>
      </c>
      <c r="B354" s="450">
        <v>45364</v>
      </c>
      <c r="C354" s="82">
        <f t="shared" si="4"/>
        <v>11</v>
      </c>
      <c r="D354" s="900" t="s">
        <v>4086</v>
      </c>
      <c r="E354" s="900" t="s">
        <v>4442</v>
      </c>
      <c r="F354" s="69" t="s">
        <v>1199</v>
      </c>
      <c r="G354" s="69" t="s">
        <v>1199</v>
      </c>
      <c r="H354" s="673"/>
      <c r="I354" s="673"/>
      <c r="J354" s="70"/>
      <c r="K354" s="5227" t="s">
        <v>174</v>
      </c>
      <c r="L354" s="70" t="s">
        <v>37</v>
      </c>
      <c r="M354" s="70"/>
      <c r="N354" s="26"/>
      <c r="O354" s="26"/>
      <c r="P354" s="26"/>
      <c r="Q354" s="70"/>
      <c r="R354" s="70"/>
      <c r="S354" s="71" t="s">
        <v>37</v>
      </c>
      <c r="T354" s="71"/>
      <c r="U354" s="50" t="s">
        <v>4443</v>
      </c>
      <c r="V354"/>
      <c r="W354"/>
    </row>
    <row r="355" spans="1:23" ht="26.25" customHeight="1">
      <c r="A355" s="296" t="s">
        <v>85</v>
      </c>
      <c r="B355" s="450">
        <v>45364</v>
      </c>
      <c r="C355" s="82">
        <f t="shared" si="4"/>
        <v>11</v>
      </c>
      <c r="D355" s="900" t="s">
        <v>4432</v>
      </c>
      <c r="E355" s="900" t="s">
        <v>4444</v>
      </c>
      <c r="F355" s="69" t="s">
        <v>1199</v>
      </c>
      <c r="G355" s="69" t="s">
        <v>1199</v>
      </c>
      <c r="H355" s="673"/>
      <c r="I355" s="673"/>
      <c r="J355" s="70"/>
      <c r="K355" s="5227" t="s">
        <v>174</v>
      </c>
      <c r="L355" s="70" t="s">
        <v>37</v>
      </c>
      <c r="M355" s="70"/>
      <c r="N355" s="26"/>
      <c r="O355" s="26"/>
      <c r="P355" s="26"/>
      <c r="Q355" s="70"/>
      <c r="R355" s="70"/>
      <c r="S355" s="71" t="s">
        <v>37</v>
      </c>
      <c r="T355" s="71"/>
      <c r="U355" s="50"/>
      <c r="V355"/>
      <c r="W355"/>
    </row>
    <row r="356" spans="1:23" ht="26.25" customHeight="1">
      <c r="A356" s="296" t="s">
        <v>85</v>
      </c>
      <c r="B356" s="450">
        <v>45364</v>
      </c>
      <c r="C356" s="82">
        <f t="shared" si="4"/>
        <v>11</v>
      </c>
      <c r="D356" s="901" t="s">
        <v>447</v>
      </c>
      <c r="E356" s="901" t="s">
        <v>4445</v>
      </c>
      <c r="F356" s="69" t="s">
        <v>1199</v>
      </c>
      <c r="G356" s="69" t="s">
        <v>1199</v>
      </c>
      <c r="H356" s="5231"/>
      <c r="I356" s="673"/>
      <c r="J356" s="70"/>
      <c r="K356" s="70" t="s">
        <v>4206</v>
      </c>
      <c r="L356" s="70" t="s">
        <v>37</v>
      </c>
      <c r="M356" s="70"/>
      <c r="N356" s="26"/>
      <c r="O356" s="26"/>
      <c r="P356" s="26"/>
      <c r="Q356" s="70"/>
      <c r="R356" s="70"/>
      <c r="S356" s="71"/>
      <c r="T356" s="71"/>
      <c r="U356" s="50"/>
      <c r="V356"/>
      <c r="W356"/>
    </row>
    <row r="357" spans="1:23" ht="26.25" customHeight="1" thickBot="1">
      <c r="A357" s="307" t="s">
        <v>85</v>
      </c>
      <c r="B357" s="453">
        <v>45364</v>
      </c>
      <c r="C357" s="169">
        <f t="shared" si="4"/>
        <v>11</v>
      </c>
      <c r="D357" s="910" t="s">
        <v>4446</v>
      </c>
      <c r="E357" s="910" t="s">
        <v>4447</v>
      </c>
      <c r="F357" s="640" t="s">
        <v>1199</v>
      </c>
      <c r="G357" s="640" t="s">
        <v>1199</v>
      </c>
      <c r="H357" s="5232"/>
      <c r="I357" s="5232" t="s">
        <v>1199</v>
      </c>
      <c r="J357" s="5232"/>
      <c r="K357" s="5231" t="s">
        <v>4206</v>
      </c>
      <c r="L357" s="31" t="s">
        <v>37</v>
      </c>
      <c r="M357" s="31"/>
      <c r="N357" s="670"/>
      <c r="O357" s="670"/>
      <c r="P357" s="670"/>
      <c r="Q357" s="31"/>
      <c r="R357" s="31"/>
      <c r="S357" s="33"/>
      <c r="T357" s="33"/>
      <c r="U357" s="53"/>
      <c r="V357"/>
      <c r="W357"/>
    </row>
    <row r="358" spans="1:23" ht="26.25" customHeight="1">
      <c r="A358" s="297" t="s">
        <v>1495</v>
      </c>
      <c r="B358" s="454">
        <v>45365</v>
      </c>
      <c r="C358" s="846">
        <f t="shared" si="4"/>
        <v>11</v>
      </c>
      <c r="D358" s="60" t="s">
        <v>4093</v>
      </c>
      <c r="E358" s="60" t="s">
        <v>1187</v>
      </c>
      <c r="F358" s="61" t="s">
        <v>1199</v>
      </c>
      <c r="G358" s="61" t="s">
        <v>1199</v>
      </c>
      <c r="H358" s="5247"/>
      <c r="I358" s="686"/>
      <c r="J358" s="63"/>
      <c r="K358" s="70" t="s">
        <v>4206</v>
      </c>
      <c r="L358" s="63" t="s">
        <v>37</v>
      </c>
      <c r="M358" s="63"/>
      <c r="N358" s="733"/>
      <c r="O358" s="733"/>
      <c r="P358" s="733"/>
      <c r="Q358" s="63"/>
      <c r="R358" s="63"/>
      <c r="S358" s="64"/>
      <c r="T358" s="64"/>
      <c r="U358" s="56"/>
      <c r="V358"/>
      <c r="W358"/>
    </row>
    <row r="359" spans="1:23" ht="26.25" customHeight="1">
      <c r="A359" s="296" t="s">
        <v>1495</v>
      </c>
      <c r="B359" s="450">
        <v>45365</v>
      </c>
      <c r="C359" s="82">
        <f t="shared" si="4"/>
        <v>11</v>
      </c>
      <c r="D359" s="898" t="s">
        <v>3538</v>
      </c>
      <c r="E359" s="898" t="s">
        <v>4448</v>
      </c>
      <c r="F359" s="69" t="s">
        <v>1199</v>
      </c>
      <c r="G359" s="69" t="s">
        <v>1199</v>
      </c>
      <c r="H359" s="673"/>
      <c r="I359" s="673"/>
      <c r="J359" s="70"/>
      <c r="K359" s="5246" t="s">
        <v>3346</v>
      </c>
      <c r="L359" s="70" t="s">
        <v>37</v>
      </c>
      <c r="M359" s="70"/>
      <c r="N359" s="26"/>
      <c r="O359" s="26"/>
      <c r="P359" s="26"/>
      <c r="Q359" s="70"/>
      <c r="R359" s="70"/>
      <c r="S359" s="71"/>
      <c r="T359" s="71"/>
      <c r="U359" s="50"/>
      <c r="V359"/>
      <c r="W359"/>
    </row>
    <row r="360" spans="1:23" ht="26.25" customHeight="1">
      <c r="A360" s="296" t="s">
        <v>1495</v>
      </c>
      <c r="B360" s="450">
        <v>45365</v>
      </c>
      <c r="C360" s="82">
        <f t="shared" si="4"/>
        <v>11</v>
      </c>
      <c r="D360" s="77" t="s">
        <v>1254</v>
      </c>
      <c r="E360" s="77" t="s">
        <v>1983</v>
      </c>
      <c r="F360" s="888" t="s">
        <v>1199</v>
      </c>
      <c r="G360" s="888" t="s">
        <v>1199</v>
      </c>
      <c r="H360" s="5231"/>
      <c r="I360" s="673"/>
      <c r="J360" s="70"/>
      <c r="K360" s="70" t="s">
        <v>4206</v>
      </c>
      <c r="L360" s="70"/>
      <c r="M360" s="70" t="s">
        <v>37</v>
      </c>
      <c r="N360" s="20" t="s">
        <v>0</v>
      </c>
      <c r="O360" s="20" t="s">
        <v>110</v>
      </c>
      <c r="P360" s="20" t="s">
        <v>4102</v>
      </c>
      <c r="Q360" s="70"/>
      <c r="R360" s="70"/>
      <c r="S360" s="71"/>
      <c r="T360" s="71"/>
      <c r="U360" s="911" t="s">
        <v>4449</v>
      </c>
      <c r="V360" s="3053"/>
      <c r="W360"/>
    </row>
    <row r="361" spans="1:23" ht="26.25" customHeight="1">
      <c r="A361" s="296" t="s">
        <v>1495</v>
      </c>
      <c r="B361" s="450">
        <v>45365</v>
      </c>
      <c r="C361" s="82">
        <f t="shared" si="4"/>
        <v>11</v>
      </c>
      <c r="D361" s="76" t="s">
        <v>4148</v>
      </c>
      <c r="E361" s="76" t="s">
        <v>4434</v>
      </c>
      <c r="F361" s="69" t="s">
        <v>1199</v>
      </c>
      <c r="G361" s="902" t="s">
        <v>1199</v>
      </c>
      <c r="H361" s="135"/>
      <c r="I361" s="135"/>
      <c r="J361" s="70"/>
      <c r="K361" s="70"/>
      <c r="L361" s="70" t="s">
        <v>37</v>
      </c>
      <c r="M361" s="70"/>
      <c r="N361" s="26"/>
      <c r="O361" s="26"/>
      <c r="P361" s="26"/>
      <c r="Q361" s="70"/>
      <c r="R361" s="70"/>
      <c r="S361" s="71"/>
      <c r="T361" s="71"/>
      <c r="U361" s="50"/>
      <c r="V361"/>
      <c r="W361"/>
    </row>
    <row r="362" spans="1:23" ht="26.25" customHeight="1" thickBot="1">
      <c r="A362" s="307" t="s">
        <v>1495</v>
      </c>
      <c r="B362" s="453">
        <v>45365</v>
      </c>
      <c r="C362" s="169">
        <f t="shared" ref="C362:C425" si="5">_xlfn.ISOWEEKNUM(B362)</f>
        <v>11</v>
      </c>
      <c r="D362" s="30" t="s">
        <v>4450</v>
      </c>
      <c r="E362" s="30" t="s">
        <v>669</v>
      </c>
      <c r="F362" s="640" t="s">
        <v>1199</v>
      </c>
      <c r="G362" s="640" t="s">
        <v>1199</v>
      </c>
      <c r="H362" s="5232"/>
      <c r="I362" s="5291"/>
      <c r="J362" s="5232"/>
      <c r="K362" s="5231" t="s">
        <v>4206</v>
      </c>
      <c r="L362" s="31" t="s">
        <v>37</v>
      </c>
      <c r="M362" s="31"/>
      <c r="N362" s="670"/>
      <c r="O362" s="670"/>
      <c r="P362" s="670"/>
      <c r="Q362" s="31"/>
      <c r="R362" s="31"/>
      <c r="S362" s="33"/>
      <c r="T362" s="33"/>
      <c r="U362" s="912" t="s">
        <v>4451</v>
      </c>
      <c r="V362" s="3054"/>
      <c r="W362"/>
    </row>
    <row r="363" spans="1:23" ht="26.25" customHeight="1">
      <c r="A363" s="297" t="s">
        <v>1857</v>
      </c>
      <c r="B363" s="454">
        <v>45366</v>
      </c>
      <c r="C363" s="846">
        <f t="shared" si="5"/>
        <v>11</v>
      </c>
      <c r="D363" s="60" t="s">
        <v>669</v>
      </c>
      <c r="E363" s="60" t="s">
        <v>4452</v>
      </c>
      <c r="F363" s="61" t="s">
        <v>1199</v>
      </c>
      <c r="G363" s="61" t="s">
        <v>1199</v>
      </c>
      <c r="H363" s="5247"/>
      <c r="I363" s="5292"/>
      <c r="J363" s="5247"/>
      <c r="K363" s="5231" t="s">
        <v>4206</v>
      </c>
      <c r="L363" s="63" t="s">
        <v>37</v>
      </c>
      <c r="M363" s="63"/>
      <c r="N363" s="733"/>
      <c r="O363" s="733"/>
      <c r="P363" s="733"/>
      <c r="Q363" s="63"/>
      <c r="R363" s="63"/>
      <c r="S363" s="64"/>
      <c r="T363" s="64"/>
      <c r="U363" s="56"/>
      <c r="V363"/>
      <c r="W363"/>
    </row>
    <row r="364" spans="1:23" ht="26.25" customHeight="1">
      <c r="A364" s="296" t="s">
        <v>1857</v>
      </c>
      <c r="B364" s="450">
        <v>45366</v>
      </c>
      <c r="C364" s="82">
        <f t="shared" si="5"/>
        <v>11</v>
      </c>
      <c r="D364" s="77" t="s">
        <v>4453</v>
      </c>
      <c r="E364" s="77" t="s">
        <v>1123</v>
      </c>
      <c r="F364" s="69" t="s">
        <v>1199</v>
      </c>
      <c r="G364" s="69" t="s">
        <v>1199</v>
      </c>
      <c r="H364" s="5231"/>
      <c r="I364" s="673"/>
      <c r="J364" s="70"/>
      <c r="K364" s="70" t="s">
        <v>4206</v>
      </c>
      <c r="L364" s="96" t="s">
        <v>37</v>
      </c>
      <c r="M364" s="70"/>
      <c r="N364" s="26"/>
      <c r="O364" s="26"/>
      <c r="P364" s="26"/>
      <c r="Q364" s="70"/>
      <c r="R364" s="70"/>
      <c r="S364" s="71"/>
      <c r="T364" s="71"/>
      <c r="U364" s="50"/>
      <c r="V364"/>
      <c r="W364"/>
    </row>
    <row r="365" spans="1:23" ht="26.25" customHeight="1">
      <c r="A365" s="296" t="s">
        <v>1857</v>
      </c>
      <c r="B365" s="450">
        <v>45366</v>
      </c>
      <c r="C365" s="82">
        <f t="shared" si="5"/>
        <v>11</v>
      </c>
      <c r="D365" s="68" t="s">
        <v>1870</v>
      </c>
      <c r="E365" s="68" t="s">
        <v>4454</v>
      </c>
      <c r="F365" s="69" t="s">
        <v>1199</v>
      </c>
      <c r="G365" s="902" t="s">
        <v>1199</v>
      </c>
      <c r="H365" s="5231"/>
      <c r="I365" s="5260"/>
      <c r="J365" s="5231"/>
      <c r="K365" s="5231" t="s">
        <v>4206</v>
      </c>
      <c r="L365" s="70" t="s">
        <v>37</v>
      </c>
      <c r="M365" s="70"/>
      <c r="N365" s="26"/>
      <c r="O365" s="26"/>
      <c r="P365" s="26"/>
      <c r="Q365" s="70"/>
      <c r="R365" s="70"/>
      <c r="S365" s="71"/>
      <c r="T365" s="71"/>
      <c r="U365" s="50"/>
      <c r="V365"/>
      <c r="W365"/>
    </row>
    <row r="366" spans="1:23" ht="26.25" customHeight="1">
      <c r="A366" s="296" t="s">
        <v>1857</v>
      </c>
      <c r="B366" s="450">
        <v>45366</v>
      </c>
      <c r="C366" s="82">
        <f t="shared" si="5"/>
        <v>11</v>
      </c>
      <c r="D366" s="68" t="s">
        <v>4155</v>
      </c>
      <c r="E366" s="68" t="s">
        <v>4455</v>
      </c>
      <c r="F366" s="69" t="s">
        <v>1199</v>
      </c>
      <c r="G366" s="902" t="s">
        <v>1199</v>
      </c>
      <c r="H366" s="896"/>
      <c r="I366" s="896"/>
      <c r="J366" s="70"/>
      <c r="K366" s="70"/>
      <c r="L366" s="70" t="s">
        <v>37</v>
      </c>
      <c r="M366" s="70"/>
      <c r="N366" s="26"/>
      <c r="O366" s="26"/>
      <c r="P366" s="26"/>
      <c r="Q366" s="70"/>
      <c r="R366" s="70"/>
      <c r="S366" s="71" t="s">
        <v>30</v>
      </c>
      <c r="T366" s="71"/>
      <c r="U366" s="50"/>
      <c r="V366"/>
      <c r="W366"/>
    </row>
    <row r="367" spans="1:23" ht="26.25" customHeight="1" thickBot="1">
      <c r="A367" s="307" t="s">
        <v>1857</v>
      </c>
      <c r="B367" s="453">
        <v>45366</v>
      </c>
      <c r="C367" s="169">
        <f t="shared" si="5"/>
        <v>11</v>
      </c>
      <c r="D367" s="30" t="s">
        <v>669</v>
      </c>
      <c r="E367" s="30" t="s">
        <v>4456</v>
      </c>
      <c r="F367" s="640" t="s">
        <v>1199</v>
      </c>
      <c r="G367" s="913" t="s">
        <v>1199</v>
      </c>
      <c r="H367" s="5232"/>
      <c r="I367" s="669"/>
      <c r="J367" s="31"/>
      <c r="K367" s="70" t="s">
        <v>4206</v>
      </c>
      <c r="L367" s="31" t="s">
        <v>37</v>
      </c>
      <c r="M367" s="31"/>
      <c r="N367" s="670"/>
      <c r="O367" s="670"/>
      <c r="P367" s="670"/>
      <c r="Q367" s="31"/>
      <c r="R367" s="31"/>
      <c r="S367" s="33"/>
      <c r="T367" s="33"/>
      <c r="U367" s="53"/>
      <c r="V367"/>
      <c r="W367"/>
    </row>
    <row r="368" spans="1:23" ht="26.25" customHeight="1">
      <c r="A368" s="297" t="s">
        <v>1519</v>
      </c>
      <c r="B368" s="454">
        <v>45367</v>
      </c>
      <c r="C368" s="846">
        <f t="shared" si="5"/>
        <v>11</v>
      </c>
      <c r="D368" s="60" t="s">
        <v>2849</v>
      </c>
      <c r="E368" s="60" t="s">
        <v>1052</v>
      </c>
      <c r="F368" s="61"/>
      <c r="G368" s="62"/>
      <c r="H368" s="62"/>
      <c r="I368" s="62"/>
      <c r="J368" s="62"/>
      <c r="K368" s="62"/>
      <c r="L368" s="63" t="s">
        <v>37</v>
      </c>
      <c r="M368" s="63"/>
      <c r="N368" s="733"/>
      <c r="O368" s="733"/>
      <c r="P368" s="733"/>
      <c r="Q368" s="63"/>
      <c r="R368" s="63"/>
      <c r="S368" s="64"/>
      <c r="T368" s="64"/>
      <c r="U368" s="56"/>
      <c r="V368"/>
      <c r="W368"/>
    </row>
    <row r="369" spans="1:23" ht="27" customHeight="1" thickBot="1">
      <c r="A369" s="298" t="s">
        <v>1519</v>
      </c>
      <c r="B369" s="457">
        <v>45367</v>
      </c>
      <c r="C369" s="85">
        <f t="shared" si="5"/>
        <v>11</v>
      </c>
      <c r="D369" s="108" t="s">
        <v>258</v>
      </c>
      <c r="E369" s="108" t="s">
        <v>4324</v>
      </c>
      <c r="F369" s="89" t="s">
        <v>1199</v>
      </c>
      <c r="G369" s="914"/>
      <c r="H369" s="5309"/>
      <c r="I369" s="687"/>
      <c r="J369" s="90"/>
      <c r="K369" s="70" t="s">
        <v>4206</v>
      </c>
      <c r="L369" s="31" t="s">
        <v>37</v>
      </c>
      <c r="M369" s="31"/>
      <c r="N369" s="648"/>
      <c r="O369" s="648"/>
      <c r="P369" s="648"/>
      <c r="Q369" s="90"/>
      <c r="R369" s="90"/>
      <c r="S369" s="91"/>
      <c r="T369" s="91"/>
      <c r="U369" s="99" t="s">
        <v>4457</v>
      </c>
      <c r="V369"/>
      <c r="W369"/>
    </row>
    <row r="370" spans="1:23" ht="27" customHeight="1" thickBot="1">
      <c r="A370" s="443" t="s">
        <v>25</v>
      </c>
      <c r="B370" s="444">
        <v>45369</v>
      </c>
      <c r="C370" s="950">
        <f t="shared" si="5"/>
        <v>12</v>
      </c>
      <c r="D370" s="445" t="s">
        <v>1915</v>
      </c>
      <c r="E370" s="445" t="s">
        <v>3317</v>
      </c>
      <c r="F370" s="915" t="s">
        <v>4458</v>
      </c>
      <c r="G370" s="916"/>
      <c r="H370" s="4762"/>
      <c r="I370" s="917"/>
      <c r="J370" s="918"/>
      <c r="K370" s="70" t="s">
        <v>4206</v>
      </c>
      <c r="L370" s="918" t="s">
        <v>37</v>
      </c>
      <c r="M370" s="918"/>
      <c r="N370" s="918"/>
      <c r="O370" s="918"/>
      <c r="P370" s="918"/>
      <c r="Q370" s="918"/>
      <c r="R370" s="918"/>
      <c r="S370" s="919"/>
      <c r="T370" s="64"/>
      <c r="U370" s="56"/>
      <c r="V370"/>
      <c r="W370"/>
    </row>
    <row r="371" spans="1:23" ht="27" customHeight="1" thickBot="1">
      <c r="A371" s="446" t="s">
        <v>25</v>
      </c>
      <c r="B371" s="438">
        <v>45369</v>
      </c>
      <c r="C371" s="85">
        <f t="shared" si="5"/>
        <v>12</v>
      </c>
      <c r="D371" s="920" t="s">
        <v>879</v>
      </c>
      <c r="E371" s="920" t="s">
        <v>4459</v>
      </c>
      <c r="F371" s="921" t="s">
        <v>1199</v>
      </c>
      <c r="G371" s="921" t="s">
        <v>1199</v>
      </c>
      <c r="H371" s="922"/>
      <c r="I371" s="922"/>
      <c r="J371" s="923"/>
      <c r="K371" s="923"/>
      <c r="L371" s="923" t="s">
        <v>37</v>
      </c>
      <c r="M371" s="923"/>
      <c r="N371" s="923"/>
      <c r="O371" s="923"/>
      <c r="P371" s="923"/>
      <c r="Q371" s="923"/>
      <c r="R371" s="923"/>
      <c r="S371" s="924"/>
      <c r="T371" s="71"/>
      <c r="U371" s="50"/>
      <c r="V371"/>
      <c r="W371"/>
    </row>
    <row r="372" spans="1:23" ht="27" customHeight="1" thickBot="1">
      <c r="A372" s="446" t="s">
        <v>25</v>
      </c>
      <c r="B372" s="438">
        <v>45369</v>
      </c>
      <c r="C372" s="85">
        <f t="shared" si="5"/>
        <v>12</v>
      </c>
      <c r="D372" s="920" t="s">
        <v>1564</v>
      </c>
      <c r="E372" s="920" t="s">
        <v>4460</v>
      </c>
      <c r="F372" s="921" t="s">
        <v>1199</v>
      </c>
      <c r="G372" s="921" t="s">
        <v>1199</v>
      </c>
      <c r="H372" s="923"/>
      <c r="I372" s="925"/>
      <c r="J372" s="923"/>
      <c r="K372" s="923"/>
      <c r="L372" s="923" t="s">
        <v>37</v>
      </c>
      <c r="M372" s="923"/>
      <c r="N372" s="923"/>
      <c r="O372" s="923"/>
      <c r="P372" s="923"/>
      <c r="Q372" s="923"/>
      <c r="R372" s="923"/>
      <c r="S372" s="924"/>
      <c r="T372" s="71"/>
      <c r="U372" s="50"/>
      <c r="V372"/>
      <c r="W372"/>
    </row>
    <row r="373" spans="1:23" ht="27" customHeight="1" thickBot="1">
      <c r="A373" s="446" t="s">
        <v>25</v>
      </c>
      <c r="B373" s="438">
        <v>45369</v>
      </c>
      <c r="C373" s="85">
        <f t="shared" si="5"/>
        <v>12</v>
      </c>
      <c r="D373" s="920" t="s">
        <v>4461</v>
      </c>
      <c r="E373" s="920" t="s">
        <v>4462</v>
      </c>
      <c r="F373" s="921" t="s">
        <v>1206</v>
      </c>
      <c r="G373" s="921" t="s">
        <v>1206</v>
      </c>
      <c r="H373" s="923"/>
      <c r="I373" s="925"/>
      <c r="J373" s="923"/>
      <c r="K373" s="923"/>
      <c r="L373" s="923" t="s">
        <v>37</v>
      </c>
      <c r="M373" s="923"/>
      <c r="N373" s="923"/>
      <c r="O373" s="923"/>
      <c r="P373" s="923"/>
      <c r="Q373" s="923"/>
      <c r="R373" s="923"/>
      <c r="S373" s="924"/>
      <c r="T373" s="71"/>
      <c r="U373" s="50"/>
      <c r="V373"/>
      <c r="W373"/>
    </row>
    <row r="374" spans="1:23" ht="27" customHeight="1" thickBot="1">
      <c r="A374" s="446" t="s">
        <v>25</v>
      </c>
      <c r="B374" s="438">
        <v>45369</v>
      </c>
      <c r="C374" s="85">
        <f t="shared" si="5"/>
        <v>12</v>
      </c>
      <c r="D374" s="439" t="s">
        <v>4378</v>
      </c>
      <c r="E374" s="439" t="s">
        <v>4132</v>
      </c>
      <c r="F374" s="926" t="s">
        <v>1768</v>
      </c>
      <c r="G374" s="926" t="s">
        <v>1768</v>
      </c>
      <c r="H374" s="1037"/>
      <c r="I374" s="1037"/>
      <c r="J374" s="923"/>
      <c r="K374" s="5227" t="s">
        <v>174</v>
      </c>
      <c r="L374" s="923"/>
      <c r="M374" s="923" t="s">
        <v>37</v>
      </c>
      <c r="N374" s="20" t="s">
        <v>0</v>
      </c>
      <c r="O374" s="20" t="s">
        <v>110</v>
      </c>
      <c r="P374" s="20" t="s">
        <v>4082</v>
      </c>
      <c r="Q374" s="923"/>
      <c r="R374" s="923"/>
      <c r="S374" s="924"/>
      <c r="T374" s="71"/>
      <c r="U374" s="50" t="s">
        <v>4463</v>
      </c>
      <c r="V374"/>
      <c r="W374"/>
    </row>
    <row r="375" spans="1:23" ht="27" customHeight="1" thickBot="1">
      <c r="A375" s="446" t="s">
        <v>25</v>
      </c>
      <c r="B375" s="438">
        <v>45369</v>
      </c>
      <c r="C375" s="85">
        <f t="shared" si="5"/>
        <v>12</v>
      </c>
      <c r="D375" s="439" t="s">
        <v>4148</v>
      </c>
      <c r="E375" s="439" t="s">
        <v>4410</v>
      </c>
      <c r="F375" s="926" t="s">
        <v>1768</v>
      </c>
      <c r="G375" s="926" t="s">
        <v>1768</v>
      </c>
      <c r="H375" s="1037"/>
      <c r="I375" s="1037"/>
      <c r="J375" s="923"/>
      <c r="K375" s="5227" t="s">
        <v>174</v>
      </c>
      <c r="L375" s="923"/>
      <c r="M375" s="923" t="s">
        <v>37</v>
      </c>
      <c r="N375" s="20" t="s">
        <v>0</v>
      </c>
      <c r="O375" s="20" t="s">
        <v>110</v>
      </c>
      <c r="P375" s="20" t="s">
        <v>4082</v>
      </c>
      <c r="Q375" s="923"/>
      <c r="R375" s="923"/>
      <c r="S375" s="924"/>
      <c r="T375" s="71"/>
      <c r="U375" s="50" t="s">
        <v>4463</v>
      </c>
      <c r="V375"/>
      <c r="W375"/>
    </row>
    <row r="376" spans="1:23" ht="27" customHeight="1" thickBot="1">
      <c r="A376" s="446" t="s">
        <v>25</v>
      </c>
      <c r="B376" s="438">
        <v>45369</v>
      </c>
      <c r="C376" s="85">
        <f t="shared" si="5"/>
        <v>12</v>
      </c>
      <c r="D376" s="439" t="s">
        <v>273</v>
      </c>
      <c r="E376" s="439" t="s">
        <v>4464</v>
      </c>
      <c r="F376" s="927" t="s">
        <v>1199</v>
      </c>
      <c r="G376" s="927" t="s">
        <v>1199</v>
      </c>
      <c r="H376" s="3250"/>
      <c r="I376" s="3250"/>
      <c r="J376" s="3250"/>
      <c r="K376" s="5231" t="s">
        <v>4206</v>
      </c>
      <c r="L376" s="923" t="s">
        <v>37</v>
      </c>
      <c r="M376" s="923"/>
      <c r="N376" s="923"/>
      <c r="O376" s="923"/>
      <c r="P376" s="923"/>
      <c r="Q376" s="923"/>
      <c r="R376" s="923"/>
      <c r="S376" s="924"/>
      <c r="T376" s="71"/>
      <c r="U376" s="50"/>
      <c r="V376"/>
      <c r="W376"/>
    </row>
    <row r="377" spans="1:23" ht="53.25" customHeight="1" thickBot="1">
      <c r="A377" s="446" t="s">
        <v>25</v>
      </c>
      <c r="B377" s="438">
        <v>45369</v>
      </c>
      <c r="C377" s="85">
        <f t="shared" si="5"/>
        <v>12</v>
      </c>
      <c r="D377" s="439" t="s">
        <v>4465</v>
      </c>
      <c r="E377" s="439" t="s">
        <v>4466</v>
      </c>
      <c r="F377" s="927" t="s">
        <v>1199</v>
      </c>
      <c r="G377" s="927" t="s">
        <v>1199</v>
      </c>
      <c r="H377" s="3250"/>
      <c r="I377" s="1037"/>
      <c r="J377" s="923"/>
      <c r="K377" s="70" t="s">
        <v>4206</v>
      </c>
      <c r="L377" s="923"/>
      <c r="M377" s="923" t="s">
        <v>37</v>
      </c>
      <c r="N377" s="20" t="s">
        <v>122</v>
      </c>
      <c r="O377" s="20" t="s">
        <v>4285</v>
      </c>
      <c r="P377" s="20" t="s">
        <v>4080</v>
      </c>
      <c r="Q377" s="923">
        <v>1</v>
      </c>
      <c r="R377" s="923"/>
      <c r="S377" s="924"/>
      <c r="T377" s="71"/>
      <c r="U377" s="50" t="s">
        <v>4467</v>
      </c>
      <c r="V377"/>
      <c r="W377"/>
    </row>
    <row r="378" spans="1:23" ht="27" customHeight="1" thickBot="1">
      <c r="A378" s="447" t="s">
        <v>25</v>
      </c>
      <c r="B378" s="448">
        <v>45369</v>
      </c>
      <c r="C378" s="85">
        <f t="shared" si="5"/>
        <v>12</v>
      </c>
      <c r="D378" s="969" t="s">
        <v>2572</v>
      </c>
      <c r="E378" s="969" t="s">
        <v>4468</v>
      </c>
      <c r="F378" s="970" t="s">
        <v>1199</v>
      </c>
      <c r="G378" s="970" t="s">
        <v>1199</v>
      </c>
      <c r="H378" s="1038"/>
      <c r="I378" s="1038"/>
      <c r="J378" s="957"/>
      <c r="K378" s="484" t="s">
        <v>29</v>
      </c>
      <c r="L378" s="957" t="s">
        <v>37</v>
      </c>
      <c r="M378" s="957"/>
      <c r="N378" s="957"/>
      <c r="O378" s="957"/>
      <c r="P378" s="957"/>
      <c r="Q378" s="957"/>
      <c r="R378" s="957"/>
      <c r="S378" s="957"/>
      <c r="T378" s="90"/>
      <c r="U378" s="971"/>
      <c r="V378" s="3055"/>
      <c r="W378"/>
    </row>
    <row r="379" spans="1:23" ht="27" customHeight="1" thickBot="1">
      <c r="A379" s="443" t="s">
        <v>67</v>
      </c>
      <c r="B379" s="444">
        <v>45370</v>
      </c>
      <c r="C379" s="950">
        <f t="shared" si="5"/>
        <v>12</v>
      </c>
      <c r="D379" s="960" t="s">
        <v>4469</v>
      </c>
      <c r="E379" s="960" t="s">
        <v>4470</v>
      </c>
      <c r="F379" s="972" t="s">
        <v>1199</v>
      </c>
      <c r="G379" s="972" t="s">
        <v>1199</v>
      </c>
      <c r="H379" s="973"/>
      <c r="I379" s="973"/>
      <c r="J379" s="918"/>
      <c r="K379" s="484" t="s">
        <v>29</v>
      </c>
      <c r="L379" s="918" t="s">
        <v>37</v>
      </c>
      <c r="M379" s="918"/>
      <c r="N379" s="918"/>
      <c r="O379" s="918"/>
      <c r="P379" s="918"/>
      <c r="Q379" s="918"/>
      <c r="R379" s="918"/>
      <c r="S379" s="919" t="s">
        <v>37</v>
      </c>
      <c r="T379" s="64"/>
      <c r="U379" s="56" t="s">
        <v>4471</v>
      </c>
      <c r="V379"/>
      <c r="W379"/>
    </row>
    <row r="380" spans="1:23" ht="27" customHeight="1" thickBot="1">
      <c r="A380" s="446" t="s">
        <v>67</v>
      </c>
      <c r="B380" s="438">
        <v>45370</v>
      </c>
      <c r="C380" s="85">
        <f t="shared" si="5"/>
        <v>12</v>
      </c>
      <c r="D380" s="929" t="s">
        <v>4464</v>
      </c>
      <c r="E380" s="929" t="s">
        <v>1182</v>
      </c>
      <c r="F380" s="930" t="s">
        <v>1768</v>
      </c>
      <c r="G380" s="931"/>
      <c r="H380" s="3250"/>
      <c r="I380" s="3250"/>
      <c r="J380" s="3250"/>
      <c r="K380" s="5231" t="s">
        <v>4206</v>
      </c>
      <c r="L380" s="923" t="s">
        <v>37</v>
      </c>
      <c r="M380" s="923"/>
      <c r="N380" s="923"/>
      <c r="O380" s="923"/>
      <c r="P380" s="923"/>
      <c r="Q380" s="923"/>
      <c r="R380" s="923">
        <v>1</v>
      </c>
      <c r="S380" s="924"/>
      <c r="T380" s="71"/>
      <c r="U380" s="50" t="s">
        <v>4472</v>
      </c>
      <c r="V380"/>
      <c r="W380"/>
    </row>
    <row r="381" spans="1:23" ht="27" customHeight="1" thickBot="1">
      <c r="A381" s="446" t="s">
        <v>67</v>
      </c>
      <c r="B381" s="438">
        <v>45370</v>
      </c>
      <c r="C381" s="85">
        <f t="shared" si="5"/>
        <v>12</v>
      </c>
      <c r="D381" s="439" t="s">
        <v>4148</v>
      </c>
      <c r="E381" s="439" t="s">
        <v>4473</v>
      </c>
      <c r="F381" s="925" t="s">
        <v>1199</v>
      </c>
      <c r="G381" s="925" t="s">
        <v>1199</v>
      </c>
      <c r="H381" s="923"/>
      <c r="I381" s="925"/>
      <c r="J381" s="923"/>
      <c r="K381" s="923"/>
      <c r="L381" s="923" t="s">
        <v>37</v>
      </c>
      <c r="M381" s="923"/>
      <c r="N381" s="923"/>
      <c r="O381" s="923"/>
      <c r="P381" s="923"/>
      <c r="Q381" s="923"/>
      <c r="R381" s="923"/>
      <c r="S381" s="924"/>
      <c r="T381" s="71"/>
      <c r="U381" s="50" t="s">
        <v>4474</v>
      </c>
      <c r="V381"/>
      <c r="W381"/>
    </row>
    <row r="382" spans="1:23" ht="27" customHeight="1" thickBot="1">
      <c r="A382" s="446" t="s">
        <v>67</v>
      </c>
      <c r="B382" s="438">
        <v>45370</v>
      </c>
      <c r="C382" s="85">
        <f t="shared" si="5"/>
        <v>12</v>
      </c>
      <c r="D382" s="441" t="s">
        <v>4293</v>
      </c>
      <c r="E382" s="441" t="s">
        <v>1153</v>
      </c>
      <c r="F382" s="932" t="s">
        <v>1199</v>
      </c>
      <c r="G382" s="932" t="s">
        <v>1199</v>
      </c>
      <c r="H382" s="923"/>
      <c r="I382" s="925"/>
      <c r="J382" s="923"/>
      <c r="K382" s="923"/>
      <c r="L382" s="923" t="s">
        <v>37</v>
      </c>
      <c r="M382" s="923"/>
      <c r="N382" s="923"/>
      <c r="O382" s="923"/>
      <c r="P382" s="923"/>
      <c r="Q382" s="923"/>
      <c r="R382" s="923"/>
      <c r="S382" s="924"/>
      <c r="T382" s="71"/>
      <c r="U382" s="50" t="s">
        <v>4474</v>
      </c>
      <c r="V382"/>
      <c r="W382"/>
    </row>
    <row r="383" spans="1:23" ht="27" customHeight="1" thickBot="1">
      <c r="A383" s="446" t="s">
        <v>67</v>
      </c>
      <c r="B383" s="438">
        <v>45370</v>
      </c>
      <c r="C383" s="85">
        <f t="shared" si="5"/>
        <v>12</v>
      </c>
      <c r="D383" s="439" t="s">
        <v>1142</v>
      </c>
      <c r="E383" s="439" t="s">
        <v>4475</v>
      </c>
      <c r="F383" s="933" t="s">
        <v>1199</v>
      </c>
      <c r="G383" s="934" t="s">
        <v>1199</v>
      </c>
      <c r="H383" s="3250">
        <v>701</v>
      </c>
      <c r="I383" s="5262"/>
      <c r="J383" s="1032"/>
      <c r="K383" s="1058" t="s">
        <v>4804</v>
      </c>
      <c r="L383" s="923" t="s">
        <v>37</v>
      </c>
      <c r="M383" s="923"/>
      <c r="N383" s="923"/>
      <c r="O383" s="923"/>
      <c r="P383" s="923"/>
      <c r="Q383" s="923"/>
      <c r="R383" s="923"/>
      <c r="S383" s="924"/>
      <c r="T383" s="71"/>
      <c r="U383" s="50"/>
      <c r="V383"/>
      <c r="W383"/>
    </row>
    <row r="384" spans="1:23" ht="27" customHeight="1" thickBot="1">
      <c r="A384" s="446" t="s">
        <v>67</v>
      </c>
      <c r="B384" s="438">
        <v>45370</v>
      </c>
      <c r="C384" s="85">
        <f t="shared" si="5"/>
        <v>12</v>
      </c>
      <c r="D384" s="442" t="s">
        <v>4476</v>
      </c>
      <c r="E384" s="442" t="s">
        <v>4477</v>
      </c>
      <c r="F384" s="935" t="s">
        <v>1199</v>
      </c>
      <c r="G384" s="935" t="s">
        <v>1199</v>
      </c>
      <c r="H384" s="3250"/>
      <c r="I384" s="3250"/>
      <c r="J384" s="3250"/>
      <c r="K384" s="5231" t="s">
        <v>4206</v>
      </c>
      <c r="L384" s="923"/>
      <c r="M384" s="923" t="s">
        <v>37</v>
      </c>
      <c r="N384" s="20" t="s">
        <v>122</v>
      </c>
      <c r="O384" s="20" t="s">
        <v>4285</v>
      </c>
      <c r="P384" s="20" t="s">
        <v>4102</v>
      </c>
      <c r="Q384" s="936">
        <v>2</v>
      </c>
      <c r="R384" s="923"/>
      <c r="S384" s="924"/>
      <c r="T384" s="71"/>
      <c r="U384" s="66" t="s">
        <v>4478</v>
      </c>
      <c r="V384" s="2564"/>
      <c r="W384"/>
    </row>
    <row r="385" spans="1:23" ht="27" customHeight="1" thickBot="1">
      <c r="A385" s="446" t="s">
        <v>67</v>
      </c>
      <c r="B385" s="438">
        <v>45370</v>
      </c>
      <c r="C385" s="85">
        <f t="shared" si="5"/>
        <v>12</v>
      </c>
      <c r="D385" s="441" t="s">
        <v>450</v>
      </c>
      <c r="E385" s="441" t="s">
        <v>2141</v>
      </c>
      <c r="F385" s="937" t="s">
        <v>1199</v>
      </c>
      <c r="G385" s="937" t="s">
        <v>1764</v>
      </c>
      <c r="H385" s="922"/>
      <c r="I385" s="922"/>
      <c r="J385" s="923"/>
      <c r="K385" s="923"/>
      <c r="L385" s="923" t="s">
        <v>37</v>
      </c>
      <c r="M385" s="923"/>
      <c r="N385" s="923"/>
      <c r="O385" s="923"/>
      <c r="P385" s="923"/>
      <c r="Q385" s="923"/>
      <c r="R385" s="923"/>
      <c r="S385" s="924"/>
      <c r="T385" s="71"/>
      <c r="U385" s="50"/>
      <c r="V385"/>
      <c r="W385"/>
    </row>
    <row r="386" spans="1:23" ht="27" customHeight="1" thickBot="1">
      <c r="A386" s="446" t="s">
        <v>67</v>
      </c>
      <c r="B386" s="438">
        <v>45370</v>
      </c>
      <c r="C386" s="85">
        <f t="shared" si="5"/>
        <v>12</v>
      </c>
      <c r="D386" s="439" t="s">
        <v>1915</v>
      </c>
      <c r="E386" s="439" t="s">
        <v>3317</v>
      </c>
      <c r="F386" s="925" t="s">
        <v>1199</v>
      </c>
      <c r="G386" s="925" t="s">
        <v>1199</v>
      </c>
      <c r="H386" s="3250"/>
      <c r="I386" s="1037"/>
      <c r="J386" s="923"/>
      <c r="K386" s="70" t="s">
        <v>4206</v>
      </c>
      <c r="L386" s="923" t="s">
        <v>37</v>
      </c>
      <c r="M386" s="923"/>
      <c r="N386" s="923"/>
      <c r="O386" s="923"/>
      <c r="P386" s="923"/>
      <c r="Q386" s="923"/>
      <c r="R386" s="923"/>
      <c r="S386" s="924"/>
      <c r="T386" s="71"/>
      <c r="U386" s="50"/>
      <c r="V386"/>
      <c r="W386"/>
    </row>
    <row r="387" spans="1:23" ht="53.25" customHeight="1" thickBot="1">
      <c r="A387" s="447" t="s">
        <v>67</v>
      </c>
      <c r="B387" s="448">
        <v>45370</v>
      </c>
      <c r="C387" s="85">
        <f t="shared" si="5"/>
        <v>12</v>
      </c>
      <c r="D387" s="969" t="s">
        <v>4476</v>
      </c>
      <c r="E387" s="969" t="s">
        <v>889</v>
      </c>
      <c r="F387" s="959" t="s">
        <v>1199</v>
      </c>
      <c r="G387" s="959" t="s">
        <v>1199</v>
      </c>
      <c r="H387" s="957"/>
      <c r="I387" s="959"/>
      <c r="J387" s="957"/>
      <c r="K387" s="957"/>
      <c r="L387" s="957"/>
      <c r="M387" s="957" t="s">
        <v>37</v>
      </c>
      <c r="N387" s="20" t="s">
        <v>109</v>
      </c>
      <c r="O387" s="20" t="s">
        <v>300</v>
      </c>
      <c r="P387" s="20" t="s">
        <v>4082</v>
      </c>
      <c r="Q387" s="974">
        <v>3</v>
      </c>
      <c r="R387" s="957"/>
      <c r="S387" s="958"/>
      <c r="T387" s="91"/>
      <c r="U387" s="253" t="s">
        <v>4479</v>
      </c>
      <c r="V387" s="2564"/>
      <c r="W387"/>
    </row>
    <row r="388" spans="1:23" ht="27" customHeight="1" thickBot="1">
      <c r="A388" s="443" t="s">
        <v>85</v>
      </c>
      <c r="B388" s="444">
        <v>45371</v>
      </c>
      <c r="C388" s="950">
        <f t="shared" si="5"/>
        <v>12</v>
      </c>
      <c r="D388" s="960" t="s">
        <v>4476</v>
      </c>
      <c r="E388" s="960" t="s">
        <v>889</v>
      </c>
      <c r="F388" s="963" t="s">
        <v>1764</v>
      </c>
      <c r="G388" s="963" t="s">
        <v>1764</v>
      </c>
      <c r="H388" s="954"/>
      <c r="I388" s="954"/>
      <c r="J388" s="918"/>
      <c r="K388" s="918"/>
      <c r="L388" s="918" t="s">
        <v>37</v>
      </c>
      <c r="M388" s="918"/>
      <c r="N388" s="918"/>
      <c r="O388" s="918"/>
      <c r="P388" s="918"/>
      <c r="Q388" s="918"/>
      <c r="R388" s="964">
        <v>3</v>
      </c>
      <c r="S388" s="919"/>
      <c r="T388" s="64"/>
      <c r="U388" s="56"/>
      <c r="V388"/>
      <c r="W388"/>
    </row>
    <row r="389" spans="1:23" ht="53.25" customHeight="1" thickBot="1">
      <c r="A389" s="446" t="s">
        <v>85</v>
      </c>
      <c r="B389" s="438">
        <v>45371</v>
      </c>
      <c r="C389" s="85">
        <f t="shared" si="5"/>
        <v>12</v>
      </c>
      <c r="D389" s="939" t="s">
        <v>1315</v>
      </c>
      <c r="E389" s="939" t="s">
        <v>4480</v>
      </c>
      <c r="F389" s="932" t="s">
        <v>4481</v>
      </c>
      <c r="G389" s="931" t="s">
        <v>4481</v>
      </c>
      <c r="H389" s="923"/>
      <c r="I389" s="925"/>
      <c r="J389" s="923"/>
      <c r="K389" s="923"/>
      <c r="L389" s="923"/>
      <c r="M389" s="923" t="s">
        <v>37</v>
      </c>
      <c r="N389" s="21" t="s">
        <v>109</v>
      </c>
      <c r="O389" s="21" t="s">
        <v>300</v>
      </c>
      <c r="P389" s="21" t="s">
        <v>4082</v>
      </c>
      <c r="Q389" s="923"/>
      <c r="R389" s="923"/>
      <c r="S389" s="924"/>
      <c r="T389" s="71"/>
      <c r="U389" s="50"/>
      <c r="V389"/>
      <c r="W389"/>
    </row>
    <row r="390" spans="1:23" ht="53.25" customHeight="1" thickBot="1">
      <c r="A390" s="446" t="s">
        <v>85</v>
      </c>
      <c r="B390" s="438">
        <v>45371</v>
      </c>
      <c r="C390" s="85">
        <f t="shared" si="5"/>
        <v>12</v>
      </c>
      <c r="D390" s="939" t="s">
        <v>52</v>
      </c>
      <c r="E390" s="939" t="s">
        <v>535</v>
      </c>
      <c r="F390" s="932" t="s">
        <v>4481</v>
      </c>
      <c r="G390" s="931" t="s">
        <v>4481</v>
      </c>
      <c r="H390" s="923"/>
      <c r="I390" s="925"/>
      <c r="J390" s="923"/>
      <c r="K390" s="923"/>
      <c r="L390" s="923"/>
      <c r="M390" s="923" t="s">
        <v>37</v>
      </c>
      <c r="N390" s="21" t="s">
        <v>109</v>
      </c>
      <c r="O390" s="21" t="s">
        <v>300</v>
      </c>
      <c r="P390" s="21" t="s">
        <v>4102</v>
      </c>
      <c r="Q390" s="923"/>
      <c r="R390" s="923"/>
      <c r="S390" s="924"/>
      <c r="T390" s="71"/>
      <c r="U390" s="50"/>
      <c r="V390"/>
      <c r="W390"/>
    </row>
    <row r="391" spans="1:23" ht="27" customHeight="1" thickBot="1">
      <c r="A391" s="446" t="s">
        <v>85</v>
      </c>
      <c r="B391" s="438">
        <v>45371</v>
      </c>
      <c r="C391" s="85">
        <f t="shared" si="5"/>
        <v>12</v>
      </c>
      <c r="D391" s="929" t="s">
        <v>4464</v>
      </c>
      <c r="E391" s="929" t="s">
        <v>4482</v>
      </c>
      <c r="F391" s="925" t="s">
        <v>1199</v>
      </c>
      <c r="G391" s="925" t="s">
        <v>1199</v>
      </c>
      <c r="H391" s="940"/>
      <c r="I391" s="925"/>
      <c r="J391" s="923"/>
      <c r="K391" s="923"/>
      <c r="L391" s="923" t="s">
        <v>37</v>
      </c>
      <c r="M391" s="923"/>
      <c r="N391" s="923"/>
      <c r="O391" s="923"/>
      <c r="P391" s="923"/>
      <c r="Q391" s="923"/>
      <c r="R391" s="923"/>
      <c r="S391" s="924"/>
      <c r="T391" s="71"/>
      <c r="U391" s="50"/>
      <c r="V391"/>
      <c r="W391"/>
    </row>
    <row r="392" spans="1:23" ht="27" customHeight="1" thickBot="1">
      <c r="A392" s="446" t="s">
        <v>85</v>
      </c>
      <c r="B392" s="438">
        <v>45371</v>
      </c>
      <c r="C392" s="85">
        <f t="shared" si="5"/>
        <v>12</v>
      </c>
      <c r="D392" s="929" t="s">
        <v>4119</v>
      </c>
      <c r="E392" s="929" t="s">
        <v>4483</v>
      </c>
      <c r="F392" s="932" t="s">
        <v>1764</v>
      </c>
      <c r="G392" s="931"/>
      <c r="H392" s="923"/>
      <c r="I392" s="925"/>
      <c r="J392" s="923"/>
      <c r="K392" s="923"/>
      <c r="L392" s="923" t="s">
        <v>37</v>
      </c>
      <c r="M392" s="923"/>
      <c r="N392" s="923"/>
      <c r="O392" s="923"/>
      <c r="P392" s="923"/>
      <c r="Q392" s="923"/>
      <c r="R392" s="923"/>
      <c r="S392" s="924"/>
      <c r="T392" s="71"/>
      <c r="U392" s="50"/>
      <c r="V392"/>
      <c r="W392"/>
    </row>
    <row r="393" spans="1:23" ht="27" customHeight="1" thickBot="1">
      <c r="A393" s="446" t="s">
        <v>85</v>
      </c>
      <c r="B393" s="438">
        <v>45371</v>
      </c>
      <c r="C393" s="85">
        <f t="shared" si="5"/>
        <v>12</v>
      </c>
      <c r="D393" s="941" t="s">
        <v>2141</v>
      </c>
      <c r="E393" s="941" t="s">
        <v>537</v>
      </c>
      <c r="F393" s="932" t="s">
        <v>1764</v>
      </c>
      <c r="G393" s="932" t="s">
        <v>1764</v>
      </c>
      <c r="H393" s="1037"/>
      <c r="I393" s="1037"/>
      <c r="J393" s="923"/>
      <c r="K393" s="5246" t="s">
        <v>3346</v>
      </c>
      <c r="L393" s="923" t="s">
        <v>37</v>
      </c>
      <c r="M393" s="923"/>
      <c r="N393" s="923"/>
      <c r="O393" s="923"/>
      <c r="P393" s="923"/>
      <c r="Q393" s="923"/>
      <c r="R393" s="923"/>
      <c r="S393" s="924"/>
      <c r="T393" s="71"/>
      <c r="U393" s="50"/>
      <c r="V393"/>
      <c r="W393"/>
    </row>
    <row r="394" spans="1:23" ht="27" customHeight="1" thickBot="1">
      <c r="A394" s="446" t="s">
        <v>85</v>
      </c>
      <c r="B394" s="438">
        <v>45371</v>
      </c>
      <c r="C394" s="85">
        <f t="shared" si="5"/>
        <v>12</v>
      </c>
      <c r="D394" s="442" t="s">
        <v>4381</v>
      </c>
      <c r="E394" s="442" t="s">
        <v>1224</v>
      </c>
      <c r="F394" s="932" t="s">
        <v>1768</v>
      </c>
      <c r="G394" s="931" t="s">
        <v>1768</v>
      </c>
      <c r="H394" s="3250"/>
      <c r="I394" s="3250"/>
      <c r="J394" s="3250"/>
      <c r="K394" s="5231" t="s">
        <v>4206</v>
      </c>
      <c r="L394" s="923"/>
      <c r="M394" s="923" t="s">
        <v>37</v>
      </c>
      <c r="N394" s="20" t="s">
        <v>122</v>
      </c>
      <c r="O394" s="20" t="s">
        <v>4285</v>
      </c>
      <c r="P394" s="20" t="s">
        <v>4102</v>
      </c>
      <c r="Q394" s="923"/>
      <c r="R394" s="923"/>
      <c r="S394" s="924"/>
      <c r="T394" s="71"/>
      <c r="U394" s="66" t="s">
        <v>4478</v>
      </c>
      <c r="V394" s="2564"/>
      <c r="W394"/>
    </row>
    <row r="395" spans="1:23" ht="27" customHeight="1" thickBot="1">
      <c r="A395" s="447" t="s">
        <v>85</v>
      </c>
      <c r="B395" s="448">
        <v>45371</v>
      </c>
      <c r="C395" s="85">
        <f t="shared" si="5"/>
        <v>12</v>
      </c>
      <c r="D395" s="449" t="s">
        <v>1564</v>
      </c>
      <c r="E395" s="449" t="s">
        <v>1743</v>
      </c>
      <c r="F395" s="961" t="s">
        <v>1764</v>
      </c>
      <c r="G395" s="962" t="s">
        <v>1199</v>
      </c>
      <c r="H395" s="957"/>
      <c r="I395" s="959"/>
      <c r="J395" s="957"/>
      <c r="K395" s="957"/>
      <c r="L395" s="957" t="s">
        <v>37</v>
      </c>
      <c r="M395" s="957"/>
      <c r="N395" s="957"/>
      <c r="O395" s="957"/>
      <c r="P395" s="957"/>
      <c r="Q395" s="957"/>
      <c r="R395" s="957"/>
      <c r="S395" s="958"/>
      <c r="T395" s="91"/>
      <c r="U395" s="99"/>
      <c r="V395"/>
      <c r="W395"/>
    </row>
    <row r="396" spans="1:23" ht="27" customHeight="1" thickBot="1">
      <c r="A396" s="965" t="s">
        <v>105</v>
      </c>
      <c r="B396" s="966">
        <v>45372</v>
      </c>
      <c r="C396" s="967">
        <f t="shared" si="5"/>
        <v>12</v>
      </c>
      <c r="D396" s="968" t="s">
        <v>889</v>
      </c>
      <c r="E396" s="968" t="s">
        <v>1315</v>
      </c>
      <c r="F396" s="975" t="s">
        <v>1199</v>
      </c>
      <c r="G396" s="975" t="s">
        <v>1199</v>
      </c>
      <c r="H396" s="976"/>
      <c r="I396" s="976"/>
      <c r="J396" s="976"/>
      <c r="K396" s="976"/>
      <c r="L396" s="976" t="s">
        <v>37</v>
      </c>
      <c r="M396" s="976"/>
      <c r="N396" s="976"/>
      <c r="O396" s="976"/>
      <c r="P396" s="976"/>
      <c r="Q396" s="976"/>
      <c r="R396" s="976"/>
      <c r="S396" s="976"/>
      <c r="T396" s="97"/>
      <c r="U396" s="112"/>
      <c r="V396"/>
      <c r="W396"/>
    </row>
    <row r="397" spans="1:23" ht="27" customHeight="1" thickBot="1">
      <c r="A397" s="446" t="s">
        <v>105</v>
      </c>
      <c r="B397" s="438">
        <v>45372</v>
      </c>
      <c r="C397" s="85">
        <f t="shared" si="5"/>
        <v>12</v>
      </c>
      <c r="D397" s="928" t="s">
        <v>1315</v>
      </c>
      <c r="E397" s="928" t="s">
        <v>4480</v>
      </c>
      <c r="F397" s="932" t="s">
        <v>1199</v>
      </c>
      <c r="G397" s="932" t="s">
        <v>1199</v>
      </c>
      <c r="H397" s="942"/>
      <c r="I397" s="942"/>
      <c r="J397" s="942"/>
      <c r="K397" s="942"/>
      <c r="L397" s="942" t="s">
        <v>37</v>
      </c>
      <c r="M397" s="942"/>
      <c r="N397" s="942"/>
      <c r="O397" s="942"/>
      <c r="P397" s="942"/>
      <c r="Q397" s="942"/>
      <c r="R397" s="942"/>
      <c r="S397" s="942"/>
      <c r="T397" s="71"/>
      <c r="U397" s="50"/>
      <c r="V397"/>
      <c r="W397"/>
    </row>
    <row r="398" spans="1:23" ht="27" customHeight="1" thickBot="1">
      <c r="A398" s="446" t="s">
        <v>105</v>
      </c>
      <c r="B398" s="438">
        <v>45372</v>
      </c>
      <c r="C398" s="85">
        <f t="shared" si="5"/>
        <v>12</v>
      </c>
      <c r="D398" s="928" t="s">
        <v>52</v>
      </c>
      <c r="E398" s="928" t="s">
        <v>4484</v>
      </c>
      <c r="F398" s="925" t="s">
        <v>1199</v>
      </c>
      <c r="G398" s="925" t="s">
        <v>1199</v>
      </c>
      <c r="H398" s="942"/>
      <c r="I398" s="942"/>
      <c r="J398" s="942"/>
      <c r="K398" s="942"/>
      <c r="L398" s="942" t="s">
        <v>37</v>
      </c>
      <c r="M398" s="942"/>
      <c r="N398" s="942"/>
      <c r="O398" s="942"/>
      <c r="P398" s="942"/>
      <c r="Q398" s="942"/>
      <c r="R398" s="942"/>
      <c r="S398" s="942"/>
      <c r="T398" s="71"/>
      <c r="U398" s="50"/>
      <c r="V398"/>
      <c r="W398"/>
    </row>
    <row r="399" spans="1:23" ht="79.5" customHeight="1" thickBot="1">
      <c r="A399" s="446" t="s">
        <v>105</v>
      </c>
      <c r="B399" s="438">
        <v>45372</v>
      </c>
      <c r="C399" s="85">
        <f t="shared" si="5"/>
        <v>12</v>
      </c>
      <c r="D399" s="442" t="s">
        <v>4476</v>
      </c>
      <c r="E399" s="442" t="s">
        <v>4477</v>
      </c>
      <c r="F399" s="925" t="s">
        <v>1199</v>
      </c>
      <c r="G399" s="925" t="s">
        <v>1199</v>
      </c>
      <c r="H399" s="942"/>
      <c r="I399" s="942"/>
      <c r="J399" s="942"/>
      <c r="K399" s="942"/>
      <c r="L399" s="942"/>
      <c r="M399" s="942" t="s">
        <v>37</v>
      </c>
      <c r="N399" s="21" t="s">
        <v>109</v>
      </c>
      <c r="O399" s="21" t="s">
        <v>1589</v>
      </c>
      <c r="P399" s="21" t="s">
        <v>4102</v>
      </c>
      <c r="Q399" s="942"/>
      <c r="R399" s="936">
        <v>2</v>
      </c>
      <c r="S399" s="942"/>
      <c r="T399" s="71"/>
      <c r="U399" s="50" t="s">
        <v>4485</v>
      </c>
      <c r="V399"/>
      <c r="W399"/>
    </row>
    <row r="400" spans="1:23" ht="27" customHeight="1" thickBot="1">
      <c r="A400" s="446" t="s">
        <v>105</v>
      </c>
      <c r="B400" s="438">
        <v>45372</v>
      </c>
      <c r="C400" s="85">
        <f t="shared" si="5"/>
        <v>12</v>
      </c>
      <c r="D400" s="439" t="s">
        <v>4461</v>
      </c>
      <c r="E400" s="439" t="s">
        <v>2849</v>
      </c>
      <c r="F400" s="932" t="s">
        <v>1199</v>
      </c>
      <c r="G400" s="932" t="s">
        <v>1199</v>
      </c>
      <c r="H400" s="938"/>
      <c r="I400" s="938"/>
      <c r="J400" s="923"/>
      <c r="K400" s="923"/>
      <c r="L400" s="923" t="s">
        <v>37</v>
      </c>
      <c r="M400" s="923"/>
      <c r="N400" s="923"/>
      <c r="O400" s="923"/>
      <c r="P400" s="923"/>
      <c r="Q400" s="923"/>
      <c r="R400" s="923"/>
      <c r="S400" s="924"/>
      <c r="T400" s="923"/>
      <c r="U400" s="997"/>
      <c r="V400" s="3056"/>
      <c r="W400"/>
    </row>
    <row r="401" spans="1:23" ht="27" customHeight="1" thickBot="1">
      <c r="A401" s="446" t="s">
        <v>105</v>
      </c>
      <c r="B401" s="438">
        <v>45372</v>
      </c>
      <c r="C401" s="85">
        <f t="shared" si="5"/>
        <v>12</v>
      </c>
      <c r="D401" s="439" t="s">
        <v>3317</v>
      </c>
      <c r="E401" s="439" t="s">
        <v>4086</v>
      </c>
      <c r="F401" s="932" t="s">
        <v>1199</v>
      </c>
      <c r="G401" s="932" t="s">
        <v>1199</v>
      </c>
      <c r="H401" s="1037"/>
      <c r="I401" s="1037"/>
      <c r="J401" s="923"/>
      <c r="K401" s="5227" t="s">
        <v>174</v>
      </c>
      <c r="L401" s="923" t="s">
        <v>37</v>
      </c>
      <c r="M401" s="923"/>
      <c r="N401" s="923"/>
      <c r="O401" s="923"/>
      <c r="P401" s="923"/>
      <c r="Q401" s="923"/>
      <c r="R401" s="923"/>
      <c r="S401" s="924"/>
      <c r="T401" s="923"/>
      <c r="U401" s="997"/>
      <c r="V401" s="3056"/>
      <c r="W401"/>
    </row>
    <row r="402" spans="1:23" ht="79.5" customHeight="1" thickBot="1">
      <c r="A402" s="446" t="s">
        <v>105</v>
      </c>
      <c r="B402" s="438">
        <v>45372</v>
      </c>
      <c r="C402" s="85">
        <f t="shared" si="5"/>
        <v>12</v>
      </c>
      <c r="D402" s="439" t="s">
        <v>4486</v>
      </c>
      <c r="E402" s="439" t="s">
        <v>1743</v>
      </c>
      <c r="F402" s="932" t="s">
        <v>1199</v>
      </c>
      <c r="G402" s="932" t="s">
        <v>1199</v>
      </c>
      <c r="H402" s="3250"/>
      <c r="I402" s="3250"/>
      <c r="J402" s="3250"/>
      <c r="K402" s="5231" t="s">
        <v>4206</v>
      </c>
      <c r="L402" s="923"/>
      <c r="M402" s="923" t="s">
        <v>37</v>
      </c>
      <c r="N402" s="20" t="s">
        <v>0</v>
      </c>
      <c r="O402" s="20" t="s">
        <v>343</v>
      </c>
      <c r="P402" s="20" t="s">
        <v>4082</v>
      </c>
      <c r="Q402" s="923"/>
      <c r="R402" s="923"/>
      <c r="S402" s="924"/>
      <c r="T402" s="923"/>
      <c r="U402" s="997" t="s">
        <v>4487</v>
      </c>
      <c r="V402" s="3056"/>
      <c r="W402"/>
    </row>
    <row r="403" spans="1:23" ht="27" customHeight="1" thickBot="1">
      <c r="A403" s="446" t="s">
        <v>105</v>
      </c>
      <c r="B403" s="438">
        <v>45372</v>
      </c>
      <c r="C403" s="85">
        <f t="shared" si="5"/>
        <v>12</v>
      </c>
      <c r="D403" s="441" t="s">
        <v>537</v>
      </c>
      <c r="E403" s="441" t="s">
        <v>4488</v>
      </c>
      <c r="F403" s="932" t="s">
        <v>1199</v>
      </c>
      <c r="G403" s="932" t="s">
        <v>1199</v>
      </c>
      <c r="H403" s="923"/>
      <c r="I403" s="925"/>
      <c r="J403" s="923"/>
      <c r="K403" s="923"/>
      <c r="L403" s="923" t="s">
        <v>37</v>
      </c>
      <c r="M403" s="923"/>
      <c r="N403" s="923"/>
      <c r="O403" s="923"/>
      <c r="P403" s="923"/>
      <c r="Q403" s="923"/>
      <c r="R403" s="923"/>
      <c r="S403" s="924"/>
      <c r="T403" s="942"/>
      <c r="U403" s="997"/>
      <c r="V403" s="3056"/>
      <c r="W403"/>
    </row>
    <row r="404" spans="1:23" ht="27" customHeight="1" thickBot="1">
      <c r="A404" s="446" t="s">
        <v>105</v>
      </c>
      <c r="B404" s="438">
        <v>45372</v>
      </c>
      <c r="C404" s="85">
        <f t="shared" si="5"/>
        <v>12</v>
      </c>
      <c r="D404" s="439" t="s">
        <v>273</v>
      </c>
      <c r="E404" s="439" t="s">
        <v>1315</v>
      </c>
      <c r="F404" s="932" t="s">
        <v>1199</v>
      </c>
      <c r="G404" s="931" t="s">
        <v>4489</v>
      </c>
      <c r="H404" s="923"/>
      <c r="I404" s="925"/>
      <c r="J404" s="923"/>
      <c r="K404" s="923"/>
      <c r="L404" s="923"/>
      <c r="M404" s="923"/>
      <c r="N404" s="20"/>
      <c r="O404" s="20"/>
      <c r="P404" s="20"/>
      <c r="Q404" s="923"/>
      <c r="R404" s="923"/>
      <c r="S404" s="924"/>
      <c r="T404" s="942"/>
      <c r="U404" s="997"/>
      <c r="V404" s="3056"/>
      <c r="W404"/>
    </row>
    <row r="405" spans="1:23" ht="27" customHeight="1" thickBot="1">
      <c r="A405" s="47" t="s">
        <v>132</v>
      </c>
      <c r="B405" s="438">
        <v>45373</v>
      </c>
      <c r="C405" s="85">
        <f t="shared" si="5"/>
        <v>12</v>
      </c>
      <c r="D405" s="439" t="s">
        <v>4399</v>
      </c>
      <c r="E405" s="439" t="s">
        <v>258</v>
      </c>
      <c r="F405" s="943" t="s">
        <v>1768</v>
      </c>
      <c r="G405" s="943" t="s">
        <v>1768</v>
      </c>
      <c r="H405" s="923"/>
      <c r="I405" s="925"/>
      <c r="J405" s="923"/>
      <c r="K405" s="923"/>
      <c r="L405" s="923"/>
      <c r="M405" s="923" t="s">
        <v>37</v>
      </c>
      <c r="N405" s="20" t="s">
        <v>0</v>
      </c>
      <c r="O405" s="20"/>
      <c r="P405" s="20"/>
      <c r="Q405" s="923"/>
      <c r="R405" s="923"/>
      <c r="S405" s="924"/>
      <c r="T405" s="71"/>
      <c r="U405" s="997" t="s">
        <v>4490</v>
      </c>
      <c r="V405" s="3056"/>
      <c r="W405"/>
    </row>
    <row r="406" spans="1:23" ht="27" customHeight="1" thickBot="1">
      <c r="A406" s="47" t="s">
        <v>132</v>
      </c>
      <c r="B406" s="438">
        <v>45373</v>
      </c>
      <c r="C406" s="85">
        <f t="shared" si="5"/>
        <v>12</v>
      </c>
      <c r="D406" s="928" t="s">
        <v>879</v>
      </c>
      <c r="E406" s="928" t="s">
        <v>447</v>
      </c>
      <c r="F406" s="932" t="s">
        <v>1199</v>
      </c>
      <c r="G406" s="932" t="s">
        <v>1199</v>
      </c>
      <c r="H406" s="923"/>
      <c r="I406" s="925"/>
      <c r="J406" s="923"/>
      <c r="K406" s="923"/>
      <c r="L406" s="923" t="s">
        <v>37</v>
      </c>
      <c r="M406" s="923"/>
      <c r="N406" s="923"/>
      <c r="O406" s="923"/>
      <c r="P406" s="923"/>
      <c r="Q406" s="923"/>
      <c r="R406" s="923"/>
      <c r="S406" s="924"/>
      <c r="T406" s="71"/>
      <c r="U406" s="997"/>
      <c r="V406" s="3056"/>
      <c r="W406"/>
    </row>
    <row r="407" spans="1:23" ht="79.5" customHeight="1" thickBot="1">
      <c r="A407" s="47" t="s">
        <v>132</v>
      </c>
      <c r="B407" s="438">
        <v>45373</v>
      </c>
      <c r="C407" s="85">
        <f t="shared" si="5"/>
        <v>12</v>
      </c>
      <c r="D407" s="439" t="s">
        <v>4486</v>
      </c>
      <c r="E407" s="439" t="s">
        <v>1743</v>
      </c>
      <c r="F407" s="932" t="s">
        <v>1768</v>
      </c>
      <c r="G407" s="932" t="s">
        <v>1768</v>
      </c>
      <c r="H407" s="923"/>
      <c r="I407" s="925"/>
      <c r="J407" s="923"/>
      <c r="K407" s="923"/>
      <c r="L407" s="923"/>
      <c r="M407" s="923" t="s">
        <v>37</v>
      </c>
      <c r="N407" s="20" t="s">
        <v>0</v>
      </c>
      <c r="O407" s="20" t="s">
        <v>343</v>
      </c>
      <c r="P407" s="20" t="s">
        <v>4082</v>
      </c>
      <c r="Q407" s="923"/>
      <c r="R407" s="923"/>
      <c r="S407" s="924"/>
      <c r="T407" s="71"/>
      <c r="U407" s="997" t="s">
        <v>4491</v>
      </c>
      <c r="V407" s="3056"/>
      <c r="W407"/>
    </row>
    <row r="408" spans="1:23" ht="27" customHeight="1" thickBot="1">
      <c r="A408" s="47" t="s">
        <v>132</v>
      </c>
      <c r="B408" s="438">
        <v>45373</v>
      </c>
      <c r="C408" s="85">
        <f t="shared" si="5"/>
        <v>12</v>
      </c>
      <c r="D408" s="442" t="s">
        <v>4381</v>
      </c>
      <c r="E408" s="442" t="s">
        <v>1224</v>
      </c>
      <c r="F408" s="935" t="s">
        <v>1199</v>
      </c>
      <c r="G408" s="935" t="s">
        <v>1199</v>
      </c>
      <c r="H408" s="923"/>
      <c r="I408" s="925"/>
      <c r="J408" s="923"/>
      <c r="K408" s="923"/>
      <c r="L408" s="923" t="s">
        <v>37</v>
      </c>
      <c r="M408" s="923"/>
      <c r="N408" s="923"/>
      <c r="O408" s="923"/>
      <c r="P408" s="923"/>
      <c r="Q408" s="923"/>
      <c r="R408" s="923"/>
      <c r="S408" s="924"/>
      <c r="T408" s="71"/>
      <c r="U408" s="997" t="s">
        <v>4492</v>
      </c>
      <c r="V408" s="3056"/>
      <c r="W408"/>
    </row>
    <row r="409" spans="1:23" ht="27" customHeight="1" thickBot="1">
      <c r="A409" s="47" t="s">
        <v>132</v>
      </c>
      <c r="B409" s="438">
        <v>45373</v>
      </c>
      <c r="C409" s="85">
        <f t="shared" si="5"/>
        <v>12</v>
      </c>
      <c r="D409" s="439" t="s">
        <v>4493</v>
      </c>
      <c r="E409" s="439" t="s">
        <v>4494</v>
      </c>
      <c r="F409" s="932" t="s">
        <v>1199</v>
      </c>
      <c r="G409" s="932" t="s">
        <v>1199</v>
      </c>
      <c r="H409" s="3250"/>
      <c r="I409" s="3250"/>
      <c r="J409" s="3250"/>
      <c r="K409" s="5231" t="s">
        <v>4206</v>
      </c>
      <c r="L409" s="923"/>
      <c r="M409" s="923" t="s">
        <v>37</v>
      </c>
      <c r="N409" s="20" t="s">
        <v>0</v>
      </c>
      <c r="O409" s="20" t="s">
        <v>110</v>
      </c>
      <c r="P409" s="923" t="s">
        <v>4102</v>
      </c>
      <c r="R409" s="923"/>
      <c r="S409" s="924"/>
      <c r="T409" s="71"/>
      <c r="U409" s="997" t="s">
        <v>4495</v>
      </c>
      <c r="V409" s="3056"/>
      <c r="W409"/>
    </row>
    <row r="410" spans="1:23" ht="79.5" customHeight="1" thickBot="1">
      <c r="A410" s="47" t="s">
        <v>132</v>
      </c>
      <c r="B410" s="438">
        <v>45373</v>
      </c>
      <c r="C410" s="85">
        <f t="shared" si="5"/>
        <v>12</v>
      </c>
      <c r="D410" s="944" t="s">
        <v>4148</v>
      </c>
      <c r="E410" s="944" t="s">
        <v>879</v>
      </c>
      <c r="F410" s="935" t="s">
        <v>1199</v>
      </c>
      <c r="G410" s="935" t="s">
        <v>1199</v>
      </c>
      <c r="H410" s="923"/>
      <c r="I410" s="925"/>
      <c r="J410" s="923"/>
      <c r="K410" s="923"/>
      <c r="L410" s="923"/>
      <c r="M410" s="923" t="s">
        <v>37</v>
      </c>
      <c r="N410" s="20" t="s">
        <v>0</v>
      </c>
      <c r="O410" s="20" t="s">
        <v>343</v>
      </c>
      <c r="P410" s="20" t="s">
        <v>4082</v>
      </c>
      <c r="Q410" s="923"/>
      <c r="R410" s="923"/>
      <c r="S410" s="924"/>
      <c r="T410" s="71"/>
      <c r="U410" s="997" t="s">
        <v>4496</v>
      </c>
      <c r="V410" s="3056"/>
      <c r="W410"/>
    </row>
    <row r="411" spans="1:23" ht="27" customHeight="1" thickBot="1">
      <c r="A411" s="47" t="s">
        <v>132</v>
      </c>
      <c r="B411" s="438">
        <v>45373</v>
      </c>
      <c r="C411" s="85">
        <f t="shared" si="5"/>
        <v>12</v>
      </c>
      <c r="D411" s="944" t="s">
        <v>1698</v>
      </c>
      <c r="E411" s="944" t="s">
        <v>4497</v>
      </c>
      <c r="F411" s="932" t="s">
        <v>1199</v>
      </c>
      <c r="G411" s="932" t="s">
        <v>1199</v>
      </c>
      <c r="H411" s="923"/>
      <c r="I411" s="925"/>
      <c r="J411" s="923"/>
      <c r="K411" s="923"/>
      <c r="L411" s="923" t="s">
        <v>37</v>
      </c>
      <c r="M411" s="923"/>
      <c r="N411" s="923"/>
      <c r="O411" s="923"/>
      <c r="P411" s="923"/>
      <c r="Q411" s="923"/>
      <c r="R411" s="923"/>
      <c r="S411" s="924"/>
      <c r="T411" s="71"/>
      <c r="U411" s="997"/>
      <c r="V411" s="3056"/>
      <c r="W411"/>
    </row>
    <row r="412" spans="1:23" ht="79.5" customHeight="1" thickBot="1">
      <c r="A412" s="47" t="s">
        <v>132</v>
      </c>
      <c r="B412" s="438">
        <v>45373</v>
      </c>
      <c r="C412" s="85">
        <f t="shared" si="5"/>
        <v>12</v>
      </c>
      <c r="D412" s="944" t="s">
        <v>879</v>
      </c>
      <c r="E412" s="944" t="s">
        <v>4498</v>
      </c>
      <c r="F412" s="935" t="s">
        <v>1199</v>
      </c>
      <c r="G412" s="935" t="s">
        <v>1199</v>
      </c>
      <c r="H412" s="923"/>
      <c r="I412" s="925"/>
      <c r="J412" s="923"/>
      <c r="K412" s="923"/>
      <c r="L412" s="923"/>
      <c r="M412" s="923" t="s">
        <v>37</v>
      </c>
      <c r="N412" s="20" t="s">
        <v>0</v>
      </c>
      <c r="O412" s="20" t="s">
        <v>343</v>
      </c>
      <c r="P412" s="20" t="s">
        <v>4082</v>
      </c>
      <c r="Q412" s="923"/>
      <c r="R412" s="923"/>
      <c r="S412" s="924"/>
      <c r="T412" s="71"/>
      <c r="U412" s="997" t="s">
        <v>4499</v>
      </c>
      <c r="V412" s="3056"/>
      <c r="W412"/>
    </row>
    <row r="413" spans="1:23" ht="78.75" customHeight="1" thickBot="1">
      <c r="A413" s="44" t="s">
        <v>132</v>
      </c>
      <c r="B413" s="945">
        <v>45373</v>
      </c>
      <c r="C413" s="169">
        <f t="shared" si="5"/>
        <v>12</v>
      </c>
      <c r="D413" s="946" t="s">
        <v>4498</v>
      </c>
      <c r="E413" s="946" t="s">
        <v>1838</v>
      </c>
      <c r="F413" s="935" t="s">
        <v>1199</v>
      </c>
      <c r="G413" s="935" t="s">
        <v>1199</v>
      </c>
      <c r="H413" s="947"/>
      <c r="I413" s="948"/>
      <c r="J413" s="947"/>
      <c r="K413" s="947"/>
      <c r="L413" s="947"/>
      <c r="M413" s="947" t="s">
        <v>37</v>
      </c>
      <c r="N413" s="20" t="s">
        <v>0</v>
      </c>
      <c r="O413" s="20" t="s">
        <v>343</v>
      </c>
      <c r="P413" s="20" t="s">
        <v>4082</v>
      </c>
      <c r="Q413" s="947"/>
      <c r="R413" s="947"/>
      <c r="S413" s="949"/>
      <c r="T413" s="33"/>
      <c r="U413" s="997"/>
      <c r="V413" s="3056"/>
      <c r="W413"/>
    </row>
    <row r="414" spans="1:23" ht="26.25" customHeight="1">
      <c r="A414" s="443" t="s">
        <v>143</v>
      </c>
      <c r="B414" s="444">
        <v>45374</v>
      </c>
      <c r="C414" s="846">
        <v>30</v>
      </c>
      <c r="D414" s="951" t="s">
        <v>879</v>
      </c>
      <c r="E414" s="951" t="s">
        <v>4498</v>
      </c>
      <c r="F414" s="937" t="s">
        <v>1199</v>
      </c>
      <c r="G414" s="937" t="s">
        <v>1199</v>
      </c>
      <c r="H414" s="952"/>
      <c r="I414" s="953"/>
      <c r="J414" s="952"/>
      <c r="K414" s="952"/>
      <c r="L414" s="952" t="s">
        <v>37</v>
      </c>
      <c r="M414" s="952"/>
      <c r="N414" s="34"/>
      <c r="O414" s="34"/>
      <c r="P414" s="34"/>
      <c r="Q414" s="952"/>
      <c r="R414" s="952"/>
      <c r="S414" s="954"/>
      <c r="T414" s="64"/>
      <c r="U414" s="997"/>
      <c r="V414" s="3056"/>
      <c r="W414"/>
    </row>
    <row r="415" spans="1:23" ht="26.25" customHeight="1">
      <c r="A415" s="446" t="s">
        <v>143</v>
      </c>
      <c r="B415" s="438">
        <v>45374</v>
      </c>
      <c r="C415" s="82">
        <f t="shared" si="5"/>
        <v>12</v>
      </c>
      <c r="D415" s="944" t="s">
        <v>4498</v>
      </c>
      <c r="E415" s="944" t="s">
        <v>1838</v>
      </c>
      <c r="F415" s="937" t="s">
        <v>1199</v>
      </c>
      <c r="G415" s="937" t="s">
        <v>1199</v>
      </c>
      <c r="H415" s="977"/>
      <c r="I415" s="925"/>
      <c r="J415" s="977"/>
      <c r="K415" s="977"/>
      <c r="L415" s="977" t="s">
        <v>37</v>
      </c>
      <c r="M415" s="977"/>
      <c r="N415" s="977"/>
      <c r="O415" s="977"/>
      <c r="P415" s="977"/>
      <c r="Q415" s="977"/>
      <c r="R415" s="977"/>
      <c r="S415" s="938"/>
      <c r="T415" s="71"/>
      <c r="U415" s="997"/>
      <c r="V415" s="3056"/>
      <c r="W415"/>
    </row>
    <row r="416" spans="1:23" ht="26.25" customHeight="1">
      <c r="A416" s="446" t="s">
        <v>143</v>
      </c>
      <c r="B416" s="438">
        <v>45374</v>
      </c>
      <c r="C416" s="82">
        <f t="shared" si="5"/>
        <v>12</v>
      </c>
      <c r="D416" s="944" t="s">
        <v>4378</v>
      </c>
      <c r="E416" s="944" t="s">
        <v>258</v>
      </c>
      <c r="F416" s="937" t="s">
        <v>1199</v>
      </c>
      <c r="G416" s="937" t="s">
        <v>1199</v>
      </c>
      <c r="H416" s="3250"/>
      <c r="I416" s="3250"/>
      <c r="J416" s="3250"/>
      <c r="K416" s="5231" t="s">
        <v>4206</v>
      </c>
      <c r="L416" s="923" t="s">
        <v>37</v>
      </c>
      <c r="M416" s="923"/>
      <c r="N416" s="923"/>
      <c r="O416" s="923"/>
      <c r="P416" s="923"/>
      <c r="Q416" s="923"/>
      <c r="R416" s="923"/>
      <c r="S416" s="924"/>
      <c r="T416" s="71"/>
      <c r="U416" s="997"/>
      <c r="V416" s="3056"/>
      <c r="W416"/>
    </row>
    <row r="417" spans="1:23" ht="105.75" customHeight="1" thickBot="1">
      <c r="A417" s="447" t="s">
        <v>143</v>
      </c>
      <c r="B417" s="448">
        <v>45374</v>
      </c>
      <c r="C417" s="85">
        <f t="shared" si="5"/>
        <v>12</v>
      </c>
      <c r="D417" s="955" t="s">
        <v>4148</v>
      </c>
      <c r="E417" s="955" t="s">
        <v>4500</v>
      </c>
      <c r="F417" s="956" t="s">
        <v>1199</v>
      </c>
      <c r="G417" s="956" t="s">
        <v>1199</v>
      </c>
      <c r="H417" s="1038"/>
      <c r="I417" s="1038"/>
      <c r="J417" s="957"/>
      <c r="K417" s="5227" t="s">
        <v>174</v>
      </c>
      <c r="L417" s="957"/>
      <c r="M417" s="957" t="s">
        <v>37</v>
      </c>
      <c r="N417" s="20" t="s">
        <v>109</v>
      </c>
      <c r="O417" s="20" t="s">
        <v>1589</v>
      </c>
      <c r="P417" s="20" t="s">
        <v>4082</v>
      </c>
      <c r="Q417" s="957"/>
      <c r="R417" s="957"/>
      <c r="S417" s="958"/>
      <c r="T417" s="91"/>
      <c r="U417" s="997" t="s">
        <v>4501</v>
      </c>
      <c r="V417" s="3056"/>
      <c r="W417"/>
    </row>
    <row r="418" spans="1:23" ht="27" customHeight="1" thickBot="1">
      <c r="A418" s="446" t="s">
        <v>1280</v>
      </c>
      <c r="B418" s="438">
        <v>45376</v>
      </c>
      <c r="C418" s="85">
        <f t="shared" si="5"/>
        <v>13</v>
      </c>
      <c r="D418" s="439" t="s">
        <v>4502</v>
      </c>
      <c r="E418" s="439" t="s">
        <v>48</v>
      </c>
      <c r="F418" s="932" t="s">
        <v>1199</v>
      </c>
      <c r="G418" s="925" t="s">
        <v>1199</v>
      </c>
      <c r="H418" s="938"/>
      <c r="I418" s="938"/>
      <c r="J418" s="923"/>
      <c r="K418" s="923"/>
      <c r="L418" s="923" t="s">
        <v>37</v>
      </c>
      <c r="M418" s="923"/>
      <c r="N418" s="923"/>
      <c r="O418" s="923"/>
      <c r="P418" s="923"/>
      <c r="Q418" s="923"/>
      <c r="R418" s="923"/>
      <c r="S418" s="924"/>
      <c r="T418" s="923"/>
      <c r="U418" s="997"/>
      <c r="V418" s="3056"/>
      <c r="W418"/>
    </row>
    <row r="419" spans="1:23" ht="27" customHeight="1" thickBot="1">
      <c r="A419" s="446" t="s">
        <v>1280</v>
      </c>
      <c r="B419" s="438">
        <v>45376</v>
      </c>
      <c r="C419" s="85">
        <f t="shared" si="5"/>
        <v>13</v>
      </c>
      <c r="D419" s="439" t="s">
        <v>4503</v>
      </c>
      <c r="E419" s="439" t="s">
        <v>3647</v>
      </c>
      <c r="F419" s="932" t="s">
        <v>1199</v>
      </c>
      <c r="G419" s="925" t="s">
        <v>1199</v>
      </c>
      <c r="H419" s="3250"/>
      <c r="I419" s="3250"/>
      <c r="J419" s="3250"/>
      <c r="K419" s="5231" t="s">
        <v>4206</v>
      </c>
      <c r="L419" s="923" t="s">
        <v>37</v>
      </c>
      <c r="M419" s="923"/>
      <c r="N419" s="923"/>
      <c r="O419" s="923"/>
      <c r="P419" s="923"/>
      <c r="Q419" s="923"/>
      <c r="R419" s="923"/>
      <c r="S419" s="924"/>
      <c r="T419" s="923"/>
      <c r="U419" s="997"/>
      <c r="V419" s="3056"/>
      <c r="W419"/>
    </row>
    <row r="420" spans="1:23" ht="27" customHeight="1" thickBot="1">
      <c r="A420" s="446" t="s">
        <v>1280</v>
      </c>
      <c r="B420" s="438">
        <v>45376</v>
      </c>
      <c r="C420" s="85">
        <f t="shared" si="5"/>
        <v>13</v>
      </c>
      <c r="D420" s="978" t="s">
        <v>1523</v>
      </c>
      <c r="E420" s="978" t="s">
        <v>889</v>
      </c>
      <c r="F420" s="933" t="s">
        <v>1199</v>
      </c>
      <c r="G420" s="933" t="s">
        <v>1199</v>
      </c>
      <c r="H420" s="5250">
        <v>701</v>
      </c>
      <c r="I420" s="5262"/>
      <c r="J420" s="1032"/>
      <c r="K420" s="3250" t="s">
        <v>4504</v>
      </c>
      <c r="L420" s="923" t="s">
        <v>37</v>
      </c>
      <c r="M420" s="923"/>
      <c r="N420" s="923"/>
      <c r="O420" s="923"/>
      <c r="P420" s="923"/>
      <c r="Q420" s="923"/>
      <c r="R420" s="923"/>
      <c r="S420" s="924"/>
      <c r="T420" s="923"/>
      <c r="U420" s="997"/>
      <c r="V420" s="3056"/>
      <c r="W420"/>
    </row>
    <row r="421" spans="1:23" ht="53.25" customHeight="1" thickBot="1">
      <c r="A421" s="446" t="s">
        <v>1280</v>
      </c>
      <c r="B421" s="438">
        <v>45376</v>
      </c>
      <c r="C421" s="85">
        <f t="shared" si="5"/>
        <v>13</v>
      </c>
      <c r="D421" s="978" t="s">
        <v>879</v>
      </c>
      <c r="E421" s="978" t="s">
        <v>4505</v>
      </c>
      <c r="F421" s="979" t="s">
        <v>1199</v>
      </c>
      <c r="G421" s="979" t="s">
        <v>1199</v>
      </c>
      <c r="H421" s="938"/>
      <c r="I421" s="938"/>
      <c r="J421" s="923"/>
      <c r="K421" s="923"/>
      <c r="L421" s="923"/>
      <c r="M421" s="923" t="s">
        <v>3264</v>
      </c>
      <c r="N421" s="20" t="s">
        <v>109</v>
      </c>
      <c r="O421" s="20" t="s">
        <v>110</v>
      </c>
      <c r="P421" s="20" t="s">
        <v>4080</v>
      </c>
      <c r="Q421" s="980">
        <v>4</v>
      </c>
      <c r="R421" s="923"/>
      <c r="S421" s="924"/>
      <c r="T421" s="923"/>
      <c r="U421" s="997" t="s">
        <v>4506</v>
      </c>
      <c r="V421" s="3056"/>
      <c r="W421"/>
    </row>
    <row r="422" spans="1:23" ht="53.25" customHeight="1" thickBot="1">
      <c r="A422" s="446" t="s">
        <v>1280</v>
      </c>
      <c r="B422" s="438">
        <v>45376</v>
      </c>
      <c r="C422" s="85">
        <f t="shared" si="5"/>
        <v>13</v>
      </c>
      <c r="D422" s="978" t="s">
        <v>2429</v>
      </c>
      <c r="E422" s="978" t="s">
        <v>4507</v>
      </c>
      <c r="F422" s="979" t="s">
        <v>1206</v>
      </c>
      <c r="G422" s="979" t="s">
        <v>1206</v>
      </c>
      <c r="H422" s="981"/>
      <c r="I422" s="981"/>
      <c r="J422" s="923"/>
      <c r="K422" s="923"/>
      <c r="L422" s="923"/>
      <c r="M422" s="923" t="s">
        <v>3264</v>
      </c>
      <c r="N422" s="20" t="s">
        <v>109</v>
      </c>
      <c r="O422" s="20" t="s">
        <v>110</v>
      </c>
      <c r="P422" s="20" t="s">
        <v>4080</v>
      </c>
      <c r="Q422" s="980">
        <v>4</v>
      </c>
      <c r="R422" s="923"/>
      <c r="S422" s="924"/>
      <c r="T422" s="923"/>
      <c r="U422" s="997"/>
      <c r="V422" s="3056"/>
      <c r="W422"/>
    </row>
    <row r="423" spans="1:23" ht="27" customHeight="1" thickBot="1">
      <c r="A423" s="446" t="s">
        <v>1280</v>
      </c>
      <c r="B423" s="438">
        <v>45376</v>
      </c>
      <c r="C423" s="85">
        <f t="shared" si="5"/>
        <v>13</v>
      </c>
      <c r="D423" s="982" t="s">
        <v>2750</v>
      </c>
      <c r="E423" s="982" t="s">
        <v>1161</v>
      </c>
      <c r="F423" s="933" t="s">
        <v>1764</v>
      </c>
      <c r="G423" s="933" t="s">
        <v>1764</v>
      </c>
      <c r="H423" s="938"/>
      <c r="I423" s="938"/>
      <c r="J423" s="923"/>
      <c r="K423" s="923"/>
      <c r="L423" s="923" t="s">
        <v>37</v>
      </c>
      <c r="M423" s="923"/>
      <c r="N423" s="923"/>
      <c r="O423" s="923"/>
      <c r="P423" s="923"/>
      <c r="Q423" s="923"/>
      <c r="R423" s="983">
        <v>3</v>
      </c>
      <c r="S423" s="924"/>
      <c r="T423" s="923"/>
      <c r="U423" s="997"/>
      <c r="V423" s="3056"/>
      <c r="W423"/>
    </row>
    <row r="424" spans="1:23" ht="42.75" customHeight="1" thickBot="1">
      <c r="A424" s="446" t="s">
        <v>1280</v>
      </c>
      <c r="B424" s="438">
        <v>45376</v>
      </c>
      <c r="C424" s="85">
        <f t="shared" si="5"/>
        <v>13</v>
      </c>
      <c r="D424" s="982" t="s">
        <v>89</v>
      </c>
      <c r="E424" s="982" t="s">
        <v>4508</v>
      </c>
      <c r="F424" s="933" t="s">
        <v>1764</v>
      </c>
      <c r="G424" s="933" t="s">
        <v>1764</v>
      </c>
      <c r="H424" s="3250">
        <v>706</v>
      </c>
      <c r="I424" s="1037"/>
      <c r="J424" s="923"/>
      <c r="K424" s="923"/>
      <c r="L424" s="923"/>
      <c r="M424" s="923" t="s">
        <v>37</v>
      </c>
      <c r="N424" s="20" t="s">
        <v>71</v>
      </c>
      <c r="O424" s="20" t="s">
        <v>371</v>
      </c>
      <c r="P424" s="20" t="s">
        <v>4102</v>
      </c>
      <c r="Q424" s="923"/>
      <c r="R424" s="923"/>
      <c r="S424" s="924"/>
      <c r="T424" s="923"/>
      <c r="U424" s="997" t="s">
        <v>4509</v>
      </c>
      <c r="V424" s="3056"/>
      <c r="W424"/>
    </row>
    <row r="425" spans="1:23" ht="53.25" customHeight="1" thickBot="1">
      <c r="A425" s="446" t="s">
        <v>1280</v>
      </c>
      <c r="B425" s="438">
        <v>45376</v>
      </c>
      <c r="C425" s="85">
        <f t="shared" si="5"/>
        <v>13</v>
      </c>
      <c r="D425" s="439" t="s">
        <v>939</v>
      </c>
      <c r="E425" s="439" t="s">
        <v>1698</v>
      </c>
      <c r="F425" s="932" t="s">
        <v>1764</v>
      </c>
      <c r="G425" s="925" t="s">
        <v>1199</v>
      </c>
      <c r="H425" s="3250"/>
      <c r="I425" s="3250"/>
      <c r="J425" s="3250"/>
      <c r="K425" s="5231" t="s">
        <v>4206</v>
      </c>
      <c r="L425" s="923"/>
      <c r="M425" s="923" t="s">
        <v>30</v>
      </c>
      <c r="N425" s="20" t="s">
        <v>122</v>
      </c>
      <c r="O425" s="20" t="s">
        <v>4285</v>
      </c>
      <c r="P425" s="20" t="s">
        <v>4080</v>
      </c>
      <c r="Q425" s="984">
        <v>1</v>
      </c>
      <c r="R425" s="923"/>
      <c r="S425" s="924"/>
      <c r="T425" s="923"/>
      <c r="U425" s="997" t="s">
        <v>4510</v>
      </c>
      <c r="V425" s="3056"/>
      <c r="W425"/>
    </row>
    <row r="426" spans="1:23" ht="27" customHeight="1" thickBot="1">
      <c r="A426" s="446" t="s">
        <v>1280</v>
      </c>
      <c r="B426" s="438">
        <v>45376</v>
      </c>
      <c r="C426" s="85">
        <f t="shared" ref="C426:C436" si="6">_xlfn.ISOWEEKNUM(B426)</f>
        <v>13</v>
      </c>
      <c r="D426" s="439" t="s">
        <v>1091</v>
      </c>
      <c r="E426" s="439" t="s">
        <v>4343</v>
      </c>
      <c r="F426" s="932" t="s">
        <v>1764</v>
      </c>
      <c r="G426" s="925" t="s">
        <v>1199</v>
      </c>
      <c r="H426" s="3250"/>
      <c r="I426" s="3250"/>
      <c r="J426" s="3250"/>
      <c r="K426" s="5231" t="s">
        <v>4206</v>
      </c>
      <c r="L426" s="923" t="s">
        <v>37</v>
      </c>
      <c r="M426" s="923"/>
      <c r="N426" s="20"/>
      <c r="O426" s="20"/>
      <c r="P426" s="20"/>
      <c r="Q426" s="923"/>
      <c r="R426" s="923"/>
      <c r="S426" s="924"/>
      <c r="T426" s="923"/>
      <c r="U426" s="997"/>
      <c r="V426" s="3056"/>
      <c r="W426"/>
    </row>
    <row r="427" spans="1:23" ht="27" customHeight="1" thickBot="1">
      <c r="A427" s="446" t="s">
        <v>1280</v>
      </c>
      <c r="B427" s="438">
        <v>45376</v>
      </c>
      <c r="C427" s="85">
        <f t="shared" si="6"/>
        <v>13</v>
      </c>
      <c r="D427" s="440" t="s">
        <v>3678</v>
      </c>
      <c r="E427" s="440" t="s">
        <v>4511</v>
      </c>
      <c r="F427" s="932" t="s">
        <v>1199</v>
      </c>
      <c r="G427" s="925" t="s">
        <v>1199</v>
      </c>
      <c r="H427" s="1037"/>
      <c r="I427" s="1037"/>
      <c r="J427" s="923"/>
      <c r="K427" s="5246" t="s">
        <v>3346</v>
      </c>
      <c r="L427" s="923" t="s">
        <v>37</v>
      </c>
      <c r="M427" s="923"/>
      <c r="N427" s="21"/>
      <c r="O427" s="21"/>
      <c r="P427" s="21"/>
      <c r="Q427" s="923"/>
      <c r="R427" s="923"/>
      <c r="S427" s="924"/>
      <c r="T427" s="923"/>
      <c r="U427" s="997"/>
      <c r="V427" s="3056"/>
      <c r="W427"/>
    </row>
    <row r="428" spans="1:23" ht="244.35" customHeight="1" thickBot="1">
      <c r="A428" s="446" t="s">
        <v>1280</v>
      </c>
      <c r="B428" s="438">
        <v>45376</v>
      </c>
      <c r="C428" s="85">
        <f t="shared" si="6"/>
        <v>13</v>
      </c>
      <c r="D428" s="440" t="s">
        <v>2141</v>
      </c>
      <c r="E428" s="440" t="s">
        <v>4513</v>
      </c>
      <c r="F428" s="932" t="s">
        <v>4514</v>
      </c>
      <c r="G428" s="932" t="s">
        <v>4514</v>
      </c>
      <c r="H428" s="922"/>
      <c r="I428" s="922"/>
      <c r="J428" s="923"/>
      <c r="K428" s="923"/>
      <c r="L428" s="923" t="s">
        <v>37</v>
      </c>
      <c r="M428" s="923" t="s">
        <v>37</v>
      </c>
      <c r="N428" s="20" t="s">
        <v>109</v>
      </c>
      <c r="O428" s="20" t="s">
        <v>110</v>
      </c>
      <c r="P428" s="20" t="s">
        <v>4108</v>
      </c>
      <c r="Q428" s="923"/>
      <c r="R428" s="923"/>
      <c r="S428" s="924"/>
      <c r="T428" s="923"/>
      <c r="U428" s="998" t="s">
        <v>4515</v>
      </c>
      <c r="V428" s="3057"/>
      <c r="W428"/>
    </row>
    <row r="429" spans="1:23" ht="26.25" customHeight="1" thickBot="1">
      <c r="A429" s="999" t="s">
        <v>1280</v>
      </c>
      <c r="B429" s="945">
        <v>45376</v>
      </c>
      <c r="C429" s="169">
        <f t="shared" si="6"/>
        <v>13</v>
      </c>
      <c r="D429" s="1000" t="s">
        <v>1838</v>
      </c>
      <c r="E429" s="1000" t="s">
        <v>258</v>
      </c>
      <c r="F429" s="1008" t="s">
        <v>1764</v>
      </c>
      <c r="G429" s="1008" t="s">
        <v>1764</v>
      </c>
      <c r="H429" s="949"/>
      <c r="I429" s="949"/>
      <c r="J429" s="1001"/>
      <c r="K429" s="1001"/>
      <c r="L429" s="1001" t="s">
        <v>37</v>
      </c>
      <c r="M429" s="1001"/>
      <c r="N429" s="1001"/>
      <c r="O429" s="1001"/>
      <c r="P429" s="1001"/>
      <c r="Q429" s="1001"/>
      <c r="R429" s="1001"/>
      <c r="S429" s="1002"/>
      <c r="T429" s="1001"/>
      <c r="U429" s="1003"/>
      <c r="V429" s="3056"/>
      <c r="W429"/>
    </row>
    <row r="430" spans="1:23" ht="26.25" customHeight="1">
      <c r="A430" s="443" t="s">
        <v>180</v>
      </c>
      <c r="B430" s="444">
        <v>45377</v>
      </c>
      <c r="C430" s="846">
        <f t="shared" si="6"/>
        <v>13</v>
      </c>
      <c r="D430" s="1011" t="s">
        <v>4488</v>
      </c>
      <c r="E430" s="1011" t="s">
        <v>106</v>
      </c>
      <c r="F430" s="915" t="s">
        <v>1764</v>
      </c>
      <c r="G430" s="953" t="s">
        <v>1199</v>
      </c>
      <c r="H430" s="954"/>
      <c r="I430" s="954"/>
      <c r="J430" s="918"/>
      <c r="K430" s="918"/>
      <c r="L430" s="918" t="s">
        <v>37</v>
      </c>
      <c r="M430" s="918"/>
      <c r="N430" s="918"/>
      <c r="O430" s="918"/>
      <c r="P430" s="918"/>
      <c r="Q430" s="918"/>
      <c r="R430" s="918"/>
      <c r="S430" s="919"/>
      <c r="T430" s="918"/>
      <c r="U430" s="1006"/>
      <c r="V430" s="3056"/>
      <c r="W430"/>
    </row>
    <row r="431" spans="1:23" ht="189" customHeight="1">
      <c r="A431" s="446" t="s">
        <v>180</v>
      </c>
      <c r="B431" s="438">
        <v>45377</v>
      </c>
      <c r="C431" s="82">
        <f t="shared" si="6"/>
        <v>13</v>
      </c>
      <c r="D431" s="941" t="s">
        <v>2141</v>
      </c>
      <c r="E431" s="941" t="s">
        <v>4155</v>
      </c>
      <c r="F431" s="925" t="s">
        <v>1199</v>
      </c>
      <c r="G431" s="925" t="s">
        <v>1199</v>
      </c>
      <c r="H431" s="3250"/>
      <c r="I431" s="3250"/>
      <c r="J431" s="3250"/>
      <c r="K431" s="5231" t="s">
        <v>4206</v>
      </c>
      <c r="L431" s="923" t="s">
        <v>37</v>
      </c>
      <c r="M431" s="923"/>
      <c r="N431" s="923"/>
      <c r="O431" s="923"/>
      <c r="P431" s="923"/>
      <c r="Q431" s="923"/>
      <c r="R431" s="984">
        <v>1</v>
      </c>
      <c r="S431" s="924"/>
      <c r="T431" s="923"/>
      <c r="U431" s="997" t="s">
        <v>4516</v>
      </c>
      <c r="V431" s="3056"/>
      <c r="W431"/>
    </row>
    <row r="432" spans="1:23" ht="63" customHeight="1">
      <c r="A432" s="446" t="s">
        <v>180</v>
      </c>
      <c r="B432" s="438">
        <v>45377</v>
      </c>
      <c r="C432" s="82">
        <f t="shared" si="6"/>
        <v>13</v>
      </c>
      <c r="D432" s="982" t="s">
        <v>2141</v>
      </c>
      <c r="E432" s="982" t="s">
        <v>4517</v>
      </c>
      <c r="F432" s="985" t="s">
        <v>1199</v>
      </c>
      <c r="G432" s="985" t="s">
        <v>1199</v>
      </c>
      <c r="H432" s="3250">
        <v>705</v>
      </c>
      <c r="I432" s="1037"/>
      <c r="J432" s="923"/>
      <c r="K432" s="923"/>
      <c r="L432" s="923"/>
      <c r="M432" s="923" t="s">
        <v>37</v>
      </c>
      <c r="N432" s="21" t="s">
        <v>122</v>
      </c>
      <c r="O432" s="21" t="s">
        <v>123</v>
      </c>
      <c r="P432" s="21" t="s">
        <v>4330</v>
      </c>
      <c r="Q432" s="986">
        <v>2</v>
      </c>
      <c r="R432" s="924"/>
      <c r="S432" s="924"/>
      <c r="T432" s="923"/>
      <c r="U432" s="997" t="s">
        <v>4518</v>
      </c>
      <c r="V432" s="3056"/>
      <c r="W432"/>
    </row>
    <row r="433" spans="1:23" ht="26.25" customHeight="1">
      <c r="A433" s="446" t="s">
        <v>180</v>
      </c>
      <c r="B433" s="438">
        <v>45377</v>
      </c>
      <c r="C433" s="82">
        <f t="shared" si="6"/>
        <v>13</v>
      </c>
      <c r="D433" s="941" t="s">
        <v>2141</v>
      </c>
      <c r="E433" s="941" t="s">
        <v>4519</v>
      </c>
      <c r="F433" s="985" t="s">
        <v>1199</v>
      </c>
      <c r="G433" s="985" t="s">
        <v>1199</v>
      </c>
      <c r="H433" s="922"/>
      <c r="I433" s="922"/>
      <c r="J433" s="923"/>
      <c r="K433" s="923"/>
      <c r="L433" s="923" t="s">
        <v>37</v>
      </c>
      <c r="M433" s="923"/>
      <c r="N433" s="923"/>
      <c r="O433" s="923"/>
      <c r="P433" s="923"/>
      <c r="Q433" s="923"/>
      <c r="R433" s="924"/>
      <c r="S433" s="924"/>
      <c r="T433" s="923"/>
      <c r="U433" s="997"/>
      <c r="V433" s="3056"/>
      <c r="W433"/>
    </row>
    <row r="434" spans="1:23" ht="26.25" customHeight="1">
      <c r="A434" s="446" t="s">
        <v>180</v>
      </c>
      <c r="B434" s="438">
        <v>45377</v>
      </c>
      <c r="C434" s="82">
        <f t="shared" si="6"/>
        <v>13</v>
      </c>
      <c r="D434" s="439" t="s">
        <v>258</v>
      </c>
      <c r="E434" s="439" t="s">
        <v>4343</v>
      </c>
      <c r="F434" s="985" t="s">
        <v>1199</v>
      </c>
      <c r="G434" s="985" t="s">
        <v>1199</v>
      </c>
      <c r="H434" s="938"/>
      <c r="I434" s="938"/>
      <c r="J434" s="923"/>
      <c r="K434" s="923"/>
      <c r="L434" s="923" t="s">
        <v>37</v>
      </c>
      <c r="M434" s="923"/>
      <c r="N434" s="923"/>
      <c r="O434" s="923"/>
      <c r="P434" s="923"/>
      <c r="Q434" s="923"/>
      <c r="R434" s="923"/>
      <c r="S434" s="924"/>
      <c r="T434" s="923"/>
      <c r="U434" s="997"/>
      <c r="V434" s="3056"/>
      <c r="W434"/>
    </row>
    <row r="435" spans="1:23" ht="26.25" customHeight="1">
      <c r="A435" s="446" t="s">
        <v>180</v>
      </c>
      <c r="B435" s="438">
        <v>45377</v>
      </c>
      <c r="C435" s="82">
        <f t="shared" si="6"/>
        <v>13</v>
      </c>
      <c r="D435" s="987" t="s">
        <v>89</v>
      </c>
      <c r="E435" s="987" t="s">
        <v>1715</v>
      </c>
      <c r="F435" s="925" t="s">
        <v>1199</v>
      </c>
      <c r="G435" s="925" t="s">
        <v>1199</v>
      </c>
      <c r="H435" s="938"/>
      <c r="I435" s="938"/>
      <c r="J435" s="923"/>
      <c r="K435" s="923"/>
      <c r="L435" s="923" t="s">
        <v>37</v>
      </c>
      <c r="M435" s="923"/>
      <c r="N435" s="923"/>
      <c r="O435" s="923"/>
      <c r="P435" s="923"/>
      <c r="Q435" s="923"/>
      <c r="R435" s="923"/>
      <c r="S435" s="924"/>
      <c r="T435" s="923"/>
      <c r="U435" s="997"/>
      <c r="V435" s="3056"/>
      <c r="W435"/>
    </row>
    <row r="436" spans="1:23" ht="26.25" customHeight="1">
      <c r="A436" s="446" t="s">
        <v>180</v>
      </c>
      <c r="B436" s="438">
        <v>45377</v>
      </c>
      <c r="C436" s="82">
        <f t="shared" si="6"/>
        <v>13</v>
      </c>
      <c r="D436" s="988" t="s">
        <v>1838</v>
      </c>
      <c r="E436" s="978" t="s">
        <v>1703</v>
      </c>
      <c r="F436" s="937" t="s">
        <v>1206</v>
      </c>
      <c r="G436" s="937" t="s">
        <v>1206</v>
      </c>
      <c r="H436" s="938"/>
      <c r="I436" s="938"/>
      <c r="J436" s="923"/>
      <c r="K436" s="923"/>
      <c r="L436" s="923" t="s">
        <v>37</v>
      </c>
      <c r="M436" s="923"/>
      <c r="N436" s="923"/>
      <c r="O436" s="923"/>
      <c r="P436" s="923"/>
      <c r="Q436" s="923"/>
      <c r="R436" s="980">
        <v>4</v>
      </c>
      <c r="S436" s="924"/>
      <c r="T436" s="923"/>
      <c r="U436" s="997"/>
      <c r="V436" s="3056"/>
      <c r="W436"/>
    </row>
    <row r="437" spans="1:23" ht="26.25" customHeight="1">
      <c r="A437" s="446" t="s">
        <v>180</v>
      </c>
      <c r="B437" s="438">
        <v>45377</v>
      </c>
      <c r="C437" s="82">
        <f t="shared" ref="C437:C468" si="7">_xlfn.ISOWEEKNUM(B437)</f>
        <v>13</v>
      </c>
      <c r="D437" s="978" t="s">
        <v>4520</v>
      </c>
      <c r="E437" s="978" t="s">
        <v>4521</v>
      </c>
      <c r="F437" s="937" t="s">
        <v>1206</v>
      </c>
      <c r="G437" s="937" t="s">
        <v>1206</v>
      </c>
      <c r="H437" s="938"/>
      <c r="I437" s="938"/>
      <c r="J437" s="923"/>
      <c r="K437" s="923"/>
      <c r="L437" s="923" t="s">
        <v>37</v>
      </c>
      <c r="M437" s="923"/>
      <c r="N437" s="923"/>
      <c r="O437" s="923"/>
      <c r="P437" s="923"/>
      <c r="Q437" s="923"/>
      <c r="R437" s="980">
        <v>4</v>
      </c>
      <c r="S437" s="924"/>
      <c r="T437" s="923"/>
      <c r="U437" s="997"/>
      <c r="V437" s="3056"/>
      <c r="W437"/>
    </row>
    <row r="438" spans="1:23" ht="26.25" customHeight="1">
      <c r="A438" s="446" t="s">
        <v>180</v>
      </c>
      <c r="B438" s="438">
        <v>45377</v>
      </c>
      <c r="C438" s="82">
        <f t="shared" si="7"/>
        <v>13</v>
      </c>
      <c r="D438" s="978" t="s">
        <v>4522</v>
      </c>
      <c r="E438" s="978" t="s">
        <v>4520</v>
      </c>
      <c r="F438" s="937" t="s">
        <v>1206</v>
      </c>
      <c r="G438" s="937" t="s">
        <v>1206</v>
      </c>
      <c r="H438" s="938"/>
      <c r="I438" s="938"/>
      <c r="J438" s="923"/>
      <c r="K438" s="923"/>
      <c r="L438" s="923" t="s">
        <v>37</v>
      </c>
      <c r="M438" s="923"/>
      <c r="N438" s="923"/>
      <c r="O438" s="923"/>
      <c r="P438" s="923"/>
      <c r="Q438" s="923"/>
      <c r="R438" s="980">
        <v>4</v>
      </c>
      <c r="S438" s="924"/>
      <c r="T438" s="923"/>
      <c r="U438" s="997"/>
      <c r="V438" s="3056"/>
      <c r="W438"/>
    </row>
    <row r="439" spans="1:23" ht="27" customHeight="1" thickBot="1">
      <c r="A439" s="447" t="s">
        <v>180</v>
      </c>
      <c r="B439" s="448">
        <v>45377</v>
      </c>
      <c r="C439" s="85">
        <f t="shared" si="7"/>
        <v>13</v>
      </c>
      <c r="D439" s="1018" t="s">
        <v>4520</v>
      </c>
      <c r="E439" s="1018" t="s">
        <v>4523</v>
      </c>
      <c r="F439" s="956" t="s">
        <v>1206</v>
      </c>
      <c r="G439" s="956" t="s">
        <v>1206</v>
      </c>
      <c r="H439" s="1019"/>
      <c r="I439" s="1019"/>
      <c r="J439" s="957"/>
      <c r="K439" s="957"/>
      <c r="L439" s="957" t="s">
        <v>37</v>
      </c>
      <c r="M439" s="957"/>
      <c r="N439" s="957"/>
      <c r="O439" s="957"/>
      <c r="P439" s="957"/>
      <c r="Q439" s="957"/>
      <c r="R439" s="1020">
        <v>4</v>
      </c>
      <c r="S439" s="958"/>
      <c r="T439" s="957"/>
      <c r="U439" s="1007"/>
      <c r="V439" s="3056"/>
      <c r="W439"/>
    </row>
    <row r="440" spans="1:23" ht="26.25" customHeight="1">
      <c r="A440" s="965" t="s">
        <v>1323</v>
      </c>
      <c r="B440" s="966">
        <v>45378</v>
      </c>
      <c r="C440" s="832">
        <f t="shared" si="7"/>
        <v>13</v>
      </c>
      <c r="D440" s="1016" t="s">
        <v>106</v>
      </c>
      <c r="E440" s="1016" t="s">
        <v>450</v>
      </c>
      <c r="F440" s="975" t="s">
        <v>1199</v>
      </c>
      <c r="G440" s="1017" t="s">
        <v>1199</v>
      </c>
      <c r="H440" s="1013"/>
      <c r="I440" s="1014" t="s">
        <v>1199</v>
      </c>
      <c r="J440" s="1009"/>
      <c r="K440" s="1009"/>
      <c r="L440" s="1009" t="s">
        <v>37</v>
      </c>
      <c r="M440" s="1009"/>
      <c r="N440" s="1009"/>
      <c r="O440" s="1009"/>
      <c r="P440" s="1009"/>
      <c r="Q440" s="1009"/>
      <c r="R440" s="1009"/>
      <c r="S440" s="1005"/>
      <c r="T440" s="1009"/>
      <c r="U440" s="1010" t="s">
        <v>4524</v>
      </c>
      <c r="V440" s="3056"/>
      <c r="W440"/>
    </row>
    <row r="441" spans="1:23" ht="26.25" customHeight="1">
      <c r="A441" s="446" t="s">
        <v>1323</v>
      </c>
      <c r="B441" s="438">
        <v>45378</v>
      </c>
      <c r="C441" s="82">
        <f t="shared" si="7"/>
        <v>13</v>
      </c>
      <c r="D441" s="982" t="s">
        <v>2141</v>
      </c>
      <c r="E441" s="982" t="s">
        <v>4525</v>
      </c>
      <c r="F441" s="925" t="s">
        <v>1199</v>
      </c>
      <c r="G441" s="925" t="s">
        <v>1199</v>
      </c>
      <c r="H441" s="3250">
        <v>705</v>
      </c>
      <c r="I441" s="1037"/>
      <c r="J441" s="923"/>
      <c r="K441" s="923"/>
      <c r="L441" s="923" t="s">
        <v>37</v>
      </c>
      <c r="M441" s="923"/>
      <c r="N441" s="923"/>
      <c r="O441" s="923"/>
      <c r="P441" s="923"/>
      <c r="Q441" s="923"/>
      <c r="R441" s="986">
        <v>2</v>
      </c>
      <c r="S441" s="924"/>
      <c r="T441" s="923"/>
      <c r="U441" s="997"/>
      <c r="V441" s="3056"/>
      <c r="W441"/>
    </row>
    <row r="442" spans="1:23" ht="26.25" customHeight="1">
      <c r="A442" s="446" t="s">
        <v>1323</v>
      </c>
      <c r="B442" s="438">
        <v>45378</v>
      </c>
      <c r="C442" s="82">
        <f t="shared" si="7"/>
        <v>13</v>
      </c>
      <c r="D442" s="990" t="s">
        <v>4084</v>
      </c>
      <c r="E442" s="990" t="s">
        <v>4220</v>
      </c>
      <c r="F442" s="932" t="s">
        <v>1199</v>
      </c>
      <c r="G442" s="925" t="s">
        <v>1199</v>
      </c>
      <c r="H442" s="938"/>
      <c r="I442" s="989" t="s">
        <v>1199</v>
      </c>
      <c r="J442" s="923"/>
      <c r="K442" s="923"/>
      <c r="L442" s="923" t="s">
        <v>37</v>
      </c>
      <c r="M442" s="923"/>
      <c r="N442" s="923"/>
      <c r="O442" s="923"/>
      <c r="P442" s="923"/>
      <c r="Q442" s="923"/>
      <c r="R442" s="923"/>
      <c r="S442" s="924"/>
      <c r="T442" s="923"/>
      <c r="U442" s="997"/>
      <c r="V442" s="3056"/>
      <c r="W442"/>
    </row>
    <row r="443" spans="1:23" ht="26.25" customHeight="1">
      <c r="A443" s="446" t="s">
        <v>1323</v>
      </c>
      <c r="B443" s="438">
        <v>45378</v>
      </c>
      <c r="C443" s="82">
        <f t="shared" si="7"/>
        <v>13</v>
      </c>
      <c r="D443" s="991" t="s">
        <v>447</v>
      </c>
      <c r="E443" s="991" t="s">
        <v>4526</v>
      </c>
      <c r="F443" s="932" t="s">
        <v>1199</v>
      </c>
      <c r="G443" s="932" t="s">
        <v>1199</v>
      </c>
      <c r="H443" s="938"/>
      <c r="I443" s="989" t="s">
        <v>1199</v>
      </c>
      <c r="J443" s="923"/>
      <c r="K443" s="923"/>
      <c r="L443" s="923" t="s">
        <v>37</v>
      </c>
      <c r="M443" s="923"/>
      <c r="N443" s="923"/>
      <c r="O443" s="923"/>
      <c r="P443" s="923"/>
      <c r="Q443" s="923"/>
      <c r="R443" s="923"/>
      <c r="S443" s="924" t="s">
        <v>37</v>
      </c>
      <c r="T443" s="923"/>
      <c r="U443" s="997"/>
      <c r="V443" s="3056"/>
      <c r="W443"/>
    </row>
    <row r="444" spans="1:23" ht="26.25" customHeight="1">
      <c r="A444" s="446" t="s">
        <v>1323</v>
      </c>
      <c r="B444" s="438">
        <v>45378</v>
      </c>
      <c r="C444" s="82">
        <f t="shared" si="7"/>
        <v>13</v>
      </c>
      <c r="D444" s="991" t="s">
        <v>3620</v>
      </c>
      <c r="E444" s="991" t="s">
        <v>4527</v>
      </c>
      <c r="F444" s="932" t="s">
        <v>1199</v>
      </c>
      <c r="G444" s="932" t="s">
        <v>1199</v>
      </c>
      <c r="H444" s="938"/>
      <c r="I444" s="989" t="s">
        <v>1199</v>
      </c>
      <c r="J444" s="923"/>
      <c r="K444" s="923"/>
      <c r="L444" s="923" t="s">
        <v>37</v>
      </c>
      <c r="M444" s="923"/>
      <c r="N444" s="923"/>
      <c r="O444" s="923"/>
      <c r="P444" s="923"/>
      <c r="Q444" s="923"/>
      <c r="R444" s="923"/>
      <c r="S444" s="924" t="s">
        <v>37</v>
      </c>
      <c r="T444" s="923"/>
      <c r="U444" s="997"/>
      <c r="V444" s="3056"/>
      <c r="W444"/>
    </row>
    <row r="445" spans="1:23" ht="26.25" customHeight="1">
      <c r="A445" s="446" t="s">
        <v>1323</v>
      </c>
      <c r="B445" s="438">
        <v>45378</v>
      </c>
      <c r="C445" s="82">
        <f t="shared" si="7"/>
        <v>13</v>
      </c>
      <c r="D445" s="992" t="s">
        <v>4225</v>
      </c>
      <c r="E445" s="992" t="s">
        <v>4528</v>
      </c>
      <c r="F445" s="932" t="s">
        <v>1199</v>
      </c>
      <c r="G445" s="932" t="s">
        <v>1199</v>
      </c>
      <c r="H445" s="1037"/>
      <c r="I445" s="1037"/>
      <c r="J445" s="923"/>
      <c r="K445" s="5227" t="s">
        <v>174</v>
      </c>
      <c r="L445" s="923" t="s">
        <v>37</v>
      </c>
      <c r="M445" s="923"/>
      <c r="N445" s="923"/>
      <c r="O445" s="923"/>
      <c r="P445" s="923"/>
      <c r="Q445" s="923"/>
      <c r="R445" s="923"/>
      <c r="S445" s="924" t="s">
        <v>37</v>
      </c>
      <c r="T445" s="923"/>
      <c r="U445" s="997"/>
      <c r="V445" s="3056"/>
      <c r="W445"/>
    </row>
    <row r="446" spans="1:23" ht="27" customHeight="1" thickBot="1">
      <c r="A446" s="447" t="s">
        <v>1323</v>
      </c>
      <c r="B446" s="448">
        <v>45378</v>
      </c>
      <c r="C446" s="85">
        <f t="shared" si="7"/>
        <v>13</v>
      </c>
      <c r="D446" s="1015" t="s">
        <v>939</v>
      </c>
      <c r="E446" s="1015" t="s">
        <v>4530</v>
      </c>
      <c r="F446" s="961" t="s">
        <v>1199</v>
      </c>
      <c r="G446" s="961" t="s">
        <v>1199</v>
      </c>
      <c r="H446" s="1038"/>
      <c r="I446" s="1038"/>
      <c r="J446" s="957"/>
      <c r="K446" s="5227" t="s">
        <v>174</v>
      </c>
      <c r="L446" s="957" t="s">
        <v>37</v>
      </c>
      <c r="M446" s="957"/>
      <c r="N446" s="957"/>
      <c r="O446" s="957"/>
      <c r="P446" s="957"/>
      <c r="Q446" s="957"/>
      <c r="R446" s="957"/>
      <c r="S446" s="958" t="s">
        <v>37</v>
      </c>
      <c r="T446" s="957"/>
      <c r="U446" s="1007"/>
      <c r="V446" s="3056"/>
      <c r="W446"/>
    </row>
    <row r="447" spans="1:23" ht="26.25" customHeight="1">
      <c r="A447" s="965" t="s">
        <v>1495</v>
      </c>
      <c r="B447" s="966">
        <v>45379</v>
      </c>
      <c r="C447" s="832">
        <f t="shared" si="7"/>
        <v>13</v>
      </c>
      <c r="D447" s="1012" t="s">
        <v>4220</v>
      </c>
      <c r="E447" s="1012" t="s">
        <v>4531</v>
      </c>
      <c r="F447" s="975" t="s">
        <v>1199</v>
      </c>
      <c r="G447" s="975" t="s">
        <v>1764</v>
      </c>
      <c r="H447" s="1013"/>
      <c r="I447" s="1014" t="s">
        <v>1206</v>
      </c>
      <c r="J447" s="1009"/>
      <c r="K447" s="1009"/>
      <c r="L447" s="1009" t="s">
        <v>37</v>
      </c>
      <c r="M447" s="1009"/>
      <c r="N447" s="1009"/>
      <c r="O447" s="1009"/>
      <c r="P447" s="1009"/>
      <c r="Q447" s="1009"/>
      <c r="R447" s="1009"/>
      <c r="S447" s="1005"/>
      <c r="T447" s="1009"/>
      <c r="U447" s="1010"/>
      <c r="V447" s="3056"/>
      <c r="W447"/>
    </row>
    <row r="448" spans="1:23" ht="26.25" customHeight="1">
      <c r="A448" s="446" t="s">
        <v>1495</v>
      </c>
      <c r="B448" s="438">
        <v>45379</v>
      </c>
      <c r="C448" s="82">
        <f t="shared" si="7"/>
        <v>13</v>
      </c>
      <c r="D448" s="991" t="s">
        <v>4084</v>
      </c>
      <c r="E448" s="991" t="s">
        <v>4532</v>
      </c>
      <c r="F448" s="932" t="s">
        <v>1199</v>
      </c>
      <c r="G448" s="932" t="s">
        <v>1764</v>
      </c>
      <c r="H448" s="938"/>
      <c r="I448" s="989" t="s">
        <v>1206</v>
      </c>
      <c r="J448" s="923"/>
      <c r="K448" s="923"/>
      <c r="L448" s="923" t="s">
        <v>37</v>
      </c>
      <c r="M448" s="923"/>
      <c r="N448" s="923"/>
      <c r="O448" s="923"/>
      <c r="P448" s="923"/>
      <c r="Q448" s="923"/>
      <c r="R448" s="923"/>
      <c r="S448" s="924"/>
      <c r="T448" s="923"/>
      <c r="U448" s="997"/>
      <c r="V448" s="3056"/>
      <c r="W448"/>
    </row>
    <row r="449" spans="1:23" ht="26.25" customHeight="1">
      <c r="A449" s="446" t="s">
        <v>1495</v>
      </c>
      <c r="B449" s="438">
        <v>45379</v>
      </c>
      <c r="C449" s="82">
        <f t="shared" si="7"/>
        <v>13</v>
      </c>
      <c r="D449" s="991" t="s">
        <v>77</v>
      </c>
      <c r="E449" s="991" t="s">
        <v>4533</v>
      </c>
      <c r="F449" s="932" t="s">
        <v>1199</v>
      </c>
      <c r="G449" s="932" t="s">
        <v>1764</v>
      </c>
      <c r="H449" s="938"/>
      <c r="I449" s="989" t="s">
        <v>1206</v>
      </c>
      <c r="J449" s="923"/>
      <c r="K449" s="923"/>
      <c r="L449" s="923" t="s">
        <v>37</v>
      </c>
      <c r="M449" s="923"/>
      <c r="N449" s="923"/>
      <c r="O449" s="923"/>
      <c r="P449" s="923"/>
      <c r="Q449" s="923"/>
      <c r="R449" s="923"/>
      <c r="S449" s="924"/>
      <c r="T449" s="923"/>
      <c r="U449" s="997"/>
      <c r="V449" s="3056"/>
      <c r="W449"/>
    </row>
    <row r="450" spans="1:23" ht="26.25" customHeight="1">
      <c r="A450" s="446" t="s">
        <v>1495</v>
      </c>
      <c r="B450" s="438">
        <v>45379</v>
      </c>
      <c r="C450" s="82">
        <f t="shared" si="7"/>
        <v>13</v>
      </c>
      <c r="D450" s="439" t="s">
        <v>450</v>
      </c>
      <c r="E450" s="439" t="s">
        <v>4534</v>
      </c>
      <c r="F450" s="925" t="s">
        <v>1199</v>
      </c>
      <c r="G450" s="925" t="s">
        <v>1199</v>
      </c>
      <c r="H450" s="938"/>
      <c r="I450" s="989" t="s">
        <v>1206</v>
      </c>
      <c r="J450" s="923"/>
      <c r="K450" s="923"/>
      <c r="L450" s="923" t="s">
        <v>37</v>
      </c>
      <c r="M450" s="923"/>
      <c r="N450" s="923"/>
      <c r="O450" s="923"/>
      <c r="P450" s="923"/>
      <c r="Q450" s="923"/>
      <c r="R450" s="923"/>
      <c r="S450" s="924"/>
      <c r="T450" s="923"/>
      <c r="U450" s="997"/>
      <c r="V450" s="3056"/>
      <c r="W450"/>
    </row>
    <row r="451" spans="1:23" ht="26.25" customHeight="1">
      <c r="A451" s="446" t="s">
        <v>1495</v>
      </c>
      <c r="B451" s="438">
        <v>45379</v>
      </c>
      <c r="C451" s="82">
        <f t="shared" si="7"/>
        <v>13</v>
      </c>
      <c r="D451" s="439" t="s">
        <v>447</v>
      </c>
      <c r="E451" s="439" t="s">
        <v>4274</v>
      </c>
      <c r="F451" s="925" t="s">
        <v>1199</v>
      </c>
      <c r="G451" s="925" t="s">
        <v>1199</v>
      </c>
      <c r="H451" s="938"/>
      <c r="I451" s="989" t="s">
        <v>1206</v>
      </c>
      <c r="J451" s="923"/>
      <c r="K451" s="923"/>
      <c r="L451" s="923" t="s">
        <v>37</v>
      </c>
      <c r="M451" s="923"/>
      <c r="N451" s="923"/>
      <c r="O451" s="923"/>
      <c r="P451" s="923"/>
      <c r="Q451" s="923"/>
      <c r="R451" s="923"/>
      <c r="S451" s="924"/>
      <c r="T451" s="923"/>
      <c r="U451" s="997"/>
      <c r="V451" s="3056"/>
      <c r="W451"/>
    </row>
    <row r="452" spans="1:23" ht="26.25" customHeight="1">
      <c r="A452" s="446" t="s">
        <v>1495</v>
      </c>
      <c r="B452" s="438">
        <v>45379</v>
      </c>
      <c r="C452" s="82">
        <f t="shared" si="7"/>
        <v>13</v>
      </c>
      <c r="D452" s="993" t="s">
        <v>4378</v>
      </c>
      <c r="E452" s="993" t="s">
        <v>4535</v>
      </c>
      <c r="F452" s="932" t="s">
        <v>1199</v>
      </c>
      <c r="G452" s="932" t="s">
        <v>1764</v>
      </c>
      <c r="H452" s="994"/>
      <c r="I452" s="989" t="s">
        <v>1206</v>
      </c>
      <c r="J452" s="923"/>
      <c r="K452" s="923"/>
      <c r="L452" s="923" t="s">
        <v>37</v>
      </c>
      <c r="M452" s="923"/>
      <c r="N452" s="923"/>
      <c r="O452" s="923"/>
      <c r="P452" s="923"/>
      <c r="Q452" s="923"/>
      <c r="R452" s="923"/>
      <c r="S452" s="924" t="s">
        <v>37</v>
      </c>
      <c r="T452" s="923"/>
      <c r="U452" s="997"/>
      <c r="V452" s="3056"/>
      <c r="W452"/>
    </row>
    <row r="453" spans="1:23" ht="26.25" customHeight="1">
      <c r="A453" s="446" t="s">
        <v>1495</v>
      </c>
      <c r="B453" s="438">
        <v>45379</v>
      </c>
      <c r="C453" s="82">
        <f t="shared" si="7"/>
        <v>13</v>
      </c>
      <c r="D453" s="993" t="s">
        <v>4536</v>
      </c>
      <c r="E453" s="993" t="s">
        <v>4537</v>
      </c>
      <c r="F453" s="932" t="s">
        <v>1199</v>
      </c>
      <c r="G453" s="932" t="s">
        <v>1764</v>
      </c>
      <c r="H453" s="938"/>
      <c r="I453" s="989" t="s">
        <v>1206</v>
      </c>
      <c r="J453" s="923"/>
      <c r="K453" s="923"/>
      <c r="L453" s="923" t="s">
        <v>37</v>
      </c>
      <c r="M453" s="923"/>
      <c r="N453" s="923"/>
      <c r="O453" s="923"/>
      <c r="P453" s="923"/>
      <c r="Q453" s="923"/>
      <c r="R453" s="923"/>
      <c r="S453" s="924" t="s">
        <v>37</v>
      </c>
      <c r="T453" s="923"/>
      <c r="U453" s="997"/>
      <c r="V453" s="3056"/>
      <c r="W453"/>
    </row>
    <row r="454" spans="1:23" ht="27" customHeight="1" thickBot="1">
      <c r="A454" s="447" t="s">
        <v>1495</v>
      </c>
      <c r="B454" s="448">
        <v>45379</v>
      </c>
      <c r="C454" s="85">
        <f t="shared" si="7"/>
        <v>13</v>
      </c>
      <c r="D454" s="449" t="s">
        <v>4538</v>
      </c>
      <c r="E454" s="449" t="s">
        <v>4132</v>
      </c>
      <c r="F454" s="959" t="s">
        <v>1199</v>
      </c>
      <c r="G454" s="959" t="s">
        <v>1199</v>
      </c>
      <c r="H454" s="3251"/>
      <c r="I454" s="3251"/>
      <c r="J454" s="3251"/>
      <c r="K454" s="5231" t="s">
        <v>4206</v>
      </c>
      <c r="L454" s="957" t="s">
        <v>37</v>
      </c>
      <c r="M454" s="957"/>
      <c r="N454" s="957"/>
      <c r="O454" s="957"/>
      <c r="P454" s="957"/>
      <c r="Q454" s="957"/>
      <c r="R454" s="957"/>
      <c r="S454" s="958" t="s">
        <v>37</v>
      </c>
      <c r="T454" s="957"/>
      <c r="U454" s="1007"/>
      <c r="V454" s="3056"/>
      <c r="W454"/>
    </row>
    <row r="455" spans="1:23" ht="26.25" customHeight="1">
      <c r="A455" s="965" t="s">
        <v>1857</v>
      </c>
      <c r="B455" s="966">
        <v>45380</v>
      </c>
      <c r="C455" s="832">
        <f t="shared" si="7"/>
        <v>13</v>
      </c>
      <c r="D455" s="1004" t="s">
        <v>4539</v>
      </c>
      <c r="E455" s="1004" t="s">
        <v>4540</v>
      </c>
      <c r="F455" s="975" t="s">
        <v>1199</v>
      </c>
      <c r="G455" s="975" t="s">
        <v>1199</v>
      </c>
      <c r="H455" s="2727"/>
      <c r="I455" s="2727"/>
      <c r="J455" s="2727"/>
      <c r="K455" s="5231" t="s">
        <v>4206</v>
      </c>
      <c r="L455" s="1009" t="s">
        <v>37</v>
      </c>
      <c r="M455" s="1009"/>
      <c r="N455" s="1009"/>
      <c r="O455" s="1009"/>
      <c r="P455" s="1009"/>
      <c r="Q455" s="1009"/>
      <c r="R455" s="1009"/>
      <c r="S455" s="1005"/>
      <c r="T455" s="1009"/>
      <c r="U455" s="1010"/>
      <c r="V455" s="3056"/>
      <c r="W455"/>
    </row>
    <row r="456" spans="1:23" ht="26.25" customHeight="1">
      <c r="A456" s="446" t="s">
        <v>1857</v>
      </c>
      <c r="B456" s="438">
        <v>45380</v>
      </c>
      <c r="C456" s="82">
        <f t="shared" si="7"/>
        <v>13</v>
      </c>
      <c r="D456" s="995" t="s">
        <v>1698</v>
      </c>
      <c r="E456" s="995" t="s">
        <v>169</v>
      </c>
      <c r="F456" s="932" t="s">
        <v>1199</v>
      </c>
      <c r="G456" s="932" t="s">
        <v>1199</v>
      </c>
      <c r="H456" s="938"/>
      <c r="I456" s="938"/>
      <c r="J456" s="923"/>
      <c r="K456" s="923"/>
      <c r="L456" s="923" t="s">
        <v>37</v>
      </c>
      <c r="M456" s="923"/>
      <c r="N456" s="923"/>
      <c r="O456" s="923"/>
      <c r="P456" s="923"/>
      <c r="Q456" s="923"/>
      <c r="R456" s="923"/>
      <c r="S456" s="924" t="s">
        <v>37</v>
      </c>
      <c r="T456" s="923"/>
      <c r="U456" s="997"/>
      <c r="V456" s="3056"/>
      <c r="W456"/>
    </row>
    <row r="457" spans="1:23" ht="26.25" customHeight="1">
      <c r="A457" s="446" t="s">
        <v>1857</v>
      </c>
      <c r="B457" s="438">
        <v>45380</v>
      </c>
      <c r="C457" s="82">
        <f t="shared" si="7"/>
        <v>13</v>
      </c>
      <c r="D457" s="995" t="s">
        <v>169</v>
      </c>
      <c r="E457" s="995" t="s">
        <v>4541</v>
      </c>
      <c r="F457" s="996" t="s">
        <v>1199</v>
      </c>
      <c r="G457" s="933" t="s">
        <v>1199</v>
      </c>
      <c r="H457" s="938"/>
      <c r="I457" s="938"/>
      <c r="J457" s="923"/>
      <c r="K457" s="923"/>
      <c r="L457" s="923" t="s">
        <v>37</v>
      </c>
      <c r="M457" s="923"/>
      <c r="N457" s="923"/>
      <c r="O457" s="923"/>
      <c r="P457" s="923"/>
      <c r="Q457" s="923"/>
      <c r="R457" s="923"/>
      <c r="S457" s="924" t="s">
        <v>37</v>
      </c>
      <c r="T457" s="923"/>
      <c r="U457" s="997"/>
      <c r="V457" s="3056"/>
      <c r="W457"/>
    </row>
    <row r="458" spans="1:23" ht="26.25" customHeight="1">
      <c r="A458" s="446" t="s">
        <v>1857</v>
      </c>
      <c r="B458" s="438">
        <v>45380</v>
      </c>
      <c r="C458" s="82">
        <f t="shared" si="7"/>
        <v>13</v>
      </c>
      <c r="D458" s="439" t="s">
        <v>4542</v>
      </c>
      <c r="E458" s="439" t="s">
        <v>4543</v>
      </c>
      <c r="F458" s="933" t="s">
        <v>1199</v>
      </c>
      <c r="G458" s="933" t="s">
        <v>1199</v>
      </c>
      <c r="H458" s="5249">
        <v>701</v>
      </c>
      <c r="I458" s="3250"/>
      <c r="J458" s="3250"/>
      <c r="K458" s="70" t="s">
        <v>627</v>
      </c>
      <c r="L458" s="923" t="s">
        <v>37</v>
      </c>
      <c r="M458" s="923"/>
      <c r="N458" s="923"/>
      <c r="O458" s="923"/>
      <c r="P458" s="923"/>
      <c r="Q458" s="923"/>
      <c r="R458" s="923"/>
      <c r="S458" s="924"/>
      <c r="T458" s="923"/>
      <c r="U458" s="997"/>
      <c r="V458" s="3056"/>
      <c r="W458"/>
    </row>
    <row r="459" spans="1:23" ht="27" customHeight="1" thickBot="1">
      <c r="A459" s="447" t="s">
        <v>1857</v>
      </c>
      <c r="B459" s="448">
        <v>45380</v>
      </c>
      <c r="C459" s="85">
        <f t="shared" si="7"/>
        <v>13</v>
      </c>
      <c r="D459" s="449" t="s">
        <v>48</v>
      </c>
      <c r="E459" s="449" t="s">
        <v>4544</v>
      </c>
      <c r="F459" s="959" t="s">
        <v>1199</v>
      </c>
      <c r="G459" s="959" t="s">
        <v>1199</v>
      </c>
      <c r="H459" s="1038"/>
      <c r="I459" s="1038"/>
      <c r="J459" s="957"/>
      <c r="K459" s="70" t="s">
        <v>1613</v>
      </c>
      <c r="L459" s="957" t="s">
        <v>37</v>
      </c>
      <c r="M459" s="957"/>
      <c r="N459" s="957"/>
      <c r="O459" s="957"/>
      <c r="P459" s="957"/>
      <c r="Q459" s="957"/>
      <c r="R459" s="957"/>
      <c r="S459" s="958"/>
      <c r="T459" s="957"/>
      <c r="U459" s="1007"/>
      <c r="V459" s="3056"/>
      <c r="W459"/>
    </row>
    <row r="460" spans="1:23" ht="52.5" customHeight="1" thickBot="1">
      <c r="A460" s="46" t="s">
        <v>4114</v>
      </c>
      <c r="B460" s="1025">
        <v>45381</v>
      </c>
      <c r="C460" s="1026">
        <f t="shared" si="7"/>
        <v>13</v>
      </c>
      <c r="D460" s="1027" t="s">
        <v>4086</v>
      </c>
      <c r="E460" s="1027" t="s">
        <v>4545</v>
      </c>
      <c r="F460" s="1028" t="s">
        <v>1199</v>
      </c>
      <c r="G460" s="1028" t="s">
        <v>1199</v>
      </c>
      <c r="H460" s="190"/>
      <c r="I460" s="190"/>
      <c r="J460" s="190"/>
      <c r="K460" s="190"/>
      <c r="L460" s="190"/>
      <c r="M460" s="190" t="s">
        <v>37</v>
      </c>
      <c r="N460" s="20" t="s">
        <v>0</v>
      </c>
      <c r="O460" s="20" t="s">
        <v>4162</v>
      </c>
      <c r="P460" s="20" t="s">
        <v>4080</v>
      </c>
      <c r="Q460" s="190"/>
      <c r="R460" s="190"/>
      <c r="S460" s="1029" t="s">
        <v>37</v>
      </c>
      <c r="T460" s="190"/>
      <c r="U460" s="190" t="s">
        <v>4546</v>
      </c>
      <c r="V460"/>
      <c r="W460"/>
    </row>
    <row r="461" spans="1:23" ht="26.25" customHeight="1">
      <c r="A461" s="443" t="s">
        <v>1280</v>
      </c>
      <c r="B461" s="444">
        <v>45383</v>
      </c>
      <c r="C461" s="846">
        <f t="shared" si="7"/>
        <v>14</v>
      </c>
      <c r="D461" s="445" t="s">
        <v>360</v>
      </c>
      <c r="E461" s="445" t="s">
        <v>1654</v>
      </c>
      <c r="F461" s="953" t="s">
        <v>1199</v>
      </c>
      <c r="G461" s="953" t="s">
        <v>1199</v>
      </c>
      <c r="H461" s="2646"/>
      <c r="I461" s="2646" t="s">
        <v>30</v>
      </c>
      <c r="J461" s="1105"/>
      <c r="K461" s="1105"/>
      <c r="L461" s="1105" t="s">
        <v>37</v>
      </c>
      <c r="M461" s="1105"/>
      <c r="N461" s="1105"/>
      <c r="O461" s="1105"/>
      <c r="P461" s="1105"/>
      <c r="Q461" s="1105"/>
      <c r="R461" s="1105"/>
      <c r="S461" s="1105"/>
      <c r="T461" s="1105"/>
      <c r="U461" s="1106"/>
      <c r="V461" s="1083"/>
      <c r="W461"/>
    </row>
    <row r="462" spans="1:23" ht="26.25" customHeight="1">
      <c r="A462" s="446" t="s">
        <v>1280</v>
      </c>
      <c r="B462" s="438">
        <v>45383</v>
      </c>
      <c r="C462" s="82">
        <f t="shared" si="7"/>
        <v>14</v>
      </c>
      <c r="D462" s="1611" t="s">
        <v>1654</v>
      </c>
      <c r="E462" s="1611" t="s">
        <v>4547</v>
      </c>
      <c r="F462" s="925" t="s">
        <v>1199</v>
      </c>
      <c r="G462" s="925" t="s">
        <v>1199</v>
      </c>
      <c r="H462" s="1054"/>
      <c r="I462" s="1055" t="s">
        <v>30</v>
      </c>
      <c r="J462" s="1032"/>
      <c r="K462" s="1032"/>
      <c r="L462" s="1032" t="s">
        <v>37</v>
      </c>
      <c r="M462" s="1032"/>
      <c r="N462" s="1032"/>
      <c r="O462" s="1032"/>
      <c r="P462" s="1032"/>
      <c r="Q462" s="1032"/>
      <c r="R462" s="1032"/>
      <c r="S462" s="1032"/>
      <c r="T462" s="1032"/>
      <c r="U462" s="1030"/>
      <c r="V462" s="1083"/>
      <c r="W462"/>
    </row>
    <row r="463" spans="1:23" ht="52.5" customHeight="1">
      <c r="A463" s="446" t="s">
        <v>1280</v>
      </c>
      <c r="B463" s="438">
        <v>45383</v>
      </c>
      <c r="C463" s="82">
        <f t="shared" si="7"/>
        <v>14</v>
      </c>
      <c r="D463" s="1611" t="s">
        <v>4541</v>
      </c>
      <c r="E463" s="1611" t="s">
        <v>1052</v>
      </c>
      <c r="F463" s="925" t="s">
        <v>1199</v>
      </c>
      <c r="G463" s="925" t="s">
        <v>1199</v>
      </c>
      <c r="H463" s="1054"/>
      <c r="I463" s="1055" t="s">
        <v>30</v>
      </c>
      <c r="J463" s="1032"/>
      <c r="K463" s="1032"/>
      <c r="L463" s="1032"/>
      <c r="M463" s="1032" t="s">
        <v>37</v>
      </c>
      <c r="N463" s="21" t="s">
        <v>109</v>
      </c>
      <c r="O463" s="21" t="s">
        <v>1109</v>
      </c>
      <c r="P463" s="21" t="s">
        <v>4082</v>
      </c>
      <c r="Q463" s="1032" t="s">
        <v>30</v>
      </c>
      <c r="R463" s="1032"/>
      <c r="S463" s="1032"/>
      <c r="T463" s="1032"/>
      <c r="U463" s="1030" t="s">
        <v>4548</v>
      </c>
      <c r="V463" s="1083"/>
      <c r="W463"/>
    </row>
    <row r="464" spans="1:23" ht="26.25" customHeight="1">
      <c r="A464" s="446" t="s">
        <v>1280</v>
      </c>
      <c r="B464" s="438">
        <v>45383</v>
      </c>
      <c r="C464" s="82">
        <f t="shared" si="7"/>
        <v>14</v>
      </c>
      <c r="D464" s="1611" t="s">
        <v>879</v>
      </c>
      <c r="E464" s="1611" t="s">
        <v>2411</v>
      </c>
      <c r="F464" s="1243" t="s">
        <v>1199</v>
      </c>
      <c r="G464" s="1243" t="s">
        <v>1199</v>
      </c>
      <c r="H464" s="3250"/>
      <c r="I464" s="3250"/>
      <c r="J464" s="3250"/>
      <c r="K464" s="5231" t="s">
        <v>4206</v>
      </c>
      <c r="L464" s="1032"/>
      <c r="M464" s="1032" t="s">
        <v>37</v>
      </c>
      <c r="N464" s="21" t="s">
        <v>109</v>
      </c>
      <c r="O464" s="21" t="s">
        <v>1109</v>
      </c>
      <c r="P464" s="21" t="s">
        <v>4082</v>
      </c>
      <c r="Q464" s="1032" t="s">
        <v>30</v>
      </c>
      <c r="R464" s="1032"/>
      <c r="S464" s="1032"/>
      <c r="T464" s="1032"/>
      <c r="U464" s="1030" t="s">
        <v>4548</v>
      </c>
      <c r="V464" s="1083"/>
      <c r="W464"/>
    </row>
    <row r="465" spans="1:23" ht="52.5" customHeight="1">
      <c r="A465" s="446" t="s">
        <v>1280</v>
      </c>
      <c r="B465" s="438">
        <v>45383</v>
      </c>
      <c r="C465" s="82">
        <f t="shared" si="7"/>
        <v>14</v>
      </c>
      <c r="D465" s="1194" t="s">
        <v>939</v>
      </c>
      <c r="E465" s="1194" t="s">
        <v>1654</v>
      </c>
      <c r="F465" s="1217" t="s">
        <v>3322</v>
      </c>
      <c r="G465" s="1217"/>
      <c r="H465" s="1037"/>
      <c r="I465" s="1037"/>
      <c r="J465" s="1032"/>
      <c r="K465" s="5227" t="s">
        <v>174</v>
      </c>
      <c r="L465" s="1032" t="s">
        <v>37</v>
      </c>
      <c r="M465" s="1032"/>
      <c r="N465" s="1032"/>
      <c r="O465" s="1032"/>
      <c r="P465" s="1032"/>
      <c r="Q465" s="1032"/>
      <c r="R465" s="1032"/>
      <c r="S465" s="1032"/>
      <c r="T465" s="1032"/>
      <c r="U465" s="1030"/>
      <c r="V465" s="1083"/>
      <c r="W465"/>
    </row>
    <row r="466" spans="1:23" ht="26.25" customHeight="1">
      <c r="A466" s="446" t="s">
        <v>1280</v>
      </c>
      <c r="B466" s="438">
        <v>45383</v>
      </c>
      <c r="C466" s="82">
        <f t="shared" si="7"/>
        <v>14</v>
      </c>
      <c r="D466" s="1194" t="s">
        <v>1654</v>
      </c>
      <c r="E466" s="1194" t="s">
        <v>48</v>
      </c>
      <c r="F466" s="1217" t="s">
        <v>1199</v>
      </c>
      <c r="G466" s="1217" t="s">
        <v>1199</v>
      </c>
      <c r="H466" s="3250"/>
      <c r="I466" s="3250"/>
      <c r="J466" s="3250"/>
      <c r="K466" s="5231" t="s">
        <v>4206</v>
      </c>
      <c r="L466" s="1032" t="s">
        <v>37</v>
      </c>
      <c r="M466" s="1032"/>
      <c r="N466" s="1032"/>
      <c r="O466" s="1032"/>
      <c r="P466" s="1032"/>
      <c r="Q466" s="1032"/>
      <c r="R466" s="1032"/>
      <c r="S466" s="1032"/>
      <c r="T466" s="1032"/>
      <c r="U466" s="1030"/>
      <c r="V466" s="1083"/>
      <c r="W466"/>
    </row>
    <row r="467" spans="1:23" ht="26.25" customHeight="1" thickBot="1">
      <c r="A467" s="999" t="s">
        <v>1280</v>
      </c>
      <c r="B467" s="945">
        <v>45383</v>
      </c>
      <c r="C467" s="169">
        <f t="shared" si="7"/>
        <v>14</v>
      </c>
      <c r="D467" s="1524" t="s">
        <v>4549</v>
      </c>
      <c r="E467" s="1524" t="s">
        <v>4289</v>
      </c>
      <c r="F467" s="1614" t="s">
        <v>1764</v>
      </c>
      <c r="G467" s="2647"/>
      <c r="H467" s="5231">
        <v>702</v>
      </c>
      <c r="I467" s="3269"/>
      <c r="J467" s="3269"/>
      <c r="K467" s="5227" t="s">
        <v>1630</v>
      </c>
      <c r="L467" s="1151" t="s">
        <v>37</v>
      </c>
      <c r="M467" s="1151"/>
      <c r="N467" s="1151"/>
      <c r="O467" s="1151"/>
      <c r="P467" s="1151"/>
      <c r="Q467" s="1151"/>
      <c r="R467" s="1151"/>
      <c r="S467" s="1151"/>
      <c r="T467" s="1151"/>
      <c r="U467" s="1269"/>
      <c r="V467" s="1083"/>
      <c r="W467"/>
    </row>
    <row r="468" spans="1:23" ht="26.25" customHeight="1">
      <c r="A468" s="443" t="s">
        <v>180</v>
      </c>
      <c r="B468" s="444">
        <v>45384</v>
      </c>
      <c r="C468" s="846">
        <f t="shared" si="7"/>
        <v>14</v>
      </c>
      <c r="D468" s="2648" t="s">
        <v>4503</v>
      </c>
      <c r="E468" s="2648" t="s">
        <v>659</v>
      </c>
      <c r="F468" s="953" t="s">
        <v>1199</v>
      </c>
      <c r="G468" s="953" t="s">
        <v>1199</v>
      </c>
      <c r="H468" s="2649"/>
      <c r="I468" s="2650" t="s">
        <v>37</v>
      </c>
      <c r="J468" s="1105"/>
      <c r="K468" s="1105"/>
      <c r="L468" s="1105" t="s">
        <v>37</v>
      </c>
      <c r="M468" s="1105"/>
      <c r="N468" s="1105"/>
      <c r="O468" s="1105"/>
      <c r="P468" s="1105"/>
      <c r="Q468" s="1105"/>
      <c r="R468" s="1105"/>
      <c r="S468" s="1105"/>
      <c r="T468" s="1105"/>
      <c r="U468" s="1106"/>
      <c r="V468" s="1083"/>
      <c r="W468"/>
    </row>
    <row r="469" spans="1:23" ht="26.25" customHeight="1">
      <c r="A469" s="446" t="s">
        <v>180</v>
      </c>
      <c r="B469" s="438">
        <v>45384</v>
      </c>
      <c r="C469" s="82">
        <f t="shared" ref="C469:C492" si="8">_xlfn.ISOWEEKNUM(B469)</f>
        <v>14</v>
      </c>
      <c r="D469" s="1194" t="s">
        <v>360</v>
      </c>
      <c r="E469" s="1194" t="s">
        <v>1698</v>
      </c>
      <c r="F469" s="1021" t="s">
        <v>1199</v>
      </c>
      <c r="G469" s="1021" t="s">
        <v>1199</v>
      </c>
      <c r="H469" s="2651"/>
      <c r="I469" s="1022" t="s">
        <v>37</v>
      </c>
      <c r="J469" s="1032"/>
      <c r="K469" s="1032"/>
      <c r="L469" s="1032" t="s">
        <v>37</v>
      </c>
      <c r="M469" s="1032"/>
      <c r="N469" s="1032"/>
      <c r="O469" s="1032"/>
      <c r="P469" s="1032"/>
      <c r="Q469" s="1032"/>
      <c r="R469" s="22"/>
      <c r="S469" s="1032"/>
      <c r="T469" s="1032"/>
      <c r="U469" s="1030"/>
      <c r="V469" s="1083"/>
      <c r="W469"/>
    </row>
    <row r="470" spans="1:23" ht="26.25" customHeight="1">
      <c r="A470" s="446" t="s">
        <v>180</v>
      </c>
      <c r="B470" s="438">
        <v>45384</v>
      </c>
      <c r="C470" s="82">
        <f t="shared" si="8"/>
        <v>14</v>
      </c>
      <c r="D470" s="1518" t="s">
        <v>4541</v>
      </c>
      <c r="E470" s="1518" t="s">
        <v>1052</v>
      </c>
      <c r="F470" s="1023" t="s">
        <v>1199</v>
      </c>
      <c r="G470" s="1023" t="s">
        <v>1199</v>
      </c>
      <c r="H470" s="2651"/>
      <c r="I470" s="1022" t="s">
        <v>37</v>
      </c>
      <c r="J470" s="1032"/>
      <c r="K470" s="1032"/>
      <c r="L470" s="1032" t="s">
        <v>37</v>
      </c>
      <c r="M470" s="1032"/>
      <c r="N470" s="1032"/>
      <c r="O470" s="1032"/>
      <c r="P470" s="1032"/>
      <c r="Q470" s="1032"/>
      <c r="R470" s="1032" t="s">
        <v>37</v>
      </c>
      <c r="S470" s="1032"/>
      <c r="T470" s="1032"/>
      <c r="U470" s="1030"/>
      <c r="V470" s="1083"/>
      <c r="W470"/>
    </row>
    <row r="471" spans="1:23" ht="26.25" customHeight="1">
      <c r="A471" s="446" t="s">
        <v>180</v>
      </c>
      <c r="B471" s="438">
        <v>45384</v>
      </c>
      <c r="C471" s="82">
        <f t="shared" si="8"/>
        <v>14</v>
      </c>
      <c r="D471" s="1518" t="s">
        <v>258</v>
      </c>
      <c r="E471" s="1518" t="s">
        <v>2411</v>
      </c>
      <c r="F471" s="1024" t="s">
        <v>1206</v>
      </c>
      <c r="G471" s="1024" t="s">
        <v>1206</v>
      </c>
      <c r="H471" s="3250"/>
      <c r="I471" s="3250"/>
      <c r="J471" s="3250"/>
      <c r="K471" s="5231" t="s">
        <v>4206</v>
      </c>
      <c r="L471" s="1032" t="s">
        <v>37</v>
      </c>
      <c r="M471" s="1032"/>
      <c r="N471" s="1032"/>
      <c r="O471" s="1032"/>
      <c r="P471" s="1032"/>
      <c r="Q471" s="1032"/>
      <c r="R471" s="1032" t="s">
        <v>37</v>
      </c>
      <c r="S471" s="1032"/>
      <c r="T471" s="1032"/>
      <c r="U471" s="1030"/>
      <c r="V471" s="1083"/>
      <c r="W471"/>
    </row>
    <row r="472" spans="1:23" ht="26.25" customHeight="1">
      <c r="A472" s="446" t="s">
        <v>180</v>
      </c>
      <c r="B472" s="438">
        <v>45384</v>
      </c>
      <c r="C472" s="82">
        <f t="shared" si="8"/>
        <v>14</v>
      </c>
      <c r="D472" s="1194" t="s">
        <v>3073</v>
      </c>
      <c r="E472" s="1194" t="s">
        <v>264</v>
      </c>
      <c r="F472" s="1217" t="s">
        <v>1206</v>
      </c>
      <c r="G472" s="1217" t="s">
        <v>1206</v>
      </c>
      <c r="H472" s="2651"/>
      <c r="I472" s="2651" t="s">
        <v>30</v>
      </c>
      <c r="J472" s="1032"/>
      <c r="K472" s="1032"/>
      <c r="L472" s="1032" t="s">
        <v>37</v>
      </c>
      <c r="M472" s="1032"/>
      <c r="N472" s="1032"/>
      <c r="O472" s="1032"/>
      <c r="P472" s="1032"/>
      <c r="Q472" s="1032"/>
      <c r="R472" s="1032"/>
      <c r="S472" s="1032"/>
      <c r="T472" s="1032"/>
      <c r="U472" s="1030"/>
      <c r="V472" s="1083"/>
      <c r="W472"/>
    </row>
    <row r="473" spans="1:23" ht="26.25" customHeight="1">
      <c r="A473" s="446" t="s">
        <v>180</v>
      </c>
      <c r="B473" s="438">
        <v>45384</v>
      </c>
      <c r="C473" s="82">
        <f t="shared" si="8"/>
        <v>14</v>
      </c>
      <c r="D473" s="1194" t="s">
        <v>1654</v>
      </c>
      <c r="E473" s="1194" t="s">
        <v>939</v>
      </c>
      <c r="F473" s="1061" t="s">
        <v>1206</v>
      </c>
      <c r="G473" s="1061" t="s">
        <v>1206</v>
      </c>
      <c r="H473" s="1037"/>
      <c r="I473" s="1037"/>
      <c r="J473" s="1032"/>
      <c r="K473" s="5227" t="s">
        <v>174</v>
      </c>
      <c r="L473" s="1032" t="s">
        <v>37</v>
      </c>
      <c r="M473" s="1032"/>
      <c r="N473" s="1032"/>
      <c r="O473" s="1032"/>
      <c r="P473" s="1032"/>
      <c r="Q473" s="1032"/>
      <c r="R473" s="1032"/>
      <c r="S473" s="1032"/>
      <c r="T473" s="1032"/>
      <c r="U473" s="1030"/>
      <c r="V473" s="1083"/>
      <c r="W473"/>
    </row>
    <row r="474" spans="1:23" ht="53.25" customHeight="1" thickBot="1">
      <c r="A474" s="447" t="s">
        <v>180</v>
      </c>
      <c r="B474" s="448">
        <v>45384</v>
      </c>
      <c r="C474" s="85">
        <f t="shared" si="8"/>
        <v>14</v>
      </c>
      <c r="D474" s="1514" t="s">
        <v>939</v>
      </c>
      <c r="E474" s="1514" t="s">
        <v>1654</v>
      </c>
      <c r="F474" s="2340" t="s">
        <v>2994</v>
      </c>
      <c r="G474" s="2340" t="s">
        <v>2994</v>
      </c>
      <c r="H474" s="2652"/>
      <c r="I474" s="2653" t="s">
        <v>30</v>
      </c>
      <c r="J474" s="1035"/>
      <c r="K474" s="5227" t="s">
        <v>174</v>
      </c>
      <c r="L474" s="1035"/>
      <c r="M474" s="1035" t="s">
        <v>37</v>
      </c>
      <c r="N474" s="35" t="s">
        <v>0</v>
      </c>
      <c r="O474" s="35" t="s">
        <v>187</v>
      </c>
      <c r="P474" s="35" t="s">
        <v>4082</v>
      </c>
      <c r="Q474" s="1035"/>
      <c r="R474" s="1035"/>
      <c r="S474" s="1035"/>
      <c r="T474" s="1035"/>
      <c r="U474" s="1036" t="s">
        <v>4550</v>
      </c>
      <c r="V474" s="1083"/>
      <c r="W474"/>
    </row>
    <row r="475" spans="1:23" ht="26.25" customHeight="1">
      <c r="A475" s="965" t="s">
        <v>1323</v>
      </c>
      <c r="B475" s="966">
        <v>45385</v>
      </c>
      <c r="C475" s="832">
        <f t="shared" si="8"/>
        <v>14</v>
      </c>
      <c r="D475" s="1431" t="s">
        <v>450</v>
      </c>
      <c r="E475" s="1431" t="s">
        <v>4551</v>
      </c>
      <c r="F475" s="1288" t="s">
        <v>1199</v>
      </c>
      <c r="G475" s="1183" t="s">
        <v>1199</v>
      </c>
      <c r="H475" s="2654"/>
      <c r="I475" s="2654"/>
      <c r="J475" s="1051"/>
      <c r="K475" s="1051"/>
      <c r="L475" s="1051" t="s">
        <v>37</v>
      </c>
      <c r="M475" s="1051"/>
      <c r="N475" s="1051"/>
      <c r="O475" s="1051"/>
      <c r="P475" s="1051"/>
      <c r="Q475" s="1051"/>
      <c r="R475" s="1051"/>
      <c r="S475" s="1051"/>
      <c r="T475" s="1051"/>
      <c r="U475" s="1034"/>
      <c r="V475" s="1083"/>
      <c r="W475"/>
    </row>
    <row r="476" spans="1:23" ht="26.25" customHeight="1">
      <c r="A476" s="446" t="s">
        <v>1323</v>
      </c>
      <c r="B476" s="438">
        <v>45385</v>
      </c>
      <c r="C476" s="82">
        <f t="shared" si="8"/>
        <v>14</v>
      </c>
      <c r="D476" s="991" t="s">
        <v>264</v>
      </c>
      <c r="E476" s="991" t="s">
        <v>2328</v>
      </c>
      <c r="F476" s="1080" t="s">
        <v>1199</v>
      </c>
      <c r="G476" s="935" t="s">
        <v>1199</v>
      </c>
      <c r="H476" s="3250"/>
      <c r="I476" s="3250"/>
      <c r="J476" s="3250"/>
      <c r="K476" s="5231" t="s">
        <v>4206</v>
      </c>
      <c r="L476" s="923" t="s">
        <v>37</v>
      </c>
      <c r="M476" s="923"/>
      <c r="N476" s="923"/>
      <c r="O476" s="923"/>
      <c r="P476" s="923"/>
      <c r="Q476" s="923"/>
      <c r="R476" s="923"/>
      <c r="S476" s="924"/>
      <c r="T476" s="923"/>
      <c r="U476" s="1414"/>
      <c r="V476" s="2128"/>
      <c r="W476"/>
    </row>
    <row r="477" spans="1:23" ht="26.25" customHeight="1">
      <c r="A477" s="446" t="s">
        <v>1323</v>
      </c>
      <c r="B477" s="438">
        <v>45385</v>
      </c>
      <c r="C477" s="82">
        <f t="shared" si="8"/>
        <v>14</v>
      </c>
      <c r="D477" s="1749" t="s">
        <v>1698</v>
      </c>
      <c r="E477" s="1749" t="s">
        <v>1052</v>
      </c>
      <c r="F477" s="1080" t="s">
        <v>1199</v>
      </c>
      <c r="G477" s="935" t="s">
        <v>1199</v>
      </c>
      <c r="H477" s="49"/>
      <c r="I477" s="49"/>
      <c r="J477" s="923"/>
      <c r="K477" s="923"/>
      <c r="L477" s="923" t="s">
        <v>37</v>
      </c>
      <c r="M477" s="923"/>
      <c r="N477" s="923"/>
      <c r="O477" s="923"/>
      <c r="P477" s="923"/>
      <c r="Q477" s="923"/>
      <c r="R477" s="923"/>
      <c r="S477" s="924"/>
      <c r="T477" s="923"/>
      <c r="U477" s="1414"/>
      <c r="V477" s="2128"/>
      <c r="W477"/>
    </row>
    <row r="478" spans="1:23" ht="26.25" customHeight="1">
      <c r="A478" s="446" t="s">
        <v>1323</v>
      </c>
      <c r="B478" s="438">
        <v>45385</v>
      </c>
      <c r="C478" s="82">
        <f t="shared" si="8"/>
        <v>14</v>
      </c>
      <c r="D478" s="1194" t="s">
        <v>4399</v>
      </c>
      <c r="E478" s="1194" t="s">
        <v>888</v>
      </c>
      <c r="F478" s="2655" t="s">
        <v>1199</v>
      </c>
      <c r="G478" s="925" t="s">
        <v>1199</v>
      </c>
      <c r="H478" s="932"/>
      <c r="I478" s="932"/>
      <c r="J478" s="932"/>
      <c r="K478" s="932"/>
      <c r="L478" s="923" t="s">
        <v>30</v>
      </c>
      <c r="M478" s="923"/>
      <c r="N478" s="923"/>
      <c r="O478" s="923"/>
      <c r="P478" s="923"/>
      <c r="Q478" s="923"/>
      <c r="R478" s="923"/>
      <c r="S478" s="924"/>
      <c r="T478" s="923"/>
      <c r="U478" s="1414"/>
      <c r="V478" s="2128"/>
      <c r="W478"/>
    </row>
    <row r="479" spans="1:23" ht="26.25" customHeight="1">
      <c r="A479" s="296" t="s">
        <v>1323</v>
      </c>
      <c r="B479" s="1231">
        <v>45385</v>
      </c>
      <c r="C479" s="82">
        <f t="shared" si="8"/>
        <v>14</v>
      </c>
      <c r="D479" s="987" t="s">
        <v>360</v>
      </c>
      <c r="E479" s="987" t="s">
        <v>4552</v>
      </c>
      <c r="F479" s="1080" t="s">
        <v>1199</v>
      </c>
      <c r="G479" s="935" t="s">
        <v>1199</v>
      </c>
      <c r="H479" s="1037"/>
      <c r="I479" s="1037"/>
      <c r="J479" s="923"/>
      <c r="K479" s="5246" t="s">
        <v>3346</v>
      </c>
      <c r="L479" s="923" t="s">
        <v>37</v>
      </c>
      <c r="M479" s="923"/>
      <c r="N479" s="923"/>
      <c r="O479" s="923"/>
      <c r="P479" s="923"/>
      <c r="Q479" s="923"/>
      <c r="R479" s="923"/>
      <c r="S479" s="924"/>
      <c r="T479" s="923"/>
      <c r="U479" s="1414"/>
      <c r="V479" s="2128"/>
      <c r="W479"/>
    </row>
    <row r="480" spans="1:23" ht="26.25" customHeight="1" thickBot="1">
      <c r="A480" s="307" t="s">
        <v>1323</v>
      </c>
      <c r="B480" s="945">
        <v>45386</v>
      </c>
      <c r="C480" s="169">
        <f t="shared" si="8"/>
        <v>14</v>
      </c>
      <c r="D480" s="1524" t="s">
        <v>48</v>
      </c>
      <c r="E480" s="1524" t="s">
        <v>43</v>
      </c>
      <c r="F480" s="2656" t="s">
        <v>1199</v>
      </c>
      <c r="G480" s="1008" t="s">
        <v>1199</v>
      </c>
      <c r="H480" s="3269"/>
      <c r="I480" s="3269"/>
      <c r="J480" s="3269" t="s">
        <v>37</v>
      </c>
      <c r="K480" s="5231" t="s">
        <v>4206</v>
      </c>
      <c r="L480" s="1001" t="s">
        <v>37</v>
      </c>
      <c r="M480" s="1001"/>
      <c r="N480" s="1001"/>
      <c r="O480" s="1001"/>
      <c r="P480" s="1001"/>
      <c r="Q480" s="1001"/>
      <c r="R480" s="1001"/>
      <c r="S480" s="1002"/>
      <c r="T480" s="1001"/>
      <c r="U480" s="1601" t="s">
        <v>4553</v>
      </c>
      <c r="V480" s="2128"/>
      <c r="W480"/>
    </row>
    <row r="481" spans="1:23" ht="239.1" customHeight="1">
      <c r="A481" s="443" t="s">
        <v>1495</v>
      </c>
      <c r="B481" s="444">
        <v>45386</v>
      </c>
      <c r="C481" s="846">
        <f t="shared" si="8"/>
        <v>14</v>
      </c>
      <c r="D481" s="2657" t="s">
        <v>63</v>
      </c>
      <c r="E481" s="2657" t="s">
        <v>3911</v>
      </c>
      <c r="F481" s="2658" t="s">
        <v>1199</v>
      </c>
      <c r="G481" s="1152" t="s">
        <v>1199</v>
      </c>
      <c r="H481" s="954"/>
      <c r="I481" s="954"/>
      <c r="J481" s="918"/>
      <c r="K481" s="918"/>
      <c r="L481" s="918"/>
      <c r="M481" s="918" t="s">
        <v>37</v>
      </c>
      <c r="N481" s="34" t="s">
        <v>0</v>
      </c>
      <c r="O481" s="34" t="s">
        <v>757</v>
      </c>
      <c r="P481" s="34" t="s">
        <v>4102</v>
      </c>
      <c r="Q481" s="918"/>
      <c r="R481" s="918"/>
      <c r="S481" s="919"/>
      <c r="T481" s="918"/>
      <c r="U481" s="2659" t="s">
        <v>4554</v>
      </c>
      <c r="V481" s="2128"/>
      <c r="W481"/>
    </row>
    <row r="482" spans="1:23" ht="26.25" customHeight="1">
      <c r="A482" s="446" t="s">
        <v>1495</v>
      </c>
      <c r="B482" s="438">
        <v>45386</v>
      </c>
      <c r="C482" s="82">
        <f t="shared" si="8"/>
        <v>14</v>
      </c>
      <c r="D482" s="1749" t="s">
        <v>258</v>
      </c>
      <c r="E482" s="1749" t="s">
        <v>4555</v>
      </c>
      <c r="F482" s="1080" t="s">
        <v>1199</v>
      </c>
      <c r="G482" s="935" t="s">
        <v>1199</v>
      </c>
      <c r="H482" s="938"/>
      <c r="I482" s="938"/>
      <c r="J482" s="923" t="s">
        <v>37</v>
      </c>
      <c r="K482" s="923"/>
      <c r="L482" s="923"/>
      <c r="M482" s="923"/>
      <c r="N482" s="923"/>
      <c r="O482" s="923"/>
      <c r="P482" s="923"/>
      <c r="Q482" s="923"/>
      <c r="R482" s="923"/>
      <c r="S482" s="924"/>
      <c r="T482" s="923"/>
      <c r="U482" s="1414"/>
      <c r="V482" s="2128"/>
      <c r="W482"/>
    </row>
    <row r="483" spans="1:23" ht="26.25" customHeight="1">
      <c r="A483" s="446" t="s">
        <v>1495</v>
      </c>
      <c r="B483" s="438">
        <v>45386</v>
      </c>
      <c r="C483" s="82">
        <f t="shared" si="8"/>
        <v>14</v>
      </c>
      <c r="D483" s="987" t="s">
        <v>4556</v>
      </c>
      <c r="E483" s="987" t="s">
        <v>4557</v>
      </c>
      <c r="F483" s="1080" t="s">
        <v>1199</v>
      </c>
      <c r="G483" s="935" t="s">
        <v>1199</v>
      </c>
      <c r="H483" s="3250"/>
      <c r="I483" s="3250"/>
      <c r="J483" s="3250" t="s">
        <v>37</v>
      </c>
      <c r="K483" s="5231" t="s">
        <v>4206</v>
      </c>
      <c r="L483" s="923"/>
      <c r="M483" s="923"/>
      <c r="N483" s="923"/>
      <c r="O483" s="923"/>
      <c r="P483" s="923"/>
      <c r="Q483" s="923"/>
      <c r="R483" s="923"/>
      <c r="S483" s="924"/>
      <c r="T483" s="923"/>
      <c r="U483" s="1414"/>
      <c r="V483" s="2128"/>
      <c r="W483"/>
    </row>
    <row r="484" spans="1:23" ht="26.25" customHeight="1">
      <c r="A484" s="446" t="s">
        <v>1495</v>
      </c>
      <c r="B484" s="438">
        <v>45386</v>
      </c>
      <c r="C484" s="82">
        <f t="shared" si="8"/>
        <v>14</v>
      </c>
      <c r="D484" s="987" t="s">
        <v>4558</v>
      </c>
      <c r="E484" s="987" t="s">
        <v>4559</v>
      </c>
      <c r="F484" s="2655"/>
      <c r="G484" s="932"/>
      <c r="H484" s="3250"/>
      <c r="I484" s="3250"/>
      <c r="J484" s="3250" t="s">
        <v>37</v>
      </c>
      <c r="K484" s="5231" t="s">
        <v>4206</v>
      </c>
      <c r="L484" s="923"/>
      <c r="M484" s="923"/>
      <c r="N484" s="923"/>
      <c r="O484" s="923"/>
      <c r="P484" s="923"/>
      <c r="Q484" s="923"/>
      <c r="R484" s="923"/>
      <c r="S484" s="924"/>
      <c r="T484" s="923"/>
      <c r="U484" s="1414"/>
      <c r="V484" s="2128"/>
      <c r="W484"/>
    </row>
    <row r="485" spans="1:23" ht="26.25" customHeight="1">
      <c r="A485" s="446" t="s">
        <v>1495</v>
      </c>
      <c r="B485" s="438">
        <v>45386</v>
      </c>
      <c r="C485" s="82">
        <f t="shared" si="8"/>
        <v>14</v>
      </c>
      <c r="D485" s="1194" t="s">
        <v>1698</v>
      </c>
      <c r="E485" s="1194" t="s">
        <v>939</v>
      </c>
      <c r="F485" s="935" t="s">
        <v>2994</v>
      </c>
      <c r="G485" s="935" t="s">
        <v>4560</v>
      </c>
      <c r="H485" s="938"/>
      <c r="I485" s="938"/>
      <c r="J485" s="923"/>
      <c r="K485" s="923"/>
      <c r="L485" s="923" t="s">
        <v>37</v>
      </c>
      <c r="M485" s="923"/>
      <c r="N485" s="923"/>
      <c r="O485" s="923"/>
      <c r="P485" s="923"/>
      <c r="Q485" s="923"/>
      <c r="R485" s="923"/>
      <c r="S485" s="924"/>
      <c r="T485" s="923"/>
      <c r="U485" s="1414"/>
      <c r="V485" s="2128"/>
      <c r="W485"/>
    </row>
    <row r="486" spans="1:23" ht="52.5" customHeight="1">
      <c r="A486" s="446" t="s">
        <v>105</v>
      </c>
      <c r="B486" s="438">
        <v>45386</v>
      </c>
      <c r="C486" s="82">
        <f t="shared" si="8"/>
        <v>14</v>
      </c>
      <c r="D486" s="2660" t="s">
        <v>447</v>
      </c>
      <c r="E486" s="2660" t="s">
        <v>4526</v>
      </c>
      <c r="F486" s="932" t="s">
        <v>1764</v>
      </c>
      <c r="G486" s="932" t="s">
        <v>1199</v>
      </c>
      <c r="H486" s="938"/>
      <c r="I486" s="989"/>
      <c r="J486" s="923"/>
      <c r="K486" s="923"/>
      <c r="L486" s="923"/>
      <c r="M486" s="923" t="s">
        <v>37</v>
      </c>
      <c r="N486" s="21" t="s">
        <v>0</v>
      </c>
      <c r="O486" s="21" t="s">
        <v>187</v>
      </c>
      <c r="P486" s="21" t="s">
        <v>4561</v>
      </c>
      <c r="Q486" s="923"/>
      <c r="R486" s="923"/>
      <c r="S486" s="924"/>
      <c r="T486" s="923"/>
      <c r="U486" s="1414" t="s">
        <v>4562</v>
      </c>
      <c r="V486" s="2128"/>
      <c r="W486"/>
    </row>
    <row r="487" spans="1:23" ht="53.25" customHeight="1" thickBot="1">
      <c r="A487" s="447" t="s">
        <v>105</v>
      </c>
      <c r="B487" s="448">
        <v>45386</v>
      </c>
      <c r="C487" s="85">
        <f t="shared" si="8"/>
        <v>14</v>
      </c>
      <c r="D487" s="2661" t="s">
        <v>3620</v>
      </c>
      <c r="E487" s="2661" t="s">
        <v>4527</v>
      </c>
      <c r="F487" s="2340" t="s">
        <v>1199</v>
      </c>
      <c r="G487" s="1136" t="s">
        <v>1199</v>
      </c>
      <c r="H487" s="1019"/>
      <c r="I487" s="57"/>
      <c r="J487" s="957"/>
      <c r="K487" s="957"/>
      <c r="L487" s="957"/>
      <c r="M487" s="957" t="s">
        <v>37</v>
      </c>
      <c r="N487" s="35" t="s">
        <v>0</v>
      </c>
      <c r="O487" s="35" t="s">
        <v>187</v>
      </c>
      <c r="P487" s="35" t="s">
        <v>4561</v>
      </c>
      <c r="Q487" s="957"/>
      <c r="R487" s="957"/>
      <c r="S487" s="958"/>
      <c r="T487" s="957"/>
      <c r="U487" s="2662"/>
      <c r="V487" s="2128"/>
      <c r="W487"/>
    </row>
    <row r="488" spans="1:23" ht="52.5" customHeight="1">
      <c r="A488" s="965" t="s">
        <v>1857</v>
      </c>
      <c r="B488" s="966">
        <v>45387</v>
      </c>
      <c r="C488" s="832">
        <f t="shared" si="8"/>
        <v>14</v>
      </c>
      <c r="D488" s="1012" t="s">
        <v>450</v>
      </c>
      <c r="E488" s="1012" t="s">
        <v>590</v>
      </c>
      <c r="F488" s="1183" t="s">
        <v>2994</v>
      </c>
      <c r="G488" s="1183" t="s">
        <v>4563</v>
      </c>
      <c r="H488" s="1013"/>
      <c r="I488" s="1013"/>
      <c r="J488" s="1009"/>
      <c r="K488" s="1009"/>
      <c r="L488" s="1009"/>
      <c r="M488" s="1009" t="s">
        <v>37</v>
      </c>
      <c r="N488" s="34" t="s">
        <v>0</v>
      </c>
      <c r="O488" s="34" t="s">
        <v>757</v>
      </c>
      <c r="P488" s="34" t="s">
        <v>4102</v>
      </c>
      <c r="Q488" s="1009"/>
      <c r="R488" s="1009"/>
      <c r="S488" s="1005"/>
      <c r="T488" s="1009"/>
      <c r="U488" s="2663" t="s">
        <v>4564</v>
      </c>
      <c r="V488" s="2128"/>
      <c r="W488"/>
    </row>
    <row r="489" spans="1:23" ht="26.25" customHeight="1">
      <c r="A489" s="446" t="s">
        <v>1857</v>
      </c>
      <c r="B489" s="438">
        <v>45387</v>
      </c>
      <c r="C489" s="82">
        <f t="shared" si="8"/>
        <v>14</v>
      </c>
      <c r="D489" s="987" t="s">
        <v>4565</v>
      </c>
      <c r="E489" s="987" t="s">
        <v>4566</v>
      </c>
      <c r="F489" s="1217" t="s">
        <v>1199</v>
      </c>
      <c r="G489" s="979" t="s">
        <v>1199</v>
      </c>
      <c r="H489" s="3250"/>
      <c r="I489" s="3250"/>
      <c r="J489" s="3250"/>
      <c r="K489" s="5231" t="s">
        <v>4206</v>
      </c>
      <c r="L489" s="923" t="s">
        <v>37</v>
      </c>
      <c r="M489" s="923"/>
      <c r="N489" s="923"/>
      <c r="O489" s="923"/>
      <c r="P489" s="923"/>
      <c r="Q489" s="923"/>
      <c r="R489" s="923"/>
      <c r="S489" s="924"/>
      <c r="T489" s="923"/>
      <c r="U489" s="1414"/>
      <c r="V489" s="2128"/>
      <c r="W489"/>
    </row>
    <row r="490" spans="1:23" ht="131.25" customHeight="1">
      <c r="A490" s="446" t="s">
        <v>1857</v>
      </c>
      <c r="B490" s="438">
        <v>45387</v>
      </c>
      <c r="C490" s="82">
        <f t="shared" si="8"/>
        <v>14</v>
      </c>
      <c r="D490" s="1194" t="s">
        <v>360</v>
      </c>
      <c r="E490" s="1194" t="s">
        <v>450</v>
      </c>
      <c r="F490" s="935" t="s">
        <v>1199</v>
      </c>
      <c r="G490" s="935" t="s">
        <v>1199</v>
      </c>
      <c r="H490" s="3250"/>
      <c r="I490" s="3250"/>
      <c r="J490" s="3250"/>
      <c r="K490" s="5231" t="s">
        <v>4206</v>
      </c>
      <c r="L490" s="923"/>
      <c r="M490" s="923" t="s">
        <v>37</v>
      </c>
      <c r="N490" s="21" t="s">
        <v>0</v>
      </c>
      <c r="O490" s="21" t="s">
        <v>4162</v>
      </c>
      <c r="P490" s="21" t="s">
        <v>4102</v>
      </c>
      <c r="Q490" s="923"/>
      <c r="R490" s="923"/>
      <c r="S490" s="924"/>
      <c r="T490" s="923"/>
      <c r="U490" s="1414" t="s">
        <v>4567</v>
      </c>
      <c r="V490" s="2128"/>
      <c r="W490"/>
    </row>
    <row r="491" spans="1:23" ht="409.5" customHeight="1">
      <c r="A491" s="446" t="s">
        <v>1857</v>
      </c>
      <c r="B491" s="438">
        <v>45387</v>
      </c>
      <c r="C491" s="82">
        <f t="shared" si="8"/>
        <v>14</v>
      </c>
      <c r="D491" s="440" t="s">
        <v>273</v>
      </c>
      <c r="E491" s="440" t="s">
        <v>939</v>
      </c>
      <c r="F491" s="933"/>
      <c r="G491" s="933"/>
      <c r="H491" s="938"/>
      <c r="I491" s="938"/>
      <c r="J491" s="923"/>
      <c r="K491" s="923"/>
      <c r="L491" s="923"/>
      <c r="M491" s="923" t="s">
        <v>37</v>
      </c>
      <c r="N491" s="21" t="s">
        <v>71</v>
      </c>
      <c r="O491" s="21" t="s">
        <v>484</v>
      </c>
      <c r="P491" s="21" t="s">
        <v>4082</v>
      </c>
      <c r="Q491" s="923"/>
      <c r="R491" s="923"/>
      <c r="S491" s="924"/>
      <c r="T491" s="923"/>
      <c r="U491" s="1414" t="s">
        <v>4568</v>
      </c>
      <c r="V491" s="2128"/>
      <c r="W491"/>
    </row>
    <row r="492" spans="1:23" ht="27" customHeight="1" thickBot="1">
      <c r="A492" s="447" t="s">
        <v>1857</v>
      </c>
      <c r="B492" s="448">
        <v>45387</v>
      </c>
      <c r="C492" s="85">
        <f t="shared" si="8"/>
        <v>14</v>
      </c>
      <c r="D492" s="1514" t="s">
        <v>2702</v>
      </c>
      <c r="E492" s="1514" t="s">
        <v>1285</v>
      </c>
      <c r="F492" s="1136" t="s">
        <v>1199</v>
      </c>
      <c r="G492" s="1136" t="s">
        <v>1199</v>
      </c>
      <c r="H492" s="1019"/>
      <c r="I492" s="1019"/>
      <c r="J492" s="957"/>
      <c r="K492" s="957"/>
      <c r="L492" s="957" t="s">
        <v>37</v>
      </c>
      <c r="M492" s="957"/>
      <c r="N492" s="957"/>
      <c r="O492" s="957"/>
      <c r="P492" s="957"/>
      <c r="Q492" s="957"/>
      <c r="R492" s="957"/>
      <c r="S492" s="958"/>
      <c r="T492" s="957"/>
      <c r="U492" s="2662"/>
      <c r="V492" s="2128"/>
      <c r="W492"/>
    </row>
    <row r="493" spans="1:23" ht="27" customHeight="1" thickBot="1">
      <c r="A493" s="443" t="s">
        <v>1280</v>
      </c>
      <c r="B493" s="444">
        <v>45390</v>
      </c>
      <c r="C493" s="85">
        <f t="shared" ref="C493:C537" si="9">_xlfn.ISOWEEKNUM(B493)</f>
        <v>15</v>
      </c>
      <c r="D493" s="2664" t="s">
        <v>888</v>
      </c>
      <c r="E493" s="2664" t="s">
        <v>4569</v>
      </c>
      <c r="F493" s="1251" t="s">
        <v>1199</v>
      </c>
      <c r="G493" s="1421" t="s">
        <v>1199</v>
      </c>
      <c r="H493" s="2665"/>
      <c r="I493" s="2666"/>
      <c r="J493" s="1105"/>
      <c r="K493" s="1105"/>
      <c r="L493" s="1105" t="s">
        <v>37</v>
      </c>
      <c r="M493" s="1105"/>
      <c r="N493" s="1105"/>
      <c r="O493" s="1105"/>
      <c r="P493" s="1105"/>
      <c r="Q493" s="1105"/>
      <c r="R493" s="1105"/>
      <c r="S493" s="1105"/>
      <c r="T493" s="1105"/>
      <c r="U493" s="1106"/>
      <c r="V493" s="1083"/>
      <c r="W493"/>
    </row>
    <row r="494" spans="1:23" ht="53.25" customHeight="1" thickBot="1">
      <c r="A494" s="446" t="s">
        <v>1280</v>
      </c>
      <c r="B494" s="438">
        <v>45390</v>
      </c>
      <c r="C494" s="85">
        <f t="shared" si="9"/>
        <v>15</v>
      </c>
      <c r="D494" s="2667" t="s">
        <v>939</v>
      </c>
      <c r="E494" s="2667" t="s">
        <v>830</v>
      </c>
      <c r="F494" s="937" t="s">
        <v>1199</v>
      </c>
      <c r="G494" s="937" t="s">
        <v>1199</v>
      </c>
      <c r="H494" s="1054"/>
      <c r="I494" s="1055"/>
      <c r="J494" s="1032"/>
      <c r="K494" s="1032"/>
      <c r="L494" s="1032"/>
      <c r="M494" s="1032" t="s">
        <v>37</v>
      </c>
      <c r="N494" s="21" t="s">
        <v>71</v>
      </c>
      <c r="O494" s="21" t="s">
        <v>138</v>
      </c>
      <c r="P494" s="21" t="s">
        <v>4080</v>
      </c>
      <c r="Q494" s="1032">
        <v>1</v>
      </c>
      <c r="R494" s="1032"/>
      <c r="S494" s="1032"/>
      <c r="T494" s="1032"/>
      <c r="U494" s="1030" t="s">
        <v>4570</v>
      </c>
      <c r="V494" s="1083"/>
      <c r="W494"/>
    </row>
    <row r="495" spans="1:23" ht="79.5" customHeight="1" thickBot="1">
      <c r="A495" s="446" t="s">
        <v>1280</v>
      </c>
      <c r="B495" s="438">
        <v>45390</v>
      </c>
      <c r="C495" s="85">
        <f t="shared" si="9"/>
        <v>15</v>
      </c>
      <c r="D495" s="1194" t="s">
        <v>4541</v>
      </c>
      <c r="E495" s="1194" t="s">
        <v>258</v>
      </c>
      <c r="F495" s="979" t="s">
        <v>1199</v>
      </c>
      <c r="G495" s="937" t="s">
        <v>1199</v>
      </c>
      <c r="H495" s="1054"/>
      <c r="I495" s="1055"/>
      <c r="J495" s="1032"/>
      <c r="K495" s="1032"/>
      <c r="L495" s="1032"/>
      <c r="M495" s="1032" t="s">
        <v>37</v>
      </c>
      <c r="N495" s="21" t="s">
        <v>0</v>
      </c>
      <c r="O495" s="21" t="s">
        <v>343</v>
      </c>
      <c r="P495" s="21" t="s">
        <v>4080</v>
      </c>
      <c r="Q495" s="1032"/>
      <c r="R495" s="1032"/>
      <c r="S495" s="1032"/>
      <c r="T495" s="1032"/>
      <c r="U495" s="1030" t="s">
        <v>4571</v>
      </c>
      <c r="V495" s="1083"/>
      <c r="W495"/>
    </row>
    <row r="496" spans="1:23" ht="79.5" customHeight="1" thickBot="1">
      <c r="A496" s="446" t="s">
        <v>1280</v>
      </c>
      <c r="B496" s="438">
        <v>45390</v>
      </c>
      <c r="C496" s="85">
        <f t="shared" si="9"/>
        <v>15</v>
      </c>
      <c r="D496" s="1194" t="s">
        <v>258</v>
      </c>
      <c r="E496" s="1194" t="s">
        <v>3971</v>
      </c>
      <c r="F496" s="979" t="s">
        <v>1199</v>
      </c>
      <c r="G496" s="937" t="s">
        <v>1199</v>
      </c>
      <c r="H496" s="5249">
        <v>701</v>
      </c>
      <c r="I496" s="3250"/>
      <c r="J496" s="3250"/>
      <c r="K496" s="70" t="s">
        <v>627</v>
      </c>
      <c r="L496" s="1032"/>
      <c r="M496" s="1032" t="s">
        <v>37</v>
      </c>
      <c r="N496" s="21" t="s">
        <v>0</v>
      </c>
      <c r="O496" s="21" t="s">
        <v>343</v>
      </c>
      <c r="P496" s="21" t="s">
        <v>4080</v>
      </c>
      <c r="Q496" s="1032"/>
      <c r="R496" s="1032"/>
      <c r="S496" s="1032"/>
      <c r="T496" s="1032"/>
      <c r="U496" s="1030" t="s">
        <v>4571</v>
      </c>
      <c r="V496" s="1083"/>
      <c r="W496"/>
    </row>
    <row r="497" spans="1:23" ht="79.5" customHeight="1" thickBot="1">
      <c r="A497" s="446" t="s">
        <v>1280</v>
      </c>
      <c r="B497" s="438">
        <v>45390</v>
      </c>
      <c r="C497" s="85">
        <f t="shared" si="9"/>
        <v>15</v>
      </c>
      <c r="D497" s="1194" t="s">
        <v>1598</v>
      </c>
      <c r="E497" s="1194" t="s">
        <v>4572</v>
      </c>
      <c r="F497" s="1235" t="s">
        <v>1199</v>
      </c>
      <c r="G497" s="937" t="s">
        <v>1199</v>
      </c>
      <c r="H497" s="3250"/>
      <c r="I497" s="3250"/>
      <c r="J497" s="3250"/>
      <c r="K497" s="5231" t="s">
        <v>4206</v>
      </c>
      <c r="L497" s="1032"/>
      <c r="M497" s="1032" t="s">
        <v>37</v>
      </c>
      <c r="N497" s="21" t="s">
        <v>0</v>
      </c>
      <c r="O497" s="21" t="s">
        <v>343</v>
      </c>
      <c r="P497" s="21" t="s">
        <v>4082</v>
      </c>
      <c r="Q497" s="1032"/>
      <c r="R497" s="1032"/>
      <c r="S497" s="1032"/>
      <c r="T497" s="1032"/>
      <c r="U497" s="1030" t="s">
        <v>4573</v>
      </c>
      <c r="V497" s="1083"/>
      <c r="W497"/>
    </row>
    <row r="498" spans="1:23" ht="27" customHeight="1" thickBot="1">
      <c r="A498" s="446" t="s">
        <v>1280</v>
      </c>
      <c r="B498" s="438">
        <v>45390</v>
      </c>
      <c r="C498" s="85">
        <f t="shared" si="9"/>
        <v>15</v>
      </c>
      <c r="D498" s="440" t="s">
        <v>1239</v>
      </c>
      <c r="E498" s="440" t="s">
        <v>79</v>
      </c>
      <c r="F498" s="979" t="s">
        <v>1199</v>
      </c>
      <c r="G498" s="937" t="s">
        <v>1199</v>
      </c>
      <c r="H498" s="1054"/>
      <c r="I498" s="1055"/>
      <c r="J498" s="1032"/>
      <c r="K498" s="1032"/>
      <c r="L498" s="1032" t="s">
        <v>37</v>
      </c>
      <c r="M498" s="1032"/>
      <c r="N498" s="1032"/>
      <c r="O498" s="1032"/>
      <c r="P498" s="1032"/>
      <c r="Q498" s="1032"/>
      <c r="R498" s="1032"/>
      <c r="S498" s="1032"/>
      <c r="T498" s="1032"/>
      <c r="U498" s="1030"/>
      <c r="V498" s="1083"/>
      <c r="W498"/>
    </row>
    <row r="499" spans="1:23" ht="27" customHeight="1" thickBot="1">
      <c r="A499" s="446" t="s">
        <v>1280</v>
      </c>
      <c r="B499" s="438">
        <v>45390</v>
      </c>
      <c r="C499" s="85">
        <f t="shared" si="9"/>
        <v>15</v>
      </c>
      <c r="D499" s="2668" t="s">
        <v>1484</v>
      </c>
      <c r="E499" s="2668" t="s">
        <v>148</v>
      </c>
      <c r="F499" s="979" t="s">
        <v>1199</v>
      </c>
      <c r="G499" s="937" t="s">
        <v>1199</v>
      </c>
      <c r="H499" s="1054"/>
      <c r="I499" s="1055"/>
      <c r="J499" s="1032"/>
      <c r="K499" s="1032"/>
      <c r="L499" s="1032" t="s">
        <v>37</v>
      </c>
      <c r="M499" s="1032"/>
      <c r="N499" s="1032"/>
      <c r="O499" s="1032"/>
      <c r="P499" s="1032"/>
      <c r="Q499" s="1032"/>
      <c r="R499" s="1032"/>
      <c r="S499" s="1032"/>
      <c r="T499" s="1032"/>
      <c r="U499" s="1030"/>
      <c r="V499" s="1083"/>
      <c r="W499"/>
    </row>
    <row r="500" spans="1:23" ht="27" customHeight="1" thickBot="1">
      <c r="A500" s="446" t="s">
        <v>1280</v>
      </c>
      <c r="B500" s="438">
        <v>45390</v>
      </c>
      <c r="C500" s="85">
        <f t="shared" si="9"/>
        <v>15</v>
      </c>
      <c r="D500" s="2668" t="s">
        <v>148</v>
      </c>
      <c r="E500" s="2668" t="s">
        <v>204</v>
      </c>
      <c r="F500" s="937" t="s">
        <v>1199</v>
      </c>
      <c r="G500" s="937" t="s">
        <v>1199</v>
      </c>
      <c r="H500" s="1037"/>
      <c r="I500" s="1037"/>
      <c r="J500" s="1032"/>
      <c r="K500" s="5246" t="s">
        <v>3346</v>
      </c>
      <c r="L500" s="1032" t="s">
        <v>37</v>
      </c>
      <c r="M500" s="1032"/>
      <c r="N500" s="1032"/>
      <c r="O500" s="1032"/>
      <c r="P500" s="1032"/>
      <c r="Q500" s="1032"/>
      <c r="R500" s="1032"/>
      <c r="S500" s="1032"/>
      <c r="T500" s="1032"/>
      <c r="U500" s="1030"/>
      <c r="V500" s="1083"/>
      <c r="W500"/>
    </row>
    <row r="501" spans="1:23" ht="27" customHeight="1" thickBot="1">
      <c r="A501" s="447" t="s">
        <v>1280</v>
      </c>
      <c r="B501" s="448">
        <v>45390</v>
      </c>
      <c r="C501" s="85">
        <f t="shared" si="9"/>
        <v>15</v>
      </c>
      <c r="D501" s="1514" t="s">
        <v>4284</v>
      </c>
      <c r="E501" s="1514" t="s">
        <v>4572</v>
      </c>
      <c r="F501" s="1276" t="s">
        <v>1764</v>
      </c>
      <c r="G501" s="1276" t="s">
        <v>1764</v>
      </c>
      <c r="H501" s="3251">
        <v>702</v>
      </c>
      <c r="I501" s="5275"/>
      <c r="J501" s="1035"/>
      <c r="K501" s="3250" t="s">
        <v>4504</v>
      </c>
      <c r="L501" s="1035" t="s">
        <v>37</v>
      </c>
      <c r="M501" s="1035"/>
      <c r="N501" s="1035"/>
      <c r="O501" s="1035"/>
      <c r="P501" s="1035"/>
      <c r="Q501" s="1035"/>
      <c r="R501" s="1035"/>
      <c r="S501" s="1035"/>
      <c r="T501" s="1035"/>
      <c r="U501" s="1036"/>
      <c r="V501" s="1083"/>
      <c r="W501"/>
    </row>
    <row r="502" spans="1:23" ht="27" customHeight="1" thickBot="1">
      <c r="A502" s="965" t="s">
        <v>180</v>
      </c>
      <c r="B502" s="966">
        <v>45391</v>
      </c>
      <c r="C502" s="85">
        <f t="shared" si="9"/>
        <v>15</v>
      </c>
      <c r="D502" s="1185" t="s">
        <v>204</v>
      </c>
      <c r="E502" s="1757" t="s">
        <v>1287</v>
      </c>
      <c r="F502" s="1628" t="s">
        <v>1199</v>
      </c>
      <c r="G502" s="1017" t="s">
        <v>1764</v>
      </c>
      <c r="H502" s="1049"/>
      <c r="I502" s="1049"/>
      <c r="J502" s="1051"/>
      <c r="K502" s="1051"/>
      <c r="L502" s="1051" t="s">
        <v>37</v>
      </c>
      <c r="M502" s="1051"/>
      <c r="N502" s="1051"/>
      <c r="O502" s="1051"/>
      <c r="P502" s="1051"/>
      <c r="Q502" s="1051"/>
      <c r="R502" s="1051"/>
      <c r="S502" s="1051"/>
      <c r="T502" s="1051"/>
      <c r="U502" s="1034"/>
      <c r="V502" s="1083"/>
      <c r="W502"/>
    </row>
    <row r="503" spans="1:23" ht="27" customHeight="1" thickBot="1">
      <c r="A503" s="446" t="s">
        <v>180</v>
      </c>
      <c r="B503" s="438">
        <v>45391</v>
      </c>
      <c r="C503" s="85">
        <f t="shared" si="9"/>
        <v>15</v>
      </c>
      <c r="D503" s="2669" t="s">
        <v>4541</v>
      </c>
      <c r="E503" s="2669" t="s">
        <v>258</v>
      </c>
      <c r="F503" s="2670" t="s">
        <v>1199</v>
      </c>
      <c r="G503" s="1303" t="s">
        <v>1764</v>
      </c>
      <c r="H503" s="1049"/>
      <c r="I503" s="1049"/>
      <c r="J503" s="1051"/>
      <c r="K503" s="1051"/>
      <c r="L503" s="1051" t="s">
        <v>37</v>
      </c>
      <c r="M503" s="1051"/>
      <c r="N503" s="1051"/>
      <c r="O503" s="1051"/>
      <c r="P503" s="1051"/>
      <c r="Q503" s="1051"/>
      <c r="R503" s="1051"/>
      <c r="S503" s="1051"/>
      <c r="T503" s="1051"/>
      <c r="U503" s="1034"/>
      <c r="V503" s="1083"/>
      <c r="W503"/>
    </row>
    <row r="504" spans="1:23" ht="27" customHeight="1" thickBot="1">
      <c r="A504" s="446" t="s">
        <v>180</v>
      </c>
      <c r="B504" s="438">
        <v>45391</v>
      </c>
      <c r="C504" s="85">
        <f t="shared" si="9"/>
        <v>15</v>
      </c>
      <c r="D504" s="1194" t="s">
        <v>4574</v>
      </c>
      <c r="E504" s="1194" t="s">
        <v>450</v>
      </c>
      <c r="F504" s="1487" t="s">
        <v>1206</v>
      </c>
      <c r="G504" s="2671" t="s">
        <v>1764</v>
      </c>
      <c r="H504" s="1049"/>
      <c r="I504" s="1049"/>
      <c r="J504" s="1051"/>
      <c r="K504" s="1051"/>
      <c r="L504" s="1051" t="s">
        <v>37</v>
      </c>
      <c r="M504" s="1051"/>
      <c r="N504" s="1051"/>
      <c r="O504" s="1051"/>
      <c r="P504" s="1051"/>
      <c r="Q504" s="1051"/>
      <c r="R504" s="1051"/>
      <c r="S504" s="1051"/>
      <c r="T504" s="1051"/>
      <c r="U504" s="1034"/>
      <c r="V504" s="1083"/>
      <c r="W504"/>
    </row>
    <row r="505" spans="1:23" ht="27" customHeight="1" thickBot="1">
      <c r="A505" s="446" t="s">
        <v>180</v>
      </c>
      <c r="B505" s="438">
        <v>45391</v>
      </c>
      <c r="C505" s="85">
        <f t="shared" si="9"/>
        <v>15</v>
      </c>
      <c r="D505" s="1194" t="s">
        <v>1598</v>
      </c>
      <c r="E505" s="1194" t="s">
        <v>4572</v>
      </c>
      <c r="F505" s="1375" t="s">
        <v>1199</v>
      </c>
      <c r="G505" s="2391" t="s">
        <v>1764</v>
      </c>
      <c r="H505" s="3250"/>
      <c r="I505" s="3250"/>
      <c r="J505" s="2727"/>
      <c r="K505" s="5231" t="s">
        <v>4206</v>
      </c>
      <c r="L505" s="1051" t="s">
        <v>37</v>
      </c>
      <c r="M505" s="1051"/>
      <c r="N505" s="1051"/>
      <c r="O505" s="1051"/>
      <c r="P505" s="1051"/>
      <c r="Q505" s="1051"/>
      <c r="R505" s="1051"/>
      <c r="S505" s="1051"/>
      <c r="T505" s="1051"/>
      <c r="U505" s="1034"/>
      <c r="V505" s="1083"/>
      <c r="W505"/>
    </row>
    <row r="506" spans="1:23" ht="27" customHeight="1" thickBot="1">
      <c r="A506" s="446" t="s">
        <v>180</v>
      </c>
      <c r="B506" s="438">
        <v>45391</v>
      </c>
      <c r="C506" s="85">
        <f t="shared" si="9"/>
        <v>15</v>
      </c>
      <c r="D506" s="1194" t="s">
        <v>79</v>
      </c>
      <c r="E506" s="1557" t="s">
        <v>3971</v>
      </c>
      <c r="F506" s="1487" t="s">
        <v>1206</v>
      </c>
      <c r="G506" s="1487" t="s">
        <v>1764</v>
      </c>
      <c r="H506" s="1054"/>
      <c r="I506" s="1054"/>
      <c r="J506" s="1032"/>
      <c r="K506" s="1032"/>
      <c r="L506" s="1032" t="s">
        <v>37</v>
      </c>
      <c r="M506" s="1032"/>
      <c r="N506" s="1032"/>
      <c r="O506" s="1032"/>
      <c r="P506" s="1032"/>
      <c r="Q506" s="1032"/>
      <c r="R506" s="1032"/>
      <c r="S506" s="1032"/>
      <c r="T506" s="1032"/>
      <c r="U506" s="1030"/>
      <c r="V506" s="1083"/>
      <c r="W506"/>
    </row>
    <row r="507" spans="1:23" ht="27" customHeight="1" thickBot="1">
      <c r="A507" s="446" t="s">
        <v>180</v>
      </c>
      <c r="B507" s="438">
        <v>45391</v>
      </c>
      <c r="C507" s="85">
        <f t="shared" si="9"/>
        <v>15</v>
      </c>
      <c r="D507" s="941" t="s">
        <v>4575</v>
      </c>
      <c r="E507" s="1582" t="s">
        <v>1171</v>
      </c>
      <c r="F507" s="1224" t="s">
        <v>1199</v>
      </c>
      <c r="G507" s="979" t="s">
        <v>1764</v>
      </c>
      <c r="H507" s="5250"/>
      <c r="I507" s="5238"/>
      <c r="J507" s="3250"/>
      <c r="K507" s="5231" t="s">
        <v>4206</v>
      </c>
      <c r="L507" s="1032" t="s">
        <v>37</v>
      </c>
      <c r="M507" s="1032"/>
      <c r="N507" s="1032"/>
      <c r="O507" s="1032"/>
      <c r="P507" s="1032"/>
      <c r="Q507" s="1032"/>
      <c r="R507" s="1032"/>
      <c r="S507" s="1032"/>
      <c r="T507" s="1032"/>
      <c r="U507" s="1030"/>
      <c r="V507" s="1083"/>
      <c r="W507"/>
    </row>
    <row r="508" spans="1:23" ht="27" customHeight="1" thickBot="1">
      <c r="A508" s="446" t="s">
        <v>180</v>
      </c>
      <c r="B508" s="438">
        <v>45391</v>
      </c>
      <c r="C508" s="85">
        <f t="shared" si="9"/>
        <v>15</v>
      </c>
      <c r="D508" s="941" t="s">
        <v>155</v>
      </c>
      <c r="E508" s="1582" t="s">
        <v>4378</v>
      </c>
      <c r="F508" s="2672" t="s">
        <v>1206</v>
      </c>
      <c r="G508" s="1217" t="s">
        <v>1764</v>
      </c>
      <c r="H508" s="2673"/>
      <c r="I508" s="2673"/>
      <c r="J508" s="1032"/>
      <c r="K508" s="1032"/>
      <c r="L508" s="1032" t="s">
        <v>37</v>
      </c>
      <c r="M508" s="1032"/>
      <c r="N508" s="1032"/>
      <c r="O508" s="1032"/>
      <c r="P508" s="1032"/>
      <c r="Q508" s="1032"/>
      <c r="R508" s="1032"/>
      <c r="S508" s="1032"/>
      <c r="T508" s="1032"/>
      <c r="U508" s="1030"/>
      <c r="V508" s="1083"/>
      <c r="W508"/>
    </row>
    <row r="509" spans="1:23" ht="27" customHeight="1" thickBot="1">
      <c r="A509" s="443" t="s">
        <v>1323</v>
      </c>
      <c r="B509" s="444">
        <v>45392</v>
      </c>
      <c r="C509" s="85">
        <f t="shared" si="9"/>
        <v>15</v>
      </c>
      <c r="D509" s="2664" t="s">
        <v>3971</v>
      </c>
      <c r="E509" s="2674" t="s">
        <v>3153</v>
      </c>
      <c r="F509" s="2675" t="s">
        <v>1206</v>
      </c>
      <c r="G509" s="1265" t="s">
        <v>1206</v>
      </c>
      <c r="H509" s="2665"/>
      <c r="I509" s="2665"/>
      <c r="J509" s="1105"/>
      <c r="K509" s="1105"/>
      <c r="L509" s="1105" t="s">
        <v>37</v>
      </c>
      <c r="M509" s="1105"/>
      <c r="N509" s="1105"/>
      <c r="O509" s="1105"/>
      <c r="P509" s="1105"/>
      <c r="Q509" s="1105"/>
      <c r="R509" s="1105"/>
      <c r="S509" s="1105"/>
      <c r="T509" s="1105"/>
      <c r="U509" s="1106"/>
      <c r="V509" s="1083"/>
      <c r="W509"/>
    </row>
    <row r="510" spans="1:23" ht="27" customHeight="1" thickBot="1">
      <c r="A510" s="446" t="s">
        <v>1323</v>
      </c>
      <c r="B510" s="438">
        <v>45392</v>
      </c>
      <c r="C510" s="85">
        <f t="shared" si="9"/>
        <v>15</v>
      </c>
      <c r="D510" s="2667" t="s">
        <v>1554</v>
      </c>
      <c r="E510" s="2676" t="s">
        <v>4576</v>
      </c>
      <c r="F510" s="1224" t="s">
        <v>1206</v>
      </c>
      <c r="G510" s="979" t="s">
        <v>1206</v>
      </c>
      <c r="H510" s="1054"/>
      <c r="I510" s="1054"/>
      <c r="J510" s="1032"/>
      <c r="K510" s="1032"/>
      <c r="L510" s="1032" t="s">
        <v>37</v>
      </c>
      <c r="M510" s="1032"/>
      <c r="N510" s="1032"/>
      <c r="O510" s="1032"/>
      <c r="P510" s="1032"/>
      <c r="Q510" s="1032"/>
      <c r="R510" s="1032"/>
      <c r="S510" s="1032"/>
      <c r="T510" s="1032"/>
      <c r="U510" s="1030"/>
      <c r="V510" s="1083"/>
      <c r="W510"/>
    </row>
    <row r="511" spans="1:23" ht="27" customHeight="1" thickBot="1">
      <c r="A511" s="446" t="s">
        <v>1323</v>
      </c>
      <c r="B511" s="438">
        <v>45392</v>
      </c>
      <c r="C511" s="85">
        <f t="shared" si="9"/>
        <v>15</v>
      </c>
      <c r="D511" s="941" t="s">
        <v>1171</v>
      </c>
      <c r="E511" s="2667" t="s">
        <v>148</v>
      </c>
      <c r="F511" s="1224" t="s">
        <v>1206</v>
      </c>
      <c r="G511" s="979" t="s">
        <v>1206</v>
      </c>
      <c r="H511" s="5231">
        <v>706</v>
      </c>
      <c r="I511" s="5238"/>
      <c r="J511" s="3250"/>
      <c r="K511" s="5227" t="s">
        <v>1630</v>
      </c>
      <c r="L511" s="1032" t="s">
        <v>37</v>
      </c>
      <c r="M511" s="1032"/>
      <c r="N511" s="1032"/>
      <c r="O511" s="1032"/>
      <c r="P511" s="1032"/>
      <c r="Q511" s="1032"/>
      <c r="R511" s="1032"/>
      <c r="S511" s="1032"/>
      <c r="T511" s="1032"/>
      <c r="U511" s="1030"/>
      <c r="V511" s="1083"/>
      <c r="W511"/>
    </row>
    <row r="512" spans="1:23" ht="27" customHeight="1" thickBot="1">
      <c r="A512" s="446" t="s">
        <v>1323</v>
      </c>
      <c r="B512" s="438">
        <v>45392</v>
      </c>
      <c r="C512" s="85">
        <f t="shared" si="9"/>
        <v>15</v>
      </c>
      <c r="D512" s="2669" t="s">
        <v>258</v>
      </c>
      <c r="E512" s="2669" t="s">
        <v>3971</v>
      </c>
      <c r="F512" s="1323" t="s">
        <v>1199</v>
      </c>
      <c r="G512" s="925" t="s">
        <v>1199</v>
      </c>
      <c r="H512" s="922"/>
      <c r="I512" s="922"/>
      <c r="J512" s="1032"/>
      <c r="K512" s="1032"/>
      <c r="L512" s="1032" t="s">
        <v>37</v>
      </c>
      <c r="M512" s="1032"/>
      <c r="N512" s="1032"/>
      <c r="O512" s="1032"/>
      <c r="P512" s="1032"/>
      <c r="Q512" s="1032"/>
      <c r="R512" s="1032"/>
      <c r="S512" s="1032"/>
      <c r="T512" s="1032"/>
      <c r="U512" s="1030"/>
      <c r="V512" s="1083"/>
      <c r="W512"/>
    </row>
    <row r="513" spans="1:23" ht="79.5" customHeight="1" thickBot="1">
      <c r="A513" s="446" t="s">
        <v>1323</v>
      </c>
      <c r="B513" s="438">
        <v>45392</v>
      </c>
      <c r="C513" s="85">
        <f t="shared" si="9"/>
        <v>15</v>
      </c>
      <c r="D513" s="2667" t="s">
        <v>939</v>
      </c>
      <c r="E513" s="2667" t="s">
        <v>830</v>
      </c>
      <c r="F513" s="2677" t="s">
        <v>1206</v>
      </c>
      <c r="G513" s="979" t="s">
        <v>1206</v>
      </c>
      <c r="H513" s="922"/>
      <c r="I513" s="922"/>
      <c r="J513" s="1032"/>
      <c r="K513" s="1032"/>
      <c r="L513" s="1032"/>
      <c r="M513" s="1032" t="s">
        <v>37</v>
      </c>
      <c r="N513" s="20" t="s">
        <v>109</v>
      </c>
      <c r="O513" s="20" t="s">
        <v>1589</v>
      </c>
      <c r="P513" s="20" t="s">
        <v>4082</v>
      </c>
      <c r="Q513" s="1032"/>
      <c r="R513" s="1032">
        <v>2</v>
      </c>
      <c r="S513" s="1032"/>
      <c r="T513" s="1032"/>
      <c r="U513" s="1030" t="s">
        <v>4577</v>
      </c>
      <c r="V513" s="1083"/>
      <c r="W513"/>
    </row>
    <row r="514" spans="1:23" ht="27" customHeight="1" thickBot="1">
      <c r="A514" s="446" t="s">
        <v>1323</v>
      </c>
      <c r="B514" s="438">
        <v>45392</v>
      </c>
      <c r="C514" s="85">
        <f t="shared" si="9"/>
        <v>15</v>
      </c>
      <c r="D514" s="2678" t="s">
        <v>3523</v>
      </c>
      <c r="E514" s="2678" t="s">
        <v>4180</v>
      </c>
      <c r="F514" s="1323" t="s">
        <v>1199</v>
      </c>
      <c r="G514" s="925" t="s">
        <v>1199</v>
      </c>
      <c r="H514" s="922"/>
      <c r="I514" s="922"/>
      <c r="J514" s="1032"/>
      <c r="K514" s="1032"/>
      <c r="L514" s="1032" t="s">
        <v>37</v>
      </c>
      <c r="M514" s="1032"/>
      <c r="N514" s="1032"/>
      <c r="O514" s="1032"/>
      <c r="P514" s="1032"/>
      <c r="Q514" s="1032"/>
      <c r="R514" s="1032">
        <v>3</v>
      </c>
      <c r="S514" s="1032"/>
      <c r="T514" s="1032"/>
      <c r="U514" s="1030"/>
      <c r="V514" s="1083"/>
      <c r="W514"/>
    </row>
    <row r="515" spans="1:23" ht="132" customHeight="1" thickBot="1">
      <c r="A515" s="446" t="s">
        <v>1323</v>
      </c>
      <c r="B515" s="438">
        <v>45392</v>
      </c>
      <c r="C515" s="85">
        <f t="shared" si="9"/>
        <v>15</v>
      </c>
      <c r="D515" s="1650" t="s">
        <v>4180</v>
      </c>
      <c r="E515" s="1650" t="s">
        <v>1165</v>
      </c>
      <c r="F515" s="2677" t="s">
        <v>1206</v>
      </c>
      <c r="G515" s="979" t="s">
        <v>1206</v>
      </c>
      <c r="H515" s="922"/>
      <c r="I515" s="922"/>
      <c r="J515" s="1032"/>
      <c r="K515" s="1032"/>
      <c r="L515" s="1032"/>
      <c r="M515" s="1032" t="s">
        <v>37</v>
      </c>
      <c r="N515" s="20" t="s">
        <v>0</v>
      </c>
      <c r="O515" s="20" t="s">
        <v>110</v>
      </c>
      <c r="P515" s="20" t="s">
        <v>4102</v>
      </c>
      <c r="Q515" s="1032"/>
      <c r="R515" s="1032"/>
      <c r="S515" s="1032"/>
      <c r="T515" s="1032"/>
      <c r="U515" s="1030" t="s">
        <v>4578</v>
      </c>
      <c r="V515" s="1083"/>
      <c r="W515"/>
    </row>
    <row r="516" spans="1:23" ht="27" customHeight="1" thickBot="1">
      <c r="A516" s="446" t="s">
        <v>1323</v>
      </c>
      <c r="B516" s="438">
        <v>45392</v>
      </c>
      <c r="C516" s="85">
        <f t="shared" si="9"/>
        <v>15</v>
      </c>
      <c r="D516" s="2679" t="s">
        <v>939</v>
      </c>
      <c r="E516" s="2680" t="s">
        <v>2384</v>
      </c>
      <c r="F516" s="1323" t="s">
        <v>1199</v>
      </c>
      <c r="G516" s="925" t="s">
        <v>1199</v>
      </c>
      <c r="H516" s="1054"/>
      <c r="I516" s="1054"/>
      <c r="J516" s="1032"/>
      <c r="K516" s="1032"/>
      <c r="L516" s="1032" t="s">
        <v>37</v>
      </c>
      <c r="M516" s="1032"/>
      <c r="N516" s="1032"/>
      <c r="O516" s="1032"/>
      <c r="P516" s="1032"/>
      <c r="Q516" s="1032"/>
      <c r="R516" s="1032"/>
      <c r="S516" s="1032"/>
      <c r="T516" s="1032"/>
      <c r="U516" s="1030"/>
      <c r="V516" s="1083"/>
      <c r="W516"/>
    </row>
    <row r="517" spans="1:23" ht="27" customHeight="1" thickBot="1">
      <c r="A517" s="446" t="s">
        <v>1323</v>
      </c>
      <c r="B517" s="438">
        <v>45392</v>
      </c>
      <c r="C517" s="85">
        <f t="shared" si="9"/>
        <v>15</v>
      </c>
      <c r="D517" s="2679" t="s">
        <v>442</v>
      </c>
      <c r="E517" s="2680" t="s">
        <v>2411</v>
      </c>
      <c r="F517" s="1323" t="s">
        <v>1199</v>
      </c>
      <c r="G517" s="925" t="s">
        <v>1199</v>
      </c>
      <c r="H517" s="1054"/>
      <c r="I517" s="1054"/>
      <c r="J517" s="1032"/>
      <c r="K517" s="1032"/>
      <c r="L517" s="1032" t="s">
        <v>37</v>
      </c>
      <c r="M517" s="1032"/>
      <c r="N517" s="1032"/>
      <c r="O517" s="1032"/>
      <c r="P517" s="1032"/>
      <c r="Q517" s="1032"/>
      <c r="R517" s="1032"/>
      <c r="S517" s="1032"/>
      <c r="T517" s="1032"/>
      <c r="U517" s="1030"/>
      <c r="V517" s="1083"/>
      <c r="W517"/>
    </row>
    <row r="518" spans="1:23" ht="27" customHeight="1" thickBot="1">
      <c r="A518" s="446" t="s">
        <v>1323</v>
      </c>
      <c r="B518" s="438">
        <v>45392</v>
      </c>
      <c r="C518" s="85">
        <f t="shared" si="9"/>
        <v>15</v>
      </c>
      <c r="D518" s="1650" t="s">
        <v>80</v>
      </c>
      <c r="E518" s="1651" t="s">
        <v>44</v>
      </c>
      <c r="F518" s="1323" t="s">
        <v>1199</v>
      </c>
      <c r="G518" s="925" t="s">
        <v>1199</v>
      </c>
      <c r="H518" s="1054"/>
      <c r="I518" s="1054"/>
      <c r="J518" s="1032"/>
      <c r="K518" s="1032"/>
      <c r="L518" s="1032" t="s">
        <v>37</v>
      </c>
      <c r="M518" s="1032"/>
      <c r="N518" s="1032"/>
      <c r="O518" s="1032"/>
      <c r="P518" s="1032"/>
      <c r="Q518" s="1032"/>
      <c r="R518" s="1032"/>
      <c r="S518" s="1032"/>
      <c r="T518" s="1032"/>
      <c r="U518" s="1030"/>
      <c r="V518" s="1083"/>
      <c r="W518"/>
    </row>
    <row r="519" spans="1:23" ht="79.5" customHeight="1" thickBot="1">
      <c r="A519" s="447" t="s">
        <v>1323</v>
      </c>
      <c r="B519" s="448">
        <v>45392</v>
      </c>
      <c r="C519" s="85">
        <f t="shared" si="9"/>
        <v>15</v>
      </c>
      <c r="D519" s="1778" t="s">
        <v>48</v>
      </c>
      <c r="E519" s="2681" t="s">
        <v>2461</v>
      </c>
      <c r="F519" s="2677" t="s">
        <v>1206</v>
      </c>
      <c r="G519" s="979" t="s">
        <v>1206</v>
      </c>
      <c r="H519" s="2652"/>
      <c r="I519" s="2652"/>
      <c r="J519" s="1035"/>
      <c r="K519" s="1035"/>
      <c r="L519" s="1035"/>
      <c r="M519" s="1035" t="s">
        <v>30</v>
      </c>
      <c r="N519" s="20" t="s">
        <v>109</v>
      </c>
      <c r="O519" s="20" t="s">
        <v>255</v>
      </c>
      <c r="P519" s="20" t="s">
        <v>4082</v>
      </c>
      <c r="Q519" s="1035"/>
      <c r="R519" s="1035"/>
      <c r="S519" s="1035"/>
      <c r="T519" s="1035"/>
      <c r="U519" s="1036" t="s">
        <v>4579</v>
      </c>
      <c r="V519" s="1083"/>
      <c r="W519"/>
    </row>
    <row r="520" spans="1:23" ht="53.25" customHeight="1" thickBot="1">
      <c r="A520" s="47" t="s">
        <v>1495</v>
      </c>
      <c r="B520" s="438">
        <v>45393</v>
      </c>
      <c r="C520" s="85">
        <f t="shared" si="9"/>
        <v>15</v>
      </c>
      <c r="D520" s="1194" t="s">
        <v>43</v>
      </c>
      <c r="E520" s="1194" t="s">
        <v>1698</v>
      </c>
      <c r="F520" s="2682" t="s">
        <v>1199</v>
      </c>
      <c r="G520" s="1251" t="s">
        <v>1199</v>
      </c>
      <c r="H520" s="2683"/>
      <c r="I520" s="2683"/>
      <c r="J520" s="1031"/>
      <c r="K520" s="1031"/>
      <c r="L520" s="1031"/>
      <c r="M520" s="1031" t="s">
        <v>30</v>
      </c>
      <c r="N520" s="20" t="s">
        <v>109</v>
      </c>
      <c r="O520" s="20" t="s">
        <v>1109</v>
      </c>
      <c r="P520" s="20" t="s">
        <v>4082</v>
      </c>
      <c r="Q520" s="1031"/>
      <c r="R520" s="1031"/>
      <c r="S520" s="1031"/>
      <c r="T520" s="1031"/>
      <c r="U520" s="1033" t="s">
        <v>4580</v>
      </c>
      <c r="V520" s="1083"/>
      <c r="W520"/>
    </row>
    <row r="521" spans="1:23" ht="79.5" customHeight="1" thickBot="1">
      <c r="A521" s="47" t="s">
        <v>1495</v>
      </c>
      <c r="B521" s="438">
        <v>45393</v>
      </c>
      <c r="C521" s="85">
        <f t="shared" si="9"/>
        <v>15</v>
      </c>
      <c r="D521" s="1194" t="s">
        <v>1698</v>
      </c>
      <c r="E521" s="1195" t="s">
        <v>939</v>
      </c>
      <c r="F521" s="935" t="s">
        <v>1199</v>
      </c>
      <c r="G521" s="935" t="s">
        <v>1199</v>
      </c>
      <c r="H521" s="1054"/>
      <c r="I521" s="1054"/>
      <c r="J521" s="1032"/>
      <c r="K521" s="1032"/>
      <c r="L521" s="1032"/>
      <c r="M521" s="1032" t="s">
        <v>30</v>
      </c>
      <c r="N521" s="20" t="s">
        <v>109</v>
      </c>
      <c r="O521" s="20" t="s">
        <v>1589</v>
      </c>
      <c r="P521" s="20" t="s">
        <v>4082</v>
      </c>
      <c r="Q521" s="1032"/>
      <c r="R521" s="1032"/>
      <c r="S521" s="1032"/>
      <c r="T521" s="1032"/>
      <c r="U521" s="1032"/>
      <c r="V521" s="1083"/>
      <c r="W521"/>
    </row>
    <row r="522" spans="1:23" ht="27" customHeight="1" thickBot="1">
      <c r="A522" s="47" t="s">
        <v>1495</v>
      </c>
      <c r="B522" s="438">
        <v>45393</v>
      </c>
      <c r="C522" s="85">
        <f t="shared" si="9"/>
        <v>15</v>
      </c>
      <c r="D522" s="440" t="s">
        <v>3914</v>
      </c>
      <c r="E522" s="440" t="s">
        <v>1050</v>
      </c>
      <c r="F522" s="1337" t="s">
        <v>1199</v>
      </c>
      <c r="G522" s="1337" t="s">
        <v>1199</v>
      </c>
      <c r="H522" s="1049"/>
      <c r="I522" s="1049"/>
      <c r="J522" s="1051"/>
      <c r="K522" s="1051"/>
      <c r="L522" s="1051" t="s">
        <v>37</v>
      </c>
      <c r="M522" s="1051"/>
      <c r="N522" s="1051"/>
      <c r="O522" s="1051"/>
      <c r="P522" s="1051"/>
      <c r="Q522" s="1051"/>
      <c r="R522" s="1051"/>
      <c r="S522" s="1051" t="s">
        <v>37</v>
      </c>
      <c r="T522" s="1051"/>
      <c r="U522" s="1034"/>
      <c r="V522" s="1083"/>
      <c r="W522"/>
    </row>
    <row r="523" spans="1:23" ht="27" customHeight="1" thickBot="1">
      <c r="A523" s="47" t="s">
        <v>1495</v>
      </c>
      <c r="B523" s="438">
        <v>45393</v>
      </c>
      <c r="C523" s="85">
        <f t="shared" si="9"/>
        <v>15</v>
      </c>
      <c r="D523" s="440" t="s">
        <v>1050</v>
      </c>
      <c r="E523" s="440" t="s">
        <v>4378</v>
      </c>
      <c r="F523" s="1337" t="s">
        <v>1199</v>
      </c>
      <c r="G523" s="1337" t="s">
        <v>1199</v>
      </c>
      <c r="H523" s="1049"/>
      <c r="I523" s="1049"/>
      <c r="J523" s="1051"/>
      <c r="K523" s="1051"/>
      <c r="L523" s="1051" t="s">
        <v>37</v>
      </c>
      <c r="M523" s="1051"/>
      <c r="N523" s="1051"/>
      <c r="O523" s="1051"/>
      <c r="P523" s="1051"/>
      <c r="Q523" s="1051"/>
      <c r="R523" s="1051"/>
      <c r="S523" s="1051" t="s">
        <v>37</v>
      </c>
      <c r="T523" s="1051"/>
      <c r="U523" s="1034"/>
      <c r="V523" s="1083"/>
      <c r="W523"/>
    </row>
    <row r="524" spans="1:23" ht="27" customHeight="1" thickBot="1">
      <c r="A524" s="47" t="s">
        <v>1495</v>
      </c>
      <c r="B524" s="438">
        <v>45393</v>
      </c>
      <c r="C524" s="85">
        <f t="shared" si="9"/>
        <v>15</v>
      </c>
      <c r="D524" s="1521" t="s">
        <v>4180</v>
      </c>
      <c r="E524" s="1521" t="s">
        <v>4581</v>
      </c>
      <c r="F524" s="1337" t="s">
        <v>1199</v>
      </c>
      <c r="G524" s="1337" t="s">
        <v>1199</v>
      </c>
      <c r="H524" s="1049"/>
      <c r="I524" s="1049"/>
      <c r="J524" s="1051"/>
      <c r="K524" s="1051"/>
      <c r="L524" s="1051" t="s">
        <v>37</v>
      </c>
      <c r="M524" s="1051"/>
      <c r="N524" s="1051"/>
      <c r="O524" s="1051"/>
      <c r="P524" s="1051"/>
      <c r="Q524" s="1051"/>
      <c r="R524" s="1051"/>
      <c r="S524" s="1051"/>
      <c r="T524" s="1051"/>
      <c r="U524" s="1034"/>
      <c r="V524" s="1083"/>
      <c r="W524"/>
    </row>
    <row r="525" spans="1:23" ht="79.5" customHeight="1" thickBot="1">
      <c r="A525" s="47" t="s">
        <v>1495</v>
      </c>
      <c r="B525" s="438">
        <v>45393</v>
      </c>
      <c r="C525" s="85">
        <f t="shared" si="9"/>
        <v>15</v>
      </c>
      <c r="D525" s="941" t="s">
        <v>4582</v>
      </c>
      <c r="E525" s="941" t="s">
        <v>4274</v>
      </c>
      <c r="F525" s="2684" t="s">
        <v>4583</v>
      </c>
      <c r="G525" s="2684" t="s">
        <v>4583</v>
      </c>
      <c r="H525" s="1049"/>
      <c r="I525" s="1049"/>
      <c r="J525" s="1051"/>
      <c r="K525" s="1051"/>
      <c r="L525" s="1051"/>
      <c r="M525" s="1051" t="s">
        <v>37</v>
      </c>
      <c r="N525" s="20" t="s">
        <v>0</v>
      </c>
      <c r="O525" s="20" t="s">
        <v>110</v>
      </c>
      <c r="P525" s="20" t="s">
        <v>4561</v>
      </c>
      <c r="Q525" s="1051"/>
      <c r="R525" s="1051"/>
      <c r="S525" s="1051"/>
      <c r="T525" s="1051"/>
      <c r="U525" s="1034" t="s">
        <v>4584</v>
      </c>
      <c r="V525" s="1083"/>
      <c r="W525"/>
    </row>
    <row r="526" spans="1:23" ht="27" customHeight="1" thickBot="1">
      <c r="A526" s="47" t="s">
        <v>1495</v>
      </c>
      <c r="B526" s="438">
        <v>45393</v>
      </c>
      <c r="C526" s="85">
        <f t="shared" si="9"/>
        <v>15</v>
      </c>
      <c r="D526" s="987" t="s">
        <v>4585</v>
      </c>
      <c r="E526" s="987" t="s">
        <v>4586</v>
      </c>
      <c r="F526" s="2685" t="s">
        <v>4587</v>
      </c>
      <c r="G526" s="948" t="s">
        <v>4588</v>
      </c>
      <c r="H526" s="1054"/>
      <c r="I526" s="1054"/>
      <c r="J526" s="1032"/>
      <c r="K526" s="1032"/>
      <c r="L526" s="1032"/>
      <c r="M526" s="1032"/>
      <c r="N526" s="1032"/>
      <c r="O526" s="1032"/>
      <c r="P526" s="1032"/>
      <c r="Q526" s="1032"/>
      <c r="R526" s="1032"/>
      <c r="S526" s="1032"/>
      <c r="T526" s="1032"/>
      <c r="U526" s="1030"/>
      <c r="V526" s="1083"/>
      <c r="W526"/>
    </row>
    <row r="527" spans="1:23" ht="27" customHeight="1" thickBot="1">
      <c r="A527" s="47" t="s">
        <v>1495</v>
      </c>
      <c r="B527" s="438">
        <v>45393</v>
      </c>
      <c r="C527" s="85">
        <f t="shared" si="9"/>
        <v>15</v>
      </c>
      <c r="D527" s="987" t="s">
        <v>148</v>
      </c>
      <c r="E527" s="1188" t="s">
        <v>450</v>
      </c>
      <c r="F527" s="925" t="s">
        <v>1199</v>
      </c>
      <c r="G527" s="925" t="s">
        <v>1199</v>
      </c>
      <c r="H527" s="5231">
        <v>706</v>
      </c>
      <c r="I527" s="3251"/>
      <c r="J527" s="3250"/>
      <c r="K527" s="5227" t="s">
        <v>1630</v>
      </c>
      <c r="L527" s="1032" t="s">
        <v>37</v>
      </c>
      <c r="M527" s="1032"/>
      <c r="N527" s="1032"/>
      <c r="O527" s="1032"/>
      <c r="P527" s="1032"/>
      <c r="Q527" s="1032"/>
      <c r="R527" s="1032"/>
      <c r="S527" s="1032"/>
      <c r="T527" s="1032"/>
      <c r="U527" s="1036"/>
      <c r="V527" s="1083"/>
      <c r="W527"/>
    </row>
    <row r="528" spans="1:23" ht="27" customHeight="1" thickBot="1">
      <c r="A528" s="47" t="s">
        <v>1495</v>
      </c>
      <c r="B528" s="438">
        <v>45393</v>
      </c>
      <c r="C528" s="85">
        <f t="shared" si="9"/>
        <v>15</v>
      </c>
      <c r="D528" s="987" t="s">
        <v>939</v>
      </c>
      <c r="E528" s="1188" t="s">
        <v>888</v>
      </c>
      <c r="F528" s="979" t="s">
        <v>1199</v>
      </c>
      <c r="G528" s="979" t="s">
        <v>1199</v>
      </c>
      <c r="H528" s="2568"/>
      <c r="I528" s="1038"/>
      <c r="J528" s="1032"/>
      <c r="K528" s="5227" t="s">
        <v>174</v>
      </c>
      <c r="L528" s="1032" t="s">
        <v>37</v>
      </c>
      <c r="M528" s="1032"/>
      <c r="N528" s="1032"/>
      <c r="O528" s="1032"/>
      <c r="P528" s="1032"/>
      <c r="Q528" s="1032"/>
      <c r="R528" s="1032"/>
      <c r="S528" s="49" t="s">
        <v>30</v>
      </c>
      <c r="T528" s="1032"/>
      <c r="U528" s="1036"/>
      <c r="V528" s="1083"/>
      <c r="W528"/>
    </row>
    <row r="529" spans="1:23" ht="27" customHeight="1" thickBot="1">
      <c r="A529" s="44" t="s">
        <v>1495</v>
      </c>
      <c r="B529" s="945">
        <v>45393</v>
      </c>
      <c r="C529" s="169">
        <f t="shared" si="9"/>
        <v>15</v>
      </c>
      <c r="D529" s="2686" t="s">
        <v>888</v>
      </c>
      <c r="E529" s="2687" t="s">
        <v>939</v>
      </c>
      <c r="F529" s="1246" t="s">
        <v>1199</v>
      </c>
      <c r="G529" s="1246" t="s">
        <v>1199</v>
      </c>
      <c r="H529" s="2569"/>
      <c r="I529" s="1038"/>
      <c r="J529" s="1032"/>
      <c r="K529" s="5227" t="s">
        <v>174</v>
      </c>
      <c r="L529" s="1151" t="s">
        <v>37</v>
      </c>
      <c r="M529" s="1151"/>
      <c r="N529" s="1151"/>
      <c r="O529" s="1151"/>
      <c r="P529" s="1151"/>
      <c r="Q529" s="1151"/>
      <c r="R529" s="1151"/>
      <c r="S529" s="1151" t="s">
        <v>30</v>
      </c>
      <c r="T529" s="1151"/>
      <c r="U529" s="1269"/>
      <c r="V529" s="1083"/>
      <c r="W529"/>
    </row>
    <row r="530" spans="1:23" ht="27" customHeight="1" thickBot="1">
      <c r="A530" s="443" t="s">
        <v>1857</v>
      </c>
      <c r="B530" s="444">
        <v>45394</v>
      </c>
      <c r="C530" s="950">
        <f t="shared" si="9"/>
        <v>15</v>
      </c>
      <c r="D530" s="2688" t="s">
        <v>4581</v>
      </c>
      <c r="E530" s="2688" t="s">
        <v>4589</v>
      </c>
      <c r="F530" s="2689" t="s">
        <v>1764</v>
      </c>
      <c r="G530" s="2689" t="s">
        <v>1764</v>
      </c>
      <c r="H530" s="2690"/>
      <c r="I530" s="2691"/>
      <c r="J530" s="1095"/>
      <c r="K530" s="1098"/>
      <c r="L530" s="1255" t="s">
        <v>37</v>
      </c>
      <c r="M530" s="1031"/>
      <c r="N530" s="1031"/>
      <c r="O530" s="1031"/>
      <c r="P530" s="1031"/>
      <c r="Q530" s="1031"/>
      <c r="R530" s="1031"/>
      <c r="S530" s="1031"/>
      <c r="T530" s="1031"/>
      <c r="U530" s="1033"/>
      <c r="V530" s="1083"/>
      <c r="W530"/>
    </row>
    <row r="531" spans="1:23" ht="27" customHeight="1" thickBot="1">
      <c r="A531" s="446" t="s">
        <v>1857</v>
      </c>
      <c r="B531" s="438">
        <v>45394</v>
      </c>
      <c r="C531" s="85">
        <f t="shared" si="9"/>
        <v>15</v>
      </c>
      <c r="D531" s="1194" t="s">
        <v>148</v>
      </c>
      <c r="E531" s="1194" t="s">
        <v>1698</v>
      </c>
      <c r="F531" s="937" t="s">
        <v>1764</v>
      </c>
      <c r="G531" s="937" t="s">
        <v>1764</v>
      </c>
      <c r="H531" s="5266"/>
      <c r="I531" s="5238"/>
      <c r="J531" s="3250"/>
      <c r="K531" s="5231" t="s">
        <v>4206</v>
      </c>
      <c r="L531" s="1113" t="s">
        <v>37</v>
      </c>
      <c r="M531" s="1032"/>
      <c r="N531" s="1032"/>
      <c r="O531" s="1032"/>
      <c r="P531" s="1032"/>
      <c r="Q531" s="1032"/>
      <c r="R531" s="1032"/>
      <c r="S531" s="1032"/>
      <c r="T531" s="1032"/>
      <c r="U531" s="1030"/>
      <c r="V531" s="1083"/>
      <c r="W531"/>
    </row>
    <row r="532" spans="1:23" ht="27" customHeight="1" thickBot="1">
      <c r="A532" s="446" t="s">
        <v>1857</v>
      </c>
      <c r="B532" s="438">
        <v>45394</v>
      </c>
      <c r="C532" s="85">
        <f t="shared" si="9"/>
        <v>15</v>
      </c>
      <c r="D532" s="987" t="s">
        <v>4590</v>
      </c>
      <c r="E532" s="1188" t="s">
        <v>4591</v>
      </c>
      <c r="F532" s="937" t="s">
        <v>1764</v>
      </c>
      <c r="G532" s="937" t="s">
        <v>1764</v>
      </c>
      <c r="H532" s="5231">
        <v>706</v>
      </c>
      <c r="I532" s="5251"/>
      <c r="J532" s="3250"/>
      <c r="K532" s="5227" t="s">
        <v>1630</v>
      </c>
      <c r="L532" s="1113" t="s">
        <v>37</v>
      </c>
      <c r="M532" s="1032"/>
      <c r="N532" s="1032"/>
      <c r="O532" s="1032"/>
      <c r="P532" s="1032"/>
      <c r="Q532" s="1032"/>
      <c r="R532" s="1032"/>
      <c r="S532" s="1032"/>
      <c r="T532" s="1032"/>
      <c r="U532" s="1036"/>
      <c r="V532" s="1083"/>
      <c r="W532"/>
    </row>
    <row r="533" spans="1:23" ht="27" customHeight="1" thickBot="1">
      <c r="A533" s="446" t="s">
        <v>1857</v>
      </c>
      <c r="B533" s="438">
        <v>45394</v>
      </c>
      <c r="C533" s="85">
        <f t="shared" si="9"/>
        <v>15</v>
      </c>
      <c r="D533" s="2692" t="s">
        <v>4378</v>
      </c>
      <c r="E533" s="941" t="s">
        <v>4225</v>
      </c>
      <c r="F533" s="2693" t="s">
        <v>1764</v>
      </c>
      <c r="G533" s="2693" t="s">
        <v>1764</v>
      </c>
      <c r="H533" s="2694"/>
      <c r="I533" s="2695"/>
      <c r="J533" s="1032"/>
      <c r="K533" s="1225"/>
      <c r="L533" s="1113"/>
      <c r="M533" s="1032"/>
      <c r="N533" s="1032"/>
      <c r="O533" s="1032"/>
      <c r="P533" s="1032"/>
      <c r="Q533" s="1032"/>
      <c r="R533" s="1032"/>
      <c r="S533" s="1032"/>
      <c r="T533" s="1032"/>
      <c r="U533" s="1269"/>
      <c r="V533" s="1083"/>
      <c r="W533"/>
    </row>
    <row r="534" spans="1:23" ht="27" customHeight="1" thickBot="1">
      <c r="A534" s="446" t="s">
        <v>1857</v>
      </c>
      <c r="B534" s="438">
        <v>45394</v>
      </c>
      <c r="C534" s="85">
        <f t="shared" si="9"/>
        <v>15</v>
      </c>
      <c r="D534" s="1611" t="s">
        <v>4155</v>
      </c>
      <c r="E534" s="1016" t="s">
        <v>4223</v>
      </c>
      <c r="F534" s="2693" t="s">
        <v>1764</v>
      </c>
      <c r="G534" s="2693" t="s">
        <v>1764</v>
      </c>
      <c r="H534" s="2694"/>
      <c r="I534" s="2695"/>
      <c r="J534" s="1032"/>
      <c r="K534" s="1225"/>
      <c r="L534" s="1113" t="s">
        <v>37</v>
      </c>
      <c r="M534" s="1032"/>
      <c r="N534" s="1032"/>
      <c r="O534" s="1032"/>
      <c r="P534" s="1032"/>
      <c r="Q534" s="1032"/>
      <c r="R534" s="1032"/>
      <c r="S534" s="1032"/>
      <c r="T534" s="1032"/>
      <c r="U534" s="1269"/>
      <c r="V534" s="1083"/>
      <c r="W534"/>
    </row>
    <row r="535" spans="1:23" ht="27" customHeight="1" thickBot="1">
      <c r="A535" s="446" t="s">
        <v>1857</v>
      </c>
      <c r="B535" s="438">
        <v>45394</v>
      </c>
      <c r="C535" s="85">
        <f t="shared" si="9"/>
        <v>15</v>
      </c>
      <c r="D535" s="1611" t="s">
        <v>4592</v>
      </c>
      <c r="E535" s="1016" t="s">
        <v>4085</v>
      </c>
      <c r="F535" s="2696" t="s">
        <v>1764</v>
      </c>
      <c r="G535" s="2696" t="s">
        <v>1764</v>
      </c>
      <c r="H535" s="2694"/>
      <c r="I535" s="2695"/>
      <c r="J535" s="1032"/>
      <c r="K535" s="1225"/>
      <c r="L535" s="1113" t="s">
        <v>37</v>
      </c>
      <c r="M535" s="1032"/>
      <c r="N535" s="1032"/>
      <c r="O535" s="1032"/>
      <c r="P535" s="1032"/>
      <c r="Q535" s="1032"/>
      <c r="R535" s="1032"/>
      <c r="S535" s="1032"/>
      <c r="T535" s="1032"/>
      <c r="U535" s="1269"/>
      <c r="V535" s="1083"/>
      <c r="W535"/>
    </row>
    <row r="536" spans="1:23" ht="53.25" customHeight="1" thickBot="1">
      <c r="A536" s="447" t="s">
        <v>1857</v>
      </c>
      <c r="B536" s="448">
        <v>45394</v>
      </c>
      <c r="C536" s="85">
        <f t="shared" si="9"/>
        <v>15</v>
      </c>
      <c r="D536" s="2697" t="s">
        <v>4085</v>
      </c>
      <c r="E536" s="2697" t="s">
        <v>3290</v>
      </c>
      <c r="F536" s="2698" t="s">
        <v>1768</v>
      </c>
      <c r="G536" s="2698" t="s">
        <v>1768</v>
      </c>
      <c r="H536" s="1148"/>
      <c r="I536" s="1131"/>
      <c r="J536" s="1032"/>
      <c r="K536" s="1225"/>
      <c r="L536" s="1114"/>
      <c r="M536" s="1035" t="s">
        <v>37</v>
      </c>
      <c r="N536" s="254" t="s">
        <v>109</v>
      </c>
      <c r="O536" s="254" t="s">
        <v>484</v>
      </c>
      <c r="P536" s="254" t="s">
        <v>4082</v>
      </c>
      <c r="Q536" s="1035"/>
      <c r="R536" s="1035"/>
      <c r="S536" s="1035"/>
      <c r="T536" s="1035"/>
      <c r="U536" s="1036" t="s">
        <v>4593</v>
      </c>
      <c r="V536" s="1083"/>
      <c r="W536"/>
    </row>
    <row r="537" spans="1:23" ht="27" customHeight="1" thickBot="1">
      <c r="A537" s="1393" t="s">
        <v>4594</v>
      </c>
      <c r="B537" s="2699">
        <v>45396</v>
      </c>
      <c r="C537" s="950">
        <f t="shared" si="9"/>
        <v>15</v>
      </c>
      <c r="D537" s="2700" t="s">
        <v>4595</v>
      </c>
      <c r="E537" s="2700" t="s">
        <v>4180</v>
      </c>
      <c r="F537" s="2701" t="s">
        <v>1764</v>
      </c>
      <c r="G537" s="2701" t="s">
        <v>1764</v>
      </c>
      <c r="H537" s="5303"/>
      <c r="I537" s="5238"/>
      <c r="J537" s="3250"/>
      <c r="K537" s="5231" t="s">
        <v>4206</v>
      </c>
      <c r="L537" s="1867"/>
      <c r="M537" s="1399"/>
      <c r="N537" s="1399"/>
      <c r="O537" s="1399"/>
      <c r="P537" s="1399"/>
      <c r="Q537" s="1399"/>
      <c r="R537" s="1399"/>
      <c r="S537" s="1399"/>
      <c r="T537" s="1399"/>
      <c r="U537" s="1400"/>
      <c r="V537" s="1083"/>
      <c r="W537"/>
    </row>
    <row r="538" spans="1:23" ht="27" customHeight="1" thickBot="1">
      <c r="A538" s="1045" t="s">
        <v>25</v>
      </c>
      <c r="B538" s="966">
        <v>45397</v>
      </c>
      <c r="C538" s="950">
        <f t="shared" ref="C538:C601" si="10">_xlfn.ISOWEEKNUM(B538)</f>
        <v>16</v>
      </c>
      <c r="D538" s="1046" t="s">
        <v>1698</v>
      </c>
      <c r="E538" s="1047" t="s">
        <v>48</v>
      </c>
      <c r="F538" s="1048" t="s">
        <v>1199</v>
      </c>
      <c r="G538" s="1048" t="s">
        <v>1206</v>
      </c>
      <c r="H538" s="1049"/>
      <c r="I538" s="1050"/>
      <c r="J538" s="1051"/>
      <c r="K538" s="1051"/>
      <c r="L538" s="1051" t="s">
        <v>37</v>
      </c>
      <c r="M538" s="1051"/>
      <c r="N538" s="1051"/>
      <c r="O538" s="1051"/>
      <c r="P538" s="1051"/>
      <c r="Q538" s="1051"/>
      <c r="R538" s="1051"/>
      <c r="S538" s="1051"/>
      <c r="T538" s="1051"/>
      <c r="U538" s="1051"/>
      <c r="V538" s="1083"/>
      <c r="W538"/>
    </row>
    <row r="539" spans="1:23" ht="27" customHeight="1" thickBot="1">
      <c r="A539" s="47" t="s">
        <v>25</v>
      </c>
      <c r="B539" s="438">
        <v>45397</v>
      </c>
      <c r="C539" s="950">
        <f t="shared" si="10"/>
        <v>16</v>
      </c>
      <c r="D539" s="1052" t="s">
        <v>1512</v>
      </c>
      <c r="E539" s="1053" t="s">
        <v>4155</v>
      </c>
      <c r="F539" s="979" t="s">
        <v>1206</v>
      </c>
      <c r="G539" s="937" t="s">
        <v>1206</v>
      </c>
      <c r="H539" s="1054"/>
      <c r="I539" s="1055"/>
      <c r="J539" s="1032"/>
      <c r="K539" s="1032"/>
      <c r="L539" s="1032" t="s">
        <v>37</v>
      </c>
      <c r="M539" s="1032"/>
      <c r="N539" s="1032"/>
      <c r="O539" s="1032"/>
      <c r="P539" s="1032"/>
      <c r="Q539" s="1032"/>
      <c r="R539" s="1032"/>
      <c r="S539" s="1032"/>
      <c r="T539" s="1032"/>
      <c r="U539" s="1032"/>
      <c r="V539" s="1083"/>
      <c r="W539"/>
    </row>
    <row r="540" spans="1:23" ht="27" customHeight="1" thickBot="1">
      <c r="A540" s="47" t="s">
        <v>25</v>
      </c>
      <c r="B540" s="438">
        <v>45397</v>
      </c>
      <c r="C540" s="950">
        <f t="shared" si="10"/>
        <v>16</v>
      </c>
      <c r="D540" s="1056" t="s">
        <v>450</v>
      </c>
      <c r="E540" s="1056" t="s">
        <v>2264</v>
      </c>
      <c r="F540" s="937" t="s">
        <v>1199</v>
      </c>
      <c r="G540" s="937" t="s">
        <v>1199</v>
      </c>
      <c r="H540" s="1054"/>
      <c r="I540" s="1055"/>
      <c r="J540" s="1032"/>
      <c r="K540" s="1032"/>
      <c r="L540" s="1032" t="s">
        <v>37</v>
      </c>
      <c r="M540" s="1032"/>
      <c r="N540" s="1032"/>
      <c r="O540" s="1032"/>
      <c r="P540" s="1032"/>
      <c r="Q540" s="1032"/>
      <c r="R540" s="1032"/>
      <c r="S540" s="1032"/>
      <c r="T540" s="1032"/>
      <c r="U540" s="1032"/>
      <c r="V540" s="1083"/>
      <c r="W540"/>
    </row>
    <row r="541" spans="1:23" ht="27" customHeight="1" thickBot="1">
      <c r="A541" s="47" t="s">
        <v>25</v>
      </c>
      <c r="B541" s="438">
        <v>45397</v>
      </c>
      <c r="C541" s="950">
        <f t="shared" si="10"/>
        <v>16</v>
      </c>
      <c r="D541" s="1056" t="s">
        <v>2739</v>
      </c>
      <c r="E541" s="1056" t="s">
        <v>2268</v>
      </c>
      <c r="F541" s="1048" t="s">
        <v>1199</v>
      </c>
      <c r="G541" s="1048" t="s">
        <v>1199</v>
      </c>
      <c r="H541" s="1054"/>
      <c r="I541" s="1055"/>
      <c r="J541" s="1032"/>
      <c r="K541" s="1032"/>
      <c r="L541" s="1032" t="s">
        <v>37</v>
      </c>
      <c r="M541" s="1032"/>
      <c r="N541" s="1032"/>
      <c r="O541" s="1032"/>
      <c r="P541" s="1032"/>
      <c r="Q541" s="1032"/>
      <c r="R541" s="1032"/>
      <c r="S541" s="1032"/>
      <c r="T541" s="1032"/>
      <c r="U541" s="1032"/>
      <c r="V541" s="1083"/>
      <c r="W541"/>
    </row>
    <row r="542" spans="1:23" ht="158.25" customHeight="1" thickBot="1">
      <c r="A542" s="47" t="s">
        <v>25</v>
      </c>
      <c r="B542" s="438">
        <v>45397</v>
      </c>
      <c r="C542" s="950">
        <f t="shared" si="10"/>
        <v>16</v>
      </c>
      <c r="D542" s="1057" t="s">
        <v>1654</v>
      </c>
      <c r="E542" s="1057" t="s">
        <v>4596</v>
      </c>
      <c r="F542" s="937" t="s">
        <v>1206</v>
      </c>
      <c r="G542" s="937" t="s">
        <v>1206</v>
      </c>
      <c r="H542" s="1054"/>
      <c r="I542" s="1055"/>
      <c r="J542" s="1032"/>
      <c r="K542" s="1032"/>
      <c r="L542" s="1032"/>
      <c r="M542" s="1032" t="s">
        <v>37</v>
      </c>
      <c r="N542" s="20" t="s">
        <v>109</v>
      </c>
      <c r="O542" s="20" t="s">
        <v>484</v>
      </c>
      <c r="P542" s="20" t="s">
        <v>4082</v>
      </c>
      <c r="Q542" s="1032"/>
      <c r="R542" s="1032"/>
      <c r="S542" s="1032"/>
      <c r="T542" s="1032"/>
      <c r="U542" s="1032" t="s">
        <v>4597</v>
      </c>
      <c r="V542" s="1083"/>
      <c r="W542"/>
    </row>
    <row r="543" spans="1:23" ht="27" customHeight="1" thickBot="1">
      <c r="A543" s="47" t="s">
        <v>25</v>
      </c>
      <c r="B543" s="438">
        <v>45397</v>
      </c>
      <c r="C543" s="950">
        <f t="shared" si="10"/>
        <v>16</v>
      </c>
      <c r="D543" s="1057" t="s">
        <v>4196</v>
      </c>
      <c r="E543" s="1057" t="s">
        <v>4085</v>
      </c>
      <c r="F543" s="979" t="s">
        <v>1206</v>
      </c>
      <c r="G543" s="979" t="s">
        <v>1206</v>
      </c>
      <c r="H543" s="3250"/>
      <c r="I543" s="5242"/>
      <c r="J543" s="3250"/>
      <c r="K543" s="5231" t="s">
        <v>4206</v>
      </c>
      <c r="L543" s="1032" t="s">
        <v>37</v>
      </c>
      <c r="M543" s="1032"/>
      <c r="N543" s="1032"/>
      <c r="O543" s="1032"/>
      <c r="P543" s="1032"/>
      <c r="Q543" s="1032"/>
      <c r="R543" s="1032"/>
      <c r="S543" s="1032"/>
      <c r="T543" s="1032"/>
      <c r="U543" s="1032"/>
      <c r="V543" s="1083"/>
      <c r="W543"/>
    </row>
    <row r="544" spans="1:23" ht="27" customHeight="1" thickBot="1">
      <c r="A544" s="47" t="s">
        <v>25</v>
      </c>
      <c r="B544" s="438">
        <v>45397</v>
      </c>
      <c r="C544" s="950">
        <f t="shared" si="10"/>
        <v>16</v>
      </c>
      <c r="D544" s="1058" t="s">
        <v>3985</v>
      </c>
      <c r="E544" s="1058" t="s">
        <v>4598</v>
      </c>
      <c r="F544" s="979" t="s">
        <v>1206</v>
      </c>
      <c r="G544" s="979" t="s">
        <v>1206</v>
      </c>
      <c r="H544" s="1049"/>
      <c r="I544" s="1050"/>
      <c r="J544" s="1032"/>
      <c r="K544" s="1032"/>
      <c r="L544" s="1032" t="s">
        <v>37</v>
      </c>
      <c r="M544" s="1032"/>
      <c r="N544" s="1032"/>
      <c r="O544" s="1032"/>
      <c r="P544" s="1032"/>
      <c r="Q544" s="1032"/>
      <c r="R544" s="1032"/>
      <c r="S544" s="1032"/>
      <c r="T544" s="1032"/>
      <c r="U544" s="1032"/>
      <c r="V544" s="1083"/>
      <c r="W544"/>
    </row>
    <row r="545" spans="1:23" ht="27" customHeight="1" thickBot="1">
      <c r="A545" s="47" t="s">
        <v>25</v>
      </c>
      <c r="B545" s="438">
        <v>45397</v>
      </c>
      <c r="C545" s="950">
        <f t="shared" si="10"/>
        <v>16</v>
      </c>
      <c r="D545" s="1059" t="s">
        <v>939</v>
      </c>
      <c r="E545" s="1059" t="s">
        <v>3850</v>
      </c>
      <c r="F545" s="937" t="s">
        <v>1199</v>
      </c>
      <c r="G545" s="979" t="s">
        <v>1206</v>
      </c>
      <c r="H545" s="3250"/>
      <c r="I545" s="5242"/>
      <c r="J545" s="3250"/>
      <c r="K545" s="5231" t="s">
        <v>4206</v>
      </c>
      <c r="L545" s="1032" t="s">
        <v>37</v>
      </c>
      <c r="M545" s="1032"/>
      <c r="N545" s="1032"/>
      <c r="O545" s="1032"/>
      <c r="P545" s="1032"/>
      <c r="Q545" s="1032"/>
      <c r="R545" s="1032"/>
      <c r="S545" s="1032"/>
      <c r="T545" s="1032"/>
      <c r="U545" s="1032"/>
      <c r="V545" s="1083"/>
      <c r="W545"/>
    </row>
    <row r="546" spans="1:23" ht="27" customHeight="1" thickBot="1">
      <c r="A546" s="47" t="s">
        <v>67</v>
      </c>
      <c r="B546" s="438">
        <v>45398</v>
      </c>
      <c r="C546" s="950">
        <f t="shared" si="10"/>
        <v>16</v>
      </c>
      <c r="D546" s="1053" t="s">
        <v>450</v>
      </c>
      <c r="E546" s="1053" t="s">
        <v>4599</v>
      </c>
      <c r="F546" s="979" t="s">
        <v>1206</v>
      </c>
      <c r="G546" s="979" t="s">
        <v>1206</v>
      </c>
      <c r="H546" s="1054"/>
      <c r="I546" s="1055"/>
      <c r="J546" s="1032"/>
      <c r="K546" s="1032"/>
      <c r="L546" s="1032" t="s">
        <v>37</v>
      </c>
      <c r="M546" s="1032"/>
      <c r="N546" s="1032"/>
      <c r="O546" s="1032"/>
      <c r="P546" s="1032"/>
      <c r="Q546" s="1032"/>
      <c r="R546" s="1032"/>
      <c r="S546" s="1032"/>
      <c r="T546" s="1032"/>
      <c r="U546" s="1032"/>
      <c r="V546" s="1083"/>
      <c r="W546"/>
    </row>
    <row r="547" spans="1:23" ht="27" customHeight="1" thickBot="1">
      <c r="A547" s="47" t="s">
        <v>67</v>
      </c>
      <c r="B547" s="438">
        <v>45398</v>
      </c>
      <c r="C547" s="950">
        <f t="shared" si="10"/>
        <v>16</v>
      </c>
      <c r="D547" s="1057" t="s">
        <v>4085</v>
      </c>
      <c r="E547" s="1057" t="s">
        <v>304</v>
      </c>
      <c r="F547" s="1060" t="s">
        <v>1199</v>
      </c>
      <c r="G547" s="1061" t="s">
        <v>1199</v>
      </c>
      <c r="H547" s="1054"/>
      <c r="I547" s="1055"/>
      <c r="J547" s="1032"/>
      <c r="K547" s="1032"/>
      <c r="L547" s="1032" t="s">
        <v>37</v>
      </c>
      <c r="M547" s="1032"/>
      <c r="N547" s="1032"/>
      <c r="O547" s="1032"/>
      <c r="P547" s="1032"/>
      <c r="Q547" s="1032"/>
      <c r="R547" s="1032"/>
      <c r="S547" s="1032"/>
      <c r="T547" s="1032"/>
      <c r="U547" s="1032"/>
      <c r="V547" s="1083"/>
      <c r="W547"/>
    </row>
    <row r="548" spans="1:23" ht="27" customHeight="1" thickBot="1">
      <c r="A548" s="47" t="s">
        <v>67</v>
      </c>
      <c r="B548" s="438">
        <v>45398</v>
      </c>
      <c r="C548" s="950">
        <f t="shared" si="10"/>
        <v>16</v>
      </c>
      <c r="D548" s="1059" t="s">
        <v>53</v>
      </c>
      <c r="E548" s="1059" t="s">
        <v>1830</v>
      </c>
      <c r="F548" s="937" t="s">
        <v>1199</v>
      </c>
      <c r="G548" s="937" t="s">
        <v>1199</v>
      </c>
      <c r="H548" s="3250"/>
      <c r="I548" s="5242"/>
      <c r="J548" s="3250"/>
      <c r="K548" s="5231" t="s">
        <v>4206</v>
      </c>
      <c r="L548" s="1032" t="s">
        <v>37</v>
      </c>
      <c r="M548" s="1032"/>
      <c r="N548" s="1032"/>
      <c r="O548" s="1032"/>
      <c r="P548" s="1032"/>
      <c r="Q548" s="1032"/>
      <c r="R548" s="1032"/>
      <c r="S548" s="1032"/>
      <c r="T548" s="1032"/>
      <c r="U548" s="1032"/>
      <c r="V548" s="1083"/>
      <c r="W548"/>
    </row>
    <row r="549" spans="1:23" ht="27" thickBot="1">
      <c r="A549" s="47" t="s">
        <v>67</v>
      </c>
      <c r="B549" s="438">
        <v>45398</v>
      </c>
      <c r="C549" s="950">
        <f t="shared" si="10"/>
        <v>16</v>
      </c>
      <c r="D549" s="1062" t="s">
        <v>939</v>
      </c>
      <c r="E549" s="1063" t="s">
        <v>2384</v>
      </c>
      <c r="F549" s="937" t="s">
        <v>1199</v>
      </c>
      <c r="G549" s="937" t="s">
        <v>1199</v>
      </c>
      <c r="H549" s="5231">
        <v>706</v>
      </c>
      <c r="I549" s="5242"/>
      <c r="J549" s="3250"/>
      <c r="K549" s="5227" t="s">
        <v>1630</v>
      </c>
      <c r="L549" s="1032" t="s">
        <v>37</v>
      </c>
      <c r="M549" s="1032"/>
      <c r="N549" s="1032"/>
      <c r="O549" s="1032"/>
      <c r="P549" s="1032"/>
      <c r="Q549" s="1032"/>
      <c r="R549" s="1032"/>
      <c r="S549" s="1032"/>
      <c r="T549" s="1032"/>
      <c r="U549" s="1032"/>
      <c r="V549" s="1083"/>
      <c r="W549"/>
    </row>
    <row r="550" spans="1:23" ht="27" thickBot="1">
      <c r="A550" s="47" t="s">
        <v>67</v>
      </c>
      <c r="B550" s="438">
        <v>45398</v>
      </c>
      <c r="C550" s="950">
        <f t="shared" si="10"/>
        <v>16</v>
      </c>
      <c r="D550" s="1064" t="s">
        <v>442</v>
      </c>
      <c r="E550" s="1062" t="s">
        <v>2411</v>
      </c>
      <c r="F550" s="937" t="s">
        <v>1199</v>
      </c>
      <c r="G550" s="937" t="s">
        <v>1199</v>
      </c>
      <c r="H550" s="5231">
        <v>706</v>
      </c>
      <c r="I550" s="5242"/>
      <c r="J550" s="3250"/>
      <c r="K550" s="5227" t="s">
        <v>1630</v>
      </c>
      <c r="L550" s="1032" t="s">
        <v>37</v>
      </c>
      <c r="M550" s="1032"/>
      <c r="N550" s="1032"/>
      <c r="O550" s="1032"/>
      <c r="P550" s="1032"/>
      <c r="Q550" s="1032"/>
      <c r="R550" s="1032"/>
      <c r="S550" s="1032"/>
      <c r="T550" s="1032"/>
      <c r="U550" s="1032"/>
      <c r="V550" s="1083"/>
      <c r="W550"/>
    </row>
    <row r="551" spans="1:23" ht="27" thickBot="1">
      <c r="A551" s="47" t="s">
        <v>67</v>
      </c>
      <c r="B551" s="438">
        <v>45398</v>
      </c>
      <c r="C551" s="950">
        <f t="shared" si="10"/>
        <v>16</v>
      </c>
      <c r="D551" s="1065" t="s">
        <v>4364</v>
      </c>
      <c r="E551" s="1053" t="s">
        <v>4155</v>
      </c>
      <c r="F551" s="1066" t="s">
        <v>1199</v>
      </c>
      <c r="G551" s="937" t="s">
        <v>1199</v>
      </c>
      <c r="H551" s="5231">
        <v>706</v>
      </c>
      <c r="I551" s="5242"/>
      <c r="J551" s="3250"/>
      <c r="K551" s="5227" t="s">
        <v>1630</v>
      </c>
      <c r="L551" s="1032" t="s">
        <v>37</v>
      </c>
      <c r="M551" s="1032"/>
      <c r="N551" s="1032"/>
      <c r="O551" s="1032"/>
      <c r="P551" s="1032"/>
      <c r="Q551" s="1032"/>
      <c r="R551" s="1032"/>
      <c r="S551" s="1032"/>
      <c r="T551" s="1032"/>
      <c r="U551" s="1032"/>
      <c r="V551" s="1083"/>
      <c r="W551"/>
    </row>
    <row r="552" spans="1:23" ht="79.5" customHeight="1" thickBot="1">
      <c r="A552" s="47" t="s">
        <v>67</v>
      </c>
      <c r="B552" s="438">
        <v>45398</v>
      </c>
      <c r="C552" s="950">
        <f t="shared" si="10"/>
        <v>16</v>
      </c>
      <c r="D552" s="1058" t="s">
        <v>1654</v>
      </c>
      <c r="E552" s="173" t="s">
        <v>939</v>
      </c>
      <c r="F552" s="1067" t="s">
        <v>1199</v>
      </c>
      <c r="G552" s="1067" t="s">
        <v>1199</v>
      </c>
      <c r="H552" s="1054"/>
      <c r="I552" s="1055"/>
      <c r="J552" s="1032"/>
      <c r="K552" s="1032"/>
      <c r="L552" s="1032"/>
      <c r="M552" s="1032" t="s">
        <v>37</v>
      </c>
      <c r="N552" s="20" t="s">
        <v>109</v>
      </c>
      <c r="O552" s="20" t="s">
        <v>110</v>
      </c>
      <c r="P552" s="20" t="s">
        <v>4082</v>
      </c>
      <c r="Q552" s="1032"/>
      <c r="R552" s="1032"/>
      <c r="S552" s="1032"/>
      <c r="T552" s="1032"/>
      <c r="U552" s="1032" t="s">
        <v>4600</v>
      </c>
      <c r="V552" s="1083"/>
      <c r="W552"/>
    </row>
    <row r="553" spans="1:23" ht="27" customHeight="1" thickBot="1">
      <c r="A553" s="47" t="s">
        <v>67</v>
      </c>
      <c r="B553" s="438">
        <v>45398</v>
      </c>
      <c r="C553" s="950">
        <f t="shared" si="10"/>
        <v>16</v>
      </c>
      <c r="D553" s="1068" t="s">
        <v>939</v>
      </c>
      <c r="E553" s="1069" t="s">
        <v>77</v>
      </c>
      <c r="F553" s="1067" t="s">
        <v>1199</v>
      </c>
      <c r="G553" s="1067" t="s">
        <v>1199</v>
      </c>
      <c r="H553" s="1054"/>
      <c r="I553" s="1055"/>
      <c r="J553" s="1032"/>
      <c r="K553" s="1032"/>
      <c r="L553" s="1032" t="s">
        <v>37</v>
      </c>
      <c r="M553" s="1032"/>
      <c r="N553" s="1032"/>
      <c r="O553" s="1032"/>
      <c r="P553" s="1032"/>
      <c r="Q553" s="1032"/>
      <c r="R553" s="1032"/>
      <c r="S553" s="1032"/>
      <c r="T553" s="1032"/>
      <c r="U553" s="1032"/>
      <c r="V553" s="1083"/>
      <c r="W553"/>
    </row>
    <row r="554" spans="1:23" ht="105.75" customHeight="1" thickBot="1">
      <c r="A554" s="47" t="s">
        <v>85</v>
      </c>
      <c r="B554" s="438">
        <v>45399</v>
      </c>
      <c r="C554" s="950">
        <f t="shared" si="10"/>
        <v>16</v>
      </c>
      <c r="D554" s="1056" t="s">
        <v>4534</v>
      </c>
      <c r="E554" s="1056" t="s">
        <v>4601</v>
      </c>
      <c r="F554" s="1070" t="s">
        <v>1199</v>
      </c>
      <c r="G554" s="1070" t="s">
        <v>1199</v>
      </c>
      <c r="H554" s="1054"/>
      <c r="I554" s="1055"/>
      <c r="J554" s="1032"/>
      <c r="K554" s="1032"/>
      <c r="L554" s="1032"/>
      <c r="M554" s="1032" t="s">
        <v>37</v>
      </c>
      <c r="N554" s="20" t="s">
        <v>109</v>
      </c>
      <c r="O554" s="20" t="s">
        <v>1589</v>
      </c>
      <c r="P554" s="20" t="s">
        <v>4102</v>
      </c>
      <c r="Q554" s="1032"/>
      <c r="R554" s="1032"/>
      <c r="S554" s="1032"/>
      <c r="T554" s="1032"/>
      <c r="U554" s="1032" t="s">
        <v>4602</v>
      </c>
      <c r="V554" s="1083"/>
      <c r="W554"/>
    </row>
    <row r="555" spans="1:23" ht="27" customHeight="1" thickBot="1">
      <c r="A555" s="47" t="s">
        <v>85</v>
      </c>
      <c r="B555" s="438">
        <v>45399</v>
      </c>
      <c r="C555" s="950">
        <f t="shared" si="10"/>
        <v>16</v>
      </c>
      <c r="D555" s="1071" t="s">
        <v>77</v>
      </c>
      <c r="E555" s="1071" t="s">
        <v>4603</v>
      </c>
      <c r="F555" s="979" t="s">
        <v>1199</v>
      </c>
      <c r="G555" s="979" t="s">
        <v>1199</v>
      </c>
      <c r="H555" s="3250"/>
      <c r="I555" s="5242"/>
      <c r="J555" s="3250"/>
      <c r="K555" s="5231" t="s">
        <v>4206</v>
      </c>
      <c r="L555" s="1032" t="s">
        <v>37</v>
      </c>
      <c r="M555" s="1032"/>
      <c r="N555" s="1032"/>
      <c r="O555" s="1032"/>
      <c r="P555" s="1032"/>
      <c r="Q555" s="1032"/>
      <c r="R555" s="1032"/>
      <c r="S555" s="1032"/>
      <c r="T555" s="1032"/>
      <c r="U555" s="1032"/>
      <c r="V555" s="1083"/>
      <c r="W555"/>
    </row>
    <row r="556" spans="1:23" ht="27" customHeight="1" thickBot="1">
      <c r="A556" s="47" t="s">
        <v>85</v>
      </c>
      <c r="B556" s="438">
        <v>45399</v>
      </c>
      <c r="C556" s="950">
        <f t="shared" si="10"/>
        <v>16</v>
      </c>
      <c r="D556" s="1072" t="s">
        <v>2232</v>
      </c>
      <c r="E556" s="1073" t="s">
        <v>4604</v>
      </c>
      <c r="F556" s="937" t="s">
        <v>1199</v>
      </c>
      <c r="G556" s="937" t="s">
        <v>1199</v>
      </c>
      <c r="H556" s="1054"/>
      <c r="I556" s="1055"/>
      <c r="J556" s="1032"/>
      <c r="K556" s="1032"/>
      <c r="L556" s="1032" t="s">
        <v>37</v>
      </c>
      <c r="M556" s="1032"/>
      <c r="N556" s="1032"/>
      <c r="O556" s="1032"/>
      <c r="P556" s="1032"/>
      <c r="Q556" s="1032"/>
      <c r="R556" s="1032"/>
      <c r="S556" s="1032"/>
      <c r="T556" s="1032"/>
      <c r="U556" s="1032"/>
      <c r="V556" s="1083"/>
      <c r="W556"/>
    </row>
    <row r="557" spans="1:23" ht="27" customHeight="1" thickBot="1">
      <c r="A557" s="47" t="s">
        <v>85</v>
      </c>
      <c r="B557" s="438">
        <v>45399</v>
      </c>
      <c r="C557" s="950">
        <f t="shared" si="10"/>
        <v>16</v>
      </c>
      <c r="D557" s="1074" t="s">
        <v>4605</v>
      </c>
      <c r="E557" s="1074" t="s">
        <v>4606</v>
      </c>
      <c r="F557" s="1075" t="s">
        <v>4147</v>
      </c>
      <c r="G557" s="937"/>
      <c r="H557" s="1054"/>
      <c r="I557" s="1055"/>
      <c r="J557" s="1032"/>
      <c r="K557" s="1032"/>
      <c r="L557" s="1032" t="s">
        <v>37</v>
      </c>
      <c r="M557" s="1032"/>
      <c r="N557" s="1032"/>
      <c r="O557" s="1032"/>
      <c r="P557" s="1032"/>
      <c r="Q557" s="1032"/>
      <c r="R557" s="1032"/>
      <c r="S557" s="1032"/>
      <c r="T557" s="1032"/>
      <c r="U557" s="1032"/>
      <c r="V557" s="1083"/>
      <c r="W557"/>
    </row>
    <row r="558" spans="1:23" ht="27" customHeight="1" thickBot="1">
      <c r="A558" s="47" t="s">
        <v>85</v>
      </c>
      <c r="B558" s="438">
        <v>45399</v>
      </c>
      <c r="C558" s="950">
        <f t="shared" si="10"/>
        <v>16</v>
      </c>
      <c r="D558" s="1074" t="s">
        <v>1239</v>
      </c>
      <c r="E558" s="1074" t="s">
        <v>220</v>
      </c>
      <c r="F558" s="979" t="s">
        <v>1199</v>
      </c>
      <c r="G558" s="979" t="s">
        <v>1199</v>
      </c>
      <c r="H558" s="1054"/>
      <c r="I558" s="1055"/>
      <c r="J558" s="1032"/>
      <c r="K558" s="1032"/>
      <c r="L558" s="1032" t="s">
        <v>37</v>
      </c>
      <c r="M558" s="1032"/>
      <c r="N558" s="1032"/>
      <c r="O558" s="1032"/>
      <c r="P558" s="1032"/>
      <c r="Q558" s="1032"/>
      <c r="R558" s="1032"/>
      <c r="S558" s="1032"/>
      <c r="T558" s="1032"/>
      <c r="U558" s="1032"/>
      <c r="V558" s="1083"/>
      <c r="W558"/>
    </row>
    <row r="559" spans="1:23" ht="27" customHeight="1" thickBot="1">
      <c r="A559" s="47" t="s">
        <v>105</v>
      </c>
      <c r="B559" s="438">
        <v>45400</v>
      </c>
      <c r="C559" s="950">
        <f t="shared" si="10"/>
        <v>16</v>
      </c>
      <c r="D559" s="1074" t="s">
        <v>169</v>
      </c>
      <c r="E559" s="1074" t="s">
        <v>4607</v>
      </c>
      <c r="F559" s="1067" t="s">
        <v>1199</v>
      </c>
      <c r="G559" s="1067" t="s">
        <v>1199</v>
      </c>
      <c r="H559" s="5196"/>
      <c r="I559" s="5196"/>
      <c r="J559" s="1032"/>
      <c r="K559" s="70" t="s">
        <v>1613</v>
      </c>
      <c r="L559" s="1032" t="s">
        <v>37</v>
      </c>
      <c r="M559" s="1032"/>
      <c r="N559" s="1032"/>
      <c r="O559" s="1032"/>
      <c r="P559" s="1032"/>
      <c r="Q559" s="1032"/>
      <c r="R559" s="1032"/>
      <c r="S559" s="1032"/>
      <c r="T559" s="1032"/>
      <c r="U559" s="1032"/>
      <c r="V559" s="1083"/>
      <c r="W559"/>
    </row>
    <row r="560" spans="1:23" ht="27" customHeight="1" thickBot="1">
      <c r="A560" s="47" t="s">
        <v>105</v>
      </c>
      <c r="B560" s="438">
        <v>45400</v>
      </c>
      <c r="C560" s="950">
        <f t="shared" si="10"/>
        <v>16</v>
      </c>
      <c r="D560" s="1072" t="s">
        <v>457</v>
      </c>
      <c r="E560" s="1072" t="s">
        <v>463</v>
      </c>
      <c r="F560" s="979" t="s">
        <v>1199</v>
      </c>
      <c r="G560" s="937" t="s">
        <v>1199</v>
      </c>
      <c r="H560" s="3250"/>
      <c r="I560" s="5242"/>
      <c r="J560" s="3250"/>
      <c r="K560" s="5231" t="s">
        <v>4206</v>
      </c>
      <c r="L560" s="1032" t="s">
        <v>37</v>
      </c>
      <c r="M560" s="1032"/>
      <c r="N560" s="1032"/>
      <c r="O560" s="1032"/>
      <c r="P560" s="1032"/>
      <c r="Q560" s="1032"/>
      <c r="R560" s="1032"/>
      <c r="S560" s="1032"/>
      <c r="T560" s="1032"/>
      <c r="U560" s="1032"/>
      <c r="V560" s="1083"/>
      <c r="W560"/>
    </row>
    <row r="561" spans="1:23" ht="27" customHeight="1" thickBot="1">
      <c r="A561" s="47" t="s">
        <v>105</v>
      </c>
      <c r="B561" s="438">
        <v>45400</v>
      </c>
      <c r="C561" s="950">
        <f t="shared" si="10"/>
        <v>16</v>
      </c>
      <c r="D561" s="1058" t="s">
        <v>48</v>
      </c>
      <c r="E561" s="1058" t="s">
        <v>1698</v>
      </c>
      <c r="F561" s="937" t="s">
        <v>1764</v>
      </c>
      <c r="G561" s="937" t="s">
        <v>1764</v>
      </c>
      <c r="H561" s="1054"/>
      <c r="I561" s="1055"/>
      <c r="J561" s="1032"/>
      <c r="K561" s="1032"/>
      <c r="L561" s="1032" t="s">
        <v>37</v>
      </c>
      <c r="M561" s="1032"/>
      <c r="N561" s="1032"/>
      <c r="O561" s="1032"/>
      <c r="P561" s="1032"/>
      <c r="Q561" s="1032"/>
      <c r="R561" s="1032"/>
      <c r="S561" s="1032"/>
      <c r="T561" s="1032"/>
      <c r="U561" s="1032"/>
      <c r="V561" s="1083"/>
      <c r="W561"/>
    </row>
    <row r="562" spans="1:23" ht="105.75" customHeight="1" thickBot="1">
      <c r="A562" s="47" t="s">
        <v>105</v>
      </c>
      <c r="B562" s="438">
        <v>45400</v>
      </c>
      <c r="C562" s="950">
        <f t="shared" si="10"/>
        <v>16</v>
      </c>
      <c r="D562" s="1076" t="s">
        <v>1059</v>
      </c>
      <c r="E562" s="1076" t="s">
        <v>4225</v>
      </c>
      <c r="F562" s="937" t="s">
        <v>1764</v>
      </c>
      <c r="G562" s="937" t="s">
        <v>1764</v>
      </c>
      <c r="H562" s="1054"/>
      <c r="I562" s="1055"/>
      <c r="J562" s="1032"/>
      <c r="K562" s="1032"/>
      <c r="L562" s="1032"/>
      <c r="M562" s="1032" t="s">
        <v>37</v>
      </c>
      <c r="N562" s="20" t="s">
        <v>71</v>
      </c>
      <c r="O562" s="20" t="s">
        <v>371</v>
      </c>
      <c r="P562" s="20" t="s">
        <v>4082</v>
      </c>
      <c r="Q562" s="1032"/>
      <c r="R562" s="1032"/>
      <c r="S562" s="1032" t="s">
        <v>37</v>
      </c>
      <c r="T562" s="1032"/>
      <c r="U562" s="1032" t="s">
        <v>4608</v>
      </c>
      <c r="V562" s="1083"/>
      <c r="W562"/>
    </row>
    <row r="563" spans="1:23" ht="27" customHeight="1" thickBot="1">
      <c r="A563" s="47" t="s">
        <v>105</v>
      </c>
      <c r="B563" s="438">
        <v>45400</v>
      </c>
      <c r="C563" s="950">
        <f t="shared" si="10"/>
        <v>16</v>
      </c>
      <c r="D563" s="1077" t="s">
        <v>3073</v>
      </c>
      <c r="E563" s="1077" t="s">
        <v>220</v>
      </c>
      <c r="F563" s="1078" t="s">
        <v>1199</v>
      </c>
      <c r="G563" s="979" t="s">
        <v>1199</v>
      </c>
      <c r="H563" s="1054"/>
      <c r="I563" s="1055"/>
      <c r="J563" s="1032"/>
      <c r="K563" s="1032"/>
      <c r="L563" s="1032" t="s">
        <v>37</v>
      </c>
      <c r="M563" s="1032"/>
      <c r="N563" s="1032"/>
      <c r="O563" s="1032"/>
      <c r="P563" s="1032"/>
      <c r="Q563" s="1032"/>
      <c r="R563" s="1032"/>
      <c r="S563" s="1032"/>
      <c r="T563" s="1032"/>
      <c r="U563" s="1032"/>
      <c r="V563" s="1083"/>
      <c r="W563"/>
    </row>
    <row r="564" spans="1:23" ht="27" customHeight="1" thickBot="1">
      <c r="A564" s="47" t="s">
        <v>105</v>
      </c>
      <c r="B564" s="438">
        <v>45400</v>
      </c>
      <c r="C564" s="950">
        <f t="shared" si="10"/>
        <v>16</v>
      </c>
      <c r="D564" s="1077" t="s">
        <v>169</v>
      </c>
      <c r="E564" s="1077" t="s">
        <v>1032</v>
      </c>
      <c r="F564" s="1067" t="s">
        <v>1199</v>
      </c>
      <c r="G564" s="1067" t="s">
        <v>1199</v>
      </c>
      <c r="H564" s="1054"/>
      <c r="I564" s="1055"/>
      <c r="J564" s="1032"/>
      <c r="K564" s="1032"/>
      <c r="L564" s="1032" t="s">
        <v>37</v>
      </c>
      <c r="M564" s="1032"/>
      <c r="N564" s="1032"/>
      <c r="O564" s="1032"/>
      <c r="P564" s="1032"/>
      <c r="Q564" s="1032"/>
      <c r="R564" s="1032"/>
      <c r="S564" s="1032"/>
      <c r="T564" s="1032"/>
      <c r="U564" s="1032"/>
      <c r="V564" s="1083"/>
      <c r="W564"/>
    </row>
    <row r="565" spans="1:23" ht="27" customHeight="1" thickBot="1">
      <c r="A565" s="47" t="s">
        <v>132</v>
      </c>
      <c r="B565" s="438">
        <v>45401</v>
      </c>
      <c r="C565" s="950">
        <f t="shared" si="10"/>
        <v>16</v>
      </c>
      <c r="D565" s="1058" t="s">
        <v>1654</v>
      </c>
      <c r="E565" s="1058" t="s">
        <v>724</v>
      </c>
      <c r="F565" s="937" t="s">
        <v>1764</v>
      </c>
      <c r="G565" s="937" t="s">
        <v>1764</v>
      </c>
      <c r="H565" s="1079"/>
      <c r="I565" s="1055"/>
      <c r="J565" s="1032"/>
      <c r="K565" s="1032"/>
      <c r="L565" s="1032" t="s">
        <v>37</v>
      </c>
      <c r="M565" s="1032"/>
      <c r="N565" s="1032"/>
      <c r="O565" s="1032"/>
      <c r="P565" s="1032"/>
      <c r="Q565" s="1032"/>
      <c r="R565" s="1032"/>
      <c r="S565" s="1032"/>
      <c r="T565" s="1032"/>
      <c r="U565" s="1032"/>
      <c r="V565" s="1083"/>
      <c r="W565"/>
    </row>
    <row r="566" spans="1:23" ht="27" customHeight="1" thickBot="1">
      <c r="A566" s="47" t="s">
        <v>132</v>
      </c>
      <c r="B566" s="438">
        <v>45401</v>
      </c>
      <c r="C566" s="950">
        <f t="shared" si="10"/>
        <v>16</v>
      </c>
      <c r="D566" s="1058" t="s">
        <v>4378</v>
      </c>
      <c r="E566" s="1058" t="s">
        <v>4223</v>
      </c>
      <c r="F566" s="1067" t="s">
        <v>1764</v>
      </c>
      <c r="G566" s="1080" t="s">
        <v>1764</v>
      </c>
      <c r="H566" s="1079"/>
      <c r="I566" s="1055"/>
      <c r="J566" s="1032"/>
      <c r="K566" s="1032"/>
      <c r="L566" s="1032" t="s">
        <v>37</v>
      </c>
      <c r="M566" s="1032"/>
      <c r="N566" s="1032"/>
      <c r="O566" s="1032"/>
      <c r="P566" s="1032"/>
      <c r="Q566" s="1032"/>
      <c r="R566" s="1032"/>
      <c r="S566" s="1032"/>
      <c r="T566" s="1032"/>
      <c r="U566" s="1032"/>
      <c r="V566" s="1083"/>
      <c r="W566"/>
    </row>
    <row r="567" spans="1:23" ht="27" customHeight="1" thickBot="1">
      <c r="A567" s="47" t="s">
        <v>132</v>
      </c>
      <c r="B567" s="438">
        <v>45401</v>
      </c>
      <c r="C567" s="950">
        <f t="shared" si="10"/>
        <v>16</v>
      </c>
      <c r="D567" s="1058" t="s">
        <v>4609</v>
      </c>
      <c r="E567" s="1058" t="s">
        <v>89</v>
      </c>
      <c r="F567" s="979" t="s">
        <v>1764</v>
      </c>
      <c r="G567" s="979" t="s">
        <v>1764</v>
      </c>
      <c r="H567" s="3250"/>
      <c r="I567" s="5242"/>
      <c r="J567" s="3250"/>
      <c r="K567" s="5231" t="s">
        <v>4206</v>
      </c>
      <c r="L567" s="1032" t="s">
        <v>37</v>
      </c>
      <c r="M567" s="1032"/>
      <c r="N567" s="1032"/>
      <c r="O567" s="1032"/>
      <c r="P567" s="1032"/>
      <c r="Q567" s="1032"/>
      <c r="R567" s="1032"/>
      <c r="S567" s="1032"/>
      <c r="T567" s="1032"/>
      <c r="U567" s="1032"/>
      <c r="V567" s="1083"/>
      <c r="W567"/>
    </row>
    <row r="568" spans="1:23" ht="27" customHeight="1" thickBot="1">
      <c r="A568" s="47" t="s">
        <v>132</v>
      </c>
      <c r="B568" s="438">
        <v>45401</v>
      </c>
      <c r="C568" s="950">
        <f t="shared" si="10"/>
        <v>16</v>
      </c>
      <c r="D568" s="1081" t="s">
        <v>89</v>
      </c>
      <c r="E568" s="1081" t="s">
        <v>4084</v>
      </c>
      <c r="F568" s="937" t="s">
        <v>1764</v>
      </c>
      <c r="G568" s="937" t="s">
        <v>1764</v>
      </c>
      <c r="H568" s="1054"/>
      <c r="I568" s="1055"/>
      <c r="J568" s="1032"/>
      <c r="K568" s="1032"/>
      <c r="L568" s="1032" t="s">
        <v>37</v>
      </c>
      <c r="M568" s="1032"/>
      <c r="N568" s="1032"/>
      <c r="O568" s="1032"/>
      <c r="P568" s="1032"/>
      <c r="Q568" s="1032"/>
      <c r="R568" s="1032"/>
      <c r="S568" s="1032"/>
      <c r="T568" s="1032"/>
      <c r="U568" s="1032"/>
      <c r="V568" s="1083"/>
      <c r="W568"/>
    </row>
    <row r="569" spans="1:23" ht="27" customHeight="1" thickBot="1">
      <c r="A569" s="47" t="s">
        <v>132</v>
      </c>
      <c r="B569" s="438">
        <v>45401</v>
      </c>
      <c r="C569" s="950">
        <f t="shared" si="10"/>
        <v>16</v>
      </c>
      <c r="D569" s="1058" t="s">
        <v>939</v>
      </c>
      <c r="E569" s="1058" t="s">
        <v>204</v>
      </c>
      <c r="F569" s="979" t="s">
        <v>1764</v>
      </c>
      <c r="G569" s="979" t="s">
        <v>1764</v>
      </c>
      <c r="H569" s="3250">
        <v>706</v>
      </c>
      <c r="I569" s="5196"/>
      <c r="J569" s="1032"/>
      <c r="K569" s="1032"/>
      <c r="L569" s="1032" t="s">
        <v>37</v>
      </c>
      <c r="M569" s="1032"/>
      <c r="N569" s="1032"/>
      <c r="O569" s="1032"/>
      <c r="P569" s="1032"/>
      <c r="Q569" s="1032"/>
      <c r="R569" s="1032"/>
      <c r="S569" s="1032"/>
      <c r="T569" s="1032"/>
      <c r="U569" s="1032"/>
      <c r="V569" s="1083"/>
      <c r="W569"/>
    </row>
    <row r="570" spans="1:23" ht="27" customHeight="1" thickBot="1">
      <c r="A570" s="47" t="s">
        <v>132</v>
      </c>
      <c r="B570" s="438">
        <v>45401</v>
      </c>
      <c r="C570" s="950">
        <f t="shared" si="10"/>
        <v>16</v>
      </c>
      <c r="D570" s="1058" t="s">
        <v>1654</v>
      </c>
      <c r="E570" s="1058" t="s">
        <v>1698</v>
      </c>
      <c r="F570" s="979" t="s">
        <v>1764</v>
      </c>
      <c r="G570" s="979" t="s">
        <v>1764</v>
      </c>
      <c r="H570" s="5196"/>
      <c r="I570" s="5196"/>
      <c r="J570" s="1032"/>
      <c r="K570" s="5227" t="s">
        <v>174</v>
      </c>
      <c r="L570" s="1032" t="s">
        <v>37</v>
      </c>
      <c r="M570" s="1032"/>
      <c r="N570" s="1032"/>
      <c r="O570" s="1032"/>
      <c r="P570" s="1032"/>
      <c r="Q570" s="1032"/>
      <c r="R570" s="1032"/>
      <c r="S570" s="1032"/>
      <c r="T570" s="1032"/>
      <c r="U570" s="1032"/>
      <c r="V570" s="1083"/>
      <c r="W570"/>
    </row>
    <row r="571" spans="1:23" ht="27" customHeight="1" thickBot="1">
      <c r="A571" s="47" t="s">
        <v>132</v>
      </c>
      <c r="B571" s="438">
        <v>45401</v>
      </c>
      <c r="C571" s="950">
        <f t="shared" si="10"/>
        <v>16</v>
      </c>
      <c r="D571" s="1082" t="s">
        <v>4610</v>
      </c>
      <c r="E571" s="1082" t="s">
        <v>4611</v>
      </c>
      <c r="F571" s="937" t="s">
        <v>1764</v>
      </c>
      <c r="G571" s="937" t="s">
        <v>1764</v>
      </c>
      <c r="H571" s="3250"/>
      <c r="I571" s="5242"/>
      <c r="J571" s="3250"/>
      <c r="K571" s="5231" t="s">
        <v>4206</v>
      </c>
      <c r="L571" s="1032" t="s">
        <v>37</v>
      </c>
      <c r="M571" s="1032"/>
      <c r="N571" s="1032"/>
      <c r="O571" s="1032"/>
      <c r="P571" s="1032"/>
      <c r="Q571" s="1032"/>
      <c r="R571" s="1032"/>
      <c r="S571" s="1032"/>
      <c r="T571" s="1032"/>
      <c r="U571" s="1032"/>
      <c r="V571" s="1083"/>
      <c r="W571"/>
    </row>
    <row r="572" spans="1:23" ht="27" customHeight="1" thickBot="1">
      <c r="A572" s="47" t="s">
        <v>132</v>
      </c>
      <c r="B572" s="438">
        <v>45401</v>
      </c>
      <c r="C572" s="950">
        <f t="shared" si="10"/>
        <v>16</v>
      </c>
      <c r="D572" s="1082" t="s">
        <v>4612</v>
      </c>
      <c r="E572" s="1082" t="s">
        <v>4613</v>
      </c>
      <c r="F572" s="937" t="s">
        <v>1764</v>
      </c>
      <c r="G572" s="937" t="s">
        <v>1764</v>
      </c>
      <c r="H572" s="3250"/>
      <c r="I572" s="5242"/>
      <c r="J572" s="3250"/>
      <c r="K572" s="5231" t="s">
        <v>4206</v>
      </c>
      <c r="L572" s="1032" t="s">
        <v>37</v>
      </c>
      <c r="M572" s="1032"/>
      <c r="N572" s="1032"/>
      <c r="O572" s="1032"/>
      <c r="P572" s="1032"/>
      <c r="Q572" s="1032"/>
      <c r="R572" s="1032"/>
      <c r="S572" s="1032"/>
      <c r="T572" s="1032"/>
      <c r="U572"/>
      <c r="V572"/>
      <c r="W572"/>
    </row>
    <row r="573" spans="1:23" ht="105.75" customHeight="1" thickBot="1">
      <c r="A573" s="47" t="s">
        <v>132</v>
      </c>
      <c r="B573" s="438">
        <v>45401</v>
      </c>
      <c r="C573" s="950">
        <f t="shared" si="10"/>
        <v>16</v>
      </c>
      <c r="D573" s="1058" t="s">
        <v>1698</v>
      </c>
      <c r="E573" s="1058" t="s">
        <v>1654</v>
      </c>
      <c r="F573" s="1067" t="s">
        <v>1764</v>
      </c>
      <c r="G573" s="1080" t="s">
        <v>1764</v>
      </c>
      <c r="H573" s="5196"/>
      <c r="I573" s="5196"/>
      <c r="J573" s="1032"/>
      <c r="K573" s="5227" t="s">
        <v>174</v>
      </c>
      <c r="L573" s="1032"/>
      <c r="M573" s="1032" t="s">
        <v>37</v>
      </c>
      <c r="N573" s="21" t="s">
        <v>0</v>
      </c>
      <c r="O573" s="21" t="s">
        <v>187</v>
      </c>
      <c r="P573" s="21" t="s">
        <v>4082</v>
      </c>
      <c r="Q573" s="1032"/>
      <c r="R573" s="1032"/>
      <c r="S573" s="1032"/>
      <c r="T573" s="1032"/>
      <c r="U573" s="1032" t="s">
        <v>4614</v>
      </c>
      <c r="V573" s="1083"/>
      <c r="W573"/>
    </row>
    <row r="574" spans="1:23" ht="53.25" customHeight="1" thickBot="1">
      <c r="A574" s="47" t="s">
        <v>132</v>
      </c>
      <c r="B574" s="438">
        <v>45401</v>
      </c>
      <c r="C574" s="950">
        <f t="shared" si="10"/>
        <v>16</v>
      </c>
      <c r="D574" s="1058" t="s">
        <v>4615</v>
      </c>
      <c r="E574" s="1058" t="s">
        <v>169</v>
      </c>
      <c r="F574" s="937" t="s">
        <v>1764</v>
      </c>
      <c r="G574" s="937" t="s">
        <v>1764</v>
      </c>
      <c r="H574" s="5196"/>
      <c r="I574" s="5196"/>
      <c r="J574" s="1032"/>
      <c r="K574" s="70" t="s">
        <v>1613</v>
      </c>
      <c r="L574" s="1032"/>
      <c r="M574" s="1032" t="s">
        <v>37</v>
      </c>
      <c r="N574" s="21" t="s">
        <v>0</v>
      </c>
      <c r="O574" s="21" t="s">
        <v>110</v>
      </c>
      <c r="P574" s="21" t="s">
        <v>4080</v>
      </c>
      <c r="Q574" s="1032"/>
      <c r="R574" s="1032"/>
      <c r="S574" s="1032"/>
      <c r="T574" s="1032"/>
      <c r="U574" s="1032" t="s">
        <v>4616</v>
      </c>
      <c r="V574" s="1083"/>
      <c r="W574"/>
    </row>
    <row r="575" spans="1:23" ht="53.25" customHeight="1" thickBot="1">
      <c r="A575" s="47" t="s">
        <v>132</v>
      </c>
      <c r="B575" s="438">
        <v>45401</v>
      </c>
      <c r="C575" s="950">
        <f t="shared" si="10"/>
        <v>16</v>
      </c>
      <c r="D575" s="1058" t="s">
        <v>4225</v>
      </c>
      <c r="E575" s="1058" t="s">
        <v>4432</v>
      </c>
      <c r="F575" s="937" t="s">
        <v>1764</v>
      </c>
      <c r="G575" s="937" t="s">
        <v>1764</v>
      </c>
      <c r="H575" s="5196"/>
      <c r="I575" s="5196"/>
      <c r="J575" s="1032"/>
      <c r="K575" s="5227" t="s">
        <v>174</v>
      </c>
      <c r="L575" s="1032"/>
      <c r="M575" s="1032" t="s">
        <v>37</v>
      </c>
      <c r="N575" s="21" t="s">
        <v>0</v>
      </c>
      <c r="O575" s="21" t="s">
        <v>187</v>
      </c>
      <c r="P575" s="21" t="s">
        <v>4080</v>
      </c>
      <c r="Q575" s="1032"/>
      <c r="R575" s="1032"/>
      <c r="S575" s="1032"/>
      <c r="T575" s="1032"/>
      <c r="U575" s="1032" t="s">
        <v>4617</v>
      </c>
      <c r="V575" s="1083"/>
      <c r="W575"/>
    </row>
    <row r="576" spans="1:23" ht="53.25" customHeight="1" thickBot="1">
      <c r="A576" s="47" t="s">
        <v>132</v>
      </c>
      <c r="B576" s="438">
        <v>45401</v>
      </c>
      <c r="C576" s="950">
        <f t="shared" si="10"/>
        <v>16</v>
      </c>
      <c r="D576" s="1058" t="s">
        <v>4432</v>
      </c>
      <c r="E576" s="1058" t="s">
        <v>4225</v>
      </c>
      <c r="F576" s="937" t="s">
        <v>1764</v>
      </c>
      <c r="G576" s="937" t="s">
        <v>1764</v>
      </c>
      <c r="H576" s="5196"/>
      <c r="I576" s="5196"/>
      <c r="J576" s="1032"/>
      <c r="K576" s="5227" t="s">
        <v>174</v>
      </c>
      <c r="L576" s="1032"/>
      <c r="M576" s="1032" t="s">
        <v>37</v>
      </c>
      <c r="N576" s="21" t="s">
        <v>0</v>
      </c>
      <c r="O576" s="21" t="s">
        <v>187</v>
      </c>
      <c r="P576" s="21" t="s">
        <v>4080</v>
      </c>
      <c r="Q576" s="1032"/>
      <c r="R576" s="1032"/>
      <c r="S576" s="1032"/>
      <c r="T576" s="1032"/>
      <c r="U576" s="1032"/>
      <c r="V576" s="1083"/>
      <c r="W576"/>
    </row>
    <row r="577" spans="1:23" ht="26.25" customHeight="1" thickBot="1">
      <c r="A577" s="44" t="s">
        <v>4618</v>
      </c>
      <c r="B577" s="945">
        <v>45402</v>
      </c>
      <c r="C577" s="903">
        <f t="shared" si="10"/>
        <v>16</v>
      </c>
      <c r="D577" s="1149" t="s">
        <v>1698</v>
      </c>
      <c r="E577" s="1149" t="s">
        <v>4228</v>
      </c>
      <c r="F577" s="1150"/>
      <c r="G577" s="1094"/>
      <c r="H577" s="5197"/>
      <c r="I577" s="5196"/>
      <c r="J577" s="1032"/>
      <c r="K577" s="5227" t="s">
        <v>174</v>
      </c>
      <c r="L577" s="1151" t="s">
        <v>37</v>
      </c>
      <c r="M577" s="1151"/>
      <c r="N577" s="1151"/>
      <c r="O577" s="1151"/>
      <c r="P577" s="1151"/>
      <c r="Q577" s="1151"/>
      <c r="R577" s="1151"/>
      <c r="S577" s="1151"/>
      <c r="T577" s="1151"/>
      <c r="U577" s="1151"/>
      <c r="V577" s="1083"/>
      <c r="W577"/>
    </row>
    <row r="578" spans="1:23" ht="26.25" customHeight="1">
      <c r="A578" s="443" t="s">
        <v>1280</v>
      </c>
      <c r="B578" s="444">
        <v>45404</v>
      </c>
      <c r="C578" s="846">
        <f t="shared" si="10"/>
        <v>17</v>
      </c>
      <c r="D578" s="1141" t="s">
        <v>89</v>
      </c>
      <c r="E578" s="1142" t="s">
        <v>4619</v>
      </c>
      <c r="F578" s="963" t="s">
        <v>1199</v>
      </c>
      <c r="G578" s="1152" t="s">
        <v>1199</v>
      </c>
      <c r="H578" s="1143"/>
      <c r="I578" s="1099"/>
      <c r="J578" s="1051"/>
      <c r="K578" s="1097"/>
      <c r="L578" s="1104" t="s">
        <v>37</v>
      </c>
      <c r="M578" s="1105"/>
      <c r="N578" s="1105"/>
      <c r="O578" s="1105"/>
      <c r="P578" s="1105"/>
      <c r="Q578" s="1105"/>
      <c r="R578" s="1105"/>
      <c r="S578" s="1105"/>
      <c r="T578" s="1105"/>
      <c r="U578" s="1106"/>
      <c r="V578" s="1083"/>
      <c r="W578"/>
    </row>
    <row r="579" spans="1:23" ht="26.25" customHeight="1">
      <c r="A579" s="446" t="s">
        <v>1280</v>
      </c>
      <c r="B579" s="438">
        <v>45404</v>
      </c>
      <c r="C579" s="82">
        <f t="shared" si="10"/>
        <v>17</v>
      </c>
      <c r="D579" s="1139" t="s">
        <v>450</v>
      </c>
      <c r="E579" s="1139" t="s">
        <v>1937</v>
      </c>
      <c r="F579" s="937" t="s">
        <v>1199</v>
      </c>
      <c r="G579" s="935" t="s">
        <v>1199</v>
      </c>
      <c r="H579" s="1109"/>
      <c r="I579" s="1099"/>
      <c r="J579" s="1051"/>
      <c r="K579" s="1097"/>
      <c r="L579" s="1113" t="s">
        <v>37</v>
      </c>
      <c r="M579" s="1032"/>
      <c r="N579" s="1032"/>
      <c r="O579" s="1032"/>
      <c r="P579" s="1032"/>
      <c r="Q579" s="1032"/>
      <c r="R579" s="1032"/>
      <c r="S579" s="1032"/>
      <c r="T579" s="1032"/>
      <c r="U579" s="1030"/>
      <c r="V579" s="1083"/>
      <c r="W579"/>
    </row>
    <row r="580" spans="1:23" ht="26.25" customHeight="1">
      <c r="A580" s="446" t="s">
        <v>1280</v>
      </c>
      <c r="B580" s="438">
        <v>45404</v>
      </c>
      <c r="C580" s="82">
        <f t="shared" si="10"/>
        <v>17</v>
      </c>
      <c r="D580" s="1139" t="s">
        <v>2739</v>
      </c>
      <c r="E580" s="1139" t="s">
        <v>4620</v>
      </c>
      <c r="F580" s="937" t="s">
        <v>1199</v>
      </c>
      <c r="G580" s="935" t="s">
        <v>1199</v>
      </c>
      <c r="H580" s="1109"/>
      <c r="I580" s="1099"/>
      <c r="J580" s="1051"/>
      <c r="K580" s="1097"/>
      <c r="L580" s="1113" t="s">
        <v>37</v>
      </c>
      <c r="M580" s="1032"/>
      <c r="N580" s="1032"/>
      <c r="O580" s="1032"/>
      <c r="P580" s="1032"/>
      <c r="Q580" s="1032"/>
      <c r="R580" s="1032"/>
      <c r="S580" s="1032"/>
      <c r="T580" s="1032"/>
      <c r="U580" s="1030"/>
      <c r="V580" s="1083"/>
      <c r="W580"/>
    </row>
    <row r="581" spans="1:23" ht="26.25" customHeight="1">
      <c r="A581" s="446" t="s">
        <v>1280</v>
      </c>
      <c r="B581" s="438">
        <v>45404</v>
      </c>
      <c r="C581" s="82">
        <f t="shared" si="10"/>
        <v>17</v>
      </c>
      <c r="D581" s="1052" t="s">
        <v>282</v>
      </c>
      <c r="E581" s="1053" t="s">
        <v>1254</v>
      </c>
      <c r="F581" s="937" t="s">
        <v>1199</v>
      </c>
      <c r="G581" s="937" t="s">
        <v>1199</v>
      </c>
      <c r="H581" s="1109"/>
      <c r="I581" s="1099"/>
      <c r="J581" s="1051"/>
      <c r="K581" s="1097"/>
      <c r="L581" s="1113" t="s">
        <v>37</v>
      </c>
      <c r="M581" s="1032"/>
      <c r="N581" s="1032"/>
      <c r="O581" s="1032"/>
      <c r="P581" s="1032"/>
      <c r="Q581" s="1032"/>
      <c r="R581" s="1032"/>
      <c r="S581" s="1032"/>
      <c r="T581" s="1032"/>
      <c r="U581" s="1030"/>
      <c r="V581" s="1083"/>
      <c r="W581"/>
    </row>
    <row r="582" spans="1:23" ht="105" customHeight="1">
      <c r="A582" s="446" t="s">
        <v>1280</v>
      </c>
      <c r="B582" s="438">
        <v>45404</v>
      </c>
      <c r="C582" s="82">
        <f t="shared" si="10"/>
        <v>17</v>
      </c>
      <c r="D582" s="1052" t="s">
        <v>169</v>
      </c>
      <c r="E582" s="1053" t="s">
        <v>1654</v>
      </c>
      <c r="F582" s="937" t="s">
        <v>1199</v>
      </c>
      <c r="G582" s="935" t="s">
        <v>1199</v>
      </c>
      <c r="H582" s="5266"/>
      <c r="I582" s="5257"/>
      <c r="J582" s="2727"/>
      <c r="K582" s="5231" t="s">
        <v>4206</v>
      </c>
      <c r="L582" s="1113"/>
      <c r="M582" s="1032" t="s">
        <v>37</v>
      </c>
      <c r="N582" s="21" t="s">
        <v>122</v>
      </c>
      <c r="O582" s="21" t="s">
        <v>123</v>
      </c>
      <c r="P582" s="21" t="s">
        <v>4082</v>
      </c>
      <c r="Q582" s="1140">
        <v>1</v>
      </c>
      <c r="R582" s="1032"/>
      <c r="S582" s="1032"/>
      <c r="T582" s="1032"/>
      <c r="U582" s="1030" t="s">
        <v>4621</v>
      </c>
      <c r="V582" s="1083"/>
      <c r="W582"/>
    </row>
    <row r="583" spans="1:23" ht="26.25" customHeight="1">
      <c r="A583" s="446" t="s">
        <v>1280</v>
      </c>
      <c r="B583" s="438">
        <v>45404</v>
      </c>
      <c r="C583" s="82">
        <f t="shared" si="10"/>
        <v>17</v>
      </c>
      <c r="D583" s="1052" t="s">
        <v>1838</v>
      </c>
      <c r="E583" s="1053" t="s">
        <v>1698</v>
      </c>
      <c r="F583" s="937" t="s">
        <v>1199</v>
      </c>
      <c r="G583" s="935" t="s">
        <v>1199</v>
      </c>
      <c r="H583" s="1109"/>
      <c r="I583" s="1099"/>
      <c r="J583" s="1051"/>
      <c r="K583" s="1097"/>
      <c r="L583" s="1113" t="s">
        <v>37</v>
      </c>
      <c r="M583" s="1032"/>
      <c r="N583" s="1032"/>
      <c r="O583" s="1032"/>
      <c r="P583" s="1032"/>
      <c r="Q583" s="1032"/>
      <c r="R583" s="1032"/>
      <c r="S583" s="1032"/>
      <c r="T583" s="1032"/>
      <c r="U583" s="1030"/>
      <c r="V583" s="1083"/>
      <c r="W583"/>
    </row>
    <row r="584" spans="1:23" ht="26.25" customHeight="1">
      <c r="A584" s="446" t="s">
        <v>1280</v>
      </c>
      <c r="B584" s="438">
        <v>45404</v>
      </c>
      <c r="C584" s="82">
        <f t="shared" si="10"/>
        <v>17</v>
      </c>
      <c r="D584" s="1058" t="s">
        <v>939</v>
      </c>
      <c r="E584" s="1053" t="s">
        <v>1698</v>
      </c>
      <c r="F584" s="937" t="s">
        <v>1199</v>
      </c>
      <c r="G584" s="935" t="s">
        <v>1199</v>
      </c>
      <c r="H584" s="5266"/>
      <c r="I584" s="5257"/>
      <c r="J584" s="2727"/>
      <c r="K584" s="5231" t="s">
        <v>4206</v>
      </c>
      <c r="L584" s="1113" t="s">
        <v>37</v>
      </c>
      <c r="M584" s="1032"/>
      <c r="N584" s="1032"/>
      <c r="O584" s="1032"/>
      <c r="P584" s="1032"/>
      <c r="Q584" s="1032"/>
      <c r="R584" s="1032"/>
      <c r="S584" s="1032"/>
      <c r="T584" s="1032"/>
      <c r="U584" s="1030"/>
      <c r="V584" s="1083"/>
      <c r="W584"/>
    </row>
    <row r="585" spans="1:23" ht="26.25" customHeight="1">
      <c r="A585" s="446" t="s">
        <v>1280</v>
      </c>
      <c r="B585" s="438">
        <v>45404</v>
      </c>
      <c r="C585" s="82">
        <f t="shared" si="10"/>
        <v>17</v>
      </c>
      <c r="D585" s="1052" t="s">
        <v>282</v>
      </c>
      <c r="E585" s="1053" t="s">
        <v>502</v>
      </c>
      <c r="F585" s="937" t="s">
        <v>1199</v>
      </c>
      <c r="G585" s="935" t="s">
        <v>1199</v>
      </c>
      <c r="H585" s="1109"/>
      <c r="I585" s="1099"/>
      <c r="J585" s="1051"/>
      <c r="K585" s="1097"/>
      <c r="L585" s="1113" t="s">
        <v>37</v>
      </c>
      <c r="M585" s="1032"/>
      <c r="N585" s="1032"/>
      <c r="O585" s="1032"/>
      <c r="P585" s="1032"/>
      <c r="Q585" s="1032"/>
      <c r="R585" s="1032"/>
      <c r="S585" s="1032"/>
      <c r="T585" s="1032"/>
      <c r="U585" s="1030"/>
      <c r="V585" s="1083"/>
      <c r="W585"/>
    </row>
    <row r="586" spans="1:23" ht="26.25" customHeight="1">
      <c r="A586" s="446" t="s">
        <v>1280</v>
      </c>
      <c r="B586" s="438">
        <v>45404</v>
      </c>
      <c r="C586" s="82">
        <f t="shared" si="10"/>
        <v>17</v>
      </c>
      <c r="D586" s="1052" t="s">
        <v>4228</v>
      </c>
      <c r="E586" s="1053" t="s">
        <v>4622</v>
      </c>
      <c r="F586" s="937" t="s">
        <v>1199</v>
      </c>
      <c r="G586" s="935" t="s">
        <v>1199</v>
      </c>
      <c r="H586" s="5193"/>
      <c r="I586" s="5194"/>
      <c r="J586" s="1051"/>
      <c r="K586" s="5227" t="s">
        <v>174</v>
      </c>
      <c r="L586" s="1113" t="s">
        <v>37</v>
      </c>
      <c r="M586" s="1032"/>
      <c r="N586" s="1032"/>
      <c r="O586" s="1032"/>
      <c r="P586" s="1032"/>
      <c r="Q586" s="1032"/>
      <c r="R586" s="1032"/>
      <c r="S586" s="1032"/>
      <c r="T586" s="1032"/>
      <c r="U586" s="1030"/>
      <c r="V586" s="1083"/>
      <c r="W586"/>
    </row>
    <row r="587" spans="1:23" ht="26.25" customHeight="1">
      <c r="A587" s="446" t="s">
        <v>1280</v>
      </c>
      <c r="B587" s="438">
        <v>45404</v>
      </c>
      <c r="C587" s="82">
        <f t="shared" si="10"/>
        <v>17</v>
      </c>
      <c r="D587" s="1052" t="s">
        <v>3073</v>
      </c>
      <c r="E587" s="1053" t="s">
        <v>1654</v>
      </c>
      <c r="F587" s="937" t="s">
        <v>1199</v>
      </c>
      <c r="G587" s="937" t="s">
        <v>1199</v>
      </c>
      <c r="H587" s="5266">
        <v>702</v>
      </c>
      <c r="I587" s="5257"/>
      <c r="J587" s="2727"/>
      <c r="K587" s="70" t="s">
        <v>627</v>
      </c>
      <c r="L587" s="1113" t="s">
        <v>37</v>
      </c>
      <c r="M587" s="1032"/>
      <c r="N587" s="1032"/>
      <c r="O587" s="1032"/>
      <c r="P587" s="1032"/>
      <c r="Q587" s="1032"/>
      <c r="R587" s="1032"/>
      <c r="S587" s="1032"/>
      <c r="T587" s="1032"/>
      <c r="U587" s="1030"/>
      <c r="V587" s="1083"/>
      <c r="W587"/>
    </row>
    <row r="588" spans="1:23" ht="26.25" customHeight="1">
      <c r="A588" s="446" t="s">
        <v>1280</v>
      </c>
      <c r="B588" s="438">
        <v>45404</v>
      </c>
      <c r="C588" s="82">
        <f t="shared" si="10"/>
        <v>17</v>
      </c>
      <c r="D588" s="1053" t="s">
        <v>1698</v>
      </c>
      <c r="E588" s="1053" t="s">
        <v>1654</v>
      </c>
      <c r="F588" s="979" t="s">
        <v>1199</v>
      </c>
      <c r="G588" s="979" t="s">
        <v>1199</v>
      </c>
      <c r="H588" s="5266"/>
      <c r="I588" s="5257"/>
      <c r="J588" s="2727"/>
      <c r="K588" s="5231" t="s">
        <v>4206</v>
      </c>
      <c r="L588" s="1113" t="s">
        <v>37</v>
      </c>
      <c r="M588" s="1032"/>
      <c r="N588" s="1032"/>
      <c r="O588" s="1032"/>
      <c r="P588" s="1032"/>
      <c r="Q588" s="1032"/>
      <c r="R588" s="1032"/>
      <c r="S588" s="1032"/>
      <c r="T588" s="1032"/>
      <c r="U588" s="1030"/>
      <c r="V588" s="1083"/>
      <c r="W588"/>
    </row>
    <row r="589" spans="1:23" ht="27" thickBot="1">
      <c r="A589" s="447" t="s">
        <v>1280</v>
      </c>
      <c r="B589" s="448">
        <v>45404</v>
      </c>
      <c r="C589" s="85">
        <f t="shared" si="10"/>
        <v>17</v>
      </c>
      <c r="D589" s="1153" t="s">
        <v>1698</v>
      </c>
      <c r="E589" s="1153" t="s">
        <v>4623</v>
      </c>
      <c r="F589" s="956" t="s">
        <v>1199</v>
      </c>
      <c r="G589" s="956" t="s">
        <v>1199</v>
      </c>
      <c r="H589" s="5231">
        <v>706</v>
      </c>
      <c r="I589" s="5257"/>
      <c r="J589" s="2727"/>
      <c r="K589" s="5227" t="s">
        <v>1630</v>
      </c>
      <c r="L589" s="1114" t="s">
        <v>37</v>
      </c>
      <c r="M589" s="1035"/>
      <c r="N589" s="1035"/>
      <c r="O589" s="1035"/>
      <c r="P589" s="1035"/>
      <c r="Q589" s="1035"/>
      <c r="R589" s="1035"/>
      <c r="S589" s="1035"/>
      <c r="T589" s="1035"/>
      <c r="U589" s="1036"/>
      <c r="V589" s="1083"/>
      <c r="W589"/>
    </row>
    <row r="590" spans="1:23" ht="105" customHeight="1">
      <c r="A590" s="965" t="s">
        <v>180</v>
      </c>
      <c r="B590" s="966">
        <v>45405</v>
      </c>
      <c r="C590" s="832">
        <f t="shared" si="10"/>
        <v>17</v>
      </c>
      <c r="D590" s="1084" t="s">
        <v>450</v>
      </c>
      <c r="E590" s="1085" t="s">
        <v>4624</v>
      </c>
      <c r="F590" s="1048" t="s">
        <v>1199</v>
      </c>
      <c r="G590" s="1048" t="s">
        <v>1199</v>
      </c>
      <c r="H590" s="1102"/>
      <c r="I590" s="1099"/>
      <c r="J590" s="1051"/>
      <c r="K590" s="1097"/>
      <c r="L590" s="1107"/>
      <c r="M590" s="1051" t="s">
        <v>37</v>
      </c>
      <c r="N590" s="119" t="s">
        <v>109</v>
      </c>
      <c r="O590" s="119" t="s">
        <v>110</v>
      </c>
      <c r="P590" s="119"/>
      <c r="Q590" s="1086">
        <v>2</v>
      </c>
      <c r="R590" s="1051"/>
      <c r="S590" s="1051"/>
      <c r="T590" s="1051"/>
      <c r="U590" s="1034" t="s">
        <v>4625</v>
      </c>
      <c r="V590" s="1083"/>
      <c r="W590"/>
    </row>
    <row r="591" spans="1:23" ht="26.25" customHeight="1">
      <c r="A591" s="446" t="s">
        <v>180</v>
      </c>
      <c r="B591" s="438">
        <v>45405</v>
      </c>
      <c r="C591" s="82">
        <f t="shared" si="10"/>
        <v>17</v>
      </c>
      <c r="D591" s="1052" t="s">
        <v>1145</v>
      </c>
      <c r="E591" s="1053" t="s">
        <v>4225</v>
      </c>
      <c r="F591" s="937" t="s">
        <v>1199</v>
      </c>
      <c r="G591" s="937" t="s">
        <v>1199</v>
      </c>
      <c r="H591" s="1109"/>
      <c r="I591" s="1099"/>
      <c r="J591" s="1051"/>
      <c r="K591" s="1097"/>
      <c r="L591" s="1113" t="s">
        <v>37</v>
      </c>
      <c r="M591" s="1032"/>
      <c r="N591" s="1032"/>
      <c r="O591" s="1032"/>
      <c r="P591" s="1032"/>
      <c r="Q591" s="1032"/>
      <c r="R591" s="1140">
        <v>1</v>
      </c>
      <c r="S591" s="1032"/>
      <c r="T591" s="1032"/>
      <c r="U591" s="1030"/>
      <c r="V591" s="1083"/>
      <c r="W591"/>
    </row>
    <row r="592" spans="1:23" ht="26.25" customHeight="1">
      <c r="A592" s="446" t="s">
        <v>180</v>
      </c>
      <c r="B592" s="438">
        <v>45405</v>
      </c>
      <c r="C592" s="82">
        <f t="shared" si="10"/>
        <v>17</v>
      </c>
      <c r="D592" s="1052" t="s">
        <v>4155</v>
      </c>
      <c r="E592" s="1053" t="s">
        <v>3317</v>
      </c>
      <c r="F592" s="937" t="s">
        <v>1199</v>
      </c>
      <c r="G592" s="937" t="s">
        <v>1199</v>
      </c>
      <c r="H592" s="1109"/>
      <c r="I592" s="1099"/>
      <c r="J592" s="1051"/>
      <c r="K592" s="1097"/>
      <c r="L592" s="1113"/>
      <c r="M592" s="1032"/>
      <c r="N592" s="1032"/>
      <c r="O592" s="1032"/>
      <c r="P592" s="1032"/>
      <c r="Q592" s="1032"/>
      <c r="R592" s="1032"/>
      <c r="S592" s="1032" t="s">
        <v>37</v>
      </c>
      <c r="T592" s="1032"/>
      <c r="U592" s="1030"/>
      <c r="V592" s="1083"/>
      <c r="W592"/>
    </row>
    <row r="593" spans="1:23" ht="26.25" customHeight="1">
      <c r="A593" s="446" t="s">
        <v>180</v>
      </c>
      <c r="B593" s="438">
        <v>45405</v>
      </c>
      <c r="C593" s="82">
        <f t="shared" si="10"/>
        <v>17</v>
      </c>
      <c r="D593" s="1124" t="s">
        <v>1654</v>
      </c>
      <c r="E593" s="1124" t="s">
        <v>4626</v>
      </c>
      <c r="F593" s="937" t="s">
        <v>1199</v>
      </c>
      <c r="G593" s="937" t="s">
        <v>1199</v>
      </c>
      <c r="H593" s="5266">
        <v>706</v>
      </c>
      <c r="I593" s="5257"/>
      <c r="J593" s="2727"/>
      <c r="K593" s="70" t="s">
        <v>627</v>
      </c>
      <c r="L593" s="1113" t="s">
        <v>37</v>
      </c>
      <c r="M593" s="1032"/>
      <c r="N593" s="1032"/>
      <c r="O593" s="1032"/>
      <c r="P593" s="1032"/>
      <c r="Q593" s="1032"/>
      <c r="R593" s="1032"/>
      <c r="S593" s="1032"/>
      <c r="T593" s="1032"/>
      <c r="U593" s="1030"/>
      <c r="V593" s="1083"/>
      <c r="W593"/>
    </row>
    <row r="594" spans="1:23" ht="26.25" customHeight="1">
      <c r="A594" s="446" t="s">
        <v>180</v>
      </c>
      <c r="B594" s="438">
        <v>45405</v>
      </c>
      <c r="C594" s="82">
        <f t="shared" si="10"/>
        <v>17</v>
      </c>
      <c r="D594" s="1126" t="s">
        <v>502</v>
      </c>
      <c r="E594" s="1082" t="s">
        <v>1052</v>
      </c>
      <c r="F594" s="937" t="s">
        <v>1199</v>
      </c>
      <c r="G594" s="937" t="s">
        <v>1199</v>
      </c>
      <c r="H594" s="1132"/>
      <c r="I594" s="1131"/>
      <c r="J594" s="1051"/>
      <c r="K594" s="1097"/>
      <c r="L594" s="1113" t="s">
        <v>37</v>
      </c>
      <c r="M594" s="1032"/>
      <c r="N594" s="1032"/>
      <c r="O594" s="1032"/>
      <c r="P594" s="1032"/>
      <c r="Q594" s="1032"/>
      <c r="R594" s="1032"/>
      <c r="S594" s="1032"/>
      <c r="T594" s="1032"/>
      <c r="U594" s="1030"/>
      <c r="V594" s="1083"/>
      <c r="W594"/>
    </row>
    <row r="595" spans="1:23" ht="27" customHeight="1" thickBot="1">
      <c r="A595" s="447" t="s">
        <v>180</v>
      </c>
      <c r="B595" s="448">
        <v>45405</v>
      </c>
      <c r="C595" s="85">
        <f t="shared" si="10"/>
        <v>17</v>
      </c>
      <c r="D595" s="1144" t="s">
        <v>4541</v>
      </c>
      <c r="E595" s="1145" t="s">
        <v>4077</v>
      </c>
      <c r="F595" s="1146" t="s">
        <v>1199</v>
      </c>
      <c r="G595" s="1147" t="s">
        <v>1199</v>
      </c>
      <c r="H595" s="1148"/>
      <c r="I595" s="1131"/>
      <c r="J595" s="1051"/>
      <c r="K595" s="1097"/>
      <c r="L595" s="1114" t="s">
        <v>37</v>
      </c>
      <c r="M595" s="1035"/>
      <c r="N595" s="1035"/>
      <c r="O595" s="1035"/>
      <c r="P595" s="1035"/>
      <c r="Q595" s="1035"/>
      <c r="R595" s="1035"/>
      <c r="S595" s="1035"/>
      <c r="T595" s="1035"/>
      <c r="U595" s="1036"/>
      <c r="V595" s="1083"/>
      <c r="W595"/>
    </row>
    <row r="596" spans="1:23" ht="26.25" customHeight="1">
      <c r="A596" s="965" t="s">
        <v>1323</v>
      </c>
      <c r="B596" s="966">
        <v>45406</v>
      </c>
      <c r="C596" s="832">
        <f t="shared" si="10"/>
        <v>17</v>
      </c>
      <c r="D596" s="1088" t="s">
        <v>4627</v>
      </c>
      <c r="E596" s="1087" t="s">
        <v>336</v>
      </c>
      <c r="F596" s="1089" t="s">
        <v>1199</v>
      </c>
      <c r="G596" s="1048" t="s">
        <v>1199</v>
      </c>
      <c r="H596" s="5266">
        <v>706</v>
      </c>
      <c r="I596" s="5257"/>
      <c r="J596" s="2727"/>
      <c r="K596" s="70" t="s">
        <v>627</v>
      </c>
      <c r="L596" s="1107" t="s">
        <v>37</v>
      </c>
      <c r="M596" s="1051"/>
      <c r="N596" s="1051"/>
      <c r="O596" s="1051"/>
      <c r="P596" s="1051"/>
      <c r="Q596" s="1051"/>
      <c r="R596" s="1051"/>
      <c r="S596" s="1051"/>
      <c r="T596" s="1051"/>
      <c r="U596" s="1034"/>
      <c r="V596" s="1083"/>
      <c r="W596"/>
    </row>
    <row r="597" spans="1:23" ht="78.75" customHeight="1">
      <c r="A597" s="446" t="s">
        <v>1323</v>
      </c>
      <c r="B597" s="438">
        <v>45406</v>
      </c>
      <c r="C597" s="82">
        <f t="shared" si="10"/>
        <v>17</v>
      </c>
      <c r="D597" s="1123" t="s">
        <v>3985</v>
      </c>
      <c r="E597" s="1124" t="s">
        <v>4628</v>
      </c>
      <c r="F597" s="1125" t="s">
        <v>1199</v>
      </c>
      <c r="G597" s="935" t="s">
        <v>1199</v>
      </c>
      <c r="H597" s="1109"/>
      <c r="I597" s="1099"/>
      <c r="J597" s="1051"/>
      <c r="K597" s="1097"/>
      <c r="L597" s="1113"/>
      <c r="M597" s="1032" t="s">
        <v>37</v>
      </c>
      <c r="N597" s="21" t="s">
        <v>0</v>
      </c>
      <c r="O597" s="21" t="s">
        <v>736</v>
      </c>
      <c r="P597" s="21" t="s">
        <v>4330</v>
      </c>
      <c r="Q597" s="1032"/>
      <c r="R597" s="1032"/>
      <c r="S597" s="1032"/>
      <c r="T597" s="1032"/>
      <c r="U597" s="1030" t="s">
        <v>4629</v>
      </c>
      <c r="V597" s="1083"/>
      <c r="W597"/>
    </row>
    <row r="598" spans="1:23" ht="26.25" customHeight="1">
      <c r="A598" s="446" t="s">
        <v>1323</v>
      </c>
      <c r="B598" s="438">
        <v>45406</v>
      </c>
      <c r="C598" s="82">
        <f t="shared" si="10"/>
        <v>17</v>
      </c>
      <c r="D598" s="1126" t="s">
        <v>258</v>
      </c>
      <c r="E598" s="1082" t="s">
        <v>2663</v>
      </c>
      <c r="F598" s="937" t="s">
        <v>1199</v>
      </c>
      <c r="G598" s="937" t="s">
        <v>1199</v>
      </c>
      <c r="H598" s="1109"/>
      <c r="I598" s="1099"/>
      <c r="J598" s="1051"/>
      <c r="K598" s="1097"/>
      <c r="L598" s="1113" t="s">
        <v>37</v>
      </c>
      <c r="M598" s="1032"/>
      <c r="N598" s="1032"/>
      <c r="O598" s="1032"/>
      <c r="P598" s="1032"/>
      <c r="Q598" s="1032"/>
      <c r="R598" s="1032"/>
      <c r="S598" s="1032"/>
      <c r="T598" s="1032"/>
      <c r="U598" s="1030"/>
      <c r="V598" s="1083"/>
      <c r="W598"/>
    </row>
    <row r="599" spans="1:23" ht="52.5" customHeight="1">
      <c r="A599" s="446" t="s">
        <v>1323</v>
      </c>
      <c r="B599" s="438">
        <v>45406</v>
      </c>
      <c r="C599" s="82">
        <f t="shared" si="10"/>
        <v>17</v>
      </c>
      <c r="D599" s="1116" t="s">
        <v>1654</v>
      </c>
      <c r="E599" s="1090" t="s">
        <v>4344</v>
      </c>
      <c r="F599" s="937" t="s">
        <v>1199</v>
      </c>
      <c r="G599" s="937" t="s">
        <v>1199</v>
      </c>
      <c r="H599" s="5193"/>
      <c r="I599" s="5194"/>
      <c r="J599" s="1051"/>
      <c r="K599" s="5227" t="s">
        <v>174</v>
      </c>
      <c r="L599" s="1113"/>
      <c r="M599" s="1032" t="s">
        <v>37</v>
      </c>
      <c r="N599" s="21" t="s">
        <v>0</v>
      </c>
      <c r="O599" s="21" t="s">
        <v>187</v>
      </c>
      <c r="P599" s="21" t="s">
        <v>4082</v>
      </c>
      <c r="Q599" s="1032"/>
      <c r="R599" s="1032"/>
      <c r="S599" s="1032"/>
      <c r="T599" s="1032"/>
      <c r="U599" s="1030" t="s">
        <v>4346</v>
      </c>
      <c r="V599" s="1083"/>
      <c r="W599"/>
    </row>
    <row r="600" spans="1:23" ht="78.75" customHeight="1">
      <c r="A600" s="446" t="s">
        <v>1323</v>
      </c>
      <c r="B600" s="438">
        <v>45406</v>
      </c>
      <c r="C600" s="82">
        <f t="shared" si="10"/>
        <v>17</v>
      </c>
      <c r="D600" s="1116" t="s">
        <v>939</v>
      </c>
      <c r="E600" s="1090" t="s">
        <v>4345</v>
      </c>
      <c r="F600" s="937" t="s">
        <v>1199</v>
      </c>
      <c r="G600" s="937" t="s">
        <v>1199</v>
      </c>
      <c r="H600" s="5193"/>
      <c r="I600" s="5194"/>
      <c r="J600" s="1051"/>
      <c r="K600" s="5227" t="s">
        <v>174</v>
      </c>
      <c r="L600" s="1113"/>
      <c r="M600" s="1032" t="s">
        <v>37</v>
      </c>
      <c r="N600" s="21" t="s">
        <v>0</v>
      </c>
      <c r="O600" s="21" t="s">
        <v>343</v>
      </c>
      <c r="P600" s="21" t="s">
        <v>4082</v>
      </c>
      <c r="Q600" s="1032"/>
      <c r="R600" s="1032"/>
      <c r="S600" s="1032"/>
      <c r="T600" s="1032"/>
      <c r="U600" s="1030" t="s">
        <v>4630</v>
      </c>
      <c r="V600" s="1083"/>
      <c r="W600"/>
    </row>
    <row r="601" spans="1:23" ht="26.25" customHeight="1">
      <c r="A601" s="446" t="s">
        <v>1323</v>
      </c>
      <c r="B601" s="438">
        <v>45406</v>
      </c>
      <c r="C601" s="82">
        <f t="shared" si="10"/>
        <v>17</v>
      </c>
      <c r="D601" s="1127" t="s">
        <v>282</v>
      </c>
      <c r="E601" s="1127" t="s">
        <v>4631</v>
      </c>
      <c r="F601" s="937" t="s">
        <v>1199</v>
      </c>
      <c r="G601" s="937" t="s">
        <v>1199</v>
      </c>
      <c r="H601" s="5266"/>
      <c r="I601" s="5257"/>
      <c r="J601" s="2727"/>
      <c r="K601" s="5231" t="s">
        <v>4206</v>
      </c>
      <c r="L601" s="1113" t="s">
        <v>37</v>
      </c>
      <c r="M601" s="1032"/>
      <c r="N601" s="1032"/>
      <c r="O601" s="1032"/>
      <c r="P601" s="1032"/>
      <c r="Q601" s="1032"/>
      <c r="R601" s="1032"/>
      <c r="S601" s="1032"/>
      <c r="T601" s="1032"/>
      <c r="U601" s="1030"/>
      <c r="V601" s="1083"/>
      <c r="W601"/>
    </row>
    <row r="602" spans="1:23" ht="26.25" customHeight="1">
      <c r="A602" s="446" t="s">
        <v>1323</v>
      </c>
      <c r="B602" s="438">
        <v>45406</v>
      </c>
      <c r="C602" s="82">
        <f t="shared" ref="C602:C665" si="11">_xlfn.ISOWEEKNUM(B602)</f>
        <v>17</v>
      </c>
      <c r="D602" s="1128" t="s">
        <v>1254</v>
      </c>
      <c r="E602" s="1127" t="s">
        <v>4197</v>
      </c>
      <c r="F602" s="1129" t="s">
        <v>1199</v>
      </c>
      <c r="G602" s="1129" t="s">
        <v>1199</v>
      </c>
      <c r="H602" s="5193">
        <v>706</v>
      </c>
      <c r="I602" s="5194"/>
      <c r="J602" s="1051"/>
      <c r="K602" s="1097"/>
      <c r="L602" s="1113" t="s">
        <v>37</v>
      </c>
      <c r="M602" s="1032"/>
      <c r="N602" s="1032"/>
      <c r="O602" s="1032"/>
      <c r="P602" s="1032"/>
      <c r="Q602" s="1032"/>
      <c r="R602" s="1032"/>
      <c r="S602" s="1032"/>
      <c r="T602" s="1032"/>
      <c r="U602" s="1030"/>
      <c r="V602" s="1083"/>
      <c r="W602"/>
    </row>
    <row r="603" spans="1:23" ht="52.5" customHeight="1">
      <c r="A603" s="446" t="s">
        <v>1323</v>
      </c>
      <c r="B603" s="438">
        <v>45406</v>
      </c>
      <c r="C603" s="82">
        <f t="shared" si="11"/>
        <v>17</v>
      </c>
      <c r="D603" s="1052" t="s">
        <v>4086</v>
      </c>
      <c r="E603" s="1053" t="s">
        <v>4633</v>
      </c>
      <c r="F603" s="935" t="s">
        <v>1199</v>
      </c>
      <c r="G603" s="935" t="s">
        <v>1199</v>
      </c>
      <c r="H603" s="1132"/>
      <c r="I603" s="1131"/>
      <c r="J603" s="1051"/>
      <c r="K603" s="1097"/>
      <c r="L603" s="1113"/>
      <c r="M603" s="1032" t="s">
        <v>37</v>
      </c>
      <c r="N603" s="21" t="s">
        <v>0</v>
      </c>
      <c r="O603" s="21" t="s">
        <v>187</v>
      </c>
      <c r="P603" s="21" t="s">
        <v>4082</v>
      </c>
      <c r="Q603" s="1032"/>
      <c r="R603" s="1032"/>
      <c r="S603" s="1032"/>
      <c r="T603" s="1032"/>
      <c r="U603" s="1030" t="s">
        <v>4346</v>
      </c>
      <c r="V603" s="1083"/>
      <c r="W603"/>
    </row>
    <row r="604" spans="1:23" ht="26.25" customHeight="1">
      <c r="A604" s="446" t="s">
        <v>1323</v>
      </c>
      <c r="B604" s="438">
        <v>45406</v>
      </c>
      <c r="C604" s="82">
        <f t="shared" si="11"/>
        <v>17</v>
      </c>
      <c r="D604" s="1081" t="s">
        <v>1698</v>
      </c>
      <c r="E604" s="1130" t="s">
        <v>3054</v>
      </c>
      <c r="F604" s="937" t="s">
        <v>1199</v>
      </c>
      <c r="G604" s="937" t="s">
        <v>1199</v>
      </c>
      <c r="H604" s="1132"/>
      <c r="I604" s="1131"/>
      <c r="J604" s="1051"/>
      <c r="K604" s="1097"/>
      <c r="L604" s="1113" t="s">
        <v>37</v>
      </c>
      <c r="M604" s="1032"/>
      <c r="N604" s="1032"/>
      <c r="O604" s="1032"/>
      <c r="P604" s="1032"/>
      <c r="Q604" s="1032"/>
      <c r="R604" s="1032"/>
      <c r="S604" s="1032"/>
      <c r="T604" s="1032"/>
      <c r="U604" s="1030"/>
      <c r="V604" s="1083"/>
      <c r="W604"/>
    </row>
    <row r="605" spans="1:23" ht="26.25" customHeight="1">
      <c r="A605" s="446" t="s">
        <v>1323</v>
      </c>
      <c r="B605" s="438">
        <v>45406</v>
      </c>
      <c r="C605" s="82">
        <f t="shared" si="11"/>
        <v>17</v>
      </c>
      <c r="D605" s="1081" t="s">
        <v>4634</v>
      </c>
      <c r="E605" s="1130" t="s">
        <v>1864</v>
      </c>
      <c r="F605" s="937" t="s">
        <v>1199</v>
      </c>
      <c r="G605" s="937" t="s">
        <v>1199</v>
      </c>
      <c r="H605" s="1132"/>
      <c r="I605" s="1131"/>
      <c r="J605" s="1051"/>
      <c r="K605" s="1097"/>
      <c r="L605" s="1113" t="s">
        <v>37</v>
      </c>
      <c r="M605" s="1032"/>
      <c r="N605" s="1032"/>
      <c r="O605" s="1032"/>
      <c r="P605" s="1032"/>
      <c r="Q605" s="1032"/>
      <c r="R605" s="1032"/>
      <c r="S605" s="1032"/>
      <c r="T605" s="1032"/>
      <c r="U605" s="1030"/>
      <c r="V605" s="1083"/>
      <c r="W605"/>
    </row>
    <row r="606" spans="1:23" ht="79.5" customHeight="1" thickBot="1">
      <c r="A606" s="447" t="s">
        <v>1323</v>
      </c>
      <c r="B606" s="448">
        <v>45406</v>
      </c>
      <c r="C606" s="85">
        <f t="shared" si="11"/>
        <v>17</v>
      </c>
      <c r="D606" s="1133" t="s">
        <v>4635</v>
      </c>
      <c r="E606" s="1134" t="s">
        <v>4636</v>
      </c>
      <c r="F606" s="1135" t="s">
        <v>1199</v>
      </c>
      <c r="G606" s="1136" t="s">
        <v>1199</v>
      </c>
      <c r="H606" s="99"/>
      <c r="I606" s="213"/>
      <c r="J606" s="49"/>
      <c r="K606" s="211"/>
      <c r="L606" s="1137"/>
      <c r="M606" s="1035" t="s">
        <v>37</v>
      </c>
      <c r="N606" s="35" t="s">
        <v>0</v>
      </c>
      <c r="O606" s="35" t="s">
        <v>736</v>
      </c>
      <c r="P606" s="35" t="s">
        <v>4330</v>
      </c>
      <c r="Q606" s="1138">
        <v>3</v>
      </c>
      <c r="R606" s="57"/>
      <c r="S606" s="57"/>
      <c r="T606" s="57"/>
      <c r="U606" s="1154" t="s">
        <v>4637</v>
      </c>
      <c r="V606" s="1919"/>
      <c r="W606"/>
    </row>
    <row r="607" spans="1:23" ht="52.5" customHeight="1">
      <c r="A607" s="965" t="s">
        <v>1495</v>
      </c>
      <c r="B607" s="966">
        <v>45407</v>
      </c>
      <c r="C607" s="832">
        <f t="shared" si="11"/>
        <v>17</v>
      </c>
      <c r="D607" s="1120" t="s">
        <v>4586</v>
      </c>
      <c r="E607" s="1121" t="s">
        <v>4635</v>
      </c>
      <c r="F607" s="1122" t="s">
        <v>1199</v>
      </c>
      <c r="G607" s="1122" t="s">
        <v>1199</v>
      </c>
      <c r="H607" s="112"/>
      <c r="I607" s="213"/>
      <c r="J607" s="49"/>
      <c r="K607" s="211"/>
      <c r="L607" s="1107" t="s">
        <v>37</v>
      </c>
      <c r="M607" s="1051"/>
      <c r="N607" s="1051"/>
      <c r="O607" s="1051"/>
      <c r="P607" s="1051"/>
      <c r="Q607" s="1051"/>
      <c r="R607" s="1093">
        <v>3</v>
      </c>
      <c r="S607" s="1051"/>
      <c r="T607" s="1051"/>
      <c r="U607" s="1034" t="s">
        <v>4638</v>
      </c>
      <c r="V607" s="1083"/>
      <c r="W607"/>
    </row>
    <row r="608" spans="1:23" ht="26.25" customHeight="1">
      <c r="A608" s="446" t="s">
        <v>1495</v>
      </c>
      <c r="B608" s="438">
        <v>45407</v>
      </c>
      <c r="C608" s="82">
        <f t="shared" si="11"/>
        <v>17</v>
      </c>
      <c r="D608" s="1091" t="s">
        <v>4635</v>
      </c>
      <c r="E608" s="1092" t="s">
        <v>4639</v>
      </c>
      <c r="F608" s="937" t="s">
        <v>1199</v>
      </c>
      <c r="G608" s="937" t="s">
        <v>1199</v>
      </c>
      <c r="H608" s="50"/>
      <c r="I608" s="213"/>
      <c r="J608" s="49"/>
      <c r="K608" s="211"/>
      <c r="L608" s="1113" t="s">
        <v>37</v>
      </c>
      <c r="M608" s="1032"/>
      <c r="N608" s="1032"/>
      <c r="O608" s="1032"/>
      <c r="P608" s="1032"/>
      <c r="Q608" s="1032"/>
      <c r="R608" s="1117">
        <v>3</v>
      </c>
      <c r="S608" s="1032"/>
      <c r="T608" s="1032"/>
      <c r="U608" s="1030"/>
      <c r="V608" s="1083"/>
      <c r="W608"/>
    </row>
    <row r="609" spans="1:23" ht="26.25" customHeight="1">
      <c r="A609" s="446" t="s">
        <v>1495</v>
      </c>
      <c r="B609" s="438">
        <v>45407</v>
      </c>
      <c r="C609" s="82">
        <f t="shared" si="11"/>
        <v>17</v>
      </c>
      <c r="D609" s="1115" t="s">
        <v>1654</v>
      </c>
      <c r="E609" s="1058" t="s">
        <v>4344</v>
      </c>
      <c r="F609" s="937" t="s">
        <v>1199</v>
      </c>
      <c r="G609" s="937" t="s">
        <v>1199</v>
      </c>
      <c r="H609" s="5193"/>
      <c r="I609" s="5194"/>
      <c r="J609" s="1051"/>
      <c r="K609" s="5227" t="s">
        <v>174</v>
      </c>
      <c r="L609" s="1113" t="s">
        <v>37</v>
      </c>
      <c r="M609" s="1032"/>
      <c r="N609" s="1032"/>
      <c r="O609" s="1032"/>
      <c r="P609" s="1032"/>
      <c r="Q609" s="1032"/>
      <c r="R609" s="1032"/>
      <c r="S609" s="1032"/>
      <c r="T609" s="1032"/>
      <c r="U609" s="1030"/>
      <c r="V609" s="1083"/>
      <c r="W609"/>
    </row>
    <row r="610" spans="1:23" ht="26.25" customHeight="1">
      <c r="A610" s="446" t="s">
        <v>1495</v>
      </c>
      <c r="B610" s="438">
        <v>45407</v>
      </c>
      <c r="C610" s="82">
        <f t="shared" si="11"/>
        <v>17</v>
      </c>
      <c r="D610" s="1115" t="s">
        <v>939</v>
      </c>
      <c r="E610" s="1058" t="s">
        <v>4345</v>
      </c>
      <c r="F610" s="937" t="s">
        <v>1199</v>
      </c>
      <c r="G610" s="937" t="s">
        <v>1199</v>
      </c>
      <c r="H610" s="5193"/>
      <c r="I610" s="5194"/>
      <c r="J610" s="1051"/>
      <c r="K610" s="5227" t="s">
        <v>174</v>
      </c>
      <c r="L610" s="1113" t="s">
        <v>37</v>
      </c>
      <c r="M610" s="1032"/>
      <c r="N610" s="1032"/>
      <c r="O610" s="1032"/>
      <c r="P610" s="1032"/>
      <c r="Q610" s="1032"/>
      <c r="R610" s="1032"/>
      <c r="S610" s="1032"/>
      <c r="T610" s="1032"/>
      <c r="U610" s="1030"/>
      <c r="V610" s="1083"/>
      <c r="W610"/>
    </row>
    <row r="611" spans="1:23" ht="53.25" customHeight="1" thickBot="1">
      <c r="A611" s="447" t="s">
        <v>1495</v>
      </c>
      <c r="B611" s="448">
        <v>45407</v>
      </c>
      <c r="C611" s="85">
        <f t="shared" si="11"/>
        <v>17</v>
      </c>
      <c r="D611" s="1118" t="s">
        <v>4155</v>
      </c>
      <c r="E611" s="1119" t="s">
        <v>4345</v>
      </c>
      <c r="F611" s="956" t="s">
        <v>1768</v>
      </c>
      <c r="G611" s="956" t="s">
        <v>4640</v>
      </c>
      <c r="H611" s="5198"/>
      <c r="I611" s="5199"/>
      <c r="J611" s="1051"/>
      <c r="K611" s="5227" t="s">
        <v>174</v>
      </c>
      <c r="L611" s="1114"/>
      <c r="M611" s="1035" t="s">
        <v>37</v>
      </c>
      <c r="N611" s="35" t="s">
        <v>0</v>
      </c>
      <c r="O611" s="35" t="s">
        <v>187</v>
      </c>
      <c r="P611" s="35" t="s">
        <v>4082</v>
      </c>
      <c r="Q611" s="1035"/>
      <c r="R611" s="1035"/>
      <c r="S611" s="1035"/>
      <c r="T611" s="1035"/>
      <c r="U611" s="1036"/>
      <c r="V611" s="1083"/>
      <c r="W611"/>
    </row>
    <row r="612" spans="1:23" ht="26.25" customHeight="1">
      <c r="A612" s="965" t="s">
        <v>1857</v>
      </c>
      <c r="B612" s="966">
        <v>45408</v>
      </c>
      <c r="C612" s="832">
        <f t="shared" si="11"/>
        <v>17</v>
      </c>
      <c r="D612" s="1046" t="s">
        <v>2927</v>
      </c>
      <c r="E612" s="1047" t="s">
        <v>4615</v>
      </c>
      <c r="F612" s="1048" t="s">
        <v>1764</v>
      </c>
      <c r="G612" s="1048" t="s">
        <v>1764</v>
      </c>
      <c r="H612" s="5267"/>
      <c r="I612" s="5257"/>
      <c r="J612" s="2727"/>
      <c r="K612" s="5231" t="s">
        <v>4206</v>
      </c>
      <c r="L612" s="1107" t="s">
        <v>37</v>
      </c>
      <c r="M612" s="1051"/>
      <c r="N612" s="1051"/>
      <c r="O612" s="1051"/>
      <c r="P612" s="1051"/>
      <c r="Q612" s="1051"/>
      <c r="R612" s="1051"/>
      <c r="S612" s="1051"/>
      <c r="T612" s="1051"/>
      <c r="U612" s="1034"/>
      <c r="V612" s="1083"/>
      <c r="W612"/>
    </row>
    <row r="613" spans="1:23" ht="26.25" customHeight="1">
      <c r="A613" s="446" t="s">
        <v>1857</v>
      </c>
      <c r="B613" s="438">
        <v>45408</v>
      </c>
      <c r="C613" s="82">
        <f t="shared" si="11"/>
        <v>17</v>
      </c>
      <c r="D613" s="1053" t="s">
        <v>502</v>
      </c>
      <c r="E613" s="1052" t="s">
        <v>282</v>
      </c>
      <c r="F613" s="937" t="s">
        <v>1764</v>
      </c>
      <c r="G613" s="937" t="s">
        <v>1764</v>
      </c>
      <c r="H613" s="1109"/>
      <c r="I613" s="1099"/>
      <c r="J613" s="1051"/>
      <c r="K613" s="1097"/>
      <c r="L613" s="1113" t="s">
        <v>37</v>
      </c>
      <c r="M613" s="1032"/>
      <c r="N613" s="1032"/>
      <c r="O613" s="1032"/>
      <c r="P613" s="1032"/>
      <c r="Q613" s="1032"/>
      <c r="R613" s="1032"/>
      <c r="S613" s="1032"/>
      <c r="T613" s="1032"/>
      <c r="U613" s="1030"/>
      <c r="V613" s="1083"/>
      <c r="W613"/>
    </row>
    <row r="614" spans="1:23" ht="26.25" customHeight="1">
      <c r="A614" s="446" t="s">
        <v>1857</v>
      </c>
      <c r="B614" s="438">
        <v>45408</v>
      </c>
      <c r="C614" s="82">
        <f t="shared" si="11"/>
        <v>17</v>
      </c>
      <c r="D614" s="1052" t="s">
        <v>4598</v>
      </c>
      <c r="E614" s="1053" t="s">
        <v>4641</v>
      </c>
      <c r="F614" s="937" t="s">
        <v>1199</v>
      </c>
      <c r="G614" s="937" t="s">
        <v>1199</v>
      </c>
      <c r="H614" s="1109"/>
      <c r="I614" s="1100"/>
      <c r="J614" s="1095"/>
      <c r="K614" s="1098"/>
      <c r="L614" s="1113" t="s">
        <v>37</v>
      </c>
      <c r="M614" s="1032"/>
      <c r="N614" s="1032"/>
      <c r="O614" s="1032"/>
      <c r="P614" s="1032"/>
      <c r="Q614" s="1032"/>
      <c r="R614" s="1032"/>
      <c r="S614" s="1032"/>
      <c r="T614" s="1032"/>
      <c r="U614" s="1030"/>
      <c r="V614" s="1083"/>
      <c r="W614"/>
    </row>
    <row r="615" spans="1:23" ht="26.25" customHeight="1">
      <c r="A615" s="446" t="s">
        <v>1857</v>
      </c>
      <c r="B615" s="438">
        <v>45408</v>
      </c>
      <c r="C615" s="82">
        <f t="shared" si="11"/>
        <v>17</v>
      </c>
      <c r="D615" s="1091" t="s">
        <v>4639</v>
      </c>
      <c r="E615" s="1092" t="s">
        <v>3037</v>
      </c>
      <c r="F615" s="937" t="s">
        <v>1199</v>
      </c>
      <c r="G615" s="937" t="s">
        <v>1199</v>
      </c>
      <c r="H615" s="50"/>
      <c r="I615" s="213"/>
      <c r="J615" s="49"/>
      <c r="K615" s="211"/>
      <c r="L615" s="1113" t="s">
        <v>37</v>
      </c>
      <c r="M615" s="1032"/>
      <c r="N615" s="49"/>
      <c r="O615" s="49"/>
      <c r="P615" s="49"/>
      <c r="Q615" s="49"/>
      <c r="R615" s="49"/>
      <c r="S615" s="49"/>
      <c r="T615" s="49"/>
      <c r="U615" s="50"/>
      <c r="V615"/>
      <c r="W615"/>
    </row>
    <row r="616" spans="1:23" ht="52.5" customHeight="1">
      <c r="A616" s="446" t="s">
        <v>1857</v>
      </c>
      <c r="B616" s="438">
        <v>45408</v>
      </c>
      <c r="C616" s="82">
        <f t="shared" si="11"/>
        <v>17</v>
      </c>
      <c r="D616" s="1108" t="s">
        <v>1059</v>
      </c>
      <c r="E616" s="1096" t="s">
        <v>4642</v>
      </c>
      <c r="F616" s="937" t="s">
        <v>1199</v>
      </c>
      <c r="G616" s="937" t="s">
        <v>1199</v>
      </c>
      <c r="H616" s="1103"/>
      <c r="I616" s="1101"/>
      <c r="J616" s="111"/>
      <c r="K616" s="235"/>
      <c r="L616" s="1113"/>
      <c r="M616" s="1032" t="s">
        <v>37</v>
      </c>
      <c r="N616" s="21" t="s">
        <v>0</v>
      </c>
      <c r="O616" s="21" t="s">
        <v>4162</v>
      </c>
      <c r="P616" s="21" t="s">
        <v>4080</v>
      </c>
      <c r="Q616" s="49"/>
      <c r="R616" s="49"/>
      <c r="S616" s="49"/>
      <c r="T616" s="49"/>
      <c r="U616" s="50" t="s">
        <v>4643</v>
      </c>
      <c r="V616"/>
      <c r="W616"/>
    </row>
    <row r="617" spans="1:23" ht="52.5" customHeight="1">
      <c r="A617" s="446" t="s">
        <v>1857</v>
      </c>
      <c r="B617" s="438">
        <v>45408</v>
      </c>
      <c r="C617" s="82">
        <f t="shared" si="11"/>
        <v>17</v>
      </c>
      <c r="D617" s="1108" t="s">
        <v>1254</v>
      </c>
      <c r="E617" s="1096" t="s">
        <v>4255</v>
      </c>
      <c r="F617" s="937" t="s">
        <v>1199</v>
      </c>
      <c r="G617" s="937" t="s">
        <v>1199</v>
      </c>
      <c r="H617" s="5266"/>
      <c r="I617" s="5257"/>
      <c r="J617" s="5316"/>
      <c r="K617" s="5231" t="s">
        <v>4206</v>
      </c>
      <c r="L617" s="1113"/>
      <c r="M617" s="1032" t="s">
        <v>37</v>
      </c>
      <c r="N617" s="21" t="s">
        <v>0</v>
      </c>
      <c r="O617" s="21" t="s">
        <v>4162</v>
      </c>
      <c r="P617" s="21" t="s">
        <v>4080</v>
      </c>
      <c r="Q617" s="49"/>
      <c r="R617" s="49"/>
      <c r="S617" s="49"/>
      <c r="T617" s="49"/>
      <c r="U617" s="50" t="s">
        <v>4643</v>
      </c>
      <c r="V617"/>
      <c r="W617"/>
    </row>
    <row r="618" spans="1:23" ht="53.25" customHeight="1" thickBot="1">
      <c r="A618" s="447" t="s">
        <v>1857</v>
      </c>
      <c r="B618" s="448">
        <v>45408</v>
      </c>
      <c r="C618" s="85">
        <f t="shared" si="11"/>
        <v>17</v>
      </c>
      <c r="D618" s="1110" t="s">
        <v>282</v>
      </c>
      <c r="E618" s="1111" t="s">
        <v>2149</v>
      </c>
      <c r="F618" s="956" t="s">
        <v>1199</v>
      </c>
      <c r="G618" s="956" t="s">
        <v>1199</v>
      </c>
      <c r="H618" s="1112"/>
      <c r="I618" s="1099"/>
      <c r="J618" s="1051"/>
      <c r="K618" s="1097"/>
      <c r="L618" s="1114"/>
      <c r="M618" s="1035" t="s">
        <v>37</v>
      </c>
      <c r="N618" s="35" t="s">
        <v>0</v>
      </c>
      <c r="O618" s="35" t="s">
        <v>4162</v>
      </c>
      <c r="P618" s="35" t="s">
        <v>4080</v>
      </c>
      <c r="Q618" s="1035"/>
      <c r="R618" s="1035"/>
      <c r="S618" s="1035"/>
      <c r="T618" s="1035"/>
      <c r="U618" s="99" t="s">
        <v>4643</v>
      </c>
      <c r="V618"/>
      <c r="W618"/>
    </row>
    <row r="619" spans="1:23" ht="27" customHeight="1" thickBot="1">
      <c r="A619" s="1045" t="s">
        <v>1280</v>
      </c>
      <c r="B619" s="966">
        <v>45411</v>
      </c>
      <c r="C619" s="85">
        <f t="shared" si="11"/>
        <v>18</v>
      </c>
      <c r="D619" s="2702" t="s">
        <v>3037</v>
      </c>
      <c r="E619" s="2703" t="s">
        <v>4644</v>
      </c>
      <c r="H619"/>
      <c r="K619"/>
      <c r="L619" s="1009" t="s">
        <v>37</v>
      </c>
      <c r="M619" s="1009"/>
      <c r="U619"/>
      <c r="V619"/>
      <c r="W619"/>
    </row>
    <row r="620" spans="1:23" ht="53.25" customHeight="1" thickBot="1">
      <c r="A620" s="1045" t="s">
        <v>1280</v>
      </c>
      <c r="B620" s="966">
        <v>45411</v>
      </c>
      <c r="C620" s="85">
        <f t="shared" si="11"/>
        <v>18</v>
      </c>
      <c r="D620" s="993" t="s">
        <v>879</v>
      </c>
      <c r="E620" s="2704" t="s">
        <v>389</v>
      </c>
      <c r="H620"/>
      <c r="K620"/>
      <c r="L620" s="923"/>
      <c r="M620" s="923" t="s">
        <v>37</v>
      </c>
      <c r="P620" s="20" t="s">
        <v>4330</v>
      </c>
      <c r="U620"/>
      <c r="V620"/>
      <c r="W620"/>
    </row>
    <row r="621" spans="1:23" ht="27" customHeight="1" thickBot="1">
      <c r="A621" s="1045" t="s">
        <v>1280</v>
      </c>
      <c r="B621" s="966">
        <v>45411</v>
      </c>
      <c r="C621" s="85">
        <f t="shared" si="11"/>
        <v>18</v>
      </c>
      <c r="D621" s="1155" t="s">
        <v>1905</v>
      </c>
      <c r="E621" s="1156" t="s">
        <v>4645</v>
      </c>
      <c r="H621"/>
      <c r="K621"/>
      <c r="L621" s="1032" t="s">
        <v>37</v>
      </c>
      <c r="M621" s="1032"/>
      <c r="U621"/>
      <c r="V621"/>
      <c r="W621"/>
    </row>
    <row r="622" spans="1:23" ht="27" customHeight="1" thickBot="1">
      <c r="A622" s="1045" t="s">
        <v>1280</v>
      </c>
      <c r="B622" s="966">
        <v>45411</v>
      </c>
      <c r="C622" s="85">
        <f t="shared" si="11"/>
        <v>18</v>
      </c>
      <c r="D622" s="1157" t="s">
        <v>282</v>
      </c>
      <c r="E622" s="1158" t="s">
        <v>1005</v>
      </c>
      <c r="H622"/>
      <c r="K622"/>
      <c r="L622" s="1032" t="s">
        <v>37</v>
      </c>
      <c r="M622" s="1032"/>
      <c r="U622"/>
      <c r="V622"/>
      <c r="W622"/>
    </row>
    <row r="623" spans="1:23" ht="27" customHeight="1" thickBot="1">
      <c r="A623" s="1045" t="s">
        <v>1280</v>
      </c>
      <c r="B623" s="966">
        <v>45411</v>
      </c>
      <c r="C623" s="85">
        <f t="shared" si="11"/>
        <v>18</v>
      </c>
      <c r="D623" s="1157" t="s">
        <v>888</v>
      </c>
      <c r="E623" s="1158" t="s">
        <v>4646</v>
      </c>
      <c r="H623"/>
      <c r="K623"/>
      <c r="L623" s="1032" t="s">
        <v>37</v>
      </c>
      <c r="M623" s="1032"/>
      <c r="U623"/>
      <c r="V623"/>
      <c r="W623"/>
    </row>
    <row r="624" spans="1:23" ht="53.25" customHeight="1" thickBot="1">
      <c r="A624" s="1045" t="s">
        <v>1280</v>
      </c>
      <c r="B624" s="966">
        <v>45411</v>
      </c>
      <c r="C624" s="85">
        <f t="shared" si="11"/>
        <v>18</v>
      </c>
      <c r="D624" s="1159" t="s">
        <v>1153</v>
      </c>
      <c r="E624" s="1160" t="s">
        <v>4647</v>
      </c>
      <c r="H624"/>
      <c r="K624"/>
      <c r="L624" s="1051"/>
      <c r="M624" s="1051" t="s">
        <v>37</v>
      </c>
      <c r="P624" s="20" t="s">
        <v>4102</v>
      </c>
      <c r="U624"/>
      <c r="V624"/>
      <c r="W624"/>
    </row>
    <row r="625" spans="1:23" ht="27" customHeight="1" thickBot="1">
      <c r="A625" s="965" t="s">
        <v>180</v>
      </c>
      <c r="B625" s="966">
        <v>45412</v>
      </c>
      <c r="C625" s="85">
        <f t="shared" si="11"/>
        <v>18</v>
      </c>
      <c r="D625" s="1161" t="s">
        <v>4541</v>
      </c>
      <c r="E625" s="1162" t="s">
        <v>4648</v>
      </c>
      <c r="H625"/>
      <c r="K625"/>
      <c r="L625" s="1032" t="s">
        <v>37</v>
      </c>
      <c r="M625" s="1032"/>
      <c r="U625"/>
      <c r="V625"/>
      <c r="W625"/>
    </row>
    <row r="626" spans="1:23" ht="27" customHeight="1" thickBot="1">
      <c r="A626" s="965" t="s">
        <v>180</v>
      </c>
      <c r="B626" s="966">
        <v>45412</v>
      </c>
      <c r="C626" s="85">
        <f t="shared" si="11"/>
        <v>18</v>
      </c>
      <c r="D626" s="1159" t="s">
        <v>4649</v>
      </c>
      <c r="E626" s="1160" t="s">
        <v>4650</v>
      </c>
      <c r="H626"/>
      <c r="K626"/>
      <c r="L626" s="1051" t="s">
        <v>37</v>
      </c>
      <c r="M626" s="1051"/>
      <c r="U626"/>
      <c r="V626"/>
      <c r="W626"/>
    </row>
    <row r="627" spans="1:23" ht="27" customHeight="1" thickBot="1">
      <c r="A627" s="965" t="s">
        <v>180</v>
      </c>
      <c r="B627" s="966">
        <v>45412</v>
      </c>
      <c r="C627" s="85">
        <f t="shared" si="11"/>
        <v>18</v>
      </c>
      <c r="D627" s="1163" t="s">
        <v>502</v>
      </c>
      <c r="E627" s="1164" t="s">
        <v>2261</v>
      </c>
      <c r="H627"/>
      <c r="K627"/>
      <c r="L627" s="1051" t="s">
        <v>37</v>
      </c>
      <c r="M627" s="1051"/>
      <c r="U627"/>
      <c r="V627"/>
      <c r="W627"/>
    </row>
    <row r="628" spans="1:23" ht="27" customHeight="1" thickBot="1">
      <c r="A628" s="965" t="s">
        <v>180</v>
      </c>
      <c r="B628" s="966">
        <v>45412</v>
      </c>
      <c r="C628" s="85">
        <f t="shared" si="11"/>
        <v>18</v>
      </c>
      <c r="D628" s="1163" t="s">
        <v>4651</v>
      </c>
      <c r="E628" s="1164" t="s">
        <v>1567</v>
      </c>
      <c r="H628"/>
      <c r="K628"/>
      <c r="L628" s="1051" t="s">
        <v>37</v>
      </c>
      <c r="M628" s="1051"/>
      <c r="U628"/>
      <c r="V628"/>
      <c r="W628"/>
    </row>
    <row r="629" spans="1:23" ht="27" customHeight="1" thickBot="1">
      <c r="A629" s="446" t="s">
        <v>180</v>
      </c>
      <c r="B629" s="438">
        <v>45412</v>
      </c>
      <c r="C629" s="85">
        <f t="shared" si="11"/>
        <v>18</v>
      </c>
      <c r="D629" s="1165" t="s">
        <v>1698</v>
      </c>
      <c r="E629" s="1166" t="s">
        <v>614</v>
      </c>
      <c r="H629"/>
      <c r="K629"/>
      <c r="L629" s="1095" t="s">
        <v>37</v>
      </c>
      <c r="M629" s="1032"/>
      <c r="U629"/>
      <c r="V629"/>
      <c r="W629"/>
    </row>
    <row r="630" spans="1:23" ht="27" customHeight="1" thickBot="1">
      <c r="A630" s="446" t="s">
        <v>180</v>
      </c>
      <c r="B630" s="438">
        <v>45412</v>
      </c>
      <c r="C630" s="85">
        <f t="shared" si="11"/>
        <v>18</v>
      </c>
      <c r="D630" s="1159" t="s">
        <v>1153</v>
      </c>
      <c r="E630" s="1160" t="s">
        <v>4647</v>
      </c>
      <c r="H630"/>
      <c r="K630"/>
      <c r="L630" s="1032" t="s">
        <v>37</v>
      </c>
      <c r="M630" s="1051"/>
      <c r="U630"/>
      <c r="V630"/>
      <c r="W630"/>
    </row>
    <row r="631" spans="1:23" ht="27" customHeight="1" thickBot="1">
      <c r="A631" s="446" t="s">
        <v>180</v>
      </c>
      <c r="B631" s="438">
        <v>45412</v>
      </c>
      <c r="C631" s="85">
        <f t="shared" si="11"/>
        <v>18</v>
      </c>
      <c r="D631" s="1157" t="s">
        <v>3971</v>
      </c>
      <c r="E631" s="1157" t="s">
        <v>1005</v>
      </c>
      <c r="H631"/>
      <c r="K631"/>
      <c r="L631" s="1051" t="s">
        <v>37</v>
      </c>
      <c r="M631" s="1051"/>
      <c r="U631"/>
      <c r="V631"/>
      <c r="W631"/>
    </row>
    <row r="632" spans="1:23" ht="27" customHeight="1" thickBot="1">
      <c r="A632" s="1045" t="s">
        <v>180</v>
      </c>
      <c r="B632" s="966">
        <v>45412</v>
      </c>
      <c r="C632" s="85">
        <f t="shared" si="11"/>
        <v>18</v>
      </c>
      <c r="D632" s="1157" t="s">
        <v>4652</v>
      </c>
      <c r="E632" s="1157" t="s">
        <v>3985</v>
      </c>
      <c r="H632"/>
      <c r="K632"/>
      <c r="L632" s="1051" t="s">
        <v>37</v>
      </c>
      <c r="M632" s="1051"/>
      <c r="U632"/>
      <c r="V632"/>
      <c r="W632"/>
    </row>
    <row r="633" spans="1:23" ht="27" customHeight="1" thickBot="1">
      <c r="A633" s="965" t="s">
        <v>180</v>
      </c>
      <c r="B633" s="966">
        <v>45412</v>
      </c>
      <c r="C633" s="85">
        <f t="shared" si="11"/>
        <v>18</v>
      </c>
      <c r="D633" s="1167" t="s">
        <v>675</v>
      </c>
      <c r="E633" s="1168" t="s">
        <v>584</v>
      </c>
      <c r="H633"/>
      <c r="K633"/>
      <c r="L633" s="1051" t="s">
        <v>37</v>
      </c>
      <c r="M633" s="1051"/>
      <c r="U633"/>
      <c r="V633"/>
      <c r="W633"/>
    </row>
    <row r="634" spans="1:23" ht="27" customHeight="1" thickBot="1">
      <c r="A634" s="965" t="s">
        <v>180</v>
      </c>
      <c r="B634" s="966">
        <v>45412</v>
      </c>
      <c r="C634" s="85">
        <f t="shared" si="11"/>
        <v>18</v>
      </c>
      <c r="D634" s="1167" t="s">
        <v>586</v>
      </c>
      <c r="E634" s="1168" t="s">
        <v>4216</v>
      </c>
      <c r="H634"/>
      <c r="K634"/>
      <c r="L634" s="1051" t="s">
        <v>37</v>
      </c>
      <c r="M634" s="1051"/>
      <c r="U634"/>
      <c r="V634"/>
      <c r="W634"/>
    </row>
    <row r="635" spans="1:23" ht="27" customHeight="1" thickBot="1">
      <c r="A635" s="965" t="s">
        <v>3802</v>
      </c>
      <c r="B635" s="966">
        <v>45413</v>
      </c>
      <c r="C635" s="85">
        <f t="shared" si="11"/>
        <v>18</v>
      </c>
      <c r="D635" s="1169" t="s">
        <v>675</v>
      </c>
      <c r="E635" s="1170" t="s">
        <v>1005</v>
      </c>
      <c r="H635"/>
      <c r="K635"/>
      <c r="L635" s="1051" t="s">
        <v>30</v>
      </c>
      <c r="M635" s="1051"/>
      <c r="U635"/>
      <c r="V635"/>
      <c r="W635"/>
    </row>
    <row r="636" spans="1:23" ht="27" customHeight="1" thickBot="1">
      <c r="A636" s="965" t="s">
        <v>1495</v>
      </c>
      <c r="B636" s="966">
        <v>45414</v>
      </c>
      <c r="C636" s="85">
        <f t="shared" si="11"/>
        <v>18</v>
      </c>
      <c r="D636" s="1171" t="s">
        <v>675</v>
      </c>
      <c r="E636" s="1172" t="s">
        <v>584</v>
      </c>
      <c r="H636"/>
      <c r="K636"/>
      <c r="L636" s="1051"/>
      <c r="M636" s="1051"/>
      <c r="U636"/>
      <c r="V636"/>
      <c r="W636"/>
    </row>
    <row r="637" spans="1:23" ht="27" customHeight="1" thickBot="1">
      <c r="A637" s="965" t="s">
        <v>1495</v>
      </c>
      <c r="B637" s="966">
        <v>45414</v>
      </c>
      <c r="C637" s="85">
        <f t="shared" si="11"/>
        <v>18</v>
      </c>
      <c r="D637" s="1171" t="s">
        <v>586</v>
      </c>
      <c r="E637" s="1172" t="s">
        <v>4216</v>
      </c>
      <c r="H637"/>
      <c r="K637"/>
      <c r="L637" s="1051"/>
      <c r="M637" s="1051"/>
      <c r="U637"/>
      <c r="V637"/>
      <c r="W637"/>
    </row>
    <row r="638" spans="1:23" ht="27" customHeight="1" thickBot="1">
      <c r="A638" s="965" t="s">
        <v>1495</v>
      </c>
      <c r="B638" s="966">
        <v>45414</v>
      </c>
      <c r="C638" s="85">
        <f t="shared" si="11"/>
        <v>18</v>
      </c>
      <c r="D638" s="1173" t="s">
        <v>1005</v>
      </c>
      <c r="E638" s="1174" t="s">
        <v>889</v>
      </c>
      <c r="H638"/>
      <c r="K638"/>
      <c r="L638" s="1051"/>
      <c r="M638" s="1051"/>
      <c r="U638"/>
      <c r="V638"/>
      <c r="W638"/>
    </row>
    <row r="639" spans="1:23" ht="27" customHeight="1" thickBot="1">
      <c r="A639" s="965" t="s">
        <v>1495</v>
      </c>
      <c r="B639" s="966">
        <v>45414</v>
      </c>
      <c r="C639" s="85">
        <f t="shared" si="11"/>
        <v>18</v>
      </c>
      <c r="D639" s="1175" t="s">
        <v>258</v>
      </c>
      <c r="E639" s="1176" t="s">
        <v>4255</v>
      </c>
      <c r="H639"/>
      <c r="K639"/>
      <c r="L639" s="1051"/>
      <c r="M639" s="1051"/>
      <c r="U639"/>
      <c r="V639"/>
      <c r="W639"/>
    </row>
    <row r="640" spans="1:23" ht="27" customHeight="1" thickBot="1">
      <c r="A640" s="965" t="s">
        <v>1495</v>
      </c>
      <c r="B640" s="966">
        <v>45414</v>
      </c>
      <c r="C640" s="85">
        <f t="shared" si="11"/>
        <v>18</v>
      </c>
      <c r="D640" s="1177" t="s">
        <v>1685</v>
      </c>
      <c r="E640" s="1178" t="s">
        <v>4653</v>
      </c>
      <c r="H640"/>
      <c r="K640"/>
      <c r="L640" s="1051"/>
      <c r="M640" s="1051"/>
      <c r="U640"/>
      <c r="V640"/>
      <c r="W640"/>
    </row>
    <row r="641" spans="1:23" ht="27" customHeight="1" thickBot="1">
      <c r="A641" s="965" t="s">
        <v>1495</v>
      </c>
      <c r="B641" s="966">
        <v>45414</v>
      </c>
      <c r="C641" s="85">
        <f t="shared" si="11"/>
        <v>18</v>
      </c>
      <c r="D641" s="1177" t="s">
        <v>1165</v>
      </c>
      <c r="E641" s="1178" t="s">
        <v>488</v>
      </c>
      <c r="H641"/>
      <c r="K641"/>
      <c r="L641" s="1051"/>
      <c r="M641" s="1051"/>
      <c r="U641"/>
      <c r="V641"/>
      <c r="W641"/>
    </row>
    <row r="642" spans="1:23" ht="27" customHeight="1" thickBot="1">
      <c r="A642" s="965" t="s">
        <v>1495</v>
      </c>
      <c r="B642" s="966">
        <v>45414</v>
      </c>
      <c r="C642" s="85">
        <f t="shared" si="11"/>
        <v>18</v>
      </c>
      <c r="D642" s="1115" t="s">
        <v>2352</v>
      </c>
      <c r="E642" s="1058" t="s">
        <v>4654</v>
      </c>
      <c r="H642"/>
      <c r="K642"/>
      <c r="L642" s="1051"/>
      <c r="M642" s="1051"/>
      <c r="U642"/>
      <c r="V642"/>
      <c r="W642"/>
    </row>
    <row r="643" spans="1:23" ht="27" customHeight="1" thickBot="1">
      <c r="A643" s="965" t="s">
        <v>1495</v>
      </c>
      <c r="B643" s="966">
        <v>45414</v>
      </c>
      <c r="C643" s="85">
        <f t="shared" si="11"/>
        <v>18</v>
      </c>
      <c r="D643" s="1179" t="s">
        <v>4655</v>
      </c>
      <c r="E643" s="1059" t="s">
        <v>1074</v>
      </c>
      <c r="H643"/>
      <c r="K643"/>
      <c r="L643" s="1051"/>
      <c r="M643" s="1051"/>
      <c r="U643"/>
      <c r="V643"/>
      <c r="W643"/>
    </row>
    <row r="644" spans="1:23" ht="27" customHeight="1" thickBot="1">
      <c r="A644" s="965" t="s">
        <v>1495</v>
      </c>
      <c r="B644" s="966">
        <v>45414</v>
      </c>
      <c r="C644" s="85">
        <f t="shared" si="11"/>
        <v>18</v>
      </c>
      <c r="D644" s="1180" t="s">
        <v>304</v>
      </c>
      <c r="E644" s="1181" t="s">
        <v>1701</v>
      </c>
      <c r="H644"/>
      <c r="K644"/>
      <c r="L644" s="1051"/>
      <c r="M644" s="1051"/>
      <c r="U644"/>
      <c r="V644"/>
      <c r="W644"/>
    </row>
    <row r="645" spans="1:23" ht="27" customHeight="1" thickBot="1">
      <c r="A645" s="965" t="s">
        <v>1495</v>
      </c>
      <c r="B645" s="966">
        <v>45414</v>
      </c>
      <c r="C645" s="85">
        <f t="shared" si="11"/>
        <v>18</v>
      </c>
      <c r="D645" s="1180" t="s">
        <v>1714</v>
      </c>
      <c r="E645" s="1181" t="s">
        <v>4656</v>
      </c>
      <c r="H645"/>
      <c r="K645"/>
      <c r="L645" s="1051"/>
      <c r="M645" s="1051"/>
      <c r="U645"/>
      <c r="V645"/>
      <c r="W645"/>
    </row>
    <row r="646" spans="1:23" ht="27" customHeight="1" thickBot="1">
      <c r="A646" s="965" t="s">
        <v>1495</v>
      </c>
      <c r="B646" s="966">
        <v>45414</v>
      </c>
      <c r="C646" s="85">
        <f t="shared" si="11"/>
        <v>18</v>
      </c>
      <c r="D646" s="1115" t="s">
        <v>4657</v>
      </c>
      <c r="E646" s="1058" t="s">
        <v>4658</v>
      </c>
      <c r="H646"/>
      <c r="K646"/>
      <c r="L646" s="1051"/>
      <c r="M646" s="1051"/>
      <c r="U646"/>
      <c r="V646"/>
      <c r="W646"/>
    </row>
    <row r="647" spans="1:23" ht="27" customHeight="1" thickBot="1">
      <c r="A647" s="47" t="s">
        <v>4659</v>
      </c>
      <c r="B647" s="438">
        <v>45415</v>
      </c>
      <c r="C647" s="85">
        <f t="shared" si="11"/>
        <v>18</v>
      </c>
      <c r="D647" s="1115" t="s">
        <v>1145</v>
      </c>
      <c r="E647" s="1058" t="s">
        <v>80</v>
      </c>
      <c r="H647"/>
      <c r="K647"/>
      <c r="L647" s="49"/>
      <c r="M647" s="49"/>
      <c r="U647"/>
      <c r="V647"/>
      <c r="W647"/>
    </row>
    <row r="648" spans="1:23" ht="27" customHeight="1" thickBot="1">
      <c r="A648" s="47" t="s">
        <v>4659</v>
      </c>
      <c r="B648" s="438">
        <v>45415</v>
      </c>
      <c r="C648" s="85">
        <f t="shared" si="11"/>
        <v>18</v>
      </c>
      <c r="D648" s="1182" t="s">
        <v>258</v>
      </c>
      <c r="E648" s="1077" t="s">
        <v>4660</v>
      </c>
      <c r="H648"/>
      <c r="K648"/>
      <c r="L648" s="1051" t="s">
        <v>30</v>
      </c>
      <c r="M648" s="49"/>
      <c r="U648"/>
      <c r="V648"/>
      <c r="W648"/>
    </row>
    <row r="649" spans="1:23" ht="27" customHeight="1" thickBot="1">
      <c r="A649" s="47" t="s">
        <v>4659</v>
      </c>
      <c r="B649" s="438">
        <v>45415</v>
      </c>
      <c r="C649" s="85">
        <f t="shared" si="11"/>
        <v>18</v>
      </c>
      <c r="D649" s="1182" t="s">
        <v>1512</v>
      </c>
      <c r="E649" s="1077" t="s">
        <v>4661</v>
      </c>
      <c r="H649"/>
      <c r="K649"/>
      <c r="L649" s="49"/>
      <c r="M649" s="49"/>
      <c r="U649"/>
      <c r="V649"/>
      <c r="W649"/>
    </row>
    <row r="650" spans="1:23" ht="27" customHeight="1" thickBot="1">
      <c r="A650" s="47" t="s">
        <v>4659</v>
      </c>
      <c r="B650" s="438">
        <v>45415</v>
      </c>
      <c r="C650" s="85">
        <f t="shared" si="11"/>
        <v>18</v>
      </c>
      <c r="D650" s="1179" t="s">
        <v>2750</v>
      </c>
      <c r="E650" s="1059" t="s">
        <v>4045</v>
      </c>
      <c r="H650"/>
      <c r="K650"/>
      <c r="L650" s="49"/>
      <c r="M650" s="49"/>
      <c r="U650"/>
      <c r="V650"/>
      <c r="W650"/>
    </row>
    <row r="651" spans="1:23" ht="27" customHeight="1" thickBot="1">
      <c r="A651" s="47" t="s">
        <v>4659</v>
      </c>
      <c r="B651" s="438">
        <v>45415</v>
      </c>
      <c r="C651" s="85">
        <f t="shared" si="11"/>
        <v>18</v>
      </c>
      <c r="D651" s="1115" t="s">
        <v>1905</v>
      </c>
      <c r="E651" s="1058" t="s">
        <v>4498</v>
      </c>
      <c r="H651"/>
      <c r="K651"/>
      <c r="L651" s="49"/>
      <c r="M651" s="49"/>
      <c r="U651"/>
      <c r="V651"/>
      <c r="W651"/>
    </row>
    <row r="652" spans="1:23" ht="27" customHeight="1" thickBot="1">
      <c r="A652" s="47" t="s">
        <v>4659</v>
      </c>
      <c r="B652" s="438">
        <v>45415</v>
      </c>
      <c r="C652" s="85">
        <f t="shared" si="11"/>
        <v>18</v>
      </c>
      <c r="D652" s="2702" t="s">
        <v>1905</v>
      </c>
      <c r="E652" s="2703" t="s">
        <v>4662</v>
      </c>
      <c r="H652"/>
      <c r="K652"/>
      <c r="L652" s="1051" t="s">
        <v>30</v>
      </c>
      <c r="M652" s="1051"/>
      <c r="U652"/>
      <c r="V652"/>
      <c r="W652"/>
    </row>
    <row r="653" spans="1:23" ht="27" customHeight="1" thickBot="1">
      <c r="A653" s="47" t="s">
        <v>4659</v>
      </c>
      <c r="B653" s="438">
        <v>45415</v>
      </c>
      <c r="C653" s="85">
        <f t="shared" si="11"/>
        <v>18</v>
      </c>
      <c r="D653" s="993" t="s">
        <v>3922</v>
      </c>
      <c r="E653" s="2704" t="s">
        <v>4663</v>
      </c>
      <c r="H653"/>
      <c r="K653"/>
      <c r="L653" s="1051" t="s">
        <v>30</v>
      </c>
      <c r="M653" s="1032"/>
      <c r="U653"/>
      <c r="V653"/>
      <c r="W653"/>
    </row>
    <row r="654" spans="1:23" ht="27" customHeight="1" thickBot="1">
      <c r="A654" s="47" t="s">
        <v>4659</v>
      </c>
      <c r="B654" s="438">
        <v>45415</v>
      </c>
      <c r="C654" s="85">
        <f t="shared" si="11"/>
        <v>18</v>
      </c>
      <c r="D654" s="1115" t="s">
        <v>4148</v>
      </c>
      <c r="E654" s="1058" t="s">
        <v>4317</v>
      </c>
      <c r="H654"/>
      <c r="K654"/>
      <c r="L654" s="1095"/>
      <c r="M654" s="1095"/>
      <c r="U654"/>
      <c r="V654"/>
      <c r="W654"/>
    </row>
    <row r="655" spans="1:23" ht="27" customHeight="1" thickBot="1">
      <c r="A655" s="47" t="s">
        <v>4659</v>
      </c>
      <c r="B655" s="438">
        <v>45415</v>
      </c>
      <c r="C655" s="85">
        <f t="shared" si="11"/>
        <v>18</v>
      </c>
      <c r="D655" s="1115" t="s">
        <v>3317</v>
      </c>
      <c r="E655" s="1058" t="s">
        <v>4329</v>
      </c>
      <c r="H655"/>
      <c r="K655"/>
      <c r="L655" s="1095"/>
      <c r="M655" s="1095"/>
      <c r="U655"/>
      <c r="V655"/>
      <c r="W655"/>
    </row>
    <row r="656" spans="1:23" ht="27" customHeight="1" thickBot="1">
      <c r="A656" s="47" t="s">
        <v>4659</v>
      </c>
      <c r="B656" s="438">
        <v>45415</v>
      </c>
      <c r="C656" s="85">
        <f t="shared" si="11"/>
        <v>18</v>
      </c>
      <c r="D656" s="1115" t="s">
        <v>3317</v>
      </c>
      <c r="E656" s="1058" t="s">
        <v>4658</v>
      </c>
      <c r="H656"/>
      <c r="K656"/>
      <c r="L656" s="49"/>
      <c r="M656" s="49"/>
      <c r="U656"/>
      <c r="V656"/>
      <c r="W656"/>
    </row>
    <row r="657" spans="1:23" ht="27" customHeight="1" thickBot="1">
      <c r="A657" s="47" t="s">
        <v>1519</v>
      </c>
      <c r="B657" s="438">
        <v>45416</v>
      </c>
      <c r="C657" s="85">
        <f t="shared" si="11"/>
        <v>18</v>
      </c>
      <c r="D657" s="1115" t="s">
        <v>2695</v>
      </c>
      <c r="E657" s="1058" t="s">
        <v>258</v>
      </c>
      <c r="H657"/>
      <c r="K657"/>
      <c r="L657" s="49"/>
      <c r="M657" s="49"/>
      <c r="U657"/>
      <c r="V657"/>
      <c r="W657"/>
    </row>
    <row r="658" spans="1:23" ht="27" customHeight="1" thickBot="1">
      <c r="A658" s="47" t="s">
        <v>1519</v>
      </c>
      <c r="B658" s="438">
        <v>45416</v>
      </c>
      <c r="C658" s="85">
        <f t="shared" si="11"/>
        <v>18</v>
      </c>
      <c r="D658" s="1115" t="s">
        <v>4664</v>
      </c>
      <c r="E658" s="1058" t="s">
        <v>169</v>
      </c>
      <c r="H658"/>
      <c r="K658"/>
      <c r="L658" s="51"/>
      <c r="M658" s="51"/>
      <c r="U658"/>
      <c r="V658"/>
      <c r="W658"/>
    </row>
    <row r="659" spans="1:23" ht="27" customHeight="1" thickBot="1">
      <c r="A659" s="47" t="s">
        <v>1519</v>
      </c>
      <c r="B659" s="438">
        <v>45416</v>
      </c>
      <c r="C659" s="85">
        <f t="shared" si="11"/>
        <v>18</v>
      </c>
      <c r="D659" s="1115" t="s">
        <v>4148</v>
      </c>
      <c r="E659" s="1058" t="s">
        <v>4317</v>
      </c>
      <c r="H659"/>
      <c r="K659"/>
      <c r="L659" s="923"/>
      <c r="M659" s="923"/>
      <c r="U659"/>
      <c r="V659"/>
      <c r="W659"/>
    </row>
    <row r="660" spans="1:23" ht="27" customHeight="1" thickBot="1">
      <c r="A660" s="47" t="s">
        <v>1519</v>
      </c>
      <c r="B660" s="438">
        <v>45416</v>
      </c>
      <c r="C660" s="85">
        <f t="shared" si="11"/>
        <v>18</v>
      </c>
      <c r="D660" s="1115" t="s">
        <v>3317</v>
      </c>
      <c r="E660" s="1058" t="s">
        <v>4329</v>
      </c>
      <c r="H660"/>
      <c r="K660"/>
      <c r="L660" s="1032"/>
      <c r="M660" s="1032"/>
      <c r="U660"/>
      <c r="V660"/>
      <c r="W660"/>
    </row>
    <row r="661" spans="1:23" ht="27" customHeight="1" thickBot="1">
      <c r="A661" s="47" t="s">
        <v>1519</v>
      </c>
      <c r="B661" s="438">
        <v>45416</v>
      </c>
      <c r="C661" s="85">
        <f t="shared" si="11"/>
        <v>18</v>
      </c>
      <c r="D661" s="1115" t="s">
        <v>1145</v>
      </c>
      <c r="E661" s="1058" t="s">
        <v>80</v>
      </c>
      <c r="H661"/>
      <c r="K661"/>
      <c r="L661" s="49"/>
      <c r="M661" s="49"/>
      <c r="U661"/>
      <c r="V661"/>
      <c r="W661"/>
    </row>
    <row r="662" spans="1:23" ht="27" customHeight="1" thickBot="1">
      <c r="A662" s="1045" t="s">
        <v>1280</v>
      </c>
      <c r="B662" s="966">
        <v>45418</v>
      </c>
      <c r="C662" s="85">
        <f t="shared" si="11"/>
        <v>19</v>
      </c>
      <c r="D662" s="1157" t="s">
        <v>1905</v>
      </c>
      <c r="E662" s="1158" t="s">
        <v>4665</v>
      </c>
      <c r="F662" s="1183" t="s">
        <v>1199</v>
      </c>
      <c r="G662" s="1183" t="s">
        <v>1199</v>
      </c>
      <c r="H662" s="5196"/>
      <c r="I662" s="5196"/>
      <c r="J662" s="1032"/>
      <c r="K662" s="5227" t="s">
        <v>174</v>
      </c>
      <c r="L662" s="1032"/>
      <c r="M662" s="1032"/>
      <c r="N662" s="1032"/>
      <c r="O662" s="1032"/>
      <c r="P662" s="1032"/>
      <c r="Q662" s="1032"/>
      <c r="R662" s="1032"/>
      <c r="S662" s="1032"/>
      <c r="T662" s="1032"/>
      <c r="U662" s="1032"/>
      <c r="V662" s="1083"/>
      <c r="W662"/>
    </row>
    <row r="663" spans="1:23" ht="27" customHeight="1" thickBot="1">
      <c r="A663" s="1045" t="s">
        <v>1280</v>
      </c>
      <c r="B663" s="966">
        <v>45418</v>
      </c>
      <c r="C663" s="85">
        <f t="shared" si="11"/>
        <v>19</v>
      </c>
      <c r="D663" s="1184" t="s">
        <v>4187</v>
      </c>
      <c r="E663" s="1185" t="s">
        <v>3985</v>
      </c>
      <c r="F663" s="1183" t="s">
        <v>1199</v>
      </c>
      <c r="G663" s="1183" t="s">
        <v>1199</v>
      </c>
      <c r="H663" s="1009"/>
      <c r="I663" s="1009"/>
      <c r="J663" s="1009"/>
      <c r="K663" s="1009"/>
      <c r="L663" s="1009"/>
      <c r="M663" s="1009"/>
      <c r="N663" s="1009"/>
      <c r="O663" s="1009"/>
      <c r="P663" s="1009"/>
      <c r="Q663" s="1009"/>
      <c r="R663" s="1009"/>
      <c r="S663" s="1005"/>
      <c r="T663" s="97"/>
      <c r="U663" s="97"/>
      <c r="V663" s="2464"/>
      <c r="W663"/>
    </row>
    <row r="664" spans="1:23" ht="27" thickBot="1">
      <c r="A664" s="1045" t="s">
        <v>1280</v>
      </c>
      <c r="B664" s="966">
        <v>45418</v>
      </c>
      <c r="C664" s="85">
        <f t="shared" si="11"/>
        <v>19</v>
      </c>
      <c r="D664" s="1115" t="s">
        <v>273</v>
      </c>
      <c r="E664" s="1186" t="s">
        <v>293</v>
      </c>
      <c r="F664" s="1187"/>
      <c r="G664" s="1187"/>
      <c r="H664" s="5231">
        <v>706</v>
      </c>
      <c r="I664" s="5242"/>
      <c r="J664" s="3250"/>
      <c r="K664" s="5227" t="s">
        <v>1630</v>
      </c>
      <c r="L664" s="1032"/>
      <c r="M664" s="1032"/>
      <c r="N664" s="1032"/>
      <c r="O664" s="1032"/>
      <c r="P664" s="1032"/>
      <c r="Q664" s="1032"/>
      <c r="R664" s="1032"/>
      <c r="S664" s="1032"/>
      <c r="T664" s="1032"/>
      <c r="U664" s="1032"/>
      <c r="V664" s="1083"/>
      <c r="W664"/>
    </row>
    <row r="665" spans="1:23" ht="53.25" customHeight="1" thickBot="1">
      <c r="A665" s="1045" t="s">
        <v>1280</v>
      </c>
      <c r="B665" s="966">
        <v>45418</v>
      </c>
      <c r="C665" s="85">
        <f t="shared" si="11"/>
        <v>19</v>
      </c>
      <c r="D665" s="987" t="s">
        <v>4666</v>
      </c>
      <c r="E665" s="1188" t="s">
        <v>4667</v>
      </c>
      <c r="F665" s="1183" t="s">
        <v>1199</v>
      </c>
      <c r="G665" s="1183" t="s">
        <v>1199</v>
      </c>
      <c r="H665" s="923"/>
      <c r="I665" s="923"/>
      <c r="J665" s="923"/>
      <c r="K665" s="923"/>
      <c r="L665" s="923"/>
      <c r="M665" s="923" t="s">
        <v>37</v>
      </c>
      <c r="N665" s="21" t="s">
        <v>109</v>
      </c>
      <c r="O665" s="21" t="s">
        <v>300</v>
      </c>
      <c r="P665" s="20" t="s">
        <v>4080</v>
      </c>
      <c r="Q665" s="1189">
        <v>1</v>
      </c>
      <c r="R665" s="923"/>
      <c r="S665" s="924"/>
      <c r="T665" s="71"/>
      <c r="U665" s="71" t="s">
        <v>4668</v>
      </c>
      <c r="V665" s="2464"/>
      <c r="W665"/>
    </row>
    <row r="666" spans="1:23" ht="27" customHeight="1" thickBot="1">
      <c r="A666" s="1045" t="s">
        <v>1280</v>
      </c>
      <c r="B666" s="966">
        <v>45418</v>
      </c>
      <c r="C666" s="85">
        <f t="shared" ref="C666:C729" si="12">_xlfn.ISOWEEKNUM(B666)</f>
        <v>19</v>
      </c>
      <c r="D666" s="1190" t="s">
        <v>939</v>
      </c>
      <c r="E666" s="1191" t="s">
        <v>4669</v>
      </c>
      <c r="F666" s="1183" t="s">
        <v>1199</v>
      </c>
      <c r="G666" s="1183" t="s">
        <v>1199</v>
      </c>
      <c r="H666" s="923"/>
      <c r="I666" s="923"/>
      <c r="J666" s="923"/>
      <c r="K666" s="923"/>
      <c r="L666" s="923"/>
      <c r="M666" s="923"/>
      <c r="N666" s="923"/>
      <c r="O666" s="923"/>
      <c r="P666" s="923"/>
      <c r="Q666" s="1032"/>
      <c r="R666" s="923"/>
      <c r="S666" s="924"/>
      <c r="T666" s="71"/>
      <c r="U666" s="71"/>
      <c r="V666" s="2464"/>
      <c r="W666"/>
    </row>
    <row r="667" spans="1:23" ht="27" customHeight="1" thickBot="1">
      <c r="A667" s="1045" t="s">
        <v>1280</v>
      </c>
      <c r="B667" s="966">
        <v>45418</v>
      </c>
      <c r="C667" s="85">
        <f t="shared" si="12"/>
        <v>19</v>
      </c>
      <c r="D667" s="1192" t="s">
        <v>304</v>
      </c>
      <c r="E667" s="1193" t="s">
        <v>4642</v>
      </c>
      <c r="F667" s="1183" t="s">
        <v>1199</v>
      </c>
      <c r="G667" s="1183" t="s">
        <v>1199</v>
      </c>
      <c r="H667" s="5193">
        <v>706</v>
      </c>
      <c r="I667" s="5196"/>
      <c r="J667" s="1032"/>
      <c r="K667" s="1032"/>
      <c r="L667" s="1032"/>
      <c r="M667" s="1032"/>
      <c r="N667" s="1032"/>
      <c r="O667" s="1032"/>
      <c r="P667" s="1032"/>
      <c r="Q667" s="1032"/>
      <c r="R667" s="1032"/>
      <c r="S667" s="1032"/>
      <c r="T667" s="1032"/>
      <c r="U667" s="1032"/>
      <c r="V667" s="1083"/>
      <c r="W667"/>
    </row>
    <row r="668" spans="1:23" ht="27" customHeight="1" thickBot="1">
      <c r="A668" s="1045" t="s">
        <v>1280</v>
      </c>
      <c r="B668" s="966">
        <v>45418</v>
      </c>
      <c r="C668" s="85">
        <f t="shared" si="12"/>
        <v>19</v>
      </c>
      <c r="D668" s="1192" t="s">
        <v>1254</v>
      </c>
      <c r="E668" s="1193" t="s">
        <v>534</v>
      </c>
      <c r="F668" s="1183" t="s">
        <v>1199</v>
      </c>
      <c r="G668" s="1183" t="s">
        <v>1199</v>
      </c>
      <c r="H668" s="3250"/>
      <c r="I668" s="5242"/>
      <c r="J668" s="3250"/>
      <c r="K668" s="5231" t="s">
        <v>4206</v>
      </c>
      <c r="L668" s="1032"/>
      <c r="M668" s="1032"/>
      <c r="N668" s="1032"/>
      <c r="O668" s="1032"/>
      <c r="P668" s="1032"/>
      <c r="Q668" s="1032"/>
      <c r="R668" s="1032"/>
      <c r="S668" s="1032"/>
      <c r="T668" s="1032"/>
      <c r="U668" s="1032"/>
      <c r="V668" s="1083"/>
      <c r="W668"/>
    </row>
    <row r="669" spans="1:23" ht="27" customHeight="1" thickBot="1">
      <c r="A669" s="1045" t="s">
        <v>1280</v>
      </c>
      <c r="B669" s="966">
        <v>45418</v>
      </c>
      <c r="C669" s="85">
        <f t="shared" si="12"/>
        <v>19</v>
      </c>
      <c r="D669" s="1194" t="s">
        <v>939</v>
      </c>
      <c r="E669" s="1195" t="s">
        <v>1698</v>
      </c>
      <c r="F669" s="1183" t="s">
        <v>1199</v>
      </c>
      <c r="G669" s="1183" t="s">
        <v>1199</v>
      </c>
      <c r="H669" s="923"/>
      <c r="I669" s="923"/>
      <c r="J669" s="923"/>
      <c r="K669" s="923"/>
      <c r="L669" s="923"/>
      <c r="M669" s="923"/>
      <c r="N669" s="923"/>
      <c r="O669" s="923"/>
      <c r="P669" s="923"/>
      <c r="Q669" s="1032"/>
      <c r="R669" s="923"/>
      <c r="S669" s="924"/>
      <c r="T669" s="71"/>
      <c r="U669" s="71"/>
      <c r="V669" s="2464"/>
      <c r="W669"/>
    </row>
    <row r="670" spans="1:23" ht="27" customHeight="1" thickBot="1">
      <c r="A670" s="1045" t="s">
        <v>1280</v>
      </c>
      <c r="B670" s="966">
        <v>45418</v>
      </c>
      <c r="C670" s="85">
        <f t="shared" si="12"/>
        <v>19</v>
      </c>
      <c r="D670" s="1159" t="s">
        <v>1806</v>
      </c>
      <c r="E670" s="1196" t="s">
        <v>4670</v>
      </c>
      <c r="F670" s="1183" t="s">
        <v>1199</v>
      </c>
      <c r="G670" s="1183" t="s">
        <v>1199</v>
      </c>
      <c r="H670" s="1054"/>
      <c r="I670" s="925"/>
      <c r="J670" s="1032"/>
      <c r="K670" s="1032"/>
      <c r="L670" s="1032"/>
      <c r="M670" s="1032"/>
      <c r="N670" s="1032"/>
      <c r="O670" s="1032"/>
      <c r="P670" s="1032"/>
      <c r="Q670" s="1032"/>
      <c r="R670" s="1032"/>
      <c r="S670" s="1032"/>
      <c r="T670" s="1032"/>
      <c r="U670" s="1032"/>
      <c r="V670" s="1083"/>
      <c r="W670"/>
    </row>
    <row r="671" spans="1:23" ht="27" customHeight="1" thickBot="1">
      <c r="A671" s="1045" t="s">
        <v>1280</v>
      </c>
      <c r="B671" s="966">
        <v>45418</v>
      </c>
      <c r="C671" s="85">
        <f t="shared" si="12"/>
        <v>19</v>
      </c>
      <c r="D671" s="1197" t="s">
        <v>1254</v>
      </c>
      <c r="E671" s="1198" t="s">
        <v>275</v>
      </c>
      <c r="F671" s="1183" t="s">
        <v>1199</v>
      </c>
      <c r="G671" s="1183" t="s">
        <v>1199</v>
      </c>
      <c r="H671" s="3250"/>
      <c r="I671" s="5242"/>
      <c r="J671" s="3250"/>
      <c r="K671" s="5231" t="s">
        <v>4206</v>
      </c>
      <c r="L671" s="1032"/>
      <c r="M671" s="1032"/>
      <c r="N671" s="1032"/>
      <c r="O671" s="1032"/>
      <c r="P671" s="1032"/>
      <c r="Q671" s="1032"/>
      <c r="R671" s="1032"/>
      <c r="S671" s="1032"/>
      <c r="T671" s="1032"/>
      <c r="U671" s="1032"/>
      <c r="V671" s="1083"/>
      <c r="W671"/>
    </row>
    <row r="672" spans="1:23" ht="27" customHeight="1" thickBot="1">
      <c r="A672" s="1045" t="s">
        <v>1280</v>
      </c>
      <c r="B672" s="966">
        <v>45418</v>
      </c>
      <c r="C672" s="85">
        <f t="shared" si="12"/>
        <v>19</v>
      </c>
      <c r="D672" s="173" t="s">
        <v>169</v>
      </c>
      <c r="E672" s="1158" t="s">
        <v>4671</v>
      </c>
      <c r="F672" s="1183" t="s">
        <v>1199</v>
      </c>
      <c r="G672" s="1183" t="s">
        <v>1199</v>
      </c>
      <c r="H672" s="1054"/>
      <c r="I672" s="925"/>
      <c r="J672" s="1032"/>
      <c r="K672" s="1032"/>
      <c r="L672" s="1032"/>
      <c r="M672" s="1032"/>
      <c r="N672" s="1032"/>
      <c r="O672" s="1032"/>
      <c r="P672" s="1032"/>
      <c r="Q672" s="1032"/>
      <c r="R672" s="1032"/>
      <c r="S672" s="1032"/>
      <c r="T672" s="1032"/>
      <c r="U672" s="1032"/>
      <c r="V672" s="1083"/>
      <c r="W672"/>
    </row>
    <row r="673" spans="1:23" ht="27" customHeight="1" thickBot="1">
      <c r="A673" s="1045" t="s">
        <v>1280</v>
      </c>
      <c r="B673" s="966">
        <v>45418</v>
      </c>
      <c r="C673" s="85">
        <f t="shared" si="12"/>
        <v>19</v>
      </c>
      <c r="D673" s="1157" t="s">
        <v>4615</v>
      </c>
      <c r="E673" s="1158" t="s">
        <v>1698</v>
      </c>
      <c r="F673" s="1183" t="s">
        <v>1199</v>
      </c>
      <c r="G673" s="1183" t="s">
        <v>1199</v>
      </c>
      <c r="H673" s="3250"/>
      <c r="I673" s="5242"/>
      <c r="J673" s="3250"/>
      <c r="K673" s="5231" t="s">
        <v>4206</v>
      </c>
      <c r="L673" s="1032"/>
      <c r="M673" s="1032"/>
      <c r="N673" s="1032"/>
      <c r="O673" s="1032"/>
      <c r="P673" s="1032"/>
      <c r="Q673" s="1032"/>
      <c r="R673" s="1032"/>
      <c r="S673" s="1032"/>
      <c r="T673" s="1032"/>
      <c r="U673" s="1032"/>
      <c r="V673" s="1083"/>
      <c r="W673"/>
    </row>
    <row r="674" spans="1:23" ht="27" customHeight="1" thickBot="1">
      <c r="A674" s="1045" t="s">
        <v>1280</v>
      </c>
      <c r="B674" s="966">
        <v>45418</v>
      </c>
      <c r="C674" s="85">
        <f t="shared" si="12"/>
        <v>19</v>
      </c>
      <c r="D674" s="173" t="s">
        <v>258</v>
      </c>
      <c r="E674" s="1158" t="s">
        <v>1005</v>
      </c>
      <c r="F674" s="1183" t="s">
        <v>1199</v>
      </c>
      <c r="G674" s="1183" t="s">
        <v>1199</v>
      </c>
      <c r="H674" s="1054"/>
      <c r="I674" s="925"/>
      <c r="J674" s="1032"/>
      <c r="K674" s="1032"/>
      <c r="L674" s="1032"/>
      <c r="M674" s="1032"/>
      <c r="N674" s="1032"/>
      <c r="O674" s="1032"/>
      <c r="P674" s="1032"/>
      <c r="Q674" s="1032"/>
      <c r="R674" s="1032"/>
      <c r="S674" s="1032"/>
      <c r="T674" s="1032"/>
      <c r="U674" s="1032"/>
      <c r="V674" s="1083"/>
      <c r="W674"/>
    </row>
    <row r="675" spans="1:23" ht="27" customHeight="1" thickBot="1">
      <c r="A675" s="965" t="s">
        <v>180</v>
      </c>
      <c r="B675" s="966">
        <v>45419</v>
      </c>
      <c r="C675" s="85">
        <f t="shared" si="12"/>
        <v>19</v>
      </c>
      <c r="D675" s="1115" t="s">
        <v>1654</v>
      </c>
      <c r="E675" s="1199" t="s">
        <v>939</v>
      </c>
      <c r="F675" s="1183" t="s">
        <v>1199</v>
      </c>
      <c r="G675" s="1183" t="s">
        <v>1199</v>
      </c>
      <c r="H675" s="1054"/>
      <c r="I675" s="1054"/>
      <c r="J675" s="1032"/>
      <c r="K675" s="1032"/>
      <c r="L675" s="1032"/>
      <c r="M675" s="1032"/>
      <c r="N675" s="1032"/>
      <c r="O675" s="1032"/>
      <c r="P675" s="1032"/>
      <c r="Q675" s="1032"/>
      <c r="R675" s="1032"/>
      <c r="S675" s="1032"/>
      <c r="T675" s="1032"/>
      <c r="U675" s="1032"/>
      <c r="V675" s="1083"/>
      <c r="W675"/>
    </row>
    <row r="676" spans="1:23" ht="27" customHeight="1" thickBot="1">
      <c r="A676" s="965" t="s">
        <v>180</v>
      </c>
      <c r="B676" s="966">
        <v>45419</v>
      </c>
      <c r="C676" s="85">
        <f t="shared" si="12"/>
        <v>19</v>
      </c>
      <c r="D676" s="1115" t="s">
        <v>939</v>
      </c>
      <c r="E676" s="1115" t="s">
        <v>1654</v>
      </c>
      <c r="F676" s="1183" t="s">
        <v>1199</v>
      </c>
      <c r="G676" s="1183" t="s">
        <v>1199</v>
      </c>
      <c r="H676" s="1054"/>
      <c r="I676" s="1054"/>
      <c r="J676" s="1032"/>
      <c r="K676" s="1032"/>
      <c r="L676" s="1032"/>
      <c r="M676" s="1032"/>
      <c r="N676" s="1032"/>
      <c r="O676" s="1032"/>
      <c r="P676" s="1032"/>
      <c r="Q676" s="1032"/>
      <c r="R676" s="1032"/>
      <c r="S676" s="1032"/>
      <c r="T676" s="1032"/>
      <c r="U676" s="1032"/>
      <c r="V676" s="1083"/>
      <c r="W676"/>
    </row>
    <row r="677" spans="1:23" ht="53.25" customHeight="1" thickBot="1">
      <c r="A677" s="1045" t="s">
        <v>180</v>
      </c>
      <c r="B677" s="966">
        <v>45419</v>
      </c>
      <c r="C677" s="85">
        <f t="shared" si="12"/>
        <v>19</v>
      </c>
      <c r="D677" s="987" t="s">
        <v>4666</v>
      </c>
      <c r="E677" s="1188" t="s">
        <v>4667</v>
      </c>
      <c r="F677" s="1200" t="s">
        <v>1199</v>
      </c>
      <c r="G677" s="1200" t="s">
        <v>1199</v>
      </c>
      <c r="H677" s="923"/>
      <c r="I677" s="923"/>
      <c r="J677" s="923"/>
      <c r="K677" s="923"/>
      <c r="L677" s="923"/>
      <c r="M677" s="923" t="s">
        <v>37</v>
      </c>
      <c r="N677" s="20" t="s">
        <v>122</v>
      </c>
      <c r="O677" s="20" t="s">
        <v>123</v>
      </c>
      <c r="P677" s="20" t="s">
        <v>4080</v>
      </c>
      <c r="Q677" s="1189">
        <v>1</v>
      </c>
      <c r="R677" s="1032"/>
      <c r="S677" s="924"/>
      <c r="T677" s="71"/>
      <c r="U677" s="5181" t="s">
        <v>4672</v>
      </c>
      <c r="V677" s="2464"/>
      <c r="W677"/>
    </row>
    <row r="678" spans="1:23" ht="53.25" customHeight="1" thickBot="1">
      <c r="A678" s="1045" t="s">
        <v>180</v>
      </c>
      <c r="B678" s="966">
        <v>45419</v>
      </c>
      <c r="C678" s="85">
        <f t="shared" si="12"/>
        <v>19</v>
      </c>
      <c r="D678" s="1201" t="s">
        <v>4586</v>
      </c>
      <c r="E678" s="1202" t="s">
        <v>49</v>
      </c>
      <c r="F678" s="925"/>
      <c r="G678" s="925"/>
      <c r="H678" s="3250">
        <v>701</v>
      </c>
      <c r="I678" s="5242"/>
      <c r="J678" s="3250"/>
      <c r="K678" s="5227" t="s">
        <v>1630</v>
      </c>
      <c r="L678" s="1032"/>
      <c r="M678" s="1032" t="s">
        <v>37</v>
      </c>
      <c r="N678" s="20" t="s">
        <v>122</v>
      </c>
      <c r="O678" s="20" t="s">
        <v>123</v>
      </c>
      <c r="P678" s="20" t="s">
        <v>4080</v>
      </c>
      <c r="Q678" s="1032"/>
      <c r="R678" s="1032"/>
      <c r="S678" s="1032"/>
      <c r="T678" s="1032"/>
      <c r="U678" s="5182"/>
      <c r="V678" s="2464"/>
      <c r="W678"/>
    </row>
    <row r="679" spans="1:23" ht="79.5" customHeight="1" thickBot="1">
      <c r="A679" s="1045" t="s">
        <v>180</v>
      </c>
      <c r="B679" s="966">
        <v>45419</v>
      </c>
      <c r="C679" s="85">
        <f t="shared" si="12"/>
        <v>19</v>
      </c>
      <c r="D679" s="1194" t="s">
        <v>273</v>
      </c>
      <c r="E679" s="1195" t="s">
        <v>293</v>
      </c>
      <c r="F679" s="1203" t="s">
        <v>1199</v>
      </c>
      <c r="G679" s="1204" t="s">
        <v>1199</v>
      </c>
      <c r="H679" s="923"/>
      <c r="I679" s="923"/>
      <c r="J679" s="923"/>
      <c r="K679" s="923"/>
      <c r="L679" s="923"/>
      <c r="M679" s="923"/>
      <c r="N679" s="20" t="s">
        <v>109</v>
      </c>
      <c r="O679" s="20" t="s">
        <v>4673</v>
      </c>
      <c r="P679" s="20" t="s">
        <v>4674</v>
      </c>
      <c r="Q679" s="1189">
        <v>2</v>
      </c>
      <c r="R679" s="923"/>
      <c r="S679" s="924"/>
      <c r="T679" s="71"/>
      <c r="U679" s="71" t="s">
        <v>4675</v>
      </c>
      <c r="V679" s="2464"/>
      <c r="W679"/>
    </row>
    <row r="680" spans="1:23" ht="27" customHeight="1" thickBot="1">
      <c r="A680" s="1045" t="s">
        <v>180</v>
      </c>
      <c r="B680" s="966">
        <v>45418</v>
      </c>
      <c r="C680" s="85">
        <f t="shared" si="12"/>
        <v>19</v>
      </c>
      <c r="D680" s="1192" t="s">
        <v>442</v>
      </c>
      <c r="E680" s="1193" t="s">
        <v>4676</v>
      </c>
      <c r="F680" s="1203" t="s">
        <v>1199</v>
      </c>
      <c r="G680" s="1204" t="s">
        <v>1199</v>
      </c>
      <c r="H680" s="3250"/>
      <c r="I680" s="5242"/>
      <c r="J680" s="3250"/>
      <c r="K680" s="5231" t="s">
        <v>4206</v>
      </c>
      <c r="L680" s="1032"/>
      <c r="M680" s="1032"/>
      <c r="N680" s="1032"/>
      <c r="O680" s="1032"/>
      <c r="P680" s="1032"/>
      <c r="Q680" s="1032"/>
      <c r="R680" s="1032"/>
      <c r="S680" s="1032"/>
      <c r="T680" s="1032"/>
      <c r="U680" s="1032"/>
      <c r="V680" s="1083"/>
      <c r="W680"/>
    </row>
    <row r="681" spans="1:23" ht="27" customHeight="1" thickBot="1">
      <c r="A681" s="965" t="s">
        <v>180</v>
      </c>
      <c r="B681" s="966">
        <v>45419</v>
      </c>
      <c r="C681" s="85">
        <f t="shared" si="12"/>
        <v>19</v>
      </c>
      <c r="D681" s="1205" t="s">
        <v>2567</v>
      </c>
      <c r="E681" s="1206" t="s">
        <v>4677</v>
      </c>
      <c r="F681" s="1203" t="s">
        <v>1199</v>
      </c>
      <c r="G681" s="1204" t="s">
        <v>1199</v>
      </c>
      <c r="H681" s="1054"/>
      <c r="I681" s="1055"/>
      <c r="J681" s="1032"/>
      <c r="K681" s="1032"/>
      <c r="L681" s="1032"/>
      <c r="M681" s="1032"/>
      <c r="N681" s="1032"/>
      <c r="O681" s="1032"/>
      <c r="P681" s="1032"/>
      <c r="Q681" s="1032"/>
      <c r="R681" s="1032"/>
      <c r="S681" s="1032"/>
      <c r="T681" s="1032"/>
      <c r="U681" s="1032"/>
      <c r="V681" s="1083"/>
      <c r="W681"/>
    </row>
    <row r="682" spans="1:23" ht="27" customHeight="1" thickBot="1">
      <c r="A682" s="965" t="s">
        <v>180</v>
      </c>
      <c r="B682" s="966">
        <v>45419</v>
      </c>
      <c r="C682" s="85">
        <f t="shared" si="12"/>
        <v>19</v>
      </c>
      <c r="D682" s="1207" t="s">
        <v>282</v>
      </c>
      <c r="E682" s="1197" t="s">
        <v>4678</v>
      </c>
      <c r="F682" s="1203" t="s">
        <v>1199</v>
      </c>
      <c r="G682" s="1204" t="s">
        <v>1199</v>
      </c>
      <c r="H682" s="1054"/>
      <c r="I682" s="1054"/>
      <c r="J682" s="1051"/>
      <c r="K682" s="1051"/>
      <c r="L682" s="1051"/>
      <c r="M682" s="1051"/>
      <c r="N682" s="1051"/>
      <c r="O682" s="1051"/>
      <c r="P682" s="1051"/>
      <c r="Q682" s="1051"/>
      <c r="R682" s="1051"/>
      <c r="S682" s="1051"/>
      <c r="T682" s="1051"/>
      <c r="U682" s="1051"/>
      <c r="V682" s="1083"/>
      <c r="W682"/>
    </row>
    <row r="683" spans="1:23" ht="27" customHeight="1" thickBot="1">
      <c r="A683" s="965" t="s">
        <v>180</v>
      </c>
      <c r="B683" s="966">
        <v>45419</v>
      </c>
      <c r="C683" s="85">
        <f t="shared" si="12"/>
        <v>19</v>
      </c>
      <c r="D683" s="1208" t="s">
        <v>3657</v>
      </c>
      <c r="E683" s="1209" t="s">
        <v>4679</v>
      </c>
      <c r="F683" s="1017" t="s">
        <v>1199</v>
      </c>
      <c r="G683" s="1017" t="s">
        <v>1199</v>
      </c>
      <c r="H683" s="1054"/>
      <c r="I683" s="1054"/>
      <c r="J683" s="1051"/>
      <c r="K683" s="1051"/>
      <c r="L683" s="1051"/>
      <c r="M683" s="1051"/>
      <c r="N683" s="1051"/>
      <c r="O683" s="1051"/>
      <c r="P683" s="1051"/>
      <c r="Q683" s="1051"/>
      <c r="R683" s="1051"/>
      <c r="S683" s="1051"/>
      <c r="T683" s="1051"/>
      <c r="U683" s="1051" t="s">
        <v>4680</v>
      </c>
      <c r="V683" s="1083"/>
      <c r="W683"/>
    </row>
    <row r="684" spans="1:23" ht="53.25" customHeight="1" thickBot="1">
      <c r="A684" s="965" t="s">
        <v>180</v>
      </c>
      <c r="B684" s="966">
        <v>45419</v>
      </c>
      <c r="C684" s="85">
        <f t="shared" si="12"/>
        <v>19</v>
      </c>
      <c r="D684" s="1208" t="s">
        <v>3657</v>
      </c>
      <c r="E684" s="1209" t="s">
        <v>4681</v>
      </c>
      <c r="F684" s="1017" t="s">
        <v>1199</v>
      </c>
      <c r="G684" s="1017" t="s">
        <v>1199</v>
      </c>
      <c r="H684" s="1054"/>
      <c r="I684" s="1054"/>
      <c r="J684" s="1051"/>
      <c r="K684" s="1051"/>
      <c r="L684" s="1051"/>
      <c r="M684" s="1051" t="s">
        <v>37</v>
      </c>
      <c r="N684" s="20" t="s">
        <v>109</v>
      </c>
      <c r="O684" s="20" t="s">
        <v>1847</v>
      </c>
      <c r="P684" s="20" t="s">
        <v>4102</v>
      </c>
      <c r="Q684" s="1051"/>
      <c r="R684" s="1051"/>
      <c r="S684" s="1051"/>
      <c r="T684" s="1051"/>
      <c r="U684" s="1051" t="s">
        <v>4682</v>
      </c>
      <c r="V684" s="1083"/>
      <c r="W684"/>
    </row>
    <row r="685" spans="1:23" ht="27" customHeight="1" thickBot="1">
      <c r="A685" s="965" t="s">
        <v>180</v>
      </c>
      <c r="B685" s="966">
        <v>45419</v>
      </c>
      <c r="C685" s="85">
        <f t="shared" si="12"/>
        <v>19</v>
      </c>
      <c r="D685" s="1210" t="s">
        <v>4498</v>
      </c>
      <c r="E685" s="1211" t="s">
        <v>4683</v>
      </c>
      <c r="F685" s="1017" t="s">
        <v>1199</v>
      </c>
      <c r="G685" s="1017" t="s">
        <v>1199</v>
      </c>
      <c r="H685" s="3250"/>
      <c r="I685" s="5242"/>
      <c r="J685" s="3250"/>
      <c r="K685" s="5231" t="s">
        <v>4206</v>
      </c>
      <c r="L685" s="1032"/>
      <c r="M685" s="1032"/>
      <c r="N685" s="1032"/>
      <c r="O685" s="1032"/>
      <c r="P685" s="1032"/>
      <c r="Q685" s="1032"/>
      <c r="R685" s="1032"/>
      <c r="S685" s="1032"/>
      <c r="T685" s="1032"/>
      <c r="U685" s="1032"/>
      <c r="V685" s="1083"/>
      <c r="W685"/>
    </row>
    <row r="686" spans="1:23" ht="27" customHeight="1" thickBot="1">
      <c r="A686" s="965" t="s">
        <v>180</v>
      </c>
      <c r="B686" s="966">
        <v>45419</v>
      </c>
      <c r="C686" s="85">
        <f t="shared" si="12"/>
        <v>19</v>
      </c>
      <c r="D686" s="1210" t="s">
        <v>4684</v>
      </c>
      <c r="E686" s="1211" t="s">
        <v>4685</v>
      </c>
      <c r="F686" s="1203" t="s">
        <v>1199</v>
      </c>
      <c r="G686" s="1204" t="s">
        <v>1199</v>
      </c>
      <c r="H686" s="3250"/>
      <c r="I686" s="5242"/>
      <c r="J686" s="3250"/>
      <c r="K686" s="5231" t="s">
        <v>4206</v>
      </c>
      <c r="L686" s="1032"/>
      <c r="M686" s="1032"/>
      <c r="N686" s="1032"/>
      <c r="O686" s="1032"/>
      <c r="P686" s="1032"/>
      <c r="Q686" s="1032"/>
      <c r="R686" s="1032"/>
      <c r="S686" s="1032"/>
      <c r="T686" s="1032"/>
      <c r="U686" s="1032"/>
      <c r="V686" s="1083"/>
      <c r="W686"/>
    </row>
    <row r="687" spans="1:23" ht="27" customHeight="1" thickBot="1">
      <c r="A687" s="965" t="s">
        <v>1323</v>
      </c>
      <c r="B687" s="966">
        <v>45420</v>
      </c>
      <c r="C687" s="85">
        <f t="shared" si="12"/>
        <v>19</v>
      </c>
      <c r="D687" s="987" t="s">
        <v>4666</v>
      </c>
      <c r="E687" s="1188" t="s">
        <v>4667</v>
      </c>
      <c r="F687" s="1200" t="s">
        <v>1199</v>
      </c>
      <c r="G687" s="1200" t="s">
        <v>1199</v>
      </c>
      <c r="H687" s="923"/>
      <c r="I687" s="923"/>
      <c r="J687" s="923"/>
      <c r="K687" s="923"/>
      <c r="L687" s="923" t="s">
        <v>37</v>
      </c>
      <c r="M687" s="923"/>
      <c r="N687" s="923"/>
      <c r="O687" s="923"/>
      <c r="P687" s="923"/>
      <c r="Q687" s="1032"/>
      <c r="R687" s="1189">
        <v>1</v>
      </c>
      <c r="S687" s="924"/>
      <c r="T687" s="71"/>
      <c r="U687" s="71"/>
      <c r="V687" s="2464"/>
      <c r="W687"/>
    </row>
    <row r="688" spans="1:23" ht="27" customHeight="1" thickBot="1">
      <c r="A688" s="965" t="s">
        <v>1323</v>
      </c>
      <c r="B688" s="966">
        <v>45420</v>
      </c>
      <c r="C688" s="85">
        <f t="shared" si="12"/>
        <v>19</v>
      </c>
      <c r="D688" s="1201" t="s">
        <v>4686</v>
      </c>
      <c r="E688" s="1202" t="s">
        <v>3494</v>
      </c>
      <c r="F688" s="1200" t="s">
        <v>1199</v>
      </c>
      <c r="G688" s="1200" t="s">
        <v>1199</v>
      </c>
      <c r="H688" s="5231">
        <v>706</v>
      </c>
      <c r="I688" s="5242"/>
      <c r="J688" s="3250"/>
      <c r="K688" s="5227" t="s">
        <v>1630</v>
      </c>
      <c r="L688" s="1032" t="s">
        <v>37</v>
      </c>
      <c r="M688" s="1032"/>
      <c r="N688" s="1032"/>
      <c r="O688" s="1032"/>
      <c r="P688" s="1032"/>
      <c r="Q688" s="1032"/>
      <c r="R688" s="1032"/>
      <c r="S688" s="1032"/>
      <c r="T688" s="1032"/>
      <c r="U688" s="1032"/>
      <c r="V688" s="1083"/>
      <c r="W688"/>
    </row>
    <row r="689" spans="1:23" ht="27" customHeight="1" thickBot="1">
      <c r="A689" s="965" t="s">
        <v>1323</v>
      </c>
      <c r="B689" s="966">
        <v>45420</v>
      </c>
      <c r="C689" s="85">
        <f t="shared" si="12"/>
        <v>19</v>
      </c>
      <c r="D689" s="1212" t="s">
        <v>1905</v>
      </c>
      <c r="E689" s="1213" t="s">
        <v>4687</v>
      </c>
      <c r="F689" s="1017" t="s">
        <v>1199</v>
      </c>
      <c r="G689" s="1017" t="s">
        <v>1199</v>
      </c>
      <c r="H689" s="5196"/>
      <c r="I689" s="5196"/>
      <c r="J689" s="923"/>
      <c r="K689" s="5227" t="s">
        <v>174</v>
      </c>
      <c r="L689" s="923" t="s">
        <v>37</v>
      </c>
      <c r="M689" s="923"/>
      <c r="N689" s="923"/>
      <c r="O689" s="923"/>
      <c r="P689" s="923"/>
      <c r="Q689" s="1032"/>
      <c r="R689" s="1032"/>
      <c r="S689" s="1032"/>
      <c r="T689" s="71"/>
      <c r="U689" s="71"/>
      <c r="V689" s="2464"/>
      <c r="W689"/>
    </row>
    <row r="690" spans="1:23" ht="27" customHeight="1" thickBot="1">
      <c r="A690" s="965" t="s">
        <v>1323</v>
      </c>
      <c r="B690" s="966">
        <v>45420</v>
      </c>
      <c r="C690" s="85">
        <f t="shared" si="12"/>
        <v>19</v>
      </c>
      <c r="D690" s="1115" t="s">
        <v>4688</v>
      </c>
      <c r="E690" s="1199" t="s">
        <v>4047</v>
      </c>
      <c r="F690" s="1214"/>
      <c r="G690" s="1215"/>
      <c r="H690" s="1054"/>
      <c r="I690" s="1055"/>
      <c r="J690" s="1032"/>
      <c r="K690" s="1032"/>
      <c r="L690" s="1032"/>
      <c r="M690" s="1032"/>
      <c r="N690" s="1032"/>
      <c r="O690" s="1032"/>
      <c r="P690" s="1032"/>
      <c r="Q690" s="1032"/>
      <c r="R690" s="1032"/>
      <c r="S690" s="1032"/>
      <c r="T690" s="1032"/>
      <c r="U690" s="1032" t="s">
        <v>2994</v>
      </c>
      <c r="V690" s="1083"/>
      <c r="W690"/>
    </row>
    <row r="691" spans="1:23" ht="27" customHeight="1" thickBot="1">
      <c r="A691" s="965" t="s">
        <v>1495</v>
      </c>
      <c r="B691" s="966">
        <v>45422</v>
      </c>
      <c r="C691" s="85">
        <f t="shared" si="12"/>
        <v>19</v>
      </c>
      <c r="D691" s="1177" t="s">
        <v>4671</v>
      </c>
      <c r="E691" s="1216" t="s">
        <v>1052</v>
      </c>
      <c r="F691" s="1017" t="s">
        <v>1199</v>
      </c>
      <c r="G691" s="1017" t="s">
        <v>1199</v>
      </c>
      <c r="H691" s="1054"/>
      <c r="I691" s="1055"/>
      <c r="J691" s="1032"/>
      <c r="K691" s="1032"/>
      <c r="L691" s="1032" t="s">
        <v>37</v>
      </c>
      <c r="M691" s="1032"/>
      <c r="N691" s="1032"/>
      <c r="O691" s="1032"/>
      <c r="P691" s="1032"/>
      <c r="Q691" s="1032"/>
      <c r="R691" s="1032"/>
      <c r="S691" s="1032"/>
      <c r="T691" s="1032"/>
      <c r="U691" s="1032"/>
      <c r="V691" s="1083"/>
      <c r="W691"/>
    </row>
    <row r="692" spans="1:23" ht="53.25" customHeight="1" thickBot="1">
      <c r="A692" s="965" t="s">
        <v>1857</v>
      </c>
      <c r="B692" s="966">
        <v>45422</v>
      </c>
      <c r="C692" s="85">
        <f t="shared" si="12"/>
        <v>19</v>
      </c>
      <c r="D692" s="1115" t="s">
        <v>4689</v>
      </c>
      <c r="E692" s="1199" t="s">
        <v>1223</v>
      </c>
      <c r="F692" s="1214"/>
      <c r="G692" s="1215"/>
      <c r="H692" s="1217"/>
      <c r="I692" s="1217"/>
      <c r="J692" s="1032"/>
      <c r="K692" s="1032"/>
      <c r="L692" s="1032"/>
      <c r="M692" s="1032" t="s">
        <v>37</v>
      </c>
      <c r="N692" s="20" t="s">
        <v>109</v>
      </c>
      <c r="O692" s="20" t="s">
        <v>1268</v>
      </c>
      <c r="P692" s="20" t="s">
        <v>4102</v>
      </c>
      <c r="Q692" s="1032"/>
      <c r="R692" s="1032"/>
      <c r="S692" s="1032"/>
      <c r="T692" s="1032"/>
      <c r="U692" s="1032" t="s">
        <v>4690</v>
      </c>
      <c r="V692" s="1083"/>
      <c r="W692"/>
    </row>
    <row r="693" spans="1:23" ht="27" customHeight="1" thickBot="1">
      <c r="A693" s="965" t="s">
        <v>1857</v>
      </c>
      <c r="B693" s="966">
        <v>45422</v>
      </c>
      <c r="C693" s="85">
        <f t="shared" si="12"/>
        <v>19</v>
      </c>
      <c r="D693" s="1218" t="s">
        <v>888</v>
      </c>
      <c r="E693" s="1219" t="s">
        <v>4663</v>
      </c>
      <c r="F693" s="927" t="s">
        <v>1199</v>
      </c>
      <c r="G693" s="927" t="s">
        <v>1199</v>
      </c>
      <c r="H693" s="5196"/>
      <c r="I693" s="5196"/>
      <c r="J693" s="1032"/>
      <c r="K693" s="5227" t="s">
        <v>174</v>
      </c>
      <c r="L693" s="1032" t="s">
        <v>37</v>
      </c>
      <c r="M693" s="1032"/>
      <c r="N693" s="1032"/>
      <c r="O693" s="1032"/>
      <c r="P693" s="1032"/>
      <c r="Q693" s="1032"/>
      <c r="R693" s="1032"/>
      <c r="S693" s="1032"/>
      <c r="T693" s="1032"/>
      <c r="U693" s="1032"/>
      <c r="V693" s="1083"/>
      <c r="W693"/>
    </row>
    <row r="694" spans="1:23" ht="53.25" customHeight="1" thickBot="1">
      <c r="A694" s="965" t="s">
        <v>1857</v>
      </c>
      <c r="B694" s="966">
        <v>45422</v>
      </c>
      <c r="C694" s="85">
        <f t="shared" si="12"/>
        <v>19</v>
      </c>
      <c r="D694" s="1115" t="s">
        <v>1654</v>
      </c>
      <c r="E694" s="1199" t="s">
        <v>1698</v>
      </c>
      <c r="F694" s="1214"/>
      <c r="G694" s="1215"/>
      <c r="H694" s="5196"/>
      <c r="I694" s="5196"/>
      <c r="J694" s="1032"/>
      <c r="K694" s="5227" t="s">
        <v>174</v>
      </c>
      <c r="L694" s="1032"/>
      <c r="M694" s="1032"/>
      <c r="N694" s="1032"/>
      <c r="O694" s="1032"/>
      <c r="P694" s="1032"/>
      <c r="Q694" s="1032"/>
      <c r="R694" s="1032"/>
      <c r="S694" s="1032"/>
      <c r="T694" s="1032"/>
      <c r="U694" s="1032" t="s">
        <v>4691</v>
      </c>
      <c r="V694" s="1083"/>
      <c r="W694"/>
    </row>
    <row r="695" spans="1:23" ht="27" customHeight="1" thickBot="1">
      <c r="A695" s="965" t="s">
        <v>1857</v>
      </c>
      <c r="B695" s="966">
        <v>45422</v>
      </c>
      <c r="C695" s="85">
        <f t="shared" si="12"/>
        <v>19</v>
      </c>
      <c r="D695" s="1115" t="s">
        <v>4692</v>
      </c>
      <c r="E695" s="1199" t="s">
        <v>4693</v>
      </c>
      <c r="F695" s="1214"/>
      <c r="G695" s="1215"/>
      <c r="H695" s="1214"/>
      <c r="I695" s="1215"/>
      <c r="J695" s="1032"/>
      <c r="K695" s="1032"/>
      <c r="L695" s="1032"/>
      <c r="M695" s="1032"/>
      <c r="N695" s="1032"/>
      <c r="O695" s="1032"/>
      <c r="P695" s="1032"/>
      <c r="Q695" s="1032"/>
      <c r="R695" s="1032"/>
      <c r="S695" s="1032"/>
      <c r="T695" s="1032"/>
      <c r="U695" s="1032" t="s">
        <v>2994</v>
      </c>
      <c r="V695" s="1083"/>
      <c r="W695"/>
    </row>
    <row r="696" spans="1:23" ht="27" customHeight="1" thickBot="1">
      <c r="A696" s="965" t="s">
        <v>1857</v>
      </c>
      <c r="B696" s="966">
        <v>45422</v>
      </c>
      <c r="C696" s="85">
        <f t="shared" si="12"/>
        <v>19</v>
      </c>
      <c r="D696" s="1115" t="s">
        <v>293</v>
      </c>
      <c r="E696" s="1199" t="s">
        <v>4694</v>
      </c>
      <c r="F696" s="1214"/>
      <c r="G696" s="1215"/>
      <c r="H696" s="1214"/>
      <c r="I696" s="1215"/>
      <c r="J696" s="1032"/>
      <c r="K696" s="1032"/>
      <c r="L696" s="1032"/>
      <c r="M696" s="1032"/>
      <c r="N696" s="1032"/>
      <c r="O696" s="1032"/>
      <c r="P696" s="1032"/>
      <c r="Q696" s="1032"/>
      <c r="R696" s="1032"/>
      <c r="S696" s="1032"/>
      <c r="T696" s="1032"/>
      <c r="U696" s="1032" t="s">
        <v>2994</v>
      </c>
      <c r="V696" s="1083"/>
      <c r="W696"/>
    </row>
    <row r="697" spans="1:23" ht="53.25" customHeight="1" thickBot="1">
      <c r="A697" s="965" t="s">
        <v>1857</v>
      </c>
      <c r="B697" s="966">
        <v>45422</v>
      </c>
      <c r="C697" s="85">
        <f t="shared" si="12"/>
        <v>19</v>
      </c>
      <c r="D697" s="1115" t="s">
        <v>258</v>
      </c>
      <c r="E697" s="1199" t="s">
        <v>1811</v>
      </c>
      <c r="F697" s="1220" t="s">
        <v>30</v>
      </c>
      <c r="G697" s="1217" t="s">
        <v>30</v>
      </c>
      <c r="H697" s="3250"/>
      <c r="I697" s="5242"/>
      <c r="J697" s="3250"/>
      <c r="K697" s="5231" t="s">
        <v>4206</v>
      </c>
      <c r="L697" s="1032"/>
      <c r="M697" s="1032" t="s">
        <v>30</v>
      </c>
      <c r="N697" s="20" t="s">
        <v>122</v>
      </c>
      <c r="O697" s="20" t="s">
        <v>123</v>
      </c>
      <c r="P697" s="20" t="s">
        <v>4102</v>
      </c>
      <c r="Q697" s="1032"/>
      <c r="R697" s="1032"/>
      <c r="S697" s="1032"/>
      <c r="T697" s="1032"/>
      <c r="U697" s="1032" t="s">
        <v>4695</v>
      </c>
      <c r="V697" s="1083"/>
      <c r="W697"/>
    </row>
    <row r="698" spans="1:23" ht="27" customHeight="1" thickBot="1">
      <c r="A698" s="965" t="s">
        <v>1857</v>
      </c>
      <c r="B698" s="966">
        <v>45422</v>
      </c>
      <c r="C698" s="85">
        <f t="shared" si="12"/>
        <v>19</v>
      </c>
      <c r="D698" s="1115" t="s">
        <v>80</v>
      </c>
      <c r="E698" s="1199" t="s">
        <v>1838</v>
      </c>
      <c r="F698" s="1067" t="s">
        <v>1206</v>
      </c>
      <c r="G698" s="1204" t="s">
        <v>1199</v>
      </c>
      <c r="H698" s="3250"/>
      <c r="I698" s="5242"/>
      <c r="J698" s="3250"/>
      <c r="K698" s="5231" t="s">
        <v>4206</v>
      </c>
      <c r="L698" s="1032" t="s">
        <v>37</v>
      </c>
      <c r="M698" s="1032"/>
      <c r="N698" s="1032"/>
      <c r="O698" s="1032"/>
      <c r="P698" s="1032"/>
      <c r="Q698" s="1032"/>
      <c r="R698" s="1032"/>
      <c r="S698" s="1032"/>
      <c r="T698" s="1032"/>
      <c r="U698" s="1032"/>
      <c r="V698" s="1083"/>
      <c r="W698"/>
    </row>
    <row r="699" spans="1:23" ht="27" customHeight="1" thickBot="1">
      <c r="A699" s="965" t="s">
        <v>1857</v>
      </c>
      <c r="B699" s="966">
        <v>45422</v>
      </c>
      <c r="C699" s="85">
        <f t="shared" si="12"/>
        <v>19</v>
      </c>
      <c r="D699" s="1115" t="s">
        <v>68</v>
      </c>
      <c r="E699" s="1199" t="s">
        <v>169</v>
      </c>
      <c r="F699" s="1220" t="s">
        <v>1199</v>
      </c>
      <c r="G699" s="1217" t="s">
        <v>1199</v>
      </c>
      <c r="H699" s="3250"/>
      <c r="I699" s="5242"/>
      <c r="J699" s="3250"/>
      <c r="K699" s="5231" t="s">
        <v>4206</v>
      </c>
      <c r="L699" s="1032" t="s">
        <v>37</v>
      </c>
      <c r="M699" s="1032"/>
      <c r="N699" s="1032"/>
      <c r="O699" s="1032"/>
      <c r="P699" s="1032"/>
      <c r="Q699" s="1032"/>
      <c r="R699" s="1032"/>
      <c r="S699" s="1032"/>
      <c r="T699" s="1032"/>
      <c r="U699" s="1032"/>
      <c r="V699" s="1083"/>
      <c r="W699"/>
    </row>
    <row r="700" spans="1:23" ht="27" customHeight="1" thickBot="1">
      <c r="A700" s="965" t="s">
        <v>1857</v>
      </c>
      <c r="B700" s="966">
        <v>45422</v>
      </c>
      <c r="C700" s="85">
        <f t="shared" si="12"/>
        <v>19</v>
      </c>
      <c r="D700" s="1115" t="s">
        <v>4541</v>
      </c>
      <c r="E700" s="1199" t="s">
        <v>1838</v>
      </c>
      <c r="F700" s="1220" t="s">
        <v>1199</v>
      </c>
      <c r="G700" s="1217" t="s">
        <v>1199</v>
      </c>
      <c r="H700" s="3250"/>
      <c r="I700" s="5242"/>
      <c r="J700" s="3250"/>
      <c r="K700" s="5231" t="s">
        <v>4206</v>
      </c>
      <c r="L700" s="1032"/>
      <c r="M700" s="1032"/>
      <c r="N700" s="20"/>
      <c r="O700" s="20"/>
      <c r="P700" s="20"/>
      <c r="Q700" s="1032"/>
      <c r="R700" s="1032"/>
      <c r="S700" s="1032"/>
      <c r="T700" s="1032"/>
      <c r="U700" s="1032"/>
      <c r="V700" s="1083"/>
      <c r="W700"/>
    </row>
    <row r="701" spans="1:23" ht="27" customHeight="1" thickBot="1">
      <c r="A701" s="965" t="s">
        <v>1857</v>
      </c>
      <c r="B701" s="966">
        <v>45422</v>
      </c>
      <c r="C701" s="85">
        <f t="shared" si="12"/>
        <v>19</v>
      </c>
      <c r="D701" s="1115" t="s">
        <v>282</v>
      </c>
      <c r="E701" s="1199" t="s">
        <v>1698</v>
      </c>
      <c r="F701" s="1220" t="s">
        <v>1199</v>
      </c>
      <c r="G701" s="1217" t="s">
        <v>1199</v>
      </c>
      <c r="H701" s="3250"/>
      <c r="I701" s="5242"/>
      <c r="J701" s="3250"/>
      <c r="K701" s="5231" t="s">
        <v>4206</v>
      </c>
      <c r="L701" s="1032" t="s">
        <v>37</v>
      </c>
      <c r="M701" s="1032"/>
      <c r="N701" s="1032"/>
      <c r="O701" s="1032"/>
      <c r="P701" s="1032"/>
      <c r="Q701" s="1032"/>
      <c r="R701" s="1032"/>
      <c r="S701" s="1032"/>
      <c r="T701" s="1032"/>
      <c r="U701" s="1032"/>
      <c r="V701" s="1083"/>
      <c r="W701"/>
    </row>
    <row r="702" spans="1:23" ht="27" customHeight="1" thickBot="1">
      <c r="A702" s="965" t="s">
        <v>1857</v>
      </c>
      <c r="B702" s="966">
        <v>45422</v>
      </c>
      <c r="C702" s="85">
        <f t="shared" si="12"/>
        <v>19</v>
      </c>
      <c r="D702" s="1115" t="s">
        <v>450</v>
      </c>
      <c r="E702" s="1199" t="s">
        <v>2728</v>
      </c>
      <c r="F702" s="1220" t="s">
        <v>1199</v>
      </c>
      <c r="G702" s="1217" t="s">
        <v>1199</v>
      </c>
      <c r="H702" s="5196"/>
      <c r="I702" s="5196"/>
      <c r="J702" s="1032"/>
      <c r="K702" s="1032"/>
      <c r="L702" s="1032"/>
      <c r="M702" s="1032"/>
      <c r="N702" s="1032"/>
      <c r="O702" s="1032"/>
      <c r="P702" s="1032"/>
      <c r="Q702" s="1032"/>
      <c r="R702" s="1032"/>
      <c r="S702" s="1032"/>
      <c r="T702" s="1032"/>
      <c r="U702" s="1032"/>
      <c r="V702" s="1083"/>
      <c r="W702"/>
    </row>
    <row r="703" spans="1:23" ht="27" customHeight="1" thickBot="1">
      <c r="A703" s="965" t="s">
        <v>1857</v>
      </c>
      <c r="B703" s="966">
        <v>45422</v>
      </c>
      <c r="C703" s="85">
        <f t="shared" si="12"/>
        <v>19</v>
      </c>
      <c r="D703" s="1115" t="s">
        <v>2232</v>
      </c>
      <c r="E703" s="1199" t="s">
        <v>2728</v>
      </c>
      <c r="F703" s="1220" t="s">
        <v>1199</v>
      </c>
      <c r="G703" s="1217" t="s">
        <v>1199</v>
      </c>
      <c r="H703" s="3250"/>
      <c r="I703" s="5242"/>
      <c r="J703" s="3250"/>
      <c r="K703" s="5231" t="s">
        <v>4206</v>
      </c>
      <c r="L703" s="1032" t="s">
        <v>37</v>
      </c>
      <c r="M703" s="1032"/>
      <c r="N703" s="1032"/>
      <c r="O703" s="1032"/>
      <c r="P703" s="1032"/>
      <c r="Q703" s="1032"/>
      <c r="R703" s="1032"/>
      <c r="S703" s="1032"/>
      <c r="T703" s="1032"/>
      <c r="U703" s="1032"/>
      <c r="V703" s="1083"/>
      <c r="W703"/>
    </row>
    <row r="704" spans="1:23" ht="27" customHeight="1" thickBot="1">
      <c r="A704" s="1045" t="s">
        <v>143</v>
      </c>
      <c r="B704" s="966">
        <v>45423</v>
      </c>
      <c r="C704" s="85">
        <f t="shared" si="12"/>
        <v>19</v>
      </c>
      <c r="D704" s="1157" t="s">
        <v>888</v>
      </c>
      <c r="E704" s="1158" t="s">
        <v>1698</v>
      </c>
      <c r="F704" s="1200" t="s">
        <v>1199</v>
      </c>
      <c r="G704" s="1200" t="s">
        <v>1199</v>
      </c>
      <c r="H704" s="5196"/>
      <c r="I704" s="5196"/>
      <c r="J704" s="1032"/>
      <c r="K704" s="5227" t="s">
        <v>174</v>
      </c>
      <c r="L704" s="1032" t="s">
        <v>37</v>
      </c>
      <c r="M704" s="1032"/>
      <c r="N704" s="1032"/>
      <c r="O704" s="1032"/>
      <c r="P704" s="1032"/>
      <c r="Q704" s="1032"/>
      <c r="R704" s="1032"/>
      <c r="S704" s="1032"/>
      <c r="T704" s="1032"/>
      <c r="U704" s="1032"/>
      <c r="V704" s="1083"/>
      <c r="W704"/>
    </row>
    <row r="705" spans="1:23" ht="53.25" customHeight="1" thickBot="1">
      <c r="A705" s="1045" t="s">
        <v>143</v>
      </c>
      <c r="B705" s="966">
        <v>45423</v>
      </c>
      <c r="C705" s="85">
        <f t="shared" si="12"/>
        <v>19</v>
      </c>
      <c r="D705" s="1157" t="s">
        <v>888</v>
      </c>
      <c r="E705" s="1158" t="s">
        <v>4696</v>
      </c>
      <c r="F705" s="1215"/>
      <c r="G705" s="1215"/>
      <c r="H705" s="5214"/>
      <c r="I705" s="5194"/>
      <c r="J705" s="1032"/>
      <c r="K705" s="5227" t="s">
        <v>174</v>
      </c>
      <c r="L705" s="1032"/>
      <c r="M705" s="1032"/>
      <c r="N705" s="1032"/>
      <c r="O705" s="1032"/>
      <c r="P705" s="1032"/>
      <c r="Q705" s="1032"/>
      <c r="R705" s="1032"/>
      <c r="S705" s="1032"/>
      <c r="T705" s="1032"/>
      <c r="U705" s="1032" t="s">
        <v>4697</v>
      </c>
      <c r="V705" s="1083"/>
      <c r="W705"/>
    </row>
    <row r="706" spans="1:23" ht="27" customHeight="1" thickBot="1">
      <c r="A706" s="1045" t="s">
        <v>143</v>
      </c>
      <c r="B706" s="966">
        <v>45423</v>
      </c>
      <c r="C706" s="85">
        <f t="shared" si="12"/>
        <v>19</v>
      </c>
      <c r="D706" s="1157" t="s">
        <v>4698</v>
      </c>
      <c r="E706" s="1158" t="s">
        <v>4317</v>
      </c>
      <c r="F706" s="927" t="s">
        <v>1199</v>
      </c>
      <c r="G706" s="927" t="s">
        <v>1199</v>
      </c>
      <c r="H706" s="979"/>
      <c r="I706" s="979"/>
      <c r="J706" s="979"/>
      <c r="K706" s="979"/>
      <c r="L706" s="979" t="s">
        <v>37</v>
      </c>
      <c r="M706" s="979"/>
      <c r="N706" s="979"/>
      <c r="O706" s="979"/>
      <c r="P706" s="979"/>
      <c r="Q706" s="1032"/>
      <c r="R706" s="1032"/>
      <c r="S706" s="1032"/>
      <c r="T706" s="1032"/>
      <c r="U706" s="1032" t="s">
        <v>4699</v>
      </c>
      <c r="V706" s="1083"/>
      <c r="W706"/>
    </row>
    <row r="707" spans="1:23" ht="27" customHeight="1" thickBot="1">
      <c r="A707" s="1045" t="s">
        <v>3984</v>
      </c>
      <c r="B707" s="966">
        <v>45424</v>
      </c>
      <c r="C707" s="85">
        <f t="shared" si="12"/>
        <v>19</v>
      </c>
      <c r="D707" s="1157" t="s">
        <v>4700</v>
      </c>
      <c r="E707" s="1158" t="s">
        <v>1223</v>
      </c>
      <c r="F707" s="927" t="s">
        <v>1199</v>
      </c>
      <c r="G707" s="927" t="s">
        <v>1199</v>
      </c>
      <c r="H707" s="979"/>
      <c r="I707" s="979"/>
      <c r="J707" s="979"/>
      <c r="K707" s="979"/>
      <c r="L707" s="979" t="s">
        <v>37</v>
      </c>
      <c r="M707" s="1032"/>
      <c r="N707" s="1032"/>
      <c r="O707" s="1032"/>
      <c r="P707" s="1032"/>
      <c r="Q707" s="1032"/>
      <c r="R707" s="1032"/>
      <c r="S707" s="1032" t="s">
        <v>37</v>
      </c>
      <c r="T707" s="1032"/>
      <c r="U707" s="1032"/>
      <c r="V707" s="1083"/>
      <c r="W707"/>
    </row>
    <row r="708" spans="1:23" ht="27" customHeight="1" thickBot="1">
      <c r="A708" s="1045" t="s">
        <v>3984</v>
      </c>
      <c r="B708" s="966">
        <v>45424</v>
      </c>
      <c r="C708" s="85">
        <f t="shared" si="12"/>
        <v>19</v>
      </c>
      <c r="D708" s="1157" t="s">
        <v>4701</v>
      </c>
      <c r="E708" s="1158" t="s">
        <v>4194</v>
      </c>
      <c r="F708" s="927" t="s">
        <v>1199</v>
      </c>
      <c r="G708" s="927" t="s">
        <v>1199</v>
      </c>
      <c r="H708" s="979"/>
      <c r="I708" s="979"/>
      <c r="J708" s="979"/>
      <c r="K708" s="979"/>
      <c r="L708" s="979" t="s">
        <v>37</v>
      </c>
      <c r="M708" s="1032"/>
      <c r="N708" s="1032"/>
      <c r="O708" s="1032"/>
      <c r="P708" s="1032"/>
      <c r="Q708" s="1032"/>
      <c r="R708" s="1032"/>
      <c r="S708" s="1032" t="s">
        <v>37</v>
      </c>
      <c r="T708" s="1032"/>
      <c r="U708" s="1032"/>
      <c r="V708" s="1083"/>
      <c r="W708"/>
    </row>
    <row r="709" spans="1:23" ht="26.25" customHeight="1" thickBot="1">
      <c r="A709" s="46" t="s">
        <v>3984</v>
      </c>
      <c r="B709" s="1025">
        <v>45424</v>
      </c>
      <c r="C709" s="169">
        <f t="shared" si="12"/>
        <v>19</v>
      </c>
      <c r="D709" s="1229" t="s">
        <v>68</v>
      </c>
      <c r="E709" s="1230" t="s">
        <v>1153</v>
      </c>
      <c r="F709" s="1245" t="s">
        <v>1199</v>
      </c>
      <c r="G709" s="1245" t="s">
        <v>1199</v>
      </c>
      <c r="H709" s="5216"/>
      <c r="I709" s="5217"/>
      <c r="J709" s="979"/>
      <c r="K709" s="484" t="s">
        <v>29</v>
      </c>
      <c r="L709" s="1246" t="s">
        <v>37</v>
      </c>
      <c r="M709" s="1151"/>
      <c r="N709" s="1151"/>
      <c r="O709" s="1151"/>
      <c r="P709" s="1151"/>
      <c r="Q709" s="1151"/>
      <c r="R709" s="1151"/>
      <c r="S709" s="1151" t="s">
        <v>37</v>
      </c>
      <c r="T709" s="1151"/>
      <c r="U709" s="1151"/>
      <c r="V709" s="1083"/>
      <c r="W709"/>
    </row>
    <row r="710" spans="1:23" ht="52.5" customHeight="1">
      <c r="A710" s="1247" t="s">
        <v>1280</v>
      </c>
      <c r="B710" s="1248">
        <v>45425</v>
      </c>
      <c r="C710" s="903">
        <f t="shared" si="12"/>
        <v>20</v>
      </c>
      <c r="D710" s="1249" t="s">
        <v>3914</v>
      </c>
      <c r="E710" s="1250" t="s">
        <v>98</v>
      </c>
      <c r="F710" s="1251" t="s">
        <v>1199</v>
      </c>
      <c r="G710" s="1251" t="s">
        <v>1199</v>
      </c>
      <c r="H710" s="1031"/>
      <c r="I710" s="1033"/>
      <c r="J710" s="1226"/>
      <c r="K710" s="1994"/>
      <c r="L710" s="1255"/>
      <c r="M710" s="1031" t="s">
        <v>37</v>
      </c>
      <c r="N710" s="21" t="s">
        <v>109</v>
      </c>
      <c r="O710" s="21" t="s">
        <v>323</v>
      </c>
      <c r="P710" s="21" t="s">
        <v>4102</v>
      </c>
      <c r="Q710" s="1256">
        <v>1</v>
      </c>
      <c r="R710" s="1031"/>
      <c r="S710" s="1031"/>
      <c r="T710" s="1031"/>
      <c r="U710" s="1033" t="s">
        <v>4702</v>
      </c>
      <c r="V710" s="1083"/>
      <c r="W710"/>
    </row>
    <row r="711" spans="1:23" ht="26.25" customHeight="1">
      <c r="A711" s="446" t="s">
        <v>1280</v>
      </c>
      <c r="B711" s="1231">
        <v>45425</v>
      </c>
      <c r="C711" s="82">
        <f t="shared" si="12"/>
        <v>20</v>
      </c>
      <c r="D711" s="1232" t="s">
        <v>2728</v>
      </c>
      <c r="E711" s="1232" t="s">
        <v>2535</v>
      </c>
      <c r="F711" s="927" t="s">
        <v>1199</v>
      </c>
      <c r="G711" s="927" t="s">
        <v>1199</v>
      </c>
      <c r="H711" s="1032"/>
      <c r="I711" s="1030"/>
      <c r="J711" s="1226"/>
      <c r="K711" s="1994"/>
      <c r="L711" s="1113"/>
      <c r="M711" s="1032" t="s">
        <v>37</v>
      </c>
      <c r="N711" s="21" t="s">
        <v>109</v>
      </c>
      <c r="O711" s="21" t="s">
        <v>1109</v>
      </c>
      <c r="P711" s="21" t="s">
        <v>4674</v>
      </c>
      <c r="Q711" s="1032"/>
      <c r="R711" s="1032"/>
      <c r="S711" s="1032"/>
      <c r="T711" s="1032"/>
      <c r="U711" s="1030" t="s">
        <v>4703</v>
      </c>
      <c r="V711" s="1083"/>
      <c r="W711"/>
    </row>
    <row r="712" spans="1:23" ht="26.25" customHeight="1">
      <c r="A712" s="446" t="s">
        <v>1280</v>
      </c>
      <c r="B712" s="1231">
        <v>45425</v>
      </c>
      <c r="C712" s="82">
        <f t="shared" si="12"/>
        <v>20</v>
      </c>
      <c r="D712" s="1233" t="s">
        <v>4475</v>
      </c>
      <c r="E712" s="1233" t="s">
        <v>4704</v>
      </c>
      <c r="F712" s="935" t="s">
        <v>1199</v>
      </c>
      <c r="G712" s="935" t="s">
        <v>1199</v>
      </c>
      <c r="H712" s="1032"/>
      <c r="I712" s="1030"/>
      <c r="J712" s="1226"/>
      <c r="K712" s="1994"/>
      <c r="L712" s="1113"/>
      <c r="M712" s="1032" t="s">
        <v>37</v>
      </c>
      <c r="N712" s="21" t="s">
        <v>109</v>
      </c>
      <c r="O712" s="21" t="s">
        <v>1109</v>
      </c>
      <c r="P712" s="21" t="s">
        <v>4674</v>
      </c>
      <c r="Q712" s="1032"/>
      <c r="R712" s="1032"/>
      <c r="S712" s="1032"/>
      <c r="T712" s="1032"/>
      <c r="U712" s="1030" t="s">
        <v>4705</v>
      </c>
      <c r="V712" s="1083"/>
      <c r="W712"/>
    </row>
    <row r="713" spans="1:23" ht="26.25" customHeight="1">
      <c r="A713" s="446" t="s">
        <v>1280</v>
      </c>
      <c r="B713" s="1231">
        <v>45425</v>
      </c>
      <c r="C713" s="82">
        <f t="shared" si="12"/>
        <v>20</v>
      </c>
      <c r="D713" s="1233" t="s">
        <v>4706</v>
      </c>
      <c r="E713" s="1233" t="s">
        <v>4707</v>
      </c>
      <c r="F713" s="927" t="s">
        <v>1199</v>
      </c>
      <c r="G713" s="927" t="s">
        <v>1199</v>
      </c>
      <c r="H713" s="1032"/>
      <c r="I713" s="1030"/>
      <c r="J713" s="1226"/>
      <c r="K713" s="1994"/>
      <c r="L713" s="1113" t="s">
        <v>37</v>
      </c>
      <c r="M713" s="1032"/>
      <c r="N713" s="1032"/>
      <c r="O713" s="1032"/>
      <c r="P713" s="1032"/>
      <c r="Q713" s="1032"/>
      <c r="R713" s="1032"/>
      <c r="S713" s="1032"/>
      <c r="T713" s="1032"/>
      <c r="U713" s="1030"/>
      <c r="V713" s="1083"/>
      <c r="W713"/>
    </row>
    <row r="714" spans="1:23" ht="26.25" customHeight="1">
      <c r="A714" s="446" t="s">
        <v>1280</v>
      </c>
      <c r="B714" s="1231">
        <v>45425</v>
      </c>
      <c r="C714" s="82">
        <f t="shared" si="12"/>
        <v>20</v>
      </c>
      <c r="D714" s="1115" t="s">
        <v>2549</v>
      </c>
      <c r="E714" s="1115" t="s">
        <v>731</v>
      </c>
      <c r="F714" s="935" t="s">
        <v>1199</v>
      </c>
      <c r="G714" s="935" t="s">
        <v>1199</v>
      </c>
      <c r="H714" s="1032"/>
      <c r="I714" s="1030"/>
      <c r="J714" s="1226"/>
      <c r="K714" s="1994"/>
      <c r="L714" s="1113" t="s">
        <v>37</v>
      </c>
      <c r="M714" s="1032"/>
      <c r="N714" s="1032"/>
      <c r="O714" s="1032"/>
      <c r="P714" s="1032"/>
      <c r="Q714" s="1032"/>
      <c r="R714" s="1032"/>
      <c r="S714" s="1032"/>
      <c r="T714" s="1032"/>
      <c r="U714" s="1030"/>
      <c r="V714" s="1083"/>
      <c r="W714"/>
    </row>
    <row r="715" spans="1:23" ht="26.25" customHeight="1">
      <c r="A715" s="446" t="s">
        <v>1280</v>
      </c>
      <c r="B715" s="1231">
        <v>45425</v>
      </c>
      <c r="C715" s="82">
        <f t="shared" si="12"/>
        <v>20</v>
      </c>
      <c r="D715" s="1115" t="s">
        <v>273</v>
      </c>
      <c r="E715" s="1115" t="s">
        <v>4708</v>
      </c>
      <c r="F715" s="935" t="s">
        <v>1199</v>
      </c>
      <c r="G715" s="935" t="s">
        <v>1199</v>
      </c>
      <c r="H715" s="1032"/>
      <c r="I715" s="1030"/>
      <c r="J715" s="1226"/>
      <c r="K715" s="1994"/>
      <c r="L715" s="1113" t="s">
        <v>37</v>
      </c>
      <c r="M715" s="1032"/>
      <c r="N715" s="1032"/>
      <c r="O715" s="1032"/>
      <c r="P715" s="1032"/>
      <c r="Q715" s="1032"/>
      <c r="R715" s="1032"/>
      <c r="S715" s="1032"/>
      <c r="T715" s="1032"/>
      <c r="U715" s="1030"/>
      <c r="V715" s="1083"/>
      <c r="W715"/>
    </row>
    <row r="716" spans="1:23" ht="27" customHeight="1" thickBot="1">
      <c r="A716" s="447" t="s">
        <v>1280</v>
      </c>
      <c r="B716" s="1252">
        <v>45425</v>
      </c>
      <c r="C716" s="85">
        <f t="shared" si="12"/>
        <v>20</v>
      </c>
      <c r="D716" s="1253" t="s">
        <v>1005</v>
      </c>
      <c r="E716" s="1253" t="s">
        <v>4541</v>
      </c>
      <c r="F716" s="1254" t="s">
        <v>1199</v>
      </c>
      <c r="G716" s="1254" t="s">
        <v>1199</v>
      </c>
      <c r="H716" s="5215"/>
      <c r="I716" s="5195"/>
      <c r="J716" s="1224"/>
      <c r="K716" s="70" t="s">
        <v>1613</v>
      </c>
      <c r="L716" s="1257" t="s">
        <v>37</v>
      </c>
      <c r="M716" s="1035"/>
      <c r="N716" s="1035"/>
      <c r="O716" s="1035"/>
      <c r="P716" s="1035"/>
      <c r="Q716" s="1035"/>
      <c r="R716" s="1035"/>
      <c r="S716" s="1035"/>
      <c r="T716" s="1035"/>
      <c r="U716" s="1036"/>
      <c r="V716" s="1083"/>
      <c r="W716"/>
    </row>
    <row r="717" spans="1:23" ht="26.25" customHeight="1">
      <c r="A717" s="443" t="s">
        <v>180</v>
      </c>
      <c r="B717" s="1258">
        <v>45426</v>
      </c>
      <c r="C717" s="846">
        <f t="shared" si="12"/>
        <v>20</v>
      </c>
      <c r="D717" s="1259" t="s">
        <v>106</v>
      </c>
      <c r="E717" s="1259" t="s">
        <v>4707</v>
      </c>
      <c r="F717" s="1260" t="s">
        <v>1199</v>
      </c>
      <c r="G717" s="1261" t="s">
        <v>1199</v>
      </c>
      <c r="H717" s="1105"/>
      <c r="I717" s="1106"/>
      <c r="J717" s="1226"/>
      <c r="K717" s="1994"/>
      <c r="L717" s="1104" t="s">
        <v>37</v>
      </c>
      <c r="M717" s="1105"/>
      <c r="N717" s="1105"/>
      <c r="O717" s="1105"/>
      <c r="P717" s="1105"/>
      <c r="Q717" s="1105"/>
      <c r="R717" s="1105"/>
      <c r="S717" s="1105"/>
      <c r="T717" s="1105"/>
      <c r="U717" s="1106"/>
      <c r="V717" s="1083"/>
      <c r="W717"/>
    </row>
    <row r="718" spans="1:23" ht="26.25" customHeight="1">
      <c r="A718" s="446" t="s">
        <v>180</v>
      </c>
      <c r="B718" s="1231">
        <v>45426</v>
      </c>
      <c r="C718" s="82">
        <f t="shared" si="12"/>
        <v>20</v>
      </c>
      <c r="D718" s="1115" t="s">
        <v>450</v>
      </c>
      <c r="E718" s="1115" t="s">
        <v>2232</v>
      </c>
      <c r="F718" s="937" t="s">
        <v>1199</v>
      </c>
      <c r="G718" s="937" t="s">
        <v>1199</v>
      </c>
      <c r="H718" s="1032"/>
      <c r="I718" s="1030"/>
      <c r="J718" s="1226"/>
      <c r="K718" s="1994"/>
      <c r="L718" s="1113" t="s">
        <v>37</v>
      </c>
      <c r="M718" s="1032"/>
      <c r="N718" s="1032"/>
      <c r="O718" s="1032"/>
      <c r="P718" s="1032"/>
      <c r="Q718" s="1032"/>
      <c r="R718" s="1032"/>
      <c r="S718" s="1032"/>
      <c r="T718" s="1032"/>
      <c r="U718" s="1030"/>
      <c r="V718" s="1083"/>
      <c r="W718"/>
    </row>
    <row r="719" spans="1:23" ht="26.25" customHeight="1">
      <c r="A719" s="446" t="s">
        <v>180</v>
      </c>
      <c r="B719" s="1231">
        <v>45426</v>
      </c>
      <c r="C719" s="82">
        <f t="shared" si="12"/>
        <v>20</v>
      </c>
      <c r="D719" s="1234" t="s">
        <v>450</v>
      </c>
      <c r="E719" s="1234" t="s">
        <v>3908</v>
      </c>
      <c r="F719" s="937" t="s">
        <v>1199</v>
      </c>
      <c r="G719" s="937" t="s">
        <v>1199</v>
      </c>
      <c r="H719" s="3250"/>
      <c r="I719" s="5263"/>
      <c r="J719" s="5238"/>
      <c r="K719" s="5231" t="s">
        <v>4206</v>
      </c>
      <c r="L719" s="1262" t="s">
        <v>37</v>
      </c>
      <c r="M719" s="1032"/>
      <c r="N719" s="1032"/>
      <c r="O719" s="1032"/>
      <c r="P719" s="1032"/>
      <c r="Q719" s="1032"/>
      <c r="R719" s="1032"/>
      <c r="S719" s="1032"/>
      <c r="T719" s="1032"/>
      <c r="U719" s="1030"/>
      <c r="V719" s="1083"/>
      <c r="W719"/>
    </row>
    <row r="720" spans="1:23" ht="26.25" customHeight="1">
      <c r="A720" s="446" t="s">
        <v>180</v>
      </c>
      <c r="B720" s="1231">
        <v>45426</v>
      </c>
      <c r="C720" s="82">
        <f t="shared" si="12"/>
        <v>20</v>
      </c>
      <c r="D720" s="1234" t="s">
        <v>4558</v>
      </c>
      <c r="E720" s="1234" t="s">
        <v>4709</v>
      </c>
      <c r="F720" s="1203" t="s">
        <v>1199</v>
      </c>
      <c r="G720" s="1204" t="s">
        <v>1199</v>
      </c>
      <c r="H720" s="1032"/>
      <c r="I720" s="1030"/>
      <c r="J720" s="1226"/>
      <c r="K720" s="1994"/>
      <c r="L720" s="1113" t="s">
        <v>37</v>
      </c>
      <c r="M720" s="1032"/>
      <c r="N720" s="1032"/>
      <c r="O720" s="1032"/>
      <c r="P720" s="1032"/>
      <c r="Q720" s="1032"/>
      <c r="R720" s="1032"/>
      <c r="S720" s="1032"/>
      <c r="T720" s="1032"/>
      <c r="U720" s="1030"/>
      <c r="V720" s="1083"/>
      <c r="W720"/>
    </row>
    <row r="721" spans="1:23" ht="52.5" customHeight="1">
      <c r="A721" s="446" t="s">
        <v>180</v>
      </c>
      <c r="B721" s="1231">
        <v>45426</v>
      </c>
      <c r="C721" s="82">
        <f t="shared" si="12"/>
        <v>20</v>
      </c>
      <c r="D721" s="1115" t="s">
        <v>3914</v>
      </c>
      <c r="E721" s="1115" t="s">
        <v>2750</v>
      </c>
      <c r="F721" s="937" t="s">
        <v>1199</v>
      </c>
      <c r="G721" s="937" t="s">
        <v>1199</v>
      </c>
      <c r="H721" s="3250">
        <v>706</v>
      </c>
      <c r="I721" s="5193"/>
      <c r="J721" s="1226"/>
      <c r="K721" s="1994"/>
      <c r="L721" s="1113" t="s">
        <v>37</v>
      </c>
      <c r="M721" s="1032"/>
      <c r="N721" s="1032"/>
      <c r="O721" s="1032"/>
      <c r="P721" s="1032"/>
      <c r="Q721" s="1032"/>
      <c r="R721" s="936">
        <v>1</v>
      </c>
      <c r="S721" s="1032"/>
      <c r="T721" s="1032"/>
      <c r="U721" s="1030" t="s">
        <v>4710</v>
      </c>
      <c r="V721" s="1083"/>
      <c r="W721"/>
    </row>
    <row r="722" spans="1:23" ht="52.5" customHeight="1">
      <c r="A722" s="446" t="s">
        <v>180</v>
      </c>
      <c r="B722" s="1231">
        <v>45426</v>
      </c>
      <c r="C722" s="82">
        <f t="shared" si="12"/>
        <v>20</v>
      </c>
      <c r="D722" s="1115" t="s">
        <v>169</v>
      </c>
      <c r="E722" s="1115" t="s">
        <v>1838</v>
      </c>
      <c r="F722" s="1235" t="s">
        <v>3358</v>
      </c>
      <c r="G722" s="1236" t="s">
        <v>3358</v>
      </c>
      <c r="H722" s="1032"/>
      <c r="I722" s="1030"/>
      <c r="J722" s="1226"/>
      <c r="K722" s="1994"/>
      <c r="L722" s="1113"/>
      <c r="M722" s="1032" t="s">
        <v>37</v>
      </c>
      <c r="N722" s="21" t="s">
        <v>0</v>
      </c>
      <c r="O722" s="21" t="s">
        <v>187</v>
      </c>
      <c r="P722" s="21" t="s">
        <v>4080</v>
      </c>
      <c r="Q722" s="1032"/>
      <c r="R722" s="1032"/>
      <c r="S722" s="1032"/>
      <c r="T722" s="1032"/>
      <c r="U722" s="1030" t="s">
        <v>4711</v>
      </c>
      <c r="V722" s="1083"/>
      <c r="W722"/>
    </row>
    <row r="723" spans="1:23" ht="26.25" customHeight="1">
      <c r="A723" s="446" t="s">
        <v>180</v>
      </c>
      <c r="B723" s="1231">
        <v>45426</v>
      </c>
      <c r="C723" s="82">
        <f t="shared" si="12"/>
        <v>20</v>
      </c>
      <c r="D723" s="1115" t="s">
        <v>4712</v>
      </c>
      <c r="E723" s="1115" t="s">
        <v>80</v>
      </c>
      <c r="F723" s="1222" t="s">
        <v>1199</v>
      </c>
      <c r="G723" s="1222" t="s">
        <v>1199</v>
      </c>
      <c r="H723" s="3250"/>
      <c r="I723" s="5263"/>
      <c r="J723" s="5238"/>
      <c r="K723" s="5231" t="s">
        <v>4206</v>
      </c>
      <c r="L723" s="1262" t="s">
        <v>37</v>
      </c>
      <c r="M723" s="1032"/>
      <c r="N723" s="1032"/>
      <c r="O723" s="1032"/>
      <c r="P723" s="1032"/>
      <c r="Q723" s="1032"/>
      <c r="R723" s="1032"/>
      <c r="S723" s="1032"/>
      <c r="T723" s="1032"/>
      <c r="U723" s="1030"/>
      <c r="V723" s="1083"/>
      <c r="W723"/>
    </row>
    <row r="724" spans="1:23" ht="27" customHeight="1" thickBot="1">
      <c r="A724" s="447" t="s">
        <v>180</v>
      </c>
      <c r="B724" s="1252">
        <v>45426</v>
      </c>
      <c r="C724" s="85">
        <f t="shared" si="12"/>
        <v>20</v>
      </c>
      <c r="D724" s="1253" t="s">
        <v>4712</v>
      </c>
      <c r="E724" s="1253" t="s">
        <v>1254</v>
      </c>
      <c r="F724" s="956" t="s">
        <v>2994</v>
      </c>
      <c r="G724" s="956" t="s">
        <v>2994</v>
      </c>
      <c r="H724" s="1035"/>
      <c r="I724" s="1036"/>
      <c r="J724" s="1226"/>
      <c r="K724" s="1994"/>
      <c r="L724" s="1114" t="s">
        <v>37</v>
      </c>
      <c r="M724" s="1035"/>
      <c r="N724" s="1035"/>
      <c r="O724" s="1035"/>
      <c r="P724" s="1035"/>
      <c r="Q724" s="57"/>
      <c r="R724" s="1035"/>
      <c r="S724" s="1035"/>
      <c r="T724" s="1035"/>
      <c r="U724" s="1036"/>
      <c r="V724" s="1083"/>
      <c r="W724"/>
    </row>
    <row r="725" spans="1:23" ht="26.25" customHeight="1">
      <c r="A725" s="1045" t="s">
        <v>1314</v>
      </c>
      <c r="B725" s="1221">
        <v>45427</v>
      </c>
      <c r="C725" s="832">
        <f t="shared" si="12"/>
        <v>20</v>
      </c>
      <c r="D725" s="1046" t="s">
        <v>1145</v>
      </c>
      <c r="E725" s="1046" t="s">
        <v>4166</v>
      </c>
      <c r="F725" s="1200" t="s">
        <v>1199</v>
      </c>
      <c r="G725" s="1200" t="s">
        <v>1199</v>
      </c>
      <c r="H725" s="1005"/>
      <c r="I725" s="1005"/>
      <c r="J725" s="1227"/>
      <c r="K725" s="1227"/>
      <c r="L725" s="1005" t="s">
        <v>37</v>
      </c>
      <c r="M725" s="1005"/>
      <c r="N725" s="1005"/>
      <c r="O725" s="1005"/>
      <c r="P725" s="1005"/>
      <c r="Q725" s="1051"/>
      <c r="R725" s="1005"/>
      <c r="S725" s="1005" t="s">
        <v>30</v>
      </c>
      <c r="T725" s="1005"/>
      <c r="U725" s="1005"/>
      <c r="V725" s="3058"/>
      <c r="W725"/>
    </row>
    <row r="726" spans="1:23" ht="26.25" customHeight="1">
      <c r="A726" s="47" t="s">
        <v>1314</v>
      </c>
      <c r="B726" s="1231">
        <v>45427</v>
      </c>
      <c r="C726" s="82">
        <f t="shared" si="12"/>
        <v>20</v>
      </c>
      <c r="D726" s="1234" t="s">
        <v>2728</v>
      </c>
      <c r="E726" s="1234" t="s">
        <v>4713</v>
      </c>
      <c r="F726" s="927" t="s">
        <v>1199</v>
      </c>
      <c r="G726" s="927" t="s">
        <v>1199</v>
      </c>
      <c r="H726" s="1032"/>
      <c r="I726" s="1032"/>
      <c r="J726" s="1226"/>
      <c r="K726" s="1226"/>
      <c r="L726" s="1032" t="s">
        <v>37</v>
      </c>
      <c r="M726" s="1032"/>
      <c r="N726" s="1032"/>
      <c r="O726" s="1032"/>
      <c r="P726" s="1032"/>
      <c r="Q726" s="1032"/>
      <c r="R726" s="1032"/>
      <c r="S726" s="1032"/>
      <c r="T726" s="1032"/>
      <c r="U726" s="1032"/>
      <c r="V726" s="1083"/>
      <c r="W726"/>
    </row>
    <row r="727" spans="1:23" ht="52.5" customHeight="1">
      <c r="A727" s="47" t="s">
        <v>1314</v>
      </c>
      <c r="B727" s="1231">
        <v>45427</v>
      </c>
      <c r="C727" s="82">
        <f t="shared" si="12"/>
        <v>20</v>
      </c>
      <c r="D727" s="1052" t="s">
        <v>4714</v>
      </c>
      <c r="E727" s="1052" t="s">
        <v>4086</v>
      </c>
      <c r="F727" s="937" t="s">
        <v>1199</v>
      </c>
      <c r="G727" s="937" t="s">
        <v>1199</v>
      </c>
      <c r="H727" s="5196"/>
      <c r="I727" s="5196"/>
      <c r="J727" s="1226"/>
      <c r="K727" s="484" t="s">
        <v>29</v>
      </c>
      <c r="L727" s="1032"/>
      <c r="M727" s="1032" t="s">
        <v>37</v>
      </c>
      <c r="N727" s="21" t="s">
        <v>0</v>
      </c>
      <c r="O727" s="21" t="s">
        <v>31</v>
      </c>
      <c r="P727" s="21" t="s">
        <v>4082</v>
      </c>
      <c r="Q727" s="1032"/>
      <c r="R727" s="1032"/>
      <c r="S727" s="1032"/>
      <c r="T727" s="1032"/>
      <c r="U727" s="1032" t="s">
        <v>4715</v>
      </c>
      <c r="V727" s="1083"/>
      <c r="W727"/>
    </row>
    <row r="728" spans="1:23" ht="26.25" customHeight="1">
      <c r="A728" s="47" t="s">
        <v>1314</v>
      </c>
      <c r="B728" s="1231">
        <v>45427</v>
      </c>
      <c r="C728" s="82">
        <f t="shared" si="12"/>
        <v>20</v>
      </c>
      <c r="D728" s="1115" t="s">
        <v>1005</v>
      </c>
      <c r="E728" s="1115" t="s">
        <v>4225</v>
      </c>
      <c r="F728" s="935" t="s">
        <v>1199</v>
      </c>
      <c r="G728" s="935" t="s">
        <v>1199</v>
      </c>
      <c r="H728" s="1032"/>
      <c r="I728" s="1032"/>
      <c r="J728" s="1226"/>
      <c r="K728" s="1226"/>
      <c r="L728" s="1032" t="s">
        <v>37</v>
      </c>
      <c r="M728" s="1032"/>
      <c r="N728" s="1032"/>
      <c r="O728" s="1032"/>
      <c r="P728" s="1032"/>
      <c r="Q728" s="1032"/>
      <c r="R728" s="1032"/>
      <c r="S728" s="1032"/>
      <c r="T728" s="1032"/>
      <c r="U728" s="49"/>
      <c r="V728"/>
      <c r="W728"/>
    </row>
    <row r="729" spans="1:23" ht="26.25" customHeight="1">
      <c r="A729" s="47" t="s">
        <v>1314</v>
      </c>
      <c r="B729" s="1231">
        <v>45427</v>
      </c>
      <c r="C729" s="82">
        <f t="shared" si="12"/>
        <v>20</v>
      </c>
      <c r="D729" s="1091" t="s">
        <v>1005</v>
      </c>
      <c r="E729" s="1091" t="s">
        <v>1890</v>
      </c>
      <c r="F729" s="927" t="s">
        <v>1199</v>
      </c>
      <c r="G729" s="927" t="s">
        <v>1199</v>
      </c>
      <c r="H729" s="1032"/>
      <c r="I729" s="1032"/>
      <c r="J729" s="1226"/>
      <c r="K729" s="1226"/>
      <c r="L729" s="1032" t="s">
        <v>37</v>
      </c>
      <c r="M729" s="1032"/>
      <c r="N729" s="1032"/>
      <c r="O729" s="1032"/>
      <c r="P729" s="1032"/>
      <c r="Q729" s="1032"/>
      <c r="R729" s="1032"/>
      <c r="S729" s="1032"/>
      <c r="T729" s="1032"/>
      <c r="U729" s="1032"/>
      <c r="V729" s="1083"/>
      <c r="W729"/>
    </row>
    <row r="730" spans="1:23" ht="78.75" customHeight="1">
      <c r="A730" s="47" t="s">
        <v>1314</v>
      </c>
      <c r="B730" s="1231">
        <v>45427</v>
      </c>
      <c r="C730" s="82">
        <f t="shared" ref="C730:C793" si="13">_xlfn.ISOWEEKNUM(B730)</f>
        <v>20</v>
      </c>
      <c r="D730" s="1091" t="s">
        <v>1145</v>
      </c>
      <c r="E730" s="1091" t="s">
        <v>4716</v>
      </c>
      <c r="F730" s="927" t="s">
        <v>1199</v>
      </c>
      <c r="G730" s="927" t="s">
        <v>1199</v>
      </c>
      <c r="H730" s="1032"/>
      <c r="I730" s="1032"/>
      <c r="J730" s="1226"/>
      <c r="K730" s="1226"/>
      <c r="L730" s="1032"/>
      <c r="M730" s="1032" t="s">
        <v>37</v>
      </c>
      <c r="N730" s="21" t="s">
        <v>109</v>
      </c>
      <c r="O730" s="21" t="s">
        <v>794</v>
      </c>
      <c r="P730" s="21" t="s">
        <v>4080</v>
      </c>
      <c r="Q730" s="980">
        <v>2</v>
      </c>
      <c r="R730" s="1032"/>
      <c r="S730" s="1032"/>
      <c r="T730" s="1032"/>
      <c r="U730" s="1032" t="s">
        <v>4717</v>
      </c>
      <c r="V730" s="1083"/>
      <c r="W730"/>
    </row>
    <row r="731" spans="1:23" ht="52.35" customHeight="1">
      <c r="A731" s="47" t="s">
        <v>1314</v>
      </c>
      <c r="B731" s="1231">
        <v>45427</v>
      </c>
      <c r="C731" s="82">
        <f t="shared" si="13"/>
        <v>20</v>
      </c>
      <c r="D731" s="1237" t="s">
        <v>1254</v>
      </c>
      <c r="E731" s="1237" t="s">
        <v>3143</v>
      </c>
      <c r="F731" s="937" t="s">
        <v>1768</v>
      </c>
      <c r="G731" s="937" t="s">
        <v>1768</v>
      </c>
      <c r="H731" s="1032"/>
      <c r="I731" s="1032"/>
      <c r="J731" s="1226"/>
      <c r="K731" s="1226"/>
      <c r="L731" s="49"/>
      <c r="M731" s="1032" t="s">
        <v>37</v>
      </c>
      <c r="N731" s="21" t="s">
        <v>0</v>
      </c>
      <c r="O731" s="21" t="s">
        <v>187</v>
      </c>
      <c r="P731" s="21" t="s">
        <v>4330</v>
      </c>
      <c r="Q731" s="1032"/>
      <c r="R731" s="1032"/>
      <c r="S731" s="1032"/>
      <c r="T731" s="1032"/>
      <c r="U731" s="1032" t="s">
        <v>4718</v>
      </c>
      <c r="V731" s="1083"/>
      <c r="W731"/>
    </row>
    <row r="732" spans="1:23" ht="26.25" customHeight="1">
      <c r="A732" s="47" t="s">
        <v>1314</v>
      </c>
      <c r="B732" s="1231">
        <v>45427</v>
      </c>
      <c r="C732" s="82">
        <f t="shared" si="13"/>
        <v>20</v>
      </c>
      <c r="D732" s="1115" t="s">
        <v>1005</v>
      </c>
      <c r="E732" s="1115" t="s">
        <v>243</v>
      </c>
      <c r="F732" s="937" t="s">
        <v>1199</v>
      </c>
      <c r="G732" s="937" t="s">
        <v>1199</v>
      </c>
      <c r="H732" s="1032"/>
      <c r="I732" s="1032"/>
      <c r="J732" s="1226"/>
      <c r="K732" s="1226"/>
      <c r="L732" s="1032" t="s">
        <v>37</v>
      </c>
      <c r="M732" s="1032"/>
      <c r="N732" s="1032"/>
      <c r="O732" s="1032"/>
      <c r="P732" s="1032"/>
      <c r="Q732" s="1032"/>
      <c r="R732" s="1032"/>
      <c r="S732" s="1032"/>
      <c r="T732" s="1032"/>
      <c r="U732" s="1032"/>
      <c r="V732" s="1083"/>
      <c r="W732"/>
    </row>
    <row r="733" spans="1:23" ht="52.5" customHeight="1">
      <c r="A733" s="47" t="s">
        <v>1437</v>
      </c>
      <c r="B733" s="1231">
        <v>45428</v>
      </c>
      <c r="C733" s="82">
        <f t="shared" si="13"/>
        <v>20</v>
      </c>
      <c r="D733" s="1237" t="s">
        <v>450</v>
      </c>
      <c r="E733" s="1237" t="s">
        <v>4719</v>
      </c>
      <c r="F733" s="937" t="s">
        <v>1768</v>
      </c>
      <c r="G733" s="937" t="s">
        <v>1768</v>
      </c>
      <c r="H733" s="1032"/>
      <c r="I733" s="1032"/>
      <c r="J733" s="1226"/>
      <c r="K733" s="1226"/>
      <c r="L733" s="1032"/>
      <c r="M733" s="1032" t="s">
        <v>37</v>
      </c>
      <c r="N733" s="21" t="s">
        <v>0</v>
      </c>
      <c r="O733" s="21" t="s">
        <v>187</v>
      </c>
      <c r="P733" s="21" t="s">
        <v>4330</v>
      </c>
      <c r="Q733" s="1032"/>
      <c r="R733" s="1032"/>
      <c r="S733" s="1032"/>
      <c r="T733" s="1032"/>
      <c r="U733" s="1032"/>
      <c r="V733" s="1083"/>
      <c r="W733"/>
    </row>
    <row r="734" spans="1:23" ht="78.75" customHeight="1">
      <c r="A734" s="47" t="s">
        <v>1437</v>
      </c>
      <c r="B734" s="1231">
        <v>45428</v>
      </c>
      <c r="C734" s="82">
        <f t="shared" si="13"/>
        <v>20</v>
      </c>
      <c r="D734" s="1238" t="s">
        <v>4720</v>
      </c>
      <c r="E734" s="1238" t="s">
        <v>2750</v>
      </c>
      <c r="F734" s="927" t="s">
        <v>1199</v>
      </c>
      <c r="G734" s="927" t="s">
        <v>1199</v>
      </c>
      <c r="H734" s="3250"/>
      <c r="I734" s="5242"/>
      <c r="J734" s="5238"/>
      <c r="K734" s="5231" t="s">
        <v>4206</v>
      </c>
      <c r="L734" s="979"/>
      <c r="M734" s="1032" t="s">
        <v>37</v>
      </c>
      <c r="N734" s="21" t="s">
        <v>0</v>
      </c>
      <c r="O734" s="21" t="s">
        <v>343</v>
      </c>
      <c r="P734" s="21" t="s">
        <v>4102</v>
      </c>
      <c r="Q734" s="1032"/>
      <c r="R734" s="1032"/>
      <c r="S734" s="1032"/>
      <c r="T734" s="1032"/>
      <c r="U734" s="1032" t="s">
        <v>4721</v>
      </c>
      <c r="V734" s="1083"/>
      <c r="W734"/>
    </row>
    <row r="735" spans="1:23" ht="224.85" customHeight="1">
      <c r="A735" s="47" t="s">
        <v>1437</v>
      </c>
      <c r="B735" s="1231">
        <v>45428</v>
      </c>
      <c r="C735" s="82">
        <f t="shared" si="13"/>
        <v>20</v>
      </c>
      <c r="D735" s="1238" t="s">
        <v>4722</v>
      </c>
      <c r="E735" s="1238" t="s">
        <v>4723</v>
      </c>
      <c r="F735" s="979" t="s">
        <v>1199</v>
      </c>
      <c r="G735" s="979" t="s">
        <v>1199</v>
      </c>
      <c r="H735" s="922"/>
      <c r="I735" s="922"/>
      <c r="J735" s="1224"/>
      <c r="K735" s="1224"/>
      <c r="L735" s="979" t="s">
        <v>37</v>
      </c>
      <c r="M735" s="1032"/>
      <c r="N735" s="1032"/>
      <c r="O735" s="1032"/>
      <c r="P735" s="1032"/>
      <c r="Q735" s="1032"/>
      <c r="R735" s="1032"/>
      <c r="S735" s="1032"/>
      <c r="T735" s="1032"/>
      <c r="U735" s="1032" t="s">
        <v>4724</v>
      </c>
      <c r="V735" s="1083"/>
      <c r="W735"/>
    </row>
    <row r="736" spans="1:23" ht="52.5" customHeight="1">
      <c r="A736" s="47" t="s">
        <v>1437</v>
      </c>
      <c r="B736" s="1231">
        <v>45428</v>
      </c>
      <c r="C736" s="82">
        <f t="shared" si="13"/>
        <v>20</v>
      </c>
      <c r="D736" s="1239" t="s">
        <v>1905</v>
      </c>
      <c r="E736" s="1239" t="s">
        <v>731</v>
      </c>
      <c r="F736" s="927" t="s">
        <v>1199</v>
      </c>
      <c r="G736" s="927" t="s">
        <v>1199</v>
      </c>
      <c r="H736" s="3250">
        <v>702</v>
      </c>
      <c r="I736" s="5242"/>
      <c r="J736" s="5238"/>
      <c r="K736" s="5227" t="s">
        <v>1630</v>
      </c>
      <c r="L736" s="48"/>
      <c r="M736" s="1032" t="s">
        <v>37</v>
      </c>
      <c r="N736" s="21" t="s">
        <v>71</v>
      </c>
      <c r="O736" s="21" t="s">
        <v>138</v>
      </c>
      <c r="P736" s="21" t="s">
        <v>4082</v>
      </c>
      <c r="Q736" s="1032"/>
      <c r="R736" s="1032"/>
      <c r="S736" s="1032"/>
      <c r="T736" s="1032"/>
      <c r="U736" s="1032" t="s">
        <v>4725</v>
      </c>
      <c r="V736" s="1083"/>
      <c r="W736"/>
    </row>
    <row r="737" spans="1:23" ht="52.5" customHeight="1">
      <c r="A737" s="47" t="s">
        <v>1437</v>
      </c>
      <c r="B737" s="1231">
        <v>45428</v>
      </c>
      <c r="C737" s="82">
        <f t="shared" si="13"/>
        <v>20</v>
      </c>
      <c r="D737" s="1239" t="s">
        <v>273</v>
      </c>
      <c r="E737" s="1239" t="s">
        <v>4663</v>
      </c>
      <c r="F737" s="927" t="s">
        <v>1199</v>
      </c>
      <c r="G737" s="927" t="s">
        <v>1199</v>
      </c>
      <c r="H737" s="3250">
        <v>702</v>
      </c>
      <c r="I737" s="5242"/>
      <c r="J737" s="5238"/>
      <c r="K737" s="5227" t="s">
        <v>1630</v>
      </c>
      <c r="L737" s="979"/>
      <c r="M737" s="1032" t="s">
        <v>37</v>
      </c>
      <c r="N737" s="21" t="s">
        <v>71</v>
      </c>
      <c r="O737" s="21" t="s">
        <v>138</v>
      </c>
      <c r="P737" s="21" t="s">
        <v>4082</v>
      </c>
      <c r="Q737" s="1032"/>
      <c r="R737" s="1032"/>
      <c r="S737" s="1032"/>
      <c r="T737" s="1032"/>
      <c r="U737" s="1032"/>
      <c r="V737" s="1083"/>
      <c r="W737"/>
    </row>
    <row r="738" spans="1:23" ht="52.5" customHeight="1">
      <c r="A738" s="47" t="s">
        <v>1437</v>
      </c>
      <c r="B738" s="1231">
        <v>45428</v>
      </c>
      <c r="C738" s="82">
        <f t="shared" si="13"/>
        <v>20</v>
      </c>
      <c r="D738" s="1240" t="s">
        <v>4712</v>
      </c>
      <c r="E738" s="1240" t="s">
        <v>2569</v>
      </c>
      <c r="F738" s="927" t="s">
        <v>1199</v>
      </c>
      <c r="G738" s="927" t="s">
        <v>1199</v>
      </c>
      <c r="H738" s="922"/>
      <c r="I738" s="922"/>
      <c r="J738" s="1224"/>
      <c r="K738" s="1224"/>
      <c r="L738" s="979" t="s">
        <v>37</v>
      </c>
      <c r="M738" s="1032"/>
      <c r="N738" s="1032"/>
      <c r="O738" s="1032"/>
      <c r="P738" s="1032"/>
      <c r="Q738" s="1032"/>
      <c r="R738" s="1032"/>
      <c r="S738" s="1032"/>
      <c r="T738" s="1032" t="s">
        <v>4726</v>
      </c>
      <c r="U738" s="1032"/>
      <c r="V738" s="1083"/>
      <c r="W738"/>
    </row>
    <row r="739" spans="1:23" ht="78.75" customHeight="1">
      <c r="A739" s="47" t="s">
        <v>1437</v>
      </c>
      <c r="B739" s="1231">
        <v>45428</v>
      </c>
      <c r="C739" s="82">
        <f t="shared" si="13"/>
        <v>20</v>
      </c>
      <c r="D739" s="1241" t="s">
        <v>4692</v>
      </c>
      <c r="E739" s="1241" t="s">
        <v>4693</v>
      </c>
      <c r="F739" s="927" t="s">
        <v>1199</v>
      </c>
      <c r="G739" s="927" t="s">
        <v>1199</v>
      </c>
      <c r="H739" s="922"/>
      <c r="I739" s="922"/>
      <c r="J739" s="1224"/>
      <c r="K739" s="1224"/>
      <c r="L739" s="979"/>
      <c r="M739" s="1032" t="s">
        <v>37</v>
      </c>
      <c r="N739" s="21" t="s">
        <v>109</v>
      </c>
      <c r="O739" s="21" t="s">
        <v>1589</v>
      </c>
      <c r="P739" s="21" t="s">
        <v>4674</v>
      </c>
      <c r="Q739" s="1032"/>
      <c r="R739" s="1032"/>
      <c r="S739" s="1032"/>
      <c r="T739" s="1032"/>
      <c r="U739" s="1032" t="s">
        <v>4727</v>
      </c>
      <c r="V739" s="1083"/>
      <c r="W739"/>
    </row>
    <row r="740" spans="1:23" ht="26.25" customHeight="1">
      <c r="A740" s="47" t="s">
        <v>1437</v>
      </c>
      <c r="B740" s="1231">
        <v>45428</v>
      </c>
      <c r="C740" s="82">
        <f t="shared" si="13"/>
        <v>20</v>
      </c>
      <c r="D740" s="1241" t="s">
        <v>293</v>
      </c>
      <c r="E740" s="1241" t="s">
        <v>4694</v>
      </c>
      <c r="F740" s="935" t="s">
        <v>1199</v>
      </c>
      <c r="G740" s="935" t="s">
        <v>1199</v>
      </c>
      <c r="H740" s="922"/>
      <c r="I740" s="922"/>
      <c r="J740" s="1224"/>
      <c r="K740" s="1224"/>
      <c r="L740" s="979" t="s">
        <v>37</v>
      </c>
      <c r="M740" s="1032"/>
      <c r="N740" s="1032"/>
      <c r="O740" s="1032"/>
      <c r="P740" s="1032"/>
      <c r="Q740" s="1032"/>
      <c r="R740" s="1032"/>
      <c r="S740" s="1032"/>
      <c r="T740" s="1032"/>
      <c r="U740" s="1032"/>
      <c r="V740" s="1083"/>
      <c r="W740"/>
    </row>
    <row r="741" spans="1:23" ht="26.25" customHeight="1">
      <c r="A741" s="47" t="s">
        <v>1495</v>
      </c>
      <c r="B741" s="1231">
        <v>45427</v>
      </c>
      <c r="C741" s="82">
        <f t="shared" si="13"/>
        <v>20</v>
      </c>
      <c r="D741" s="1091" t="s">
        <v>1145</v>
      </c>
      <c r="E741" s="1091" t="s">
        <v>4716</v>
      </c>
      <c r="F741" s="935" t="s">
        <v>1199</v>
      </c>
      <c r="G741" s="935" t="s">
        <v>1199</v>
      </c>
      <c r="H741" s="1032"/>
      <c r="I741" s="1032"/>
      <c r="J741" s="1226"/>
      <c r="K741" s="1226"/>
      <c r="L741" s="1032" t="s">
        <v>37</v>
      </c>
      <c r="M741" s="1032"/>
      <c r="N741" s="1032"/>
      <c r="O741" s="1032"/>
      <c r="P741" s="1032"/>
      <c r="Q741" s="1032"/>
      <c r="R741" s="980">
        <v>2</v>
      </c>
      <c r="S741" s="1032"/>
      <c r="T741" s="1032"/>
      <c r="U741" s="1032"/>
      <c r="V741" s="1083"/>
      <c r="W741"/>
    </row>
    <row r="742" spans="1:23" ht="52.5" customHeight="1">
      <c r="A742" s="47" t="s">
        <v>1437</v>
      </c>
      <c r="B742" s="1231">
        <v>45428</v>
      </c>
      <c r="C742" s="82">
        <f t="shared" si="13"/>
        <v>20</v>
      </c>
      <c r="D742" s="1052" t="s">
        <v>4728</v>
      </c>
      <c r="E742" s="1052" t="s">
        <v>4440</v>
      </c>
      <c r="F742" s="937" t="s">
        <v>1199</v>
      </c>
      <c r="G742" s="937" t="s">
        <v>1199</v>
      </c>
      <c r="H742" s="922"/>
      <c r="I742" s="922"/>
      <c r="J742" s="1224"/>
      <c r="K742" s="1224"/>
      <c r="L742" s="979"/>
      <c r="M742" s="1032" t="s">
        <v>37</v>
      </c>
      <c r="N742" s="21"/>
      <c r="O742" s="21"/>
      <c r="P742" s="21" t="s">
        <v>4102</v>
      </c>
      <c r="Q742" s="1032"/>
      <c r="R742" s="1032"/>
      <c r="S742" s="1032" t="s">
        <v>37</v>
      </c>
      <c r="T742" s="1032"/>
      <c r="U742" s="1032" t="s">
        <v>4729</v>
      </c>
      <c r="V742" s="1083"/>
      <c r="W742"/>
    </row>
    <row r="743" spans="1:23" ht="52.5" customHeight="1">
      <c r="A743" s="47" t="s">
        <v>1437</v>
      </c>
      <c r="B743" s="1231">
        <v>45428</v>
      </c>
      <c r="C743" s="82">
        <f t="shared" si="13"/>
        <v>20</v>
      </c>
      <c r="D743" s="1115" t="s">
        <v>4541</v>
      </c>
      <c r="E743" s="1115" t="s">
        <v>1838</v>
      </c>
      <c r="F743" s="937" t="s">
        <v>1199</v>
      </c>
      <c r="G743" s="937" t="s">
        <v>1199</v>
      </c>
      <c r="H743" s="1032"/>
      <c r="I743" s="1032"/>
      <c r="J743" s="1226"/>
      <c r="K743" s="1226"/>
      <c r="L743" s="1032"/>
      <c r="M743" s="1032" t="s">
        <v>37</v>
      </c>
      <c r="N743" s="21" t="s">
        <v>109</v>
      </c>
      <c r="O743" s="21" t="s">
        <v>110</v>
      </c>
      <c r="P743" s="21" t="s">
        <v>4080</v>
      </c>
      <c r="Q743" s="1032"/>
      <c r="R743" s="1032"/>
      <c r="S743" s="1032"/>
      <c r="T743" s="1032"/>
      <c r="U743" s="1032" t="s">
        <v>4730</v>
      </c>
      <c r="V743" s="1083"/>
      <c r="W743"/>
    </row>
    <row r="744" spans="1:23" ht="52.5" customHeight="1">
      <c r="A744" s="47" t="s">
        <v>1193</v>
      </c>
      <c r="B744" s="1231">
        <v>45429</v>
      </c>
      <c r="C744" s="82">
        <f t="shared" si="13"/>
        <v>20</v>
      </c>
      <c r="D744" s="1237" t="s">
        <v>1421</v>
      </c>
      <c r="E744" s="1237" t="s">
        <v>4731</v>
      </c>
      <c r="F744" s="937" t="s">
        <v>1768</v>
      </c>
      <c r="G744" s="937" t="s">
        <v>1768</v>
      </c>
      <c r="H744" s="1032"/>
      <c r="I744" s="1032"/>
      <c r="J744" s="1226"/>
      <c r="K744" s="1226"/>
      <c r="L744" s="1032"/>
      <c r="M744" s="1032" t="s">
        <v>37</v>
      </c>
      <c r="N744" s="21" t="s">
        <v>0</v>
      </c>
      <c r="O744" s="21" t="s">
        <v>187</v>
      </c>
      <c r="P744" s="21" t="s">
        <v>4330</v>
      </c>
      <c r="Q744" s="1032"/>
      <c r="R744" s="1032"/>
      <c r="S744" s="1032"/>
      <c r="T744" s="1032"/>
      <c r="U744" s="1032"/>
      <c r="V744" s="1083"/>
      <c r="W744"/>
    </row>
    <row r="745" spans="1:23" ht="78.75" customHeight="1">
      <c r="A745" s="47" t="s">
        <v>1193</v>
      </c>
      <c r="B745" s="1231">
        <v>45429</v>
      </c>
      <c r="C745" s="82">
        <f t="shared" si="13"/>
        <v>20</v>
      </c>
      <c r="D745" s="1238" t="s">
        <v>4723</v>
      </c>
      <c r="E745" s="1238" t="s">
        <v>4639</v>
      </c>
      <c r="F745" s="935" t="s">
        <v>1199</v>
      </c>
      <c r="G745" s="935" t="s">
        <v>1199</v>
      </c>
      <c r="H745" s="1032"/>
      <c r="I745" s="994"/>
      <c r="J745" s="1228" t="s">
        <v>1199</v>
      </c>
      <c r="K745" s="1228"/>
      <c r="L745" s="979"/>
      <c r="M745" s="1032" t="s">
        <v>37</v>
      </c>
      <c r="N745" s="21" t="s">
        <v>109</v>
      </c>
      <c r="O745" s="21" t="s">
        <v>1589</v>
      </c>
      <c r="P745" s="21" t="s">
        <v>4102</v>
      </c>
      <c r="Q745" s="1032"/>
      <c r="R745" s="1032"/>
      <c r="S745" s="1032"/>
      <c r="T745" s="1032"/>
      <c r="U745" s="1032" t="s">
        <v>4732</v>
      </c>
      <c r="V745" s="1083"/>
      <c r="W745"/>
    </row>
    <row r="746" spans="1:23" ht="78.75" customHeight="1">
      <c r="A746" s="47" t="s">
        <v>1193</v>
      </c>
      <c r="B746" s="1231">
        <v>45429</v>
      </c>
      <c r="C746" s="82">
        <f t="shared" si="13"/>
        <v>20</v>
      </c>
      <c r="D746" s="1238" t="s">
        <v>4639</v>
      </c>
      <c r="E746" s="1238" t="s">
        <v>4153</v>
      </c>
      <c r="F746" s="935" t="s">
        <v>1199</v>
      </c>
      <c r="G746" s="935" t="s">
        <v>1199</v>
      </c>
      <c r="H746" s="994"/>
      <c r="I746" s="994"/>
      <c r="J746" s="1228" t="s">
        <v>1199</v>
      </c>
      <c r="K746" s="1228"/>
      <c r="L746" s="979"/>
      <c r="M746" s="1032" t="s">
        <v>37</v>
      </c>
      <c r="N746" s="21" t="s">
        <v>109</v>
      </c>
      <c r="O746" s="21" t="s">
        <v>1589</v>
      </c>
      <c r="P746" s="21" t="s">
        <v>4102</v>
      </c>
      <c r="Q746" s="1032"/>
      <c r="R746" s="1032"/>
      <c r="S746" s="1032"/>
      <c r="T746" s="1032"/>
      <c r="U746" s="1032" t="s">
        <v>4732</v>
      </c>
      <c r="V746" s="1083"/>
      <c r="W746"/>
    </row>
    <row r="747" spans="1:23" ht="26.25" customHeight="1">
      <c r="A747" s="47" t="s">
        <v>1193</v>
      </c>
      <c r="B747" s="1231">
        <v>45429</v>
      </c>
      <c r="C747" s="82">
        <f t="shared" si="13"/>
        <v>20</v>
      </c>
      <c r="D747" s="1240" t="s">
        <v>2569</v>
      </c>
      <c r="E747" s="1240" t="s">
        <v>4733</v>
      </c>
      <c r="F747" s="927" t="s">
        <v>1764</v>
      </c>
      <c r="G747" s="927" t="s">
        <v>1764</v>
      </c>
      <c r="H747" s="922"/>
      <c r="I747" s="922"/>
      <c r="J747" s="1224"/>
      <c r="K747" s="1224"/>
      <c r="L747" s="979" t="s">
        <v>37</v>
      </c>
      <c r="M747" s="1032"/>
      <c r="N747" s="1032"/>
      <c r="O747" s="1032"/>
      <c r="P747" s="1032"/>
      <c r="Q747" s="1032"/>
      <c r="R747" s="1032"/>
      <c r="S747" s="1032" t="s">
        <v>37</v>
      </c>
      <c r="T747" s="1032"/>
      <c r="U747" s="1032"/>
      <c r="V747" s="1083"/>
      <c r="W747"/>
    </row>
    <row r="748" spans="1:23" ht="26.25" customHeight="1">
      <c r="A748" s="47" t="s">
        <v>1193</v>
      </c>
      <c r="B748" s="1231">
        <v>45429</v>
      </c>
      <c r="C748" s="82">
        <f t="shared" si="13"/>
        <v>20</v>
      </c>
      <c r="D748" s="1182" t="s">
        <v>4475</v>
      </c>
      <c r="E748" s="1182" t="s">
        <v>4706</v>
      </c>
      <c r="F748" s="937" t="s">
        <v>1199</v>
      </c>
      <c r="G748" s="937" t="s">
        <v>1199</v>
      </c>
      <c r="H748" s="5196"/>
      <c r="I748" s="5196"/>
      <c r="J748" s="1226"/>
      <c r="K748" s="5227" t="s">
        <v>174</v>
      </c>
      <c r="L748" s="979" t="s">
        <v>37</v>
      </c>
      <c r="M748" s="1032"/>
      <c r="N748" s="1032"/>
      <c r="O748" s="1032"/>
      <c r="P748" s="1032"/>
      <c r="Q748" s="1032"/>
      <c r="R748" s="1032"/>
      <c r="S748" s="1032"/>
      <c r="T748" s="1032"/>
      <c r="U748" s="1032"/>
      <c r="V748" s="1083"/>
      <c r="W748"/>
    </row>
    <row r="749" spans="1:23" ht="26.25" customHeight="1">
      <c r="A749" s="47" t="s">
        <v>1193</v>
      </c>
      <c r="B749" s="1231">
        <v>45429</v>
      </c>
      <c r="C749" s="82">
        <f t="shared" si="13"/>
        <v>20</v>
      </c>
      <c r="D749" s="1182" t="s">
        <v>4734</v>
      </c>
      <c r="E749" s="1182" t="s">
        <v>4735</v>
      </c>
      <c r="F749" s="937" t="s">
        <v>1199</v>
      </c>
      <c r="G749" s="937" t="s">
        <v>1199</v>
      </c>
      <c r="H749" s="5196"/>
      <c r="I749" s="5196"/>
      <c r="J749" s="1226"/>
      <c r="K749" s="5227" t="s">
        <v>174</v>
      </c>
      <c r="L749" s="979" t="s">
        <v>37</v>
      </c>
      <c r="M749" s="1032"/>
      <c r="N749" s="1032"/>
      <c r="O749" s="1032"/>
      <c r="P749" s="1032"/>
      <c r="Q749" s="1032"/>
      <c r="R749" s="1032"/>
      <c r="S749" s="1032"/>
      <c r="T749" s="1032"/>
      <c r="U749" s="1032"/>
      <c r="V749" s="1083"/>
      <c r="W749"/>
    </row>
    <row r="750" spans="1:23" ht="26.25" customHeight="1">
      <c r="A750" s="47" t="s">
        <v>1193</v>
      </c>
      <c r="B750" s="1231">
        <v>45429</v>
      </c>
      <c r="C750" s="82">
        <f t="shared" si="13"/>
        <v>20</v>
      </c>
      <c r="D750" s="1115" t="s">
        <v>1005</v>
      </c>
      <c r="E750" s="1115" t="s">
        <v>1654</v>
      </c>
      <c r="F750" s="937" t="s">
        <v>1199</v>
      </c>
      <c r="G750" s="937" t="s">
        <v>1199</v>
      </c>
      <c r="H750" s="1032"/>
      <c r="I750" s="1032"/>
      <c r="J750" s="1226"/>
      <c r="K750" s="1226"/>
      <c r="L750" s="1032" t="s">
        <v>37</v>
      </c>
      <c r="M750" s="1032"/>
      <c r="N750" s="1032"/>
      <c r="O750" s="1032"/>
      <c r="P750" s="1032"/>
      <c r="Q750" s="1032"/>
      <c r="R750" s="1032"/>
      <c r="S750" s="1032"/>
      <c r="T750" s="1032"/>
      <c r="U750" s="1032"/>
      <c r="V750" s="1083"/>
      <c r="W750"/>
    </row>
    <row r="751" spans="1:23" ht="26.25" customHeight="1">
      <c r="A751" s="47" t="s">
        <v>1193</v>
      </c>
      <c r="B751" s="1231">
        <v>45429</v>
      </c>
      <c r="C751" s="82">
        <f t="shared" si="13"/>
        <v>20</v>
      </c>
      <c r="D751" s="1242" t="s">
        <v>1698</v>
      </c>
      <c r="E751" s="1242" t="s">
        <v>4736</v>
      </c>
      <c r="F751" s="927" t="s">
        <v>1764</v>
      </c>
      <c r="G751" s="927" t="s">
        <v>1764</v>
      </c>
      <c r="H751" s="1032"/>
      <c r="I751" s="1032"/>
      <c r="J751" s="1226"/>
      <c r="K751" s="1226"/>
      <c r="L751" s="1032" t="s">
        <v>37</v>
      </c>
      <c r="M751" s="1032"/>
      <c r="N751" s="1032"/>
      <c r="O751" s="1032"/>
      <c r="P751" s="1032"/>
      <c r="Q751" s="1032"/>
      <c r="R751" s="1032"/>
      <c r="S751" s="1032"/>
      <c r="T751" s="1032"/>
      <c r="U751" s="1032"/>
      <c r="V751" s="1083"/>
      <c r="W751"/>
    </row>
    <row r="752" spans="1:23" ht="26.25" customHeight="1">
      <c r="A752" s="47" t="s">
        <v>1193</v>
      </c>
      <c r="B752" s="1231">
        <v>45429</v>
      </c>
      <c r="C752" s="82">
        <f t="shared" si="13"/>
        <v>20</v>
      </c>
      <c r="D752" s="1242" t="s">
        <v>4654</v>
      </c>
      <c r="E752" s="1242" t="s">
        <v>4737</v>
      </c>
      <c r="F752" s="927" t="s">
        <v>1764</v>
      </c>
      <c r="G752" s="927" t="s">
        <v>1764</v>
      </c>
      <c r="H752" s="1032"/>
      <c r="I752" s="1032"/>
      <c r="J752" s="1226"/>
      <c r="K752" s="1226"/>
      <c r="L752" s="1032" t="s">
        <v>37</v>
      </c>
      <c r="M752" s="1032"/>
      <c r="N752" s="1032"/>
      <c r="O752" s="1032"/>
      <c r="P752" s="1032"/>
      <c r="Q752" s="1032"/>
      <c r="R752" s="1032"/>
      <c r="S752" s="1032"/>
      <c r="T752" s="1032"/>
      <c r="U752" s="1032"/>
      <c r="V752" s="1083"/>
      <c r="W752"/>
    </row>
    <row r="753" spans="1:23" ht="26.25" customHeight="1">
      <c r="A753" s="47" t="s">
        <v>1193</v>
      </c>
      <c r="B753" s="1231">
        <v>45429</v>
      </c>
      <c r="C753" s="82">
        <f t="shared" si="13"/>
        <v>20</v>
      </c>
      <c r="D753" s="1242" t="s">
        <v>4738</v>
      </c>
      <c r="E753" s="1242" t="s">
        <v>4739</v>
      </c>
      <c r="F753" s="1243" t="s">
        <v>1199</v>
      </c>
      <c r="G753" s="1243" t="s">
        <v>1199</v>
      </c>
      <c r="H753" s="1032"/>
      <c r="I753" s="1032"/>
      <c r="J753" s="1228" t="s">
        <v>1199</v>
      </c>
      <c r="K753" s="1228"/>
      <c r="L753" s="1032" t="s">
        <v>37</v>
      </c>
      <c r="M753" s="1032"/>
      <c r="N753" s="1032"/>
      <c r="O753" s="1032"/>
      <c r="P753" s="1032"/>
      <c r="Q753" s="1032"/>
      <c r="R753" s="1032"/>
      <c r="S753" s="1032"/>
      <c r="T753" s="1032"/>
      <c r="U753" s="1032"/>
      <c r="V753" s="1083"/>
      <c r="W753"/>
    </row>
    <row r="754" spans="1:23" ht="26.25" customHeight="1">
      <c r="A754" s="47" t="s">
        <v>1193</v>
      </c>
      <c r="B754" s="1231">
        <v>45429</v>
      </c>
      <c r="C754" s="82">
        <f t="shared" si="13"/>
        <v>20</v>
      </c>
      <c r="D754" s="1115" t="s">
        <v>80</v>
      </c>
      <c r="E754" s="1115" t="s">
        <v>1838</v>
      </c>
      <c r="F754" s="979" t="s">
        <v>1199</v>
      </c>
      <c r="G754" s="979" t="s">
        <v>1199</v>
      </c>
      <c r="H754" s="3250"/>
      <c r="I754" s="5242"/>
      <c r="J754" s="5238"/>
      <c r="K754" s="5231" t="s">
        <v>4206</v>
      </c>
      <c r="L754" s="979" t="s">
        <v>37</v>
      </c>
      <c r="M754" s="1032"/>
      <c r="N754" s="1032"/>
      <c r="O754" s="1032"/>
      <c r="P754" s="1032"/>
      <c r="Q754" s="1032"/>
      <c r="R754" s="1032"/>
      <c r="S754" s="1032"/>
      <c r="T754" s="1032"/>
      <c r="U754" s="1032"/>
      <c r="V754" s="1083"/>
      <c r="W754"/>
    </row>
    <row r="755" spans="1:23" ht="78.75" customHeight="1" thickBot="1">
      <c r="A755" s="47" t="s">
        <v>1697</v>
      </c>
      <c r="B755" s="1231">
        <v>45430</v>
      </c>
      <c r="C755" s="82">
        <f t="shared" si="13"/>
        <v>20</v>
      </c>
      <c r="D755" s="1115" t="s">
        <v>4740</v>
      </c>
      <c r="E755" s="1115" t="s">
        <v>63</v>
      </c>
      <c r="F755" s="1244"/>
      <c r="G755" s="927"/>
      <c r="H755" s="1032"/>
      <c r="I755" s="1032"/>
      <c r="J755" s="1226"/>
      <c r="K755" s="1226"/>
      <c r="L755" s="1032"/>
      <c r="M755" s="1032" t="s">
        <v>37</v>
      </c>
      <c r="N755" s="20" t="s">
        <v>109</v>
      </c>
      <c r="O755" s="20" t="s">
        <v>1847</v>
      </c>
      <c r="P755" s="20" t="s">
        <v>4108</v>
      </c>
      <c r="Q755" s="1032"/>
      <c r="R755" s="1032"/>
      <c r="S755" s="1032"/>
      <c r="T755" s="1032"/>
      <c r="U755" s="1032" t="s">
        <v>4741</v>
      </c>
      <c r="V755" s="1083"/>
      <c r="W755"/>
    </row>
    <row r="756" spans="1:23" ht="26.25" customHeight="1">
      <c r="A756" s="443" t="s">
        <v>25</v>
      </c>
      <c r="B756" s="1258">
        <v>45432</v>
      </c>
      <c r="C756" s="82">
        <f t="shared" si="13"/>
        <v>21</v>
      </c>
      <c r="D756" s="1263" t="s">
        <v>1654</v>
      </c>
      <c r="E756" s="1263" t="s">
        <v>282</v>
      </c>
      <c r="F756" s="937" t="s">
        <v>1199</v>
      </c>
      <c r="G756" s="1264" t="s">
        <v>1199</v>
      </c>
      <c r="H756" s="4762"/>
      <c r="I756" s="5304"/>
      <c r="J756" s="4762"/>
      <c r="K756" s="5231" t="s">
        <v>4206</v>
      </c>
      <c r="L756" s="963" t="s">
        <v>37</v>
      </c>
      <c r="M756" s="1105"/>
      <c r="N756" s="1105"/>
      <c r="O756" s="1105"/>
      <c r="P756" s="1105"/>
      <c r="Q756" s="1105"/>
      <c r="R756" s="1105"/>
      <c r="S756" s="1105"/>
      <c r="T756" s="1105"/>
      <c r="U756" s="1106"/>
      <c r="V756" s="1083"/>
      <c r="W756"/>
    </row>
    <row r="757" spans="1:23" ht="26.25" customHeight="1">
      <c r="A757" s="446" t="s">
        <v>25</v>
      </c>
      <c r="B757" s="1231">
        <v>45432</v>
      </c>
      <c r="C757" s="82">
        <f t="shared" si="13"/>
        <v>21</v>
      </c>
      <c r="D757" s="1239" t="s">
        <v>4441</v>
      </c>
      <c r="E757" s="1239" t="s">
        <v>4742</v>
      </c>
      <c r="F757" s="937" t="s">
        <v>1199</v>
      </c>
      <c r="G757" s="927" t="s">
        <v>1199</v>
      </c>
      <c r="H757" s="3250"/>
      <c r="I757" s="5242"/>
      <c r="J757" s="3250"/>
      <c r="K757" s="5231" t="s">
        <v>4206</v>
      </c>
      <c r="L757" s="937" t="s">
        <v>37</v>
      </c>
      <c r="M757" s="1032"/>
      <c r="N757" s="1032"/>
      <c r="O757" s="1032"/>
      <c r="P757" s="1032"/>
      <c r="Q757" s="1032"/>
      <c r="R757" s="1032"/>
      <c r="S757" s="1032"/>
      <c r="T757" s="1032"/>
      <c r="U757" s="1030"/>
      <c r="V757" s="1083"/>
      <c r="W757"/>
    </row>
    <row r="758" spans="1:23" ht="26.25" customHeight="1">
      <c r="A758" s="446" t="s">
        <v>25</v>
      </c>
      <c r="B758" s="1231">
        <v>45432</v>
      </c>
      <c r="C758" s="82">
        <f t="shared" si="13"/>
        <v>21</v>
      </c>
      <c r="D758" s="1239" t="s">
        <v>4743</v>
      </c>
      <c r="E758" s="1239" t="s">
        <v>4744</v>
      </c>
      <c r="F758" s="937" t="s">
        <v>1199</v>
      </c>
      <c r="G758" s="937" t="s">
        <v>1199</v>
      </c>
      <c r="H758" s="1037"/>
      <c r="I758" s="1037"/>
      <c r="J758" s="979"/>
      <c r="K758" s="979"/>
      <c r="L758" s="937" t="s">
        <v>37</v>
      </c>
      <c r="M758" s="1032"/>
      <c r="N758" s="1032"/>
      <c r="O758" s="1032"/>
      <c r="P758" s="1032"/>
      <c r="Q758" s="1032"/>
      <c r="R758" s="1032"/>
      <c r="S758" s="1032"/>
      <c r="T758" s="1032"/>
      <c r="U758" s="1030"/>
      <c r="V758" s="1083"/>
      <c r="W758"/>
    </row>
    <row r="759" spans="1:23" ht="26.25" customHeight="1">
      <c r="A759" s="446" t="s">
        <v>25</v>
      </c>
      <c r="B759" s="1231">
        <v>45432</v>
      </c>
      <c r="C759" s="82">
        <f t="shared" si="13"/>
        <v>21</v>
      </c>
      <c r="D759" s="1266" t="s">
        <v>1838</v>
      </c>
      <c r="E759" s="1266" t="s">
        <v>4745</v>
      </c>
      <c r="F759" s="937" t="s">
        <v>1199</v>
      </c>
      <c r="G759" s="927" t="s">
        <v>1199</v>
      </c>
      <c r="H759" s="1032"/>
      <c r="I759" s="1032"/>
      <c r="J759" s="1032"/>
      <c r="K759" s="1032"/>
      <c r="L759" s="1061" t="s">
        <v>37</v>
      </c>
      <c r="M759" s="1032"/>
      <c r="N759" s="1032"/>
      <c r="O759" s="1032"/>
      <c r="P759" s="1032"/>
      <c r="Q759" s="1032"/>
      <c r="R759" s="1032"/>
      <c r="S759" s="1032"/>
      <c r="T759" s="1032"/>
      <c r="U759" s="1030"/>
      <c r="V759" s="1083"/>
      <c r="W759"/>
    </row>
    <row r="760" spans="1:23" ht="26.25" customHeight="1">
      <c r="A760" s="446" t="s">
        <v>25</v>
      </c>
      <c r="B760" s="1231">
        <v>45432</v>
      </c>
      <c r="C760" s="82">
        <f t="shared" si="13"/>
        <v>21</v>
      </c>
      <c r="D760" s="1115" t="s">
        <v>1838</v>
      </c>
      <c r="E760" s="1115" t="s">
        <v>1005</v>
      </c>
      <c r="F760" s="937" t="s">
        <v>1199</v>
      </c>
      <c r="G760" s="927" t="s">
        <v>1199</v>
      </c>
      <c r="H760" s="3250"/>
      <c r="I760" s="5242"/>
      <c r="J760" s="3250"/>
      <c r="K760" s="5231" t="s">
        <v>4206</v>
      </c>
      <c r="L760" s="1061" t="s">
        <v>37</v>
      </c>
      <c r="M760" s="1032"/>
      <c r="N760" s="1032"/>
      <c r="O760" s="1032"/>
      <c r="P760" s="1032"/>
      <c r="Q760" s="1032"/>
      <c r="R760" s="1032"/>
      <c r="S760" s="1032"/>
      <c r="T760" s="1032"/>
      <c r="U760" s="1030"/>
      <c r="V760" s="1083"/>
      <c r="W760"/>
    </row>
    <row r="761" spans="1:23" ht="26.25" customHeight="1">
      <c r="A761" s="446" t="s">
        <v>25</v>
      </c>
      <c r="B761" s="1231">
        <v>45432</v>
      </c>
      <c r="C761" s="82">
        <f t="shared" si="13"/>
        <v>21</v>
      </c>
      <c r="D761" s="1267" t="s">
        <v>1905</v>
      </c>
      <c r="E761" s="1267" t="s">
        <v>4746</v>
      </c>
      <c r="F761" s="937" t="s">
        <v>1199</v>
      </c>
      <c r="G761" s="927" t="s">
        <v>1199</v>
      </c>
      <c r="H761" s="1032"/>
      <c r="I761" s="1032"/>
      <c r="J761" s="1032"/>
      <c r="K761" s="1032"/>
      <c r="L761" s="1032" t="s">
        <v>37</v>
      </c>
      <c r="M761" s="1032"/>
      <c r="N761" s="1032"/>
      <c r="O761" s="1032"/>
      <c r="P761" s="1032"/>
      <c r="Q761" s="1032"/>
      <c r="R761" s="1032"/>
      <c r="S761" s="1032"/>
      <c r="T761" s="1032"/>
      <c r="U761" s="1030"/>
      <c r="V761" s="1083"/>
      <c r="W761"/>
    </row>
    <row r="762" spans="1:23" ht="26.25" customHeight="1">
      <c r="A762" s="446" t="s">
        <v>25</v>
      </c>
      <c r="B762" s="1231">
        <v>45432</v>
      </c>
      <c r="C762" s="82">
        <f t="shared" si="13"/>
        <v>21</v>
      </c>
      <c r="D762" s="1267" t="s">
        <v>675</v>
      </c>
      <c r="E762" s="1267" t="s">
        <v>4663</v>
      </c>
      <c r="F762" s="937" t="s">
        <v>1199</v>
      </c>
      <c r="G762" s="927" t="s">
        <v>1199</v>
      </c>
      <c r="H762" s="1032"/>
      <c r="I762" s="1032"/>
      <c r="J762" s="1032"/>
      <c r="K762" s="1032"/>
      <c r="L762" s="1032" t="s">
        <v>37</v>
      </c>
      <c r="M762" s="1032"/>
      <c r="N762" s="1032"/>
      <c r="O762" s="1032"/>
      <c r="P762" s="1032"/>
      <c r="Q762" s="1032"/>
      <c r="R762" s="1032"/>
      <c r="S762" s="1032"/>
      <c r="T762" s="1032"/>
      <c r="U762" s="1030"/>
      <c r="V762" s="1083"/>
      <c r="W762"/>
    </row>
    <row r="763" spans="1:23" ht="26.25" customHeight="1">
      <c r="A763" s="446" t="s">
        <v>25</v>
      </c>
      <c r="B763" s="1231">
        <v>45432</v>
      </c>
      <c r="C763" s="82">
        <f t="shared" si="13"/>
        <v>21</v>
      </c>
      <c r="D763" s="1115" t="s">
        <v>383</v>
      </c>
      <c r="E763" s="1115" t="s">
        <v>879</v>
      </c>
      <c r="F763" s="979" t="s">
        <v>1199</v>
      </c>
      <c r="G763" s="979" t="s">
        <v>1199</v>
      </c>
      <c r="H763" s="3250">
        <v>702</v>
      </c>
      <c r="I763" s="5242"/>
      <c r="J763" s="3250"/>
      <c r="K763" s="5227" t="s">
        <v>1630</v>
      </c>
      <c r="L763" s="1032" t="s">
        <v>37</v>
      </c>
      <c r="M763" s="1032"/>
      <c r="N763" s="1032"/>
      <c r="O763" s="1032"/>
      <c r="P763" s="1032"/>
      <c r="Q763" s="1032"/>
      <c r="R763" s="1032"/>
      <c r="S763" s="1032"/>
      <c r="T763" s="1032"/>
      <c r="U763" s="1030"/>
      <c r="V763" s="1083"/>
      <c r="W763"/>
    </row>
    <row r="764" spans="1:23" ht="26.25" customHeight="1">
      <c r="A764" s="446" t="s">
        <v>25</v>
      </c>
      <c r="B764" s="1231">
        <v>45432</v>
      </c>
      <c r="C764" s="82">
        <f t="shared" si="13"/>
        <v>21</v>
      </c>
      <c r="D764" s="1268" t="s">
        <v>4747</v>
      </c>
      <c r="E764" s="1268" t="s">
        <v>4745</v>
      </c>
      <c r="F764" s="1246"/>
      <c r="G764" s="1246"/>
      <c r="H764" s="5250">
        <v>701</v>
      </c>
      <c r="I764" s="1341"/>
      <c r="J764" s="1151"/>
      <c r="K764" s="3250" t="s">
        <v>4504</v>
      </c>
      <c r="L764" s="1151"/>
      <c r="M764" s="1151"/>
      <c r="N764" s="1151"/>
      <c r="O764" s="1151"/>
      <c r="P764" s="1151"/>
      <c r="Q764" s="1151"/>
      <c r="R764" s="1151"/>
      <c r="S764" s="1151"/>
      <c r="T764" s="1151"/>
      <c r="U764" s="1269"/>
      <c r="V764" s="1083"/>
      <c r="W764"/>
    </row>
    <row r="765" spans="1:23" ht="27" customHeight="1" thickBot="1">
      <c r="A765" s="999" t="s">
        <v>25</v>
      </c>
      <c r="B765" s="1270">
        <v>45432</v>
      </c>
      <c r="C765" s="82">
        <f t="shared" si="13"/>
        <v>21</v>
      </c>
      <c r="D765" s="1253" t="s">
        <v>4748</v>
      </c>
      <c r="E765" s="1253" t="s">
        <v>1660</v>
      </c>
      <c r="F765" s="956" t="s">
        <v>1199</v>
      </c>
      <c r="G765" s="956" t="s">
        <v>1199</v>
      </c>
      <c r="H765" s="1271"/>
      <c r="I765" s="1272"/>
      <c r="J765" s="1151"/>
      <c r="K765" s="1151"/>
      <c r="L765" s="1151" t="s">
        <v>37</v>
      </c>
      <c r="M765" s="1151"/>
      <c r="N765" s="1151"/>
      <c r="O765" s="1151"/>
      <c r="P765" s="1151"/>
      <c r="Q765" s="1151"/>
      <c r="R765" s="1151"/>
      <c r="S765" s="1151"/>
      <c r="T765" s="1151"/>
      <c r="U765" s="1269"/>
      <c r="V765" s="1083"/>
      <c r="W765"/>
    </row>
    <row r="766" spans="1:23" ht="26.25" customHeight="1">
      <c r="A766" s="443" t="s">
        <v>67</v>
      </c>
      <c r="B766" s="1258">
        <v>45433</v>
      </c>
      <c r="C766" s="82">
        <f t="shared" si="13"/>
        <v>21</v>
      </c>
      <c r="D766" s="1273" t="s">
        <v>1714</v>
      </c>
      <c r="E766" s="1273" t="s">
        <v>4749</v>
      </c>
      <c r="F766" s="1200" t="s">
        <v>1199</v>
      </c>
      <c r="G766" s="1200" t="s">
        <v>1199</v>
      </c>
      <c r="H766" s="1029"/>
      <c r="I766" s="1105"/>
      <c r="J766" s="1105"/>
      <c r="K766" s="1105"/>
      <c r="L766" s="1105" t="s">
        <v>37</v>
      </c>
      <c r="M766" s="1105"/>
      <c r="N766" s="1105"/>
      <c r="O766" s="1105"/>
      <c r="P766" s="1105"/>
      <c r="Q766" s="1105"/>
      <c r="R766" s="1105"/>
      <c r="S766" s="1105"/>
      <c r="T766" s="1105"/>
      <c r="U766" s="1106"/>
      <c r="V766" s="1083"/>
      <c r="W766"/>
    </row>
    <row r="767" spans="1:23" ht="52.5" customHeight="1">
      <c r="A767" s="446" t="s">
        <v>67</v>
      </c>
      <c r="B767" s="1231">
        <v>45433</v>
      </c>
      <c r="C767" s="82">
        <f t="shared" si="13"/>
        <v>21</v>
      </c>
      <c r="D767" s="1234" t="s">
        <v>4220</v>
      </c>
      <c r="E767" s="1234" t="s">
        <v>4750</v>
      </c>
      <c r="F767" s="927" t="s">
        <v>1199</v>
      </c>
      <c r="G767" s="927" t="s">
        <v>1199</v>
      </c>
      <c r="H767" s="924"/>
      <c r="I767" s="1032"/>
      <c r="J767" s="1032"/>
      <c r="K767" s="1032"/>
      <c r="L767" s="1032" t="s">
        <v>37</v>
      </c>
      <c r="M767" s="1032"/>
      <c r="N767" s="1032"/>
      <c r="O767" s="1032"/>
      <c r="P767" s="1032"/>
      <c r="Q767" s="1032"/>
      <c r="R767" s="1032"/>
      <c r="S767" s="1032"/>
      <c r="T767" s="1032"/>
      <c r="U767" s="1030" t="s">
        <v>4751</v>
      </c>
      <c r="V767" s="1083"/>
      <c r="W767"/>
    </row>
    <row r="768" spans="1:23" ht="26.25" customHeight="1">
      <c r="A768" s="446" t="s">
        <v>67</v>
      </c>
      <c r="B768" s="1231">
        <v>45433</v>
      </c>
      <c r="C768" s="82">
        <f t="shared" si="13"/>
        <v>21</v>
      </c>
      <c r="D768" s="1182" t="s">
        <v>1005</v>
      </c>
      <c r="E768" s="1182" t="s">
        <v>4752</v>
      </c>
      <c r="F768" s="927" t="s">
        <v>1199</v>
      </c>
      <c r="G768" s="927" t="s">
        <v>1199</v>
      </c>
      <c r="H768" s="924"/>
      <c r="I768" s="1032"/>
      <c r="J768" s="1032"/>
      <c r="K768" s="1032"/>
      <c r="L768" s="1032" t="s">
        <v>37</v>
      </c>
      <c r="M768" s="1032"/>
      <c r="N768" s="1032"/>
      <c r="O768" s="1032"/>
      <c r="P768" s="1032"/>
      <c r="Q768" s="1032"/>
      <c r="R768" s="1032"/>
      <c r="S768" s="1032"/>
      <c r="T768" s="1032"/>
      <c r="U768" s="1030"/>
      <c r="V768" s="1083"/>
      <c r="W768"/>
    </row>
    <row r="769" spans="1:23" ht="26.25" customHeight="1">
      <c r="A769" s="446" t="s">
        <v>67</v>
      </c>
      <c r="B769" s="1231">
        <v>45433</v>
      </c>
      <c r="C769" s="82">
        <f t="shared" si="13"/>
        <v>21</v>
      </c>
      <c r="D769" s="1182" t="s">
        <v>4615</v>
      </c>
      <c r="E769" s="1182" t="s">
        <v>116</v>
      </c>
      <c r="F769" s="937" t="s">
        <v>1199</v>
      </c>
      <c r="G769" s="937" t="s">
        <v>1199</v>
      </c>
      <c r="H769" s="1032"/>
      <c r="I769" s="1032"/>
      <c r="J769" s="1032"/>
      <c r="K769" s="1032"/>
      <c r="L769" s="1032" t="s">
        <v>37</v>
      </c>
      <c r="M769" s="1032"/>
      <c r="N769" s="1032"/>
      <c r="O769" s="1032"/>
      <c r="P769" s="1032"/>
      <c r="Q769" s="1032"/>
      <c r="R769" s="1032"/>
      <c r="S769" s="1032"/>
      <c r="T769" s="1032"/>
      <c r="U769" s="1030"/>
      <c r="V769" s="1083"/>
      <c r="W769"/>
    </row>
    <row r="770" spans="1:23" ht="26.25" customHeight="1">
      <c r="A770" s="446" t="s">
        <v>67</v>
      </c>
      <c r="B770" s="1231">
        <v>45433</v>
      </c>
      <c r="C770" s="82">
        <f t="shared" si="13"/>
        <v>21</v>
      </c>
      <c r="D770" s="1274" t="s">
        <v>4612</v>
      </c>
      <c r="E770" s="1274" t="s">
        <v>4753</v>
      </c>
      <c r="F770" s="979" t="s">
        <v>1206</v>
      </c>
      <c r="G770" s="979" t="s">
        <v>1206</v>
      </c>
      <c r="H770" s="1032"/>
      <c r="I770" s="1032"/>
      <c r="J770" s="1032"/>
      <c r="K770" s="1032"/>
      <c r="L770" s="1032" t="s">
        <v>37</v>
      </c>
      <c r="M770" s="1032"/>
      <c r="N770" s="1032"/>
      <c r="O770" s="1032"/>
      <c r="P770" s="1032"/>
      <c r="Q770" s="1032"/>
      <c r="R770" s="1032"/>
      <c r="S770" s="1032"/>
      <c r="T770" s="1032"/>
      <c r="U770" s="1030"/>
      <c r="V770" s="1083"/>
      <c r="W770"/>
    </row>
    <row r="771" spans="1:23" ht="26.25" customHeight="1">
      <c r="A771" s="446" t="s">
        <v>67</v>
      </c>
      <c r="B771" s="1231">
        <v>45433</v>
      </c>
      <c r="C771" s="82">
        <f t="shared" si="13"/>
        <v>21</v>
      </c>
      <c r="D771" s="1139" t="s">
        <v>282</v>
      </c>
      <c r="E771" s="1139" t="s">
        <v>4754</v>
      </c>
      <c r="F771" s="937" t="s">
        <v>1199</v>
      </c>
      <c r="G771" s="927" t="s">
        <v>1199</v>
      </c>
      <c r="H771" s="1032"/>
      <c r="I771" s="1032"/>
      <c r="J771" s="1032"/>
      <c r="K771" s="1032"/>
      <c r="L771" s="1032" t="s">
        <v>37</v>
      </c>
      <c r="M771" s="1032"/>
      <c r="N771" s="1032"/>
      <c r="O771" s="1032"/>
      <c r="P771" s="1032"/>
      <c r="Q771" s="1032"/>
      <c r="R771" s="1032"/>
      <c r="S771" s="1032"/>
      <c r="T771" s="1032"/>
      <c r="U771" s="1030"/>
      <c r="V771" s="1083"/>
      <c r="W771"/>
    </row>
    <row r="772" spans="1:23" ht="26.25" customHeight="1">
      <c r="A772" s="446" t="s">
        <v>67</v>
      </c>
      <c r="B772" s="1231">
        <v>45433</v>
      </c>
      <c r="C772" s="82">
        <f t="shared" si="13"/>
        <v>21</v>
      </c>
      <c r="D772" s="1139" t="s">
        <v>4615</v>
      </c>
      <c r="E772" s="1139" t="s">
        <v>4755</v>
      </c>
      <c r="F772" s="937" t="s">
        <v>1199</v>
      </c>
      <c r="G772" s="937" t="s">
        <v>1199</v>
      </c>
      <c r="H772" s="5196"/>
      <c r="I772" s="5196"/>
      <c r="J772" s="1032"/>
      <c r="K772" s="5227" t="s">
        <v>174</v>
      </c>
      <c r="L772" s="1032" t="s">
        <v>37</v>
      </c>
      <c r="M772" s="1032"/>
      <c r="N772" s="1032"/>
      <c r="O772" s="1032"/>
      <c r="P772" s="1032"/>
      <c r="Q772" s="1032"/>
      <c r="R772" s="1032"/>
      <c r="S772" s="1032"/>
      <c r="T772" s="1032"/>
      <c r="U772" s="1030"/>
      <c r="V772" s="1083"/>
      <c r="W772"/>
    </row>
    <row r="773" spans="1:23" ht="26.25" customHeight="1">
      <c r="A773" s="446" t="s">
        <v>67</v>
      </c>
      <c r="B773" s="1231">
        <v>45433</v>
      </c>
      <c r="C773" s="82">
        <f t="shared" si="13"/>
        <v>21</v>
      </c>
      <c r="D773" s="1139" t="s">
        <v>4756</v>
      </c>
      <c r="E773" s="1139" t="s">
        <v>4607</v>
      </c>
      <c r="F773" s="937" t="s">
        <v>1199</v>
      </c>
      <c r="G773" s="937" t="s">
        <v>1199</v>
      </c>
      <c r="H773" s="5196"/>
      <c r="I773" s="5196"/>
      <c r="J773" s="1032"/>
      <c r="K773" s="5227" t="s">
        <v>174</v>
      </c>
      <c r="L773" s="1032" t="s">
        <v>37</v>
      </c>
      <c r="M773" s="1032"/>
      <c r="N773" s="1032"/>
      <c r="O773" s="1032"/>
      <c r="P773" s="1032"/>
      <c r="Q773" s="1032"/>
      <c r="R773" s="1032"/>
      <c r="S773" s="1032"/>
      <c r="T773" s="1032"/>
      <c r="U773" s="1030"/>
      <c r="V773" s="1083"/>
      <c r="W773"/>
    </row>
    <row r="774" spans="1:23" ht="27" customHeight="1" thickBot="1">
      <c r="A774" s="447" t="s">
        <v>67</v>
      </c>
      <c r="B774" s="1252">
        <v>45433</v>
      </c>
      <c r="C774" s="82">
        <f t="shared" si="13"/>
        <v>21</v>
      </c>
      <c r="D774" s="1253" t="s">
        <v>293</v>
      </c>
      <c r="E774" s="1253" t="s">
        <v>4692</v>
      </c>
      <c r="F774" s="1254" t="s">
        <v>1206</v>
      </c>
      <c r="G774" s="1254" t="s">
        <v>1206</v>
      </c>
      <c r="H774" s="1035"/>
      <c r="I774" s="1035"/>
      <c r="J774" s="1035"/>
      <c r="K774" s="1035"/>
      <c r="L774" s="1035" t="s">
        <v>37</v>
      </c>
      <c r="M774" s="1035"/>
      <c r="N774" s="1035"/>
      <c r="O774" s="1035"/>
      <c r="P774" s="1035"/>
      <c r="Q774" s="1035"/>
      <c r="R774" s="1035"/>
      <c r="S774" s="1035"/>
      <c r="T774" s="1035"/>
      <c r="U774" s="1036"/>
      <c r="V774" s="1083"/>
      <c r="W774"/>
    </row>
    <row r="775" spans="1:23" ht="26.25" customHeight="1">
      <c r="A775" s="965" t="s">
        <v>85</v>
      </c>
      <c r="B775" s="1221">
        <v>45434</v>
      </c>
      <c r="C775" s="82">
        <f t="shared" si="13"/>
        <v>21</v>
      </c>
      <c r="D775" s="1275" t="s">
        <v>1005</v>
      </c>
      <c r="E775" s="1275" t="s">
        <v>3647</v>
      </c>
      <c r="F775" s="1048" t="s">
        <v>1764</v>
      </c>
      <c r="G775" s="1048" t="s">
        <v>1764</v>
      </c>
      <c r="H775" s="2727"/>
      <c r="I775" s="5240"/>
      <c r="J775" s="2727"/>
      <c r="K775" s="5231" t="s">
        <v>4206</v>
      </c>
      <c r="L775" s="1051" t="s">
        <v>37</v>
      </c>
      <c r="M775" s="1051"/>
      <c r="N775" s="1051"/>
      <c r="O775" s="1051"/>
      <c r="P775" s="1051"/>
      <c r="Q775" s="1051"/>
      <c r="R775" s="1051"/>
      <c r="S775" s="1051"/>
      <c r="T775" s="1051"/>
      <c r="U775" s="1034"/>
      <c r="V775" s="1083"/>
      <c r="W775"/>
    </row>
    <row r="776" spans="1:23" ht="26.25" customHeight="1">
      <c r="A776" s="446" t="s">
        <v>85</v>
      </c>
      <c r="B776" s="1231">
        <v>45434</v>
      </c>
      <c r="C776" s="82">
        <f t="shared" si="13"/>
        <v>21</v>
      </c>
      <c r="D776" s="1210" t="s">
        <v>4757</v>
      </c>
      <c r="E776" s="1210" t="s">
        <v>183</v>
      </c>
      <c r="F776" s="979" t="s">
        <v>1199</v>
      </c>
      <c r="G776" s="979" t="s">
        <v>1764</v>
      </c>
      <c r="H776" s="1032"/>
      <c r="I776" s="1032"/>
      <c r="J776" s="1032"/>
      <c r="K776" s="1032"/>
      <c r="L776" s="1032" t="s">
        <v>37</v>
      </c>
      <c r="M776" s="1032"/>
      <c r="N776" s="1032"/>
      <c r="O776" s="1032"/>
      <c r="P776" s="1032"/>
      <c r="Q776" s="1032"/>
      <c r="R776" s="1032"/>
      <c r="S776" s="1032"/>
      <c r="T776" s="1032"/>
      <c r="U776" s="1030"/>
      <c r="V776" s="1083"/>
      <c r="W776"/>
    </row>
    <row r="777" spans="1:23" ht="26.25" customHeight="1">
      <c r="A777" s="446" t="s">
        <v>85</v>
      </c>
      <c r="B777" s="1231">
        <v>45434</v>
      </c>
      <c r="C777" s="82">
        <f t="shared" si="13"/>
        <v>21</v>
      </c>
      <c r="D777" s="1210" t="s">
        <v>169</v>
      </c>
      <c r="E777" s="1210" t="s">
        <v>4758</v>
      </c>
      <c r="F777" s="927" t="s">
        <v>1199</v>
      </c>
      <c r="G777" s="927" t="s">
        <v>1199</v>
      </c>
      <c r="H777" s="1032"/>
      <c r="I777" s="1032"/>
      <c r="J777" s="1032"/>
      <c r="K777" s="1032"/>
      <c r="L777" s="1032" t="s">
        <v>37</v>
      </c>
      <c r="M777" s="1032"/>
      <c r="N777" s="1032"/>
      <c r="O777" s="1032"/>
      <c r="P777" s="1032"/>
      <c r="Q777" s="1032"/>
      <c r="R777" s="1032"/>
      <c r="S777" s="1032"/>
      <c r="T777" s="1032"/>
      <c r="U777" s="1030"/>
      <c r="V777" s="1083"/>
      <c r="W777"/>
    </row>
    <row r="778" spans="1:23" ht="52.5" customHeight="1">
      <c r="A778" s="446" t="s">
        <v>85</v>
      </c>
      <c r="B778" s="1231">
        <v>45434</v>
      </c>
      <c r="C778" s="82">
        <f t="shared" si="13"/>
        <v>21</v>
      </c>
      <c r="D778" s="1052" t="s">
        <v>4155</v>
      </c>
      <c r="E778" s="1052" t="s">
        <v>4225</v>
      </c>
      <c r="F778" s="937">
        <v>0</v>
      </c>
      <c r="G778" s="937" t="s">
        <v>1199</v>
      </c>
      <c r="H778" s="1032"/>
      <c r="I778" s="1032"/>
      <c r="J778" s="1032"/>
      <c r="K778" s="1032"/>
      <c r="L778" s="1032"/>
      <c r="M778" s="1032" t="s">
        <v>37</v>
      </c>
      <c r="N778" s="20" t="s">
        <v>109</v>
      </c>
      <c r="O778" s="20" t="s">
        <v>1109</v>
      </c>
      <c r="P778" s="20" t="s">
        <v>4082</v>
      </c>
      <c r="Q778" s="1032"/>
      <c r="R778" s="1032"/>
      <c r="S778" s="1032"/>
      <c r="T778" s="1032"/>
      <c r="U778" s="1030" t="s">
        <v>4759</v>
      </c>
      <c r="V778" s="1083"/>
      <c r="W778"/>
    </row>
    <row r="779" spans="1:23" ht="26.25" customHeight="1">
      <c r="A779" s="446" t="s">
        <v>85</v>
      </c>
      <c r="B779" s="1231">
        <v>45434</v>
      </c>
      <c r="C779" s="82">
        <f t="shared" si="13"/>
        <v>21</v>
      </c>
      <c r="D779" s="1274" t="s">
        <v>4760</v>
      </c>
      <c r="E779" s="1274" t="s">
        <v>4761</v>
      </c>
      <c r="F779" s="937" t="s">
        <v>1199</v>
      </c>
      <c r="G779" s="937" t="s">
        <v>1199</v>
      </c>
      <c r="H779" s="1032"/>
      <c r="I779" s="1032"/>
      <c r="J779" s="1032"/>
      <c r="K779" s="1032"/>
      <c r="L779" s="1032" t="s">
        <v>37</v>
      </c>
      <c r="M779" s="1032"/>
      <c r="N779" s="1032"/>
      <c r="O779" s="1032"/>
      <c r="P779" s="1032"/>
      <c r="Q779" s="1032"/>
      <c r="R779" s="1032"/>
      <c r="S779" s="1032"/>
      <c r="T779" s="1032"/>
      <c r="U779" s="1030"/>
      <c r="V779" s="1083"/>
      <c r="W779"/>
    </row>
    <row r="780" spans="1:23" ht="26.25" customHeight="1">
      <c r="A780" s="446" t="s">
        <v>85</v>
      </c>
      <c r="B780" s="1231">
        <v>45434</v>
      </c>
      <c r="C780" s="82">
        <f t="shared" si="13"/>
        <v>21</v>
      </c>
      <c r="D780" s="1234" t="s">
        <v>4180</v>
      </c>
      <c r="E780" s="1234" t="s">
        <v>4762</v>
      </c>
      <c r="F780" s="937" t="s">
        <v>1199</v>
      </c>
      <c r="G780" s="937" t="s">
        <v>1199</v>
      </c>
      <c r="H780" s="1032"/>
      <c r="I780" s="1032"/>
      <c r="J780" s="1032"/>
      <c r="K780" s="1032"/>
      <c r="L780" s="1032" t="s">
        <v>37</v>
      </c>
      <c r="M780" s="1032"/>
      <c r="N780" s="1032"/>
      <c r="O780" s="1032"/>
      <c r="P780" s="1032"/>
      <c r="Q780" s="1032"/>
      <c r="R780" s="1032"/>
      <c r="S780" s="1032"/>
      <c r="T780" s="1032"/>
      <c r="U780" s="1030"/>
      <c r="V780" s="1083"/>
      <c r="W780"/>
    </row>
    <row r="781" spans="1:23" ht="26.25" customHeight="1">
      <c r="A781" s="446" t="s">
        <v>85</v>
      </c>
      <c r="B781" s="1231">
        <v>45434</v>
      </c>
      <c r="C781" s="82">
        <f t="shared" si="13"/>
        <v>21</v>
      </c>
      <c r="D781" s="1234" t="s">
        <v>4763</v>
      </c>
      <c r="E781" s="1234" t="s">
        <v>4764</v>
      </c>
      <c r="F781" s="937" t="s">
        <v>1199</v>
      </c>
      <c r="G781" s="937" t="s">
        <v>1199</v>
      </c>
      <c r="H781" s="1032"/>
      <c r="I781" s="1032"/>
      <c r="J781" s="1032"/>
      <c r="K781" s="1032"/>
      <c r="L781" s="1032" t="s">
        <v>37</v>
      </c>
      <c r="M781" s="1032"/>
      <c r="N781" s="1032"/>
      <c r="O781" s="1032"/>
      <c r="P781" s="1032"/>
      <c r="Q781" s="1032"/>
      <c r="R781" s="1032"/>
      <c r="S781" s="1032"/>
      <c r="T781" s="1032"/>
      <c r="U781" s="1030"/>
      <c r="V781" s="1083"/>
      <c r="W781"/>
    </row>
    <row r="782" spans="1:23" ht="26.25" customHeight="1">
      <c r="A782" s="446" t="s">
        <v>85</v>
      </c>
      <c r="B782" s="1231">
        <v>45434</v>
      </c>
      <c r="C782" s="82">
        <f t="shared" si="13"/>
        <v>21</v>
      </c>
      <c r="D782" s="1115" t="s">
        <v>4615</v>
      </c>
      <c r="E782" s="1115" t="s">
        <v>169</v>
      </c>
      <c r="F782" s="937" t="s">
        <v>1199</v>
      </c>
      <c r="G782" s="937" t="s">
        <v>1199</v>
      </c>
      <c r="H782" s="1032"/>
      <c r="I782" s="1032"/>
      <c r="J782" s="1032"/>
      <c r="K782" s="1032"/>
      <c r="L782" s="1032" t="s">
        <v>37</v>
      </c>
      <c r="M782" s="1032"/>
      <c r="N782" s="1032"/>
      <c r="O782" s="1032"/>
      <c r="P782" s="1032"/>
      <c r="Q782" s="1032"/>
      <c r="R782" s="1032"/>
      <c r="S782" s="1032"/>
      <c r="T782" s="1032"/>
      <c r="U782" s="1030"/>
      <c r="V782" s="1083"/>
      <c r="W782"/>
    </row>
    <row r="783" spans="1:23" ht="27" customHeight="1" thickBot="1">
      <c r="A783" s="447" t="s">
        <v>85</v>
      </c>
      <c r="B783" s="1252">
        <v>45434</v>
      </c>
      <c r="C783" s="82">
        <f t="shared" si="13"/>
        <v>21</v>
      </c>
      <c r="D783" s="1253" t="s">
        <v>939</v>
      </c>
      <c r="E783" s="1253" t="s">
        <v>4765</v>
      </c>
      <c r="F783" s="1276" t="s">
        <v>4766</v>
      </c>
      <c r="G783" s="1277" t="s">
        <v>1768</v>
      </c>
      <c r="H783" s="3251"/>
      <c r="I783" s="5270"/>
      <c r="J783" s="3251"/>
      <c r="K783" s="5231" t="s">
        <v>4206</v>
      </c>
      <c r="L783" s="1035"/>
      <c r="M783" s="1035"/>
      <c r="N783" s="1035"/>
      <c r="O783" s="1035"/>
      <c r="P783" s="1035"/>
      <c r="Q783" s="1035"/>
      <c r="R783" s="1035"/>
      <c r="S783" s="1035"/>
      <c r="T783" s="1035"/>
      <c r="U783" s="1036" t="s">
        <v>4767</v>
      </c>
      <c r="V783" s="1083"/>
      <c r="W783"/>
    </row>
    <row r="784" spans="1:23" ht="26.25" customHeight="1">
      <c r="A784" s="443" t="s">
        <v>105</v>
      </c>
      <c r="B784" s="1258">
        <v>45435</v>
      </c>
      <c r="C784" s="82">
        <f t="shared" si="13"/>
        <v>21</v>
      </c>
      <c r="D784" s="1278" t="s">
        <v>89</v>
      </c>
      <c r="E784" s="1278" t="s">
        <v>4765</v>
      </c>
      <c r="F784" s="927" t="s">
        <v>1199</v>
      </c>
      <c r="G784" s="927" t="s">
        <v>1199</v>
      </c>
      <c r="H784" s="1105"/>
      <c r="I784" s="1105"/>
      <c r="J784" s="1105"/>
      <c r="K784" s="1105"/>
      <c r="L784" s="1105" t="s">
        <v>37</v>
      </c>
      <c r="M784" s="1105"/>
      <c r="N784" s="1105"/>
      <c r="O784" s="1105"/>
      <c r="P784" s="1105"/>
      <c r="Q784" s="1105"/>
      <c r="R784" s="1105"/>
      <c r="S784" s="1105"/>
      <c r="T784" s="1105"/>
      <c r="U784" s="1106"/>
      <c r="V784" s="1083"/>
      <c r="W784"/>
    </row>
    <row r="785" spans="1:23" ht="105" customHeight="1">
      <c r="A785" s="446" t="s">
        <v>105</v>
      </c>
      <c r="B785" s="1231">
        <v>45435</v>
      </c>
      <c r="C785" s="82">
        <f t="shared" si="13"/>
        <v>21</v>
      </c>
      <c r="D785" s="1279" t="s">
        <v>4768</v>
      </c>
      <c r="E785" s="1279" t="s">
        <v>659</v>
      </c>
      <c r="F785" s="937" t="s">
        <v>1199</v>
      </c>
      <c r="G785" s="937" t="s">
        <v>1199</v>
      </c>
      <c r="H785" s="3250"/>
      <c r="I785" s="5242"/>
      <c r="J785" s="3250"/>
      <c r="K785" s="5231" t="s">
        <v>4206</v>
      </c>
      <c r="L785" s="1032"/>
      <c r="M785" s="1032" t="s">
        <v>37</v>
      </c>
      <c r="N785" s="20" t="s">
        <v>0</v>
      </c>
      <c r="O785" s="20" t="s">
        <v>343</v>
      </c>
      <c r="P785" s="20" t="s">
        <v>4330</v>
      </c>
      <c r="Q785" s="1032">
        <v>1</v>
      </c>
      <c r="R785" s="1032"/>
      <c r="S785" s="1032"/>
      <c r="T785" s="1032"/>
      <c r="U785" s="1030" t="s">
        <v>4769</v>
      </c>
      <c r="V785" s="1083"/>
      <c r="W785"/>
    </row>
    <row r="786" spans="1:23" ht="26.25" customHeight="1">
      <c r="A786" s="446" t="s">
        <v>105</v>
      </c>
      <c r="B786" s="1231">
        <v>45435</v>
      </c>
      <c r="C786" s="82">
        <f t="shared" si="13"/>
        <v>21</v>
      </c>
      <c r="D786" s="1115" t="s">
        <v>1654</v>
      </c>
      <c r="E786" s="1115" t="s">
        <v>4770</v>
      </c>
      <c r="F786" s="937" t="s">
        <v>1199</v>
      </c>
      <c r="G786" s="937" t="s">
        <v>1199</v>
      </c>
      <c r="H786" s="1032"/>
      <c r="I786" s="1032"/>
      <c r="J786" s="1032"/>
      <c r="K786" s="1032"/>
      <c r="L786" s="1032" t="s">
        <v>37</v>
      </c>
      <c r="M786" s="1032"/>
      <c r="N786" s="1032"/>
      <c r="O786" s="1032"/>
      <c r="P786" s="1032"/>
      <c r="Q786" s="1032"/>
      <c r="R786" s="1032"/>
      <c r="S786" s="1032"/>
      <c r="T786" s="1032"/>
      <c r="U786" s="1030"/>
      <c r="V786" s="1083"/>
      <c r="W786"/>
    </row>
    <row r="787" spans="1:23" ht="26.25" customHeight="1">
      <c r="A787" s="446" t="s">
        <v>105</v>
      </c>
      <c r="B787" s="1231">
        <v>45435</v>
      </c>
      <c r="C787" s="82">
        <f t="shared" si="13"/>
        <v>21</v>
      </c>
      <c r="D787" s="1115" t="s">
        <v>1145</v>
      </c>
      <c r="E787" s="1115" t="s">
        <v>1915</v>
      </c>
      <c r="F787" s="1280" t="s">
        <v>1199</v>
      </c>
      <c r="G787" s="937" t="s">
        <v>1199</v>
      </c>
      <c r="H787" s="3250"/>
      <c r="I787" s="5242"/>
      <c r="J787" s="3250"/>
      <c r="K787" s="5231" t="s">
        <v>4206</v>
      </c>
      <c r="L787" s="1032" t="s">
        <v>37</v>
      </c>
      <c r="M787" s="1032"/>
      <c r="N787" s="1032"/>
      <c r="O787" s="1032"/>
      <c r="P787" s="1032"/>
      <c r="Q787" s="1032"/>
      <c r="R787" s="1032"/>
      <c r="S787" s="1032"/>
      <c r="T787" s="1032"/>
      <c r="U787" s="1030"/>
      <c r="V787" s="1083"/>
      <c r="W787"/>
    </row>
    <row r="788" spans="1:23" ht="26.25" customHeight="1">
      <c r="A788" s="446" t="s">
        <v>105</v>
      </c>
      <c r="B788" s="1231">
        <v>45435</v>
      </c>
      <c r="C788" s="82">
        <f t="shared" si="13"/>
        <v>21</v>
      </c>
      <c r="D788" s="1232" t="s">
        <v>4615</v>
      </c>
      <c r="E788" s="1232" t="s">
        <v>1915</v>
      </c>
      <c r="F788" s="1281" t="s">
        <v>1199</v>
      </c>
      <c r="G788" s="1243" t="s">
        <v>1206</v>
      </c>
      <c r="H788" s="1032"/>
      <c r="I788" s="1032"/>
      <c r="J788" s="1032"/>
      <c r="K788" s="1032"/>
      <c r="L788" s="1032" t="s">
        <v>37</v>
      </c>
      <c r="M788" s="1032"/>
      <c r="N788" s="1032"/>
      <c r="O788" s="1032"/>
      <c r="P788" s="1032"/>
      <c r="Q788" s="1032"/>
      <c r="R788" s="1032"/>
      <c r="S788" s="1032"/>
      <c r="T788" s="1032"/>
      <c r="U788" s="1030"/>
      <c r="V788" s="1083"/>
      <c r="W788"/>
    </row>
    <row r="789" spans="1:23" ht="26.25" customHeight="1">
      <c r="A789" s="446" t="s">
        <v>105</v>
      </c>
      <c r="B789" s="1231">
        <v>45435</v>
      </c>
      <c r="C789" s="82">
        <f t="shared" si="13"/>
        <v>21</v>
      </c>
      <c r="D789" s="1232" t="s">
        <v>4455</v>
      </c>
      <c r="E789" s="1232" t="s">
        <v>4771</v>
      </c>
      <c r="F789" s="1281" t="s">
        <v>1199</v>
      </c>
      <c r="G789" s="1243" t="s">
        <v>1206</v>
      </c>
      <c r="H789" s="1032"/>
      <c r="I789" s="1032"/>
      <c r="J789" s="1032"/>
      <c r="K789" s="1032"/>
      <c r="L789" s="1032" t="s">
        <v>37</v>
      </c>
      <c r="M789" s="1032"/>
      <c r="N789" s="1032"/>
      <c r="O789" s="1032"/>
      <c r="P789" s="1032"/>
      <c r="Q789" s="1032"/>
      <c r="R789" s="1032"/>
      <c r="S789" s="1032"/>
      <c r="T789" s="1032"/>
      <c r="U789" s="1030"/>
      <c r="V789" s="1083"/>
      <c r="W789"/>
    </row>
    <row r="790" spans="1:23" ht="26.25" customHeight="1" thickBot="1">
      <c r="A790" s="446" t="s">
        <v>105</v>
      </c>
      <c r="B790" s="1231">
        <v>45435</v>
      </c>
      <c r="C790" s="82">
        <f t="shared" si="13"/>
        <v>21</v>
      </c>
      <c r="D790" s="1282" t="s">
        <v>4772</v>
      </c>
      <c r="E790" s="1282" t="s">
        <v>4773</v>
      </c>
      <c r="F790" s="979" t="s">
        <v>1764</v>
      </c>
      <c r="G790" s="979" t="s">
        <v>1199</v>
      </c>
      <c r="H790" s="1032"/>
      <c r="I790" s="1032"/>
      <c r="J790" s="1032"/>
      <c r="K790" s="1032"/>
      <c r="L790" s="1032" t="s">
        <v>37</v>
      </c>
      <c r="M790" s="1032"/>
      <c r="N790" s="1032"/>
      <c r="O790" s="1032"/>
      <c r="P790" s="1032"/>
      <c r="Q790" s="1032"/>
      <c r="R790" s="1032"/>
      <c r="S790" s="1032"/>
      <c r="T790" s="1032"/>
      <c r="U790" s="1030"/>
      <c r="V790" s="1083"/>
      <c r="W790"/>
    </row>
    <row r="791" spans="1:23" ht="26.25" customHeight="1">
      <c r="A791" s="443" t="s">
        <v>132</v>
      </c>
      <c r="B791" s="1258">
        <v>45436</v>
      </c>
      <c r="C791" s="82">
        <f t="shared" si="13"/>
        <v>21</v>
      </c>
      <c r="D791" s="1278" t="s">
        <v>4774</v>
      </c>
      <c r="E791" s="1278" t="s">
        <v>4775</v>
      </c>
      <c r="F791" s="1244" t="s">
        <v>1199</v>
      </c>
      <c r="G791" s="1244" t="s">
        <v>1199</v>
      </c>
      <c r="H791" s="1105"/>
      <c r="I791" s="1105"/>
      <c r="J791" s="1105"/>
      <c r="K791" s="1105"/>
      <c r="L791" s="1105" t="s">
        <v>37</v>
      </c>
      <c r="M791" s="1105"/>
      <c r="N791" s="1105"/>
      <c r="O791" s="1105"/>
      <c r="P791" s="1105"/>
      <c r="Q791" s="1105"/>
      <c r="R791" s="1105"/>
      <c r="S791" s="1105"/>
      <c r="T791" s="1105"/>
      <c r="U791" s="1106"/>
      <c r="V791" s="1083"/>
      <c r="W791"/>
    </row>
    <row r="792" spans="1:23" ht="26.25" customHeight="1">
      <c r="A792" s="446" t="s">
        <v>132</v>
      </c>
      <c r="B792" s="1231">
        <v>45436</v>
      </c>
      <c r="C792" s="82">
        <f t="shared" si="13"/>
        <v>21</v>
      </c>
      <c r="D792" s="1282" t="s">
        <v>4776</v>
      </c>
      <c r="E792" s="1282" t="s">
        <v>4758</v>
      </c>
      <c r="F792" s="979" t="s">
        <v>1199</v>
      </c>
      <c r="G792" s="979" t="s">
        <v>1199</v>
      </c>
      <c r="H792" s="1032"/>
      <c r="I792" s="1032"/>
      <c r="J792" s="1032"/>
      <c r="K792" s="1032"/>
      <c r="L792" s="1032" t="s">
        <v>37</v>
      </c>
      <c r="M792" s="1032"/>
      <c r="N792" s="1032"/>
      <c r="O792" s="1032"/>
      <c r="P792" s="1032"/>
      <c r="Q792" s="1032"/>
      <c r="R792" s="1032"/>
      <c r="S792" s="1032"/>
      <c r="T792" s="1032"/>
      <c r="U792" s="1030"/>
      <c r="V792" s="1083"/>
      <c r="W792"/>
    </row>
    <row r="793" spans="1:23" ht="26.25" customHeight="1">
      <c r="A793" s="446" t="s">
        <v>132</v>
      </c>
      <c r="B793" s="1231">
        <v>45436</v>
      </c>
      <c r="C793" s="82">
        <f t="shared" si="13"/>
        <v>21</v>
      </c>
      <c r="D793" s="1052" t="s">
        <v>4455</v>
      </c>
      <c r="E793" s="1052" t="s">
        <v>4777</v>
      </c>
      <c r="F793" s="1244" t="s">
        <v>1199</v>
      </c>
      <c r="G793" s="1244" t="s">
        <v>1199</v>
      </c>
      <c r="H793" s="1032"/>
      <c r="I793" s="1032"/>
      <c r="J793" s="1032"/>
      <c r="K793" s="1032"/>
      <c r="L793" s="1032" t="s">
        <v>37</v>
      </c>
      <c r="M793" s="1032"/>
      <c r="N793" s="1032"/>
      <c r="O793" s="1032"/>
      <c r="P793" s="1032"/>
      <c r="Q793" s="1032"/>
      <c r="R793" s="1032"/>
      <c r="S793" s="1032"/>
      <c r="T793" s="1032"/>
      <c r="U793" s="1030"/>
      <c r="V793" s="1083"/>
      <c r="W793"/>
    </row>
    <row r="794" spans="1:23" ht="52.5" customHeight="1">
      <c r="A794" s="446" t="s">
        <v>132</v>
      </c>
      <c r="B794" s="1231">
        <v>45436</v>
      </c>
      <c r="C794" s="82">
        <f t="shared" ref="C794:C857" si="14">_xlfn.ISOWEEKNUM(B794)</f>
        <v>21</v>
      </c>
      <c r="D794" s="1115" t="s">
        <v>4778</v>
      </c>
      <c r="E794" s="1115" t="s">
        <v>80</v>
      </c>
      <c r="F794" s="1244" t="s">
        <v>1199</v>
      </c>
      <c r="G794" s="1244" t="s">
        <v>1199</v>
      </c>
      <c r="H794" s="1032"/>
      <c r="I794" s="1032"/>
      <c r="J794" s="1032"/>
      <c r="K794" s="1032"/>
      <c r="L794" s="1032" t="s">
        <v>37</v>
      </c>
      <c r="M794" s="1032" t="s">
        <v>37</v>
      </c>
      <c r="N794" s="20" t="s">
        <v>122</v>
      </c>
      <c r="O794" s="20" t="s">
        <v>110</v>
      </c>
      <c r="P794" s="20" t="s">
        <v>4080</v>
      </c>
      <c r="Q794" s="1032"/>
      <c r="R794" s="1032"/>
      <c r="S794" s="1032"/>
      <c r="T794" s="1032"/>
      <c r="U794" s="1030" t="s">
        <v>4779</v>
      </c>
      <c r="V794" s="1083"/>
      <c r="W794"/>
    </row>
    <row r="795" spans="1:23" ht="26.25" customHeight="1">
      <c r="A795" s="446" t="s">
        <v>132</v>
      </c>
      <c r="B795" s="1231">
        <v>45436</v>
      </c>
      <c r="C795" s="82">
        <f t="shared" si="14"/>
        <v>21</v>
      </c>
      <c r="D795" s="1182" t="s">
        <v>2397</v>
      </c>
      <c r="E795" s="1182" t="s">
        <v>4780</v>
      </c>
      <c r="F795" s="1244" t="s">
        <v>1199</v>
      </c>
      <c r="G795" s="1244" t="s">
        <v>1199</v>
      </c>
      <c r="H795" s="1032"/>
      <c r="I795" s="1032"/>
      <c r="J795" s="1032"/>
      <c r="K795" s="1032"/>
      <c r="L795" s="1032" t="s">
        <v>37</v>
      </c>
      <c r="M795" s="1032"/>
      <c r="N795" s="1032"/>
      <c r="O795" s="1032"/>
      <c r="P795" s="1032"/>
      <c r="Q795" s="1032"/>
      <c r="R795" s="1032"/>
      <c r="S795" s="1032"/>
      <c r="T795" s="1032"/>
      <c r="U795" s="1030"/>
      <c r="V795" s="1083"/>
      <c r="W795"/>
    </row>
    <row r="796" spans="1:23" ht="26.25" customHeight="1">
      <c r="A796" s="446" t="s">
        <v>132</v>
      </c>
      <c r="B796" s="1231">
        <v>45436</v>
      </c>
      <c r="C796" s="82">
        <f t="shared" si="14"/>
        <v>21</v>
      </c>
      <c r="D796" s="1177" t="s">
        <v>4455</v>
      </c>
      <c r="E796" s="1177" t="s">
        <v>1052</v>
      </c>
      <c r="F796" s="1244" t="s">
        <v>1199</v>
      </c>
      <c r="G796" s="1244" t="s">
        <v>1199</v>
      </c>
      <c r="H796" s="1032"/>
      <c r="I796" s="1032"/>
      <c r="J796" s="1032"/>
      <c r="K796" s="1032"/>
      <c r="L796" s="1032" t="s">
        <v>37</v>
      </c>
      <c r="M796" s="1032"/>
      <c r="N796" s="1032"/>
      <c r="O796" s="1032"/>
      <c r="P796" s="1032"/>
      <c r="Q796" s="1032"/>
      <c r="R796" s="1032"/>
      <c r="S796" s="1032" t="s">
        <v>37</v>
      </c>
      <c r="T796" s="1032"/>
      <c r="U796" s="1030"/>
      <c r="V796" s="1083"/>
      <c r="W796"/>
    </row>
    <row r="797" spans="1:23" ht="26.25" customHeight="1" thickBot="1">
      <c r="A797" s="446" t="s">
        <v>132</v>
      </c>
      <c r="B797" s="1231">
        <v>45436</v>
      </c>
      <c r="C797" s="82">
        <f t="shared" si="14"/>
        <v>21</v>
      </c>
      <c r="D797" s="1177" t="s">
        <v>258</v>
      </c>
      <c r="E797" s="1177" t="s">
        <v>488</v>
      </c>
      <c r="F797" s="1281" t="s">
        <v>1199</v>
      </c>
      <c r="G797" s="1243" t="s">
        <v>1206</v>
      </c>
      <c r="H797" s="1032"/>
      <c r="I797" s="1032"/>
      <c r="J797" s="1032"/>
      <c r="K797" s="1032"/>
      <c r="L797" s="1032" t="s">
        <v>37</v>
      </c>
      <c r="M797" s="1032"/>
      <c r="N797" s="1032"/>
      <c r="O797" s="1032"/>
      <c r="P797" s="1032"/>
      <c r="Q797" s="1032"/>
      <c r="R797" s="1032"/>
      <c r="S797" s="1032" t="s">
        <v>37</v>
      </c>
      <c r="T797" s="1032"/>
      <c r="U797" s="1030"/>
      <c r="V797" s="1083"/>
      <c r="W797"/>
    </row>
    <row r="798" spans="1:23" ht="26.25" customHeight="1" thickBot="1">
      <c r="A798" s="443" t="s">
        <v>4618</v>
      </c>
      <c r="B798" s="1258">
        <v>45437</v>
      </c>
      <c r="C798" s="82">
        <f t="shared" si="14"/>
        <v>21</v>
      </c>
      <c r="D798" s="1283" t="s">
        <v>2750</v>
      </c>
      <c r="E798" s="1283" t="s">
        <v>4781</v>
      </c>
      <c r="F798" s="1265" t="s">
        <v>1764</v>
      </c>
      <c r="G798" s="1265" t="s">
        <v>1764</v>
      </c>
      <c r="H798" s="1105"/>
      <c r="I798" s="1105"/>
      <c r="J798" s="1105"/>
      <c r="K798" s="1105"/>
      <c r="L798" s="1105"/>
      <c r="M798" s="1105"/>
      <c r="N798" s="1105"/>
      <c r="O798" s="1105"/>
      <c r="P798" s="1105"/>
      <c r="Q798" s="1105"/>
      <c r="R798" s="1105"/>
      <c r="S798" s="1105"/>
      <c r="T798" s="1105"/>
      <c r="U798" s="1106"/>
      <c r="V798" s="1083"/>
      <c r="W798"/>
    </row>
    <row r="799" spans="1:23" ht="52.5" customHeight="1">
      <c r="A799" s="443" t="s">
        <v>25</v>
      </c>
      <c r="B799" s="1258">
        <v>45439</v>
      </c>
      <c r="C799" s="82">
        <f t="shared" si="14"/>
        <v>22</v>
      </c>
      <c r="D799" s="1284" t="s">
        <v>4782</v>
      </c>
      <c r="E799" s="1284" t="s">
        <v>879</v>
      </c>
      <c r="F799" s="1017" t="s">
        <v>1199</v>
      </c>
      <c r="G799" s="1017" t="s">
        <v>1199</v>
      </c>
      <c r="H799" s="1264"/>
      <c r="I799" s="1264"/>
      <c r="J799" s="1017" t="s">
        <v>1199</v>
      </c>
      <c r="K799" s="1995"/>
      <c r="L799" s="1264"/>
      <c r="M799" s="1264" t="s">
        <v>37</v>
      </c>
      <c r="N799" s="20" t="s">
        <v>0</v>
      </c>
      <c r="O799" s="20" t="s">
        <v>31</v>
      </c>
      <c r="P799" s="20" t="s">
        <v>4102</v>
      </c>
      <c r="Q799" s="1105">
        <v>1</v>
      </c>
      <c r="R799" s="1105"/>
      <c r="S799" s="1105"/>
      <c r="T799" s="1105"/>
      <c r="U799" s="1106" t="s">
        <v>4783</v>
      </c>
      <c r="V799" s="1083"/>
      <c r="W799"/>
    </row>
    <row r="800" spans="1:23" ht="26.25" customHeight="1">
      <c r="A800" s="446" t="s">
        <v>25</v>
      </c>
      <c r="B800" s="1231">
        <v>45439</v>
      </c>
      <c r="C800" s="82">
        <f t="shared" si="14"/>
        <v>22</v>
      </c>
      <c r="D800" s="1157" t="s">
        <v>4461</v>
      </c>
      <c r="E800" s="1157" t="s">
        <v>2430</v>
      </c>
      <c r="F800" s="1017" t="s">
        <v>1199</v>
      </c>
      <c r="G800" s="1017" t="s">
        <v>1199</v>
      </c>
      <c r="H800" s="3250">
        <v>701</v>
      </c>
      <c r="I800" s="5238"/>
      <c r="J800" s="5276"/>
      <c r="K800" s="3250" t="s">
        <v>5035</v>
      </c>
      <c r="L800" s="1285" t="s">
        <v>37</v>
      </c>
      <c r="M800" s="1285"/>
      <c r="N800" s="1051"/>
      <c r="O800" s="1051"/>
      <c r="P800" s="1051"/>
      <c r="Q800" s="1051"/>
      <c r="R800" s="1051"/>
      <c r="S800" s="1051"/>
      <c r="T800" s="1051"/>
      <c r="U800" s="1034"/>
      <c r="V800" s="1083"/>
      <c r="W800"/>
    </row>
    <row r="801" spans="1:23" ht="26.25" customHeight="1">
      <c r="A801" s="446" t="s">
        <v>25</v>
      </c>
      <c r="B801" s="1231">
        <v>45439</v>
      </c>
      <c r="C801" s="82">
        <f t="shared" si="14"/>
        <v>22</v>
      </c>
      <c r="D801" s="1115" t="s">
        <v>1838</v>
      </c>
      <c r="E801" s="1115" t="s">
        <v>888</v>
      </c>
      <c r="F801" s="1017" t="s">
        <v>1199</v>
      </c>
      <c r="G801" s="1017" t="s">
        <v>1199</v>
      </c>
      <c r="H801" s="3250"/>
      <c r="I801" s="5242"/>
      <c r="J801" s="3250"/>
      <c r="K801" s="5231" t="s">
        <v>4206</v>
      </c>
      <c r="L801" s="937" t="s">
        <v>37</v>
      </c>
      <c r="M801" s="1032"/>
      <c r="N801" s="1032"/>
      <c r="O801" s="1032"/>
      <c r="P801" s="1032"/>
      <c r="Q801" s="1032"/>
      <c r="R801" s="1032"/>
      <c r="S801" s="1032"/>
      <c r="T801" s="1032"/>
      <c r="U801" s="1030"/>
      <c r="V801" s="1083"/>
      <c r="W801"/>
    </row>
    <row r="802" spans="1:23" ht="26.25" customHeight="1">
      <c r="A802" s="446" t="s">
        <v>25</v>
      </c>
      <c r="B802" s="1231">
        <v>45439</v>
      </c>
      <c r="C802" s="82">
        <f t="shared" si="14"/>
        <v>22</v>
      </c>
      <c r="D802" s="1115" t="s">
        <v>1838</v>
      </c>
      <c r="E802" s="1115" t="s">
        <v>4785</v>
      </c>
      <c r="F802" s="937" t="s">
        <v>1199</v>
      </c>
      <c r="G802" s="1017" t="s">
        <v>1199</v>
      </c>
      <c r="H802" s="937"/>
      <c r="I802" s="937"/>
      <c r="J802" s="1017" t="s">
        <v>1199</v>
      </c>
      <c r="K802" s="1017"/>
      <c r="L802" s="937" t="s">
        <v>37</v>
      </c>
      <c r="M802" s="1032"/>
      <c r="N802" s="1032"/>
      <c r="O802" s="1032"/>
      <c r="P802" s="1032"/>
      <c r="Q802" s="1032"/>
      <c r="R802" s="1032"/>
      <c r="S802" s="1032"/>
      <c r="T802" s="1032"/>
      <c r="U802" s="1030"/>
      <c r="V802" s="1083"/>
      <c r="W802"/>
    </row>
    <row r="803" spans="1:23" ht="26.25" customHeight="1">
      <c r="A803" s="446" t="s">
        <v>25</v>
      </c>
      <c r="B803" s="1231">
        <v>45439</v>
      </c>
      <c r="C803" s="82">
        <f t="shared" si="14"/>
        <v>22</v>
      </c>
      <c r="D803" s="1115" t="s">
        <v>4498</v>
      </c>
      <c r="E803" s="1115" t="s">
        <v>4786</v>
      </c>
      <c r="F803" s="1017" t="s">
        <v>1199</v>
      </c>
      <c r="G803" s="1017" t="s">
        <v>1199</v>
      </c>
      <c r="H803" s="1032"/>
      <c r="I803" s="1032"/>
      <c r="J803" s="1017" t="s">
        <v>1199</v>
      </c>
      <c r="K803" s="1017"/>
      <c r="L803" s="1061" t="s">
        <v>37</v>
      </c>
      <c r="M803" s="1032"/>
      <c r="N803" s="1032"/>
      <c r="O803" s="1032"/>
      <c r="P803" s="1032"/>
      <c r="Q803" s="1032"/>
      <c r="R803" s="1032"/>
      <c r="S803" s="1032"/>
      <c r="T803" s="1032"/>
      <c r="U803" s="1030"/>
      <c r="V803" s="1083"/>
      <c r="W803"/>
    </row>
    <row r="804" spans="1:23" ht="26.25" customHeight="1">
      <c r="A804" s="446" t="s">
        <v>25</v>
      </c>
      <c r="B804" s="1231">
        <v>45439</v>
      </c>
      <c r="C804" s="82">
        <f t="shared" si="14"/>
        <v>22</v>
      </c>
      <c r="D804" s="1115" t="s">
        <v>148</v>
      </c>
      <c r="E804" s="1115" t="s">
        <v>857</v>
      </c>
      <c r="F804" s="937" t="s">
        <v>1199</v>
      </c>
      <c r="G804" s="1017" t="s">
        <v>1199</v>
      </c>
      <c r="H804" s="5250">
        <v>701</v>
      </c>
      <c r="I804" s="1341"/>
      <c r="J804" s="1032"/>
      <c r="K804" s="3250" t="s">
        <v>4504</v>
      </c>
      <c r="L804" s="1061" t="s">
        <v>37</v>
      </c>
      <c r="M804" s="1032"/>
      <c r="N804" s="1032"/>
      <c r="O804" s="1032"/>
      <c r="P804" s="1032"/>
      <c r="Q804" s="1032"/>
      <c r="R804" s="1032"/>
      <c r="S804" s="1032"/>
      <c r="T804" s="1032"/>
      <c r="U804" s="1030"/>
      <c r="V804" s="1083"/>
      <c r="W804"/>
    </row>
    <row r="805" spans="1:23" ht="26.25" customHeight="1">
      <c r="A805" s="446" t="s">
        <v>25</v>
      </c>
      <c r="B805" s="1231">
        <v>45439</v>
      </c>
      <c r="C805" s="82">
        <f t="shared" si="14"/>
        <v>22</v>
      </c>
      <c r="D805" s="1115" t="s">
        <v>4658</v>
      </c>
      <c r="E805" s="1115" t="s">
        <v>3290</v>
      </c>
      <c r="F805" s="1017" t="s">
        <v>1199</v>
      </c>
      <c r="G805" s="1017" t="s">
        <v>1199</v>
      </c>
      <c r="H805" s="5250">
        <v>701</v>
      </c>
      <c r="I805" s="1341"/>
      <c r="J805" s="1032"/>
      <c r="K805" s="3250" t="s">
        <v>4504</v>
      </c>
      <c r="L805" s="1061" t="s">
        <v>37</v>
      </c>
      <c r="M805" s="1032"/>
      <c r="N805" s="1032"/>
      <c r="O805" s="1032"/>
      <c r="P805" s="1032"/>
      <c r="Q805" s="1032"/>
      <c r="R805" s="1032"/>
      <c r="S805" s="1032"/>
      <c r="T805" s="1032"/>
      <c r="U805" s="1030"/>
      <c r="V805" s="1083"/>
      <c r="W805"/>
    </row>
    <row r="806" spans="1:23" ht="26.25" customHeight="1" thickBot="1">
      <c r="A806" s="446" t="s">
        <v>25</v>
      </c>
      <c r="B806" s="1231">
        <v>45439</v>
      </c>
      <c r="C806" s="82">
        <f t="shared" si="14"/>
        <v>22</v>
      </c>
      <c r="D806" s="1115" t="s">
        <v>412</v>
      </c>
      <c r="E806" s="1115" t="s">
        <v>273</v>
      </c>
      <c r="F806" s="937" t="s">
        <v>1199</v>
      </c>
      <c r="G806" s="1017" t="s">
        <v>1199</v>
      </c>
      <c r="H806" s="1032"/>
      <c r="I806" s="1032"/>
      <c r="J806" s="1017" t="s">
        <v>1199</v>
      </c>
      <c r="K806" s="1017"/>
      <c r="L806" s="1032" t="s">
        <v>37</v>
      </c>
      <c r="M806" s="1032"/>
      <c r="N806" s="1032"/>
      <c r="O806" s="1032"/>
      <c r="P806" s="1032"/>
      <c r="Q806" s="1032"/>
      <c r="R806" s="1032"/>
      <c r="S806" s="1032"/>
      <c r="T806" s="1032"/>
      <c r="U806" s="1030"/>
      <c r="V806" s="1083"/>
      <c r="W806"/>
    </row>
    <row r="807" spans="1:23" ht="26.25" customHeight="1">
      <c r="A807" s="443" t="s">
        <v>67</v>
      </c>
      <c r="B807" s="1258">
        <v>45440</v>
      </c>
      <c r="C807" s="82">
        <f t="shared" si="14"/>
        <v>22</v>
      </c>
      <c r="D807" s="1273" t="s">
        <v>4692</v>
      </c>
      <c r="E807" s="1273" t="s">
        <v>2769</v>
      </c>
      <c r="F807" s="1048" t="s">
        <v>1764</v>
      </c>
      <c r="G807" s="1200" t="s">
        <v>1199</v>
      </c>
      <c r="H807" s="1029"/>
      <c r="I807" s="1105"/>
      <c r="J807" s="1105" t="s">
        <v>37</v>
      </c>
      <c r="K807" s="1105"/>
      <c r="L807" s="1105" t="s">
        <v>37</v>
      </c>
      <c r="M807" s="1105"/>
      <c r="N807" s="1105"/>
      <c r="O807" s="1105"/>
      <c r="P807" s="1105"/>
      <c r="Q807" s="1105"/>
      <c r="R807" s="1105"/>
      <c r="S807" s="1105"/>
      <c r="T807" s="1105"/>
      <c r="U807" s="1106"/>
      <c r="V807" s="1083"/>
      <c r="W807"/>
    </row>
    <row r="808" spans="1:23" ht="26.25" customHeight="1">
      <c r="A808" s="446" t="s">
        <v>67</v>
      </c>
      <c r="B808" s="1231">
        <v>45440</v>
      </c>
      <c r="C808" s="82">
        <f t="shared" si="14"/>
        <v>22</v>
      </c>
      <c r="D808" s="1286" t="s">
        <v>879</v>
      </c>
      <c r="E808" s="1286" t="s">
        <v>4787</v>
      </c>
      <c r="F808" s="1287" t="s">
        <v>1199</v>
      </c>
      <c r="G808" s="1288" t="s">
        <v>1199</v>
      </c>
      <c r="H808" s="924"/>
      <c r="I808" s="1051"/>
      <c r="J808" s="1051" t="s">
        <v>37</v>
      </c>
      <c r="K808" s="1051"/>
      <c r="L808" s="1051" t="s">
        <v>37</v>
      </c>
      <c r="M808" s="1051"/>
      <c r="N808" s="1051"/>
      <c r="O808" s="1051"/>
      <c r="P808" s="1051"/>
      <c r="Q808" s="1051"/>
      <c r="R808" s="1051">
        <v>1</v>
      </c>
      <c r="S808" s="1051"/>
      <c r="T808" s="1051"/>
      <c r="U808" s="1034"/>
      <c r="V808" s="1083"/>
      <c r="W808"/>
    </row>
    <row r="809" spans="1:23" ht="26.25" customHeight="1">
      <c r="A809" s="446" t="s">
        <v>67</v>
      </c>
      <c r="B809" s="1231">
        <v>45440</v>
      </c>
      <c r="C809" s="82">
        <f t="shared" si="14"/>
        <v>22</v>
      </c>
      <c r="D809" s="1182" t="s">
        <v>273</v>
      </c>
      <c r="E809" s="1182" t="s">
        <v>584</v>
      </c>
      <c r="F809" s="927" t="s">
        <v>1199</v>
      </c>
      <c r="G809" s="927" t="s">
        <v>1199</v>
      </c>
      <c r="H809" s="924"/>
      <c r="I809" s="1032"/>
      <c r="J809" s="1032" t="s">
        <v>37</v>
      </c>
      <c r="K809" s="1032"/>
      <c r="L809" s="1032" t="s">
        <v>37</v>
      </c>
      <c r="M809" s="1032"/>
      <c r="N809" s="1032"/>
      <c r="O809" s="1032"/>
      <c r="P809" s="1032"/>
      <c r="Q809" s="1032"/>
      <c r="R809" s="1032"/>
      <c r="S809" s="1032"/>
      <c r="T809" s="1032"/>
      <c r="U809" s="1030"/>
      <c r="V809" s="1083"/>
      <c r="W809"/>
    </row>
    <row r="810" spans="1:23" ht="26.25" customHeight="1">
      <c r="A810" s="446" t="s">
        <v>67</v>
      </c>
      <c r="B810" s="1231">
        <v>45440</v>
      </c>
      <c r="C810" s="82">
        <f t="shared" si="14"/>
        <v>22</v>
      </c>
      <c r="D810" s="1182" t="s">
        <v>586</v>
      </c>
      <c r="E810" s="1182" t="s">
        <v>389</v>
      </c>
      <c r="F810" s="927" t="s">
        <v>1199</v>
      </c>
      <c r="G810" s="927" t="s">
        <v>1199</v>
      </c>
      <c r="H810" s="1032"/>
      <c r="I810" s="1032"/>
      <c r="J810" s="1032" t="s">
        <v>37</v>
      </c>
      <c r="K810" s="1032"/>
      <c r="L810" s="1032" t="s">
        <v>37</v>
      </c>
      <c r="M810" s="1032"/>
      <c r="N810" s="1032"/>
      <c r="O810" s="1032"/>
      <c r="P810" s="1032"/>
      <c r="Q810" s="1032"/>
      <c r="R810" s="1032"/>
      <c r="S810" s="1032"/>
      <c r="T810" s="1032"/>
      <c r="U810" s="1030"/>
      <c r="V810" s="1083"/>
      <c r="W810"/>
    </row>
    <row r="811" spans="1:23" ht="52.5" customHeight="1">
      <c r="A811" s="446" t="s">
        <v>67</v>
      </c>
      <c r="B811" s="1231">
        <v>45440</v>
      </c>
      <c r="C811" s="82">
        <f t="shared" si="14"/>
        <v>22</v>
      </c>
      <c r="D811" s="1238" t="s">
        <v>4788</v>
      </c>
      <c r="E811" s="1238" t="s">
        <v>1145</v>
      </c>
      <c r="F811" s="937" t="s">
        <v>1768</v>
      </c>
      <c r="G811" s="937" t="s">
        <v>1768</v>
      </c>
      <c r="H811" s="1032"/>
      <c r="I811" s="1032"/>
      <c r="J811" s="1032" t="s">
        <v>37</v>
      </c>
      <c r="K811" s="1032"/>
      <c r="L811" s="1032"/>
      <c r="M811" s="1032" t="s">
        <v>37</v>
      </c>
      <c r="N811" s="20" t="s">
        <v>0</v>
      </c>
      <c r="O811" s="20" t="s">
        <v>187</v>
      </c>
      <c r="P811" s="20" t="s">
        <v>4108</v>
      </c>
      <c r="Q811" s="1032"/>
      <c r="R811" s="1032"/>
      <c r="S811" s="1032"/>
      <c r="T811" s="1032"/>
      <c r="U811" s="1030" t="s">
        <v>4789</v>
      </c>
      <c r="V811" s="1083"/>
      <c r="W811"/>
    </row>
    <row r="812" spans="1:23" ht="26.25" customHeight="1">
      <c r="A812" s="446" t="s">
        <v>67</v>
      </c>
      <c r="B812" s="1231">
        <v>45440</v>
      </c>
      <c r="C812" s="82">
        <f t="shared" si="14"/>
        <v>22</v>
      </c>
      <c r="D812" s="1232" t="s">
        <v>4790</v>
      </c>
      <c r="E812" s="1232" t="s">
        <v>4791</v>
      </c>
      <c r="F812" s="1048" t="s">
        <v>1764</v>
      </c>
      <c r="G812" s="1048" t="s">
        <v>1764</v>
      </c>
      <c r="H812" s="3250"/>
      <c r="I812" s="5242"/>
      <c r="J812" s="3250" t="s">
        <v>37</v>
      </c>
      <c r="K812" s="5231" t="s">
        <v>4206</v>
      </c>
      <c r="L812" s="1032" t="s">
        <v>37</v>
      </c>
      <c r="M812" s="1032"/>
      <c r="N812" s="1032"/>
      <c r="O812" s="1032"/>
      <c r="P812" s="1032"/>
      <c r="Q812" s="1032"/>
      <c r="R812" s="1032"/>
      <c r="S812" s="1032"/>
      <c r="T812" s="1032"/>
      <c r="U812" s="1030"/>
      <c r="V812" s="1083"/>
      <c r="W812"/>
    </row>
    <row r="813" spans="1:23" ht="157.5" customHeight="1">
      <c r="A813" s="446" t="s">
        <v>67</v>
      </c>
      <c r="B813" s="1231">
        <v>45440</v>
      </c>
      <c r="C813" s="82">
        <f t="shared" si="14"/>
        <v>22</v>
      </c>
      <c r="D813" s="1241" t="s">
        <v>4792</v>
      </c>
      <c r="E813" s="1241" t="s">
        <v>4793</v>
      </c>
      <c r="F813" s="1287" t="s">
        <v>1199</v>
      </c>
      <c r="G813" s="1288" t="s">
        <v>1199</v>
      </c>
      <c r="H813" s="924"/>
      <c r="I813" s="1032"/>
      <c r="J813" s="1032" t="s">
        <v>37</v>
      </c>
      <c r="K813" s="1032"/>
      <c r="L813" s="1032"/>
      <c r="M813" s="1032" t="s">
        <v>37</v>
      </c>
      <c r="N813" s="20" t="s">
        <v>0</v>
      </c>
      <c r="O813" s="20" t="s">
        <v>736</v>
      </c>
      <c r="P813" s="20" t="s">
        <v>4082</v>
      </c>
      <c r="Q813" s="1032" t="s">
        <v>37</v>
      </c>
      <c r="R813" s="1032"/>
      <c r="S813" s="1032"/>
      <c r="T813" s="1032"/>
      <c r="U813" s="1030" t="s">
        <v>4794</v>
      </c>
      <c r="V813" s="1083"/>
      <c r="W813"/>
    </row>
    <row r="814" spans="1:23" ht="26.25" customHeight="1">
      <c r="A814" s="446" t="s">
        <v>67</v>
      </c>
      <c r="B814" s="1231">
        <v>45440</v>
      </c>
      <c r="C814" s="82">
        <f t="shared" si="14"/>
        <v>22</v>
      </c>
      <c r="D814" s="1241" t="s">
        <v>4360</v>
      </c>
      <c r="E814" s="1241" t="s">
        <v>4795</v>
      </c>
      <c r="F814" s="1236" t="s">
        <v>1199</v>
      </c>
      <c r="G814" s="1235" t="s">
        <v>1199</v>
      </c>
      <c r="H814" s="1032"/>
      <c r="I814" s="1032"/>
      <c r="J814" s="1032" t="s">
        <v>37</v>
      </c>
      <c r="K814" s="1032"/>
      <c r="L814" s="1032" t="s">
        <v>37</v>
      </c>
      <c r="M814" s="1032"/>
      <c r="N814" s="1032"/>
      <c r="O814" s="1032"/>
      <c r="P814" s="1032"/>
      <c r="Q814" s="1032"/>
      <c r="R814" s="1032"/>
      <c r="S814" s="1032"/>
      <c r="T814" s="1032"/>
      <c r="U814" s="1030"/>
      <c r="V814" s="1083"/>
      <c r="W814"/>
    </row>
    <row r="815" spans="1:23" ht="26.25" customHeight="1">
      <c r="A815" s="446" t="s">
        <v>67</v>
      </c>
      <c r="B815" s="1231">
        <v>45440</v>
      </c>
      <c r="C815" s="82">
        <f t="shared" si="14"/>
        <v>22</v>
      </c>
      <c r="D815" s="1241" t="s">
        <v>1698</v>
      </c>
      <c r="E815" s="1241" t="s">
        <v>4796</v>
      </c>
      <c r="F815" s="1017" t="s">
        <v>1199</v>
      </c>
      <c r="G815" s="1017" t="s">
        <v>1199</v>
      </c>
      <c r="H815" s="3250"/>
      <c r="I815" s="5242"/>
      <c r="J815" s="5294" t="s">
        <v>37</v>
      </c>
      <c r="K815" s="5231" t="s">
        <v>4206</v>
      </c>
      <c r="L815" s="1032" t="s">
        <v>37</v>
      </c>
      <c r="M815" s="1032"/>
      <c r="N815" s="1032"/>
      <c r="O815" s="1032"/>
      <c r="P815" s="1032"/>
      <c r="Q815" s="1032"/>
      <c r="R815" s="1032"/>
      <c r="S815" s="1032"/>
      <c r="T815" s="1032"/>
      <c r="U815" s="1032"/>
      <c r="V815" s="1083"/>
      <c r="W815"/>
    </row>
    <row r="816" spans="1:23" ht="26.25" customHeight="1">
      <c r="A816" s="446" t="s">
        <v>85</v>
      </c>
      <c r="B816" s="1231">
        <v>45441</v>
      </c>
      <c r="C816" s="82">
        <f t="shared" si="14"/>
        <v>22</v>
      </c>
      <c r="D816" s="1234" t="s">
        <v>68</v>
      </c>
      <c r="E816" s="1234" t="s">
        <v>336</v>
      </c>
      <c r="F816" s="937" t="s">
        <v>1199</v>
      </c>
      <c r="G816" s="927" t="s">
        <v>1199</v>
      </c>
      <c r="H816" s="1032"/>
      <c r="I816" s="1032"/>
      <c r="J816" s="1032" t="s">
        <v>37</v>
      </c>
      <c r="K816" s="1032"/>
      <c r="L816" s="1032" t="s">
        <v>37</v>
      </c>
      <c r="M816" s="1032"/>
      <c r="N816" s="1032"/>
      <c r="O816" s="1032"/>
      <c r="P816" s="1032"/>
      <c r="Q816" s="1032"/>
      <c r="R816" s="1032"/>
      <c r="S816" s="1032"/>
      <c r="T816" s="1032"/>
      <c r="U816" s="1030"/>
      <c r="V816" s="1083"/>
      <c r="W816"/>
    </row>
    <row r="817" spans="1:23" ht="26.25" customHeight="1">
      <c r="A817" s="446" t="s">
        <v>85</v>
      </c>
      <c r="B817" s="1231">
        <v>45441</v>
      </c>
      <c r="C817" s="82">
        <f t="shared" si="14"/>
        <v>22</v>
      </c>
      <c r="D817" s="1232" t="s">
        <v>4180</v>
      </c>
      <c r="E817" s="1232" t="s">
        <v>4797</v>
      </c>
      <c r="F817" s="937" t="s">
        <v>1199</v>
      </c>
      <c r="G817" s="937" t="s">
        <v>1199</v>
      </c>
      <c r="H817" s="3250"/>
      <c r="I817" s="5242"/>
      <c r="J817" s="3250" t="s">
        <v>37</v>
      </c>
      <c r="K817" s="5231" t="s">
        <v>4206</v>
      </c>
      <c r="L817" s="1032" t="s">
        <v>37</v>
      </c>
      <c r="M817" s="1032"/>
      <c r="N817" s="1032"/>
      <c r="O817" s="1032"/>
      <c r="P817" s="1032"/>
      <c r="Q817" s="1032"/>
      <c r="R817" s="1032"/>
      <c r="S817" s="1032"/>
      <c r="T817" s="1032"/>
      <c r="U817" s="1030"/>
      <c r="V817" s="1083"/>
      <c r="W817"/>
    </row>
    <row r="818" spans="1:23" ht="26.25" customHeight="1">
      <c r="A818" s="446" t="s">
        <v>85</v>
      </c>
      <c r="B818" s="1231">
        <v>45441</v>
      </c>
      <c r="C818" s="82">
        <f t="shared" si="14"/>
        <v>22</v>
      </c>
      <c r="D818" s="1232" t="s">
        <v>4797</v>
      </c>
      <c r="E818" s="1232" t="s">
        <v>4798</v>
      </c>
      <c r="F818" s="937" t="s">
        <v>1199</v>
      </c>
      <c r="G818" s="937" t="s">
        <v>1199</v>
      </c>
      <c r="H818" s="5196"/>
      <c r="I818" s="5196"/>
      <c r="J818" s="1083" t="s">
        <v>37</v>
      </c>
      <c r="K818" s="484" t="s">
        <v>29</v>
      </c>
      <c r="L818" s="1032" t="s">
        <v>37</v>
      </c>
      <c r="M818" s="1032"/>
      <c r="N818" s="1032"/>
      <c r="O818" s="1032"/>
      <c r="P818" s="1032"/>
      <c r="Q818" s="1032"/>
      <c r="R818" s="1032"/>
      <c r="S818" s="1032"/>
      <c r="T818" s="1032"/>
      <c r="U818" s="1030"/>
      <c r="V818" s="1083"/>
      <c r="W818"/>
    </row>
    <row r="819" spans="1:23" ht="26.25" customHeight="1">
      <c r="A819" s="446" t="s">
        <v>85</v>
      </c>
      <c r="B819" s="1231">
        <v>45441</v>
      </c>
      <c r="C819" s="82">
        <f t="shared" si="14"/>
        <v>22</v>
      </c>
      <c r="D819" s="1115" t="s">
        <v>1905</v>
      </c>
      <c r="E819" s="1115" t="s">
        <v>888</v>
      </c>
      <c r="F819" s="1287" t="s">
        <v>1199</v>
      </c>
      <c r="G819" s="1288" t="s">
        <v>1199</v>
      </c>
      <c r="H819" s="5196"/>
      <c r="I819" s="5196"/>
      <c r="J819" s="1032" t="s">
        <v>37</v>
      </c>
      <c r="K819" s="484" t="s">
        <v>29</v>
      </c>
      <c r="L819" s="1032" t="s">
        <v>37</v>
      </c>
      <c r="M819" s="1032"/>
      <c r="N819" s="1032"/>
      <c r="O819" s="1032"/>
      <c r="P819" s="1032"/>
      <c r="Q819" s="1032"/>
      <c r="R819" s="1032"/>
      <c r="S819" s="1032"/>
      <c r="T819" s="1032"/>
      <c r="U819" s="1030"/>
      <c r="V819" s="1083"/>
      <c r="W819"/>
    </row>
    <row r="820" spans="1:23" ht="78.75" customHeight="1">
      <c r="A820" s="446" t="s">
        <v>85</v>
      </c>
      <c r="B820" s="1231">
        <v>45441</v>
      </c>
      <c r="C820" s="82">
        <f t="shared" si="14"/>
        <v>22</v>
      </c>
      <c r="D820" s="1238" t="s">
        <v>169</v>
      </c>
      <c r="E820" s="1238" t="s">
        <v>4799</v>
      </c>
      <c r="F820" s="937" t="s">
        <v>1199</v>
      </c>
      <c r="G820" s="937" t="s">
        <v>1199</v>
      </c>
      <c r="H820" s="1032"/>
      <c r="I820" s="1032"/>
      <c r="J820" s="1032"/>
      <c r="K820" s="1032"/>
      <c r="L820" s="1032"/>
      <c r="M820" s="1032" t="s">
        <v>37</v>
      </c>
      <c r="N820" s="20" t="s">
        <v>122</v>
      </c>
      <c r="O820" s="20" t="s">
        <v>174</v>
      </c>
      <c r="P820" s="20" t="s">
        <v>4080</v>
      </c>
      <c r="Q820" s="1032"/>
      <c r="R820" s="1032"/>
      <c r="S820" s="1032"/>
      <c r="T820" s="1032"/>
      <c r="U820" s="1030" t="s">
        <v>4800</v>
      </c>
      <c r="V820" s="1083"/>
      <c r="W820"/>
    </row>
    <row r="821" spans="1:23" ht="78.75" customHeight="1">
      <c r="A821" s="446" t="s">
        <v>85</v>
      </c>
      <c r="B821" s="1231">
        <v>45441</v>
      </c>
      <c r="C821" s="82">
        <f t="shared" si="14"/>
        <v>22</v>
      </c>
      <c r="D821" s="1115" t="s">
        <v>888</v>
      </c>
      <c r="E821" s="1115" t="s">
        <v>4801</v>
      </c>
      <c r="F821" s="1289" t="s">
        <v>1199</v>
      </c>
      <c r="G821" s="1289" t="s">
        <v>1199</v>
      </c>
      <c r="H821" s="5250">
        <v>702</v>
      </c>
      <c r="I821" s="5257"/>
      <c r="J821" s="3250"/>
      <c r="K821" s="5227" t="s">
        <v>1630</v>
      </c>
      <c r="L821" s="1032"/>
      <c r="M821" s="1032" t="s">
        <v>37</v>
      </c>
      <c r="N821" s="20" t="s">
        <v>0</v>
      </c>
      <c r="O821" s="20" t="s">
        <v>343</v>
      </c>
      <c r="P821" s="20" t="s">
        <v>4082</v>
      </c>
      <c r="Q821" s="1032">
        <v>1</v>
      </c>
      <c r="R821" s="1032"/>
      <c r="S821" s="1032"/>
      <c r="T821" s="1032"/>
      <c r="U821" s="1030" t="s">
        <v>4802</v>
      </c>
      <c r="V821" s="1083"/>
      <c r="W821"/>
    </row>
    <row r="822" spans="1:23" ht="26.25" customHeight="1">
      <c r="A822" s="446" t="s">
        <v>85</v>
      </c>
      <c r="B822" s="1231">
        <v>45441</v>
      </c>
      <c r="C822" s="82">
        <f t="shared" si="14"/>
        <v>22</v>
      </c>
      <c r="D822" s="1290" t="s">
        <v>4768</v>
      </c>
      <c r="E822" s="1290" t="s">
        <v>4803</v>
      </c>
      <c r="F822" s="937" t="s">
        <v>1199</v>
      </c>
      <c r="G822" s="937" t="s">
        <v>1199</v>
      </c>
      <c r="H822" s="3250">
        <v>706</v>
      </c>
      <c r="I822" s="5262"/>
      <c r="J822" s="1204" t="s">
        <v>37</v>
      </c>
      <c r="K822" s="1058" t="s">
        <v>4804</v>
      </c>
      <c r="L822" s="1032" t="s">
        <v>37</v>
      </c>
      <c r="M822" s="1032"/>
      <c r="N822" s="1032"/>
      <c r="O822" s="1032"/>
      <c r="P822" s="1032"/>
      <c r="Q822" s="1032"/>
      <c r="R822" s="1032"/>
      <c r="S822" s="1032"/>
      <c r="T822" s="1032"/>
      <c r="U822" s="1030"/>
      <c r="V822" s="1083"/>
      <c r="W822"/>
    </row>
    <row r="823" spans="1:23" ht="26.25" customHeight="1">
      <c r="A823" s="446" t="s">
        <v>85</v>
      </c>
      <c r="B823" s="1231">
        <v>45441</v>
      </c>
      <c r="C823" s="82">
        <f t="shared" si="14"/>
        <v>22</v>
      </c>
      <c r="D823" s="1115" t="s">
        <v>888</v>
      </c>
      <c r="E823" s="1115" t="s">
        <v>282</v>
      </c>
      <c r="F823" s="937" t="s">
        <v>1199</v>
      </c>
      <c r="G823" s="937" t="s">
        <v>1199</v>
      </c>
      <c r="H823" s="5196"/>
      <c r="I823" s="5196"/>
      <c r="J823" s="927" t="s">
        <v>37</v>
      </c>
      <c r="K823" s="5227" t="s">
        <v>174</v>
      </c>
      <c r="L823" s="1032" t="s">
        <v>37</v>
      </c>
      <c r="M823" s="1032"/>
      <c r="N823" s="1032"/>
      <c r="O823" s="1032"/>
      <c r="P823" s="1032"/>
      <c r="Q823" s="1032"/>
      <c r="R823" s="1032"/>
      <c r="S823" s="1032"/>
      <c r="T823" s="1032"/>
      <c r="U823"/>
      <c r="V823"/>
      <c r="W823"/>
    </row>
    <row r="824" spans="1:23" ht="105" customHeight="1">
      <c r="A824" s="446" t="s">
        <v>105</v>
      </c>
      <c r="B824" s="1231">
        <v>45442</v>
      </c>
      <c r="C824" s="82">
        <f t="shared" si="14"/>
        <v>22</v>
      </c>
      <c r="D824" s="1234" t="s">
        <v>3985</v>
      </c>
      <c r="E824" s="1234" t="s">
        <v>4805</v>
      </c>
      <c r="F824" s="937" t="s">
        <v>1199</v>
      </c>
      <c r="G824" s="927" t="s">
        <v>1199</v>
      </c>
      <c r="H824" s="924"/>
      <c r="I824" s="1032"/>
      <c r="J824" s="937"/>
      <c r="K824" s="937"/>
      <c r="L824" s="1032"/>
      <c r="M824" s="1032" t="s">
        <v>30</v>
      </c>
      <c r="N824" s="20" t="s">
        <v>109</v>
      </c>
      <c r="O824" s="20" t="s">
        <v>1847</v>
      </c>
      <c r="P824" s="20" t="s">
        <v>4330</v>
      </c>
      <c r="Q824" s="1032"/>
      <c r="R824" s="1032"/>
      <c r="S824" s="1032"/>
      <c r="T824" s="1032"/>
      <c r="U824" s="1030" t="s">
        <v>4806</v>
      </c>
      <c r="V824" s="1083"/>
      <c r="W824"/>
    </row>
    <row r="825" spans="1:23" ht="26.25" customHeight="1">
      <c r="A825" s="446" t="s">
        <v>105</v>
      </c>
      <c r="B825" s="1231">
        <v>45442</v>
      </c>
      <c r="C825" s="82">
        <f t="shared" si="14"/>
        <v>22</v>
      </c>
      <c r="D825" s="1291" t="s">
        <v>4641</v>
      </c>
      <c r="E825" s="1291" t="s">
        <v>3521</v>
      </c>
      <c r="F825" s="937" t="s">
        <v>1199</v>
      </c>
      <c r="G825" s="927" t="s">
        <v>1199</v>
      </c>
      <c r="H825" s="937"/>
      <c r="I825" s="937"/>
      <c r="J825" s="1292" t="s">
        <v>37</v>
      </c>
      <c r="K825" s="1292"/>
      <c r="L825" s="937" t="s">
        <v>37</v>
      </c>
      <c r="M825" s="1032"/>
      <c r="N825" s="1032"/>
      <c r="O825" s="1032"/>
      <c r="P825" s="1032"/>
      <c r="Q825" s="1032"/>
      <c r="R825" s="1032"/>
      <c r="S825" s="1032"/>
      <c r="T825" s="1032"/>
      <c r="U825" s="1030"/>
      <c r="V825" s="1083"/>
      <c r="W825"/>
    </row>
    <row r="826" spans="1:23" ht="26.25" customHeight="1">
      <c r="A826" s="446" t="s">
        <v>105</v>
      </c>
      <c r="B826" s="1231">
        <v>45442</v>
      </c>
      <c r="C826" s="82">
        <f t="shared" si="14"/>
        <v>22</v>
      </c>
      <c r="D826" s="1293" t="s">
        <v>537</v>
      </c>
      <c r="E826" s="1293" t="s">
        <v>3762</v>
      </c>
      <c r="F826" s="937" t="s">
        <v>1199</v>
      </c>
      <c r="G826" s="937" t="s">
        <v>1199</v>
      </c>
      <c r="H826" s="1032"/>
      <c r="I826" s="1032"/>
      <c r="J826" s="1032" t="s">
        <v>37</v>
      </c>
      <c r="K826" s="1032"/>
      <c r="L826" s="1061" t="s">
        <v>37</v>
      </c>
      <c r="M826" s="1032"/>
      <c r="N826" s="1032"/>
      <c r="O826" s="1032"/>
      <c r="P826" s="1032"/>
      <c r="Q826" s="1032"/>
      <c r="R826" s="1032"/>
      <c r="S826" s="1032"/>
      <c r="T826" s="1032"/>
      <c r="U826" s="1030"/>
      <c r="V826" s="1083"/>
      <c r="W826"/>
    </row>
    <row r="827" spans="1:23" ht="26.25" customHeight="1">
      <c r="A827" s="446" t="s">
        <v>105</v>
      </c>
      <c r="B827" s="1231">
        <v>45442</v>
      </c>
      <c r="C827" s="82">
        <f t="shared" si="14"/>
        <v>22</v>
      </c>
      <c r="D827" s="1290" t="s">
        <v>4807</v>
      </c>
      <c r="E827" s="1290" t="s">
        <v>4808</v>
      </c>
      <c r="F827" s="937" t="s">
        <v>1199</v>
      </c>
      <c r="G827" s="937" t="s">
        <v>1199</v>
      </c>
      <c r="H827" s="3250">
        <v>706</v>
      </c>
      <c r="I827" s="5262"/>
      <c r="J827" s="1032" t="s">
        <v>37</v>
      </c>
      <c r="K827" s="1058" t="s">
        <v>4804</v>
      </c>
      <c r="L827" s="1061" t="s">
        <v>37</v>
      </c>
      <c r="M827" s="1032"/>
      <c r="N827" s="1032"/>
      <c r="O827" s="1032"/>
      <c r="P827" s="1032"/>
      <c r="Q827" s="1032"/>
      <c r="R827" s="1032"/>
      <c r="S827" s="1032"/>
      <c r="T827" s="1032"/>
      <c r="U827" s="1030"/>
      <c r="V827" s="1083"/>
      <c r="W827"/>
    </row>
    <row r="828" spans="1:23" ht="26.25" customHeight="1">
      <c r="A828" s="446" t="s">
        <v>105</v>
      </c>
      <c r="B828" s="1231">
        <v>45442</v>
      </c>
      <c r="C828" s="82">
        <f t="shared" si="14"/>
        <v>22</v>
      </c>
      <c r="D828" s="1238" t="s">
        <v>169</v>
      </c>
      <c r="E828" s="1238" t="s">
        <v>3290</v>
      </c>
      <c r="F828" s="937" t="s">
        <v>1199</v>
      </c>
      <c r="G828" s="1236" t="s">
        <v>1199</v>
      </c>
      <c r="H828" s="3250"/>
      <c r="I828" s="5242"/>
      <c r="J828" s="3250" t="s">
        <v>37</v>
      </c>
      <c r="K828" s="5231" t="s">
        <v>4206</v>
      </c>
      <c r="L828" s="1061" t="s">
        <v>37</v>
      </c>
      <c r="M828" s="1294"/>
      <c r="N828" s="1032"/>
      <c r="O828" s="1032"/>
      <c r="P828" s="1032"/>
      <c r="Q828" s="1032"/>
      <c r="R828" s="1032"/>
      <c r="S828" s="1032"/>
      <c r="T828" s="1032"/>
      <c r="U828" s="1030"/>
      <c r="V828" s="1083"/>
      <c r="W828"/>
    </row>
    <row r="829" spans="1:23" ht="26.25" customHeight="1">
      <c r="A829" s="446" t="s">
        <v>105</v>
      </c>
      <c r="B829" s="1231">
        <v>45442</v>
      </c>
      <c r="C829" s="82">
        <f t="shared" si="14"/>
        <v>22</v>
      </c>
      <c r="D829" s="1115" t="s">
        <v>4155</v>
      </c>
      <c r="E829" s="1115" t="s">
        <v>339</v>
      </c>
      <c r="F829" s="1287" t="s">
        <v>1199</v>
      </c>
      <c r="G829" s="1288" t="s">
        <v>1199</v>
      </c>
      <c r="H829" s="3250"/>
      <c r="I829" s="5242"/>
      <c r="J829" s="3250" t="s">
        <v>37</v>
      </c>
      <c r="K829" s="5231" t="s">
        <v>4206</v>
      </c>
      <c r="L829" s="1061" t="s">
        <v>37</v>
      </c>
      <c r="M829" s="1032"/>
      <c r="N829" s="1032"/>
      <c r="O829" s="1032"/>
      <c r="P829" s="1032"/>
      <c r="Q829" s="1032"/>
      <c r="R829" s="1032"/>
      <c r="S829" s="1032"/>
      <c r="T829" s="1032"/>
      <c r="U829" s="1030"/>
      <c r="V829" s="1083"/>
      <c r="W829"/>
    </row>
    <row r="830" spans="1:23" ht="26.25" customHeight="1">
      <c r="A830" s="446" t="s">
        <v>105</v>
      </c>
      <c r="B830" s="1231">
        <v>45442</v>
      </c>
      <c r="C830" s="82">
        <f t="shared" si="14"/>
        <v>22</v>
      </c>
      <c r="D830" s="1115" t="s">
        <v>4541</v>
      </c>
      <c r="E830" s="1115" t="s">
        <v>1838</v>
      </c>
      <c r="F830" s="937" t="s">
        <v>1199</v>
      </c>
      <c r="G830" s="927" t="s">
        <v>1199</v>
      </c>
      <c r="H830" s="927"/>
      <c r="I830" s="927"/>
      <c r="J830" s="927" t="s">
        <v>37</v>
      </c>
      <c r="K830" s="927"/>
      <c r="L830" s="1061" t="s">
        <v>37</v>
      </c>
      <c r="M830" s="1032"/>
      <c r="N830" s="1032"/>
      <c r="O830" s="1032"/>
      <c r="P830" s="1032"/>
      <c r="Q830" s="1032"/>
      <c r="R830" s="1032"/>
      <c r="S830" s="1032"/>
      <c r="T830" s="1032"/>
      <c r="U830" s="1030"/>
      <c r="V830" s="1083"/>
      <c r="W830"/>
    </row>
    <row r="831" spans="1:23" ht="26.25" customHeight="1">
      <c r="A831" s="446" t="s">
        <v>105</v>
      </c>
      <c r="B831" s="1231">
        <v>45442</v>
      </c>
      <c r="C831" s="82">
        <f t="shared" si="14"/>
        <v>22</v>
      </c>
      <c r="D831" s="1115" t="s">
        <v>4155</v>
      </c>
      <c r="E831" s="1115" t="s">
        <v>4786</v>
      </c>
      <c r="F831" s="937" t="s">
        <v>1199</v>
      </c>
      <c r="G831" s="937" t="s">
        <v>1199</v>
      </c>
      <c r="H831" s="927"/>
      <c r="I831" s="927"/>
      <c r="J831" s="927" t="s">
        <v>37</v>
      </c>
      <c r="K831" s="927"/>
      <c r="L831" s="1061" t="s">
        <v>37</v>
      </c>
      <c r="M831" s="1032"/>
      <c r="N831" s="1032"/>
      <c r="O831" s="1032"/>
      <c r="P831" s="1032"/>
      <c r="Q831" s="1032"/>
      <c r="R831" s="1032"/>
      <c r="S831" s="1032"/>
      <c r="T831" s="1032"/>
      <c r="U831" s="1030"/>
      <c r="V831" s="1083"/>
      <c r="W831"/>
    </row>
    <row r="832" spans="1:23" ht="26.25" customHeight="1">
      <c r="A832" s="446" t="s">
        <v>105</v>
      </c>
      <c r="B832" s="1231">
        <v>45442</v>
      </c>
      <c r="C832" s="82">
        <f t="shared" si="14"/>
        <v>22</v>
      </c>
      <c r="D832" s="1295" t="s">
        <v>1905</v>
      </c>
      <c r="E832" s="1295" t="s">
        <v>4809</v>
      </c>
      <c r="F832" s="1287" t="s">
        <v>4810</v>
      </c>
      <c r="G832" s="1288" t="s">
        <v>1199</v>
      </c>
      <c r="H832" s="927"/>
      <c r="I832" s="927"/>
      <c r="J832" s="927" t="s">
        <v>37</v>
      </c>
      <c r="K832" s="927"/>
      <c r="L832" s="1061" t="s">
        <v>37</v>
      </c>
      <c r="M832" s="1032"/>
      <c r="N832" s="1032"/>
      <c r="O832" s="1032"/>
      <c r="P832" s="1032"/>
      <c r="Q832" s="1032"/>
      <c r="R832" s="1032"/>
      <c r="S832" s="1032"/>
      <c r="T832" s="1032"/>
      <c r="U832" s="1030"/>
      <c r="V832" s="1083"/>
      <c r="W832"/>
    </row>
    <row r="833" spans="1:23" ht="26.25" customHeight="1">
      <c r="A833" s="446" t="s">
        <v>105</v>
      </c>
      <c r="B833" s="1231">
        <v>45442</v>
      </c>
      <c r="C833" s="82">
        <f t="shared" si="14"/>
        <v>22</v>
      </c>
      <c r="D833" s="1295" t="s">
        <v>4811</v>
      </c>
      <c r="E833" s="1295" t="s">
        <v>4812</v>
      </c>
      <c r="F833" s="1287" t="s">
        <v>1199</v>
      </c>
      <c r="G833" s="1288" t="s">
        <v>1199</v>
      </c>
      <c r="H833" s="927"/>
      <c r="I833" s="927"/>
      <c r="J833" s="927" t="s">
        <v>37</v>
      </c>
      <c r="K833" s="927"/>
      <c r="L833" s="1061" t="s">
        <v>37</v>
      </c>
      <c r="M833" s="1032"/>
      <c r="N833" s="1032"/>
      <c r="O833" s="1032"/>
      <c r="P833" s="1032"/>
      <c r="Q833" s="1032"/>
      <c r="R833" s="1032"/>
      <c r="S833" s="1032"/>
      <c r="T833" s="1032"/>
      <c r="U833" s="1030"/>
      <c r="V833" s="1083"/>
      <c r="W833"/>
    </row>
    <row r="834" spans="1:23" ht="26.25" customHeight="1">
      <c r="A834" s="446" t="s">
        <v>105</v>
      </c>
      <c r="B834" s="1231">
        <v>45442</v>
      </c>
      <c r="C834" s="82">
        <f t="shared" si="14"/>
        <v>22</v>
      </c>
      <c r="D834" s="1182" t="s">
        <v>1512</v>
      </c>
      <c r="E834" s="1182" t="s">
        <v>4813</v>
      </c>
      <c r="F834" s="937" t="s">
        <v>1199</v>
      </c>
      <c r="G834" s="937" t="s">
        <v>1199</v>
      </c>
      <c r="H834" s="927"/>
      <c r="I834" s="927"/>
      <c r="J834" s="927" t="s">
        <v>37</v>
      </c>
      <c r="K834" s="927"/>
      <c r="L834" s="1061" t="s">
        <v>37</v>
      </c>
      <c r="M834" s="1032"/>
      <c r="N834" s="1032"/>
      <c r="O834" s="1032"/>
      <c r="P834" s="1032"/>
      <c r="Q834" s="1032"/>
      <c r="R834" s="1032"/>
      <c r="S834" s="1032"/>
      <c r="T834" s="1032"/>
      <c r="U834" s="1030"/>
      <c r="V834" s="1083"/>
      <c r="W834"/>
    </row>
    <row r="835" spans="1:23" ht="26.25" customHeight="1">
      <c r="A835" s="446" t="s">
        <v>105</v>
      </c>
      <c r="B835" s="1231">
        <v>45442</v>
      </c>
      <c r="C835" s="82">
        <f t="shared" si="14"/>
        <v>22</v>
      </c>
      <c r="D835" s="1182" t="s">
        <v>1698</v>
      </c>
      <c r="E835" s="1182" t="s">
        <v>4814</v>
      </c>
      <c r="F835" s="937" t="s">
        <v>1199</v>
      </c>
      <c r="G835" s="937" t="s">
        <v>1199</v>
      </c>
      <c r="H835" s="924"/>
      <c r="I835" s="1032"/>
      <c r="J835" s="1032" t="s">
        <v>37</v>
      </c>
      <c r="K835" s="1032"/>
      <c r="L835" s="1032" t="s">
        <v>37</v>
      </c>
      <c r="M835" s="1032"/>
      <c r="N835" s="1032"/>
      <c r="O835" s="1032"/>
      <c r="P835" s="1032"/>
      <c r="Q835" s="1032"/>
      <c r="R835" s="1032"/>
      <c r="S835" s="1032"/>
      <c r="T835" s="1032"/>
      <c r="U835" s="1030"/>
      <c r="V835" s="1083"/>
      <c r="W835"/>
    </row>
    <row r="836" spans="1:23" ht="26.25" customHeight="1">
      <c r="A836" s="446" t="s">
        <v>105</v>
      </c>
      <c r="B836" s="1231">
        <v>45442</v>
      </c>
      <c r="C836" s="82">
        <f t="shared" si="14"/>
        <v>22</v>
      </c>
      <c r="D836" s="1182" t="s">
        <v>1554</v>
      </c>
      <c r="E836" s="1182" t="s">
        <v>4815</v>
      </c>
      <c r="F836" s="937" t="s">
        <v>1199</v>
      </c>
      <c r="G836" s="937" t="s">
        <v>1199</v>
      </c>
      <c r="H836" s="1032"/>
      <c r="I836" s="1032"/>
      <c r="J836" s="1032" t="s">
        <v>37</v>
      </c>
      <c r="K836" s="1032"/>
      <c r="L836" s="1032" t="s">
        <v>37</v>
      </c>
      <c r="M836" s="1032"/>
      <c r="N836" s="1032"/>
      <c r="O836" s="1032"/>
      <c r="P836" s="1032"/>
      <c r="Q836" s="1032"/>
      <c r="R836" s="1032"/>
      <c r="S836" s="1032"/>
      <c r="T836" s="1032"/>
      <c r="U836" s="1030"/>
      <c r="V836" s="1083"/>
      <c r="W836"/>
    </row>
    <row r="837" spans="1:23" ht="26.25" customHeight="1">
      <c r="A837" s="446" t="s">
        <v>105</v>
      </c>
      <c r="B837" s="1231">
        <v>45442</v>
      </c>
      <c r="C837" s="82">
        <f t="shared" si="14"/>
        <v>22</v>
      </c>
      <c r="D837" s="1296" t="s">
        <v>499</v>
      </c>
      <c r="E837" s="1296" t="s">
        <v>4486</v>
      </c>
      <c r="F837" s="937" t="s">
        <v>1199</v>
      </c>
      <c r="G837" s="937" t="s">
        <v>1199</v>
      </c>
      <c r="H837" s="3250">
        <v>706</v>
      </c>
      <c r="I837" s="5196"/>
      <c r="J837" s="927" t="s">
        <v>37</v>
      </c>
      <c r="K837" s="3250" t="s">
        <v>5035</v>
      </c>
      <c r="L837" s="1032" t="s">
        <v>37</v>
      </c>
      <c r="M837" s="1032"/>
      <c r="N837" s="1032"/>
      <c r="O837" s="1032"/>
      <c r="P837" s="1032"/>
      <c r="Q837" s="1032"/>
      <c r="R837" s="1032"/>
      <c r="S837" s="1032"/>
      <c r="T837" s="1032"/>
      <c r="U837" s="1030"/>
      <c r="V837" s="1083"/>
      <c r="W837"/>
    </row>
    <row r="838" spans="1:23" ht="26.25" customHeight="1">
      <c r="A838" s="446" t="s">
        <v>105</v>
      </c>
      <c r="B838" s="1231">
        <v>45442</v>
      </c>
      <c r="C838" s="82">
        <f t="shared" si="14"/>
        <v>22</v>
      </c>
      <c r="D838" s="1239" t="s">
        <v>888</v>
      </c>
      <c r="E838" s="1239" t="s">
        <v>4801</v>
      </c>
      <c r="F838" s="1289"/>
      <c r="G838" s="1289"/>
      <c r="H838" s="935"/>
      <c r="I838" s="927"/>
      <c r="J838" s="1032" t="s">
        <v>37</v>
      </c>
      <c r="K838" s="1032"/>
      <c r="L838" s="1032" t="s">
        <v>37</v>
      </c>
      <c r="M838" s="1032"/>
      <c r="N838" s="1032"/>
      <c r="O838" s="1032"/>
      <c r="P838" s="1032"/>
      <c r="Q838" s="1032"/>
      <c r="R838" s="1032">
        <v>1</v>
      </c>
      <c r="S838" s="1032"/>
      <c r="T838" s="1032"/>
      <c r="U838"/>
      <c r="V838"/>
      <c r="W838"/>
    </row>
    <row r="839" spans="1:23" ht="26.25" customHeight="1">
      <c r="A839" s="446" t="s">
        <v>132</v>
      </c>
      <c r="B839" s="1231">
        <v>45443</v>
      </c>
      <c r="C839" s="82">
        <f t="shared" si="14"/>
        <v>22</v>
      </c>
      <c r="D839" s="1296" t="s">
        <v>4486</v>
      </c>
      <c r="E839" s="1296" t="s">
        <v>267</v>
      </c>
      <c r="F839" s="1287" t="s">
        <v>1199</v>
      </c>
      <c r="G839" s="1288" t="s">
        <v>1199</v>
      </c>
      <c r="H839" s="3250">
        <v>706</v>
      </c>
      <c r="I839" s="5196"/>
      <c r="J839" s="927" t="s">
        <v>37</v>
      </c>
      <c r="K839" s="3250" t="s">
        <v>5035</v>
      </c>
      <c r="L839" s="1032" t="s">
        <v>37</v>
      </c>
      <c r="M839" s="1032"/>
      <c r="N839" s="1032"/>
      <c r="O839" s="1032"/>
      <c r="P839" s="1032"/>
      <c r="Q839" s="1032"/>
      <c r="R839" s="1032"/>
      <c r="S839" s="1032"/>
      <c r="T839" s="1032"/>
      <c r="U839" s="1030"/>
      <c r="V839" s="1083"/>
      <c r="W839"/>
    </row>
    <row r="840" spans="1:23" ht="26.25" customHeight="1">
      <c r="A840" s="446" t="s">
        <v>132</v>
      </c>
      <c r="B840" s="1231">
        <v>45443</v>
      </c>
      <c r="C840" s="82">
        <f t="shared" si="14"/>
        <v>22</v>
      </c>
      <c r="D840" s="1290" t="s">
        <v>4180</v>
      </c>
      <c r="E840" s="1290" t="s">
        <v>4816</v>
      </c>
      <c r="F840" s="937" t="s">
        <v>1199</v>
      </c>
      <c r="G840" s="937" t="s">
        <v>1764</v>
      </c>
      <c r="H840" s="3250">
        <v>706</v>
      </c>
      <c r="I840" s="5262"/>
      <c r="J840" s="1061" t="s">
        <v>37</v>
      </c>
      <c r="K840" s="1058" t="s">
        <v>4804</v>
      </c>
      <c r="L840" s="937" t="s">
        <v>37</v>
      </c>
      <c r="M840" s="1032"/>
      <c r="N840" s="1032"/>
      <c r="O840" s="1032"/>
      <c r="P840" s="1032"/>
      <c r="Q840" s="1032"/>
      <c r="R840" s="1032"/>
      <c r="S840" s="1032"/>
      <c r="T840" s="1032"/>
      <c r="U840" s="1030"/>
      <c r="V840" s="1083"/>
      <c r="W840"/>
    </row>
    <row r="841" spans="1:23" ht="26.25" customHeight="1">
      <c r="A841" s="446" t="s">
        <v>132</v>
      </c>
      <c r="B841" s="1231">
        <v>45443</v>
      </c>
      <c r="C841" s="82">
        <f t="shared" si="14"/>
        <v>22</v>
      </c>
      <c r="D841" s="1291" t="s">
        <v>3523</v>
      </c>
      <c r="E841" s="1291" t="s">
        <v>4419</v>
      </c>
      <c r="F841" s="937" t="s">
        <v>1199</v>
      </c>
      <c r="G841" s="937" t="s">
        <v>1764</v>
      </c>
      <c r="H841" s="922"/>
      <c r="I841" s="922"/>
      <c r="J841" s="937" t="s">
        <v>37</v>
      </c>
      <c r="K841" s="937"/>
      <c r="L841" s="937" t="s">
        <v>37</v>
      </c>
      <c r="M841" s="1032"/>
      <c r="N841" s="1032"/>
      <c r="O841" s="1032"/>
      <c r="P841" s="1032"/>
      <c r="Q841" s="1032"/>
      <c r="R841" s="1032"/>
      <c r="S841" s="1032"/>
      <c r="T841" s="1032"/>
      <c r="U841" s="1030"/>
      <c r="V841" s="1083"/>
      <c r="W841"/>
    </row>
    <row r="842" spans="1:23" ht="52.5" customHeight="1">
      <c r="A842" s="446" t="s">
        <v>132</v>
      </c>
      <c r="B842" s="1231">
        <v>45443</v>
      </c>
      <c r="C842" s="82">
        <f t="shared" si="14"/>
        <v>22</v>
      </c>
      <c r="D842" s="1296" t="s">
        <v>3764</v>
      </c>
      <c r="E842" s="1296" t="s">
        <v>3595</v>
      </c>
      <c r="F842" s="1235" t="s">
        <v>1206</v>
      </c>
      <c r="G842" s="1236" t="s">
        <v>1206</v>
      </c>
      <c r="H842" s="1032"/>
      <c r="I842" s="1032"/>
      <c r="J842" s="1032" t="s">
        <v>37</v>
      </c>
      <c r="K842" s="1032"/>
      <c r="L842" s="1061" t="s">
        <v>37</v>
      </c>
      <c r="M842" s="1032"/>
      <c r="N842" s="1032"/>
      <c r="O842" s="1032"/>
      <c r="P842" s="1032"/>
      <c r="Q842" s="1032"/>
      <c r="R842" s="1032"/>
      <c r="S842" s="1032"/>
      <c r="T842" s="1032"/>
      <c r="U842" s="1030" t="s">
        <v>4817</v>
      </c>
      <c r="V842" s="1083"/>
      <c r="W842"/>
    </row>
    <row r="843" spans="1:23" ht="78.75" customHeight="1">
      <c r="A843" s="446" t="s">
        <v>132</v>
      </c>
      <c r="B843" s="1231">
        <v>45443</v>
      </c>
      <c r="C843" s="82">
        <f t="shared" si="14"/>
        <v>22</v>
      </c>
      <c r="D843" s="1115" t="s">
        <v>888</v>
      </c>
      <c r="E843" s="1115" t="s">
        <v>3290</v>
      </c>
      <c r="F843" s="937"/>
      <c r="G843" s="937"/>
      <c r="H843" s="3250"/>
      <c r="I843" s="5242"/>
      <c r="J843" s="3250" t="s">
        <v>37</v>
      </c>
      <c r="K843" s="5231" t="s">
        <v>4206</v>
      </c>
      <c r="L843" s="1032"/>
      <c r="M843" s="1032" t="s">
        <v>30</v>
      </c>
      <c r="N843" s="20" t="s">
        <v>0</v>
      </c>
      <c r="O843" s="20" t="s">
        <v>343</v>
      </c>
      <c r="P843" s="20" t="s">
        <v>4082</v>
      </c>
      <c r="Q843" s="1032"/>
      <c r="R843" s="1032"/>
      <c r="S843" s="1032"/>
      <c r="T843" s="1032"/>
      <c r="U843" s="1030" t="s">
        <v>4818</v>
      </c>
      <c r="V843" s="1083"/>
      <c r="W843"/>
    </row>
    <row r="844" spans="1:23" ht="26.25" customHeight="1">
      <c r="A844" s="446" t="s">
        <v>132</v>
      </c>
      <c r="B844" s="1231">
        <v>45443</v>
      </c>
      <c r="C844" s="82">
        <f t="shared" si="14"/>
        <v>22</v>
      </c>
      <c r="D844" s="1126" t="s">
        <v>4786</v>
      </c>
      <c r="E844" s="1126" t="s">
        <v>4819</v>
      </c>
      <c r="F844" s="937" t="s">
        <v>1199</v>
      </c>
      <c r="G844" s="937" t="s">
        <v>1199</v>
      </c>
      <c r="H844" s="927"/>
      <c r="I844" s="927"/>
      <c r="J844" s="927" t="s">
        <v>37</v>
      </c>
      <c r="K844" s="927"/>
      <c r="L844" s="927" t="s">
        <v>37</v>
      </c>
      <c r="M844" s="1032"/>
      <c r="N844" s="1032"/>
      <c r="O844" s="1032"/>
      <c r="P844" s="1032"/>
      <c r="Q844" s="1032"/>
      <c r="R844" s="1032"/>
      <c r="S844" s="1032"/>
      <c r="T844" s="1032"/>
      <c r="U844" s="1030"/>
      <c r="V844" s="1083"/>
      <c r="W844"/>
    </row>
    <row r="845" spans="1:23" ht="26.25" customHeight="1">
      <c r="A845" s="446" t="s">
        <v>132</v>
      </c>
      <c r="B845" s="1231">
        <v>45443</v>
      </c>
      <c r="C845" s="82">
        <f t="shared" si="14"/>
        <v>22</v>
      </c>
      <c r="D845" s="1126" t="s">
        <v>3290</v>
      </c>
      <c r="E845" s="1126" t="s">
        <v>4820</v>
      </c>
      <c r="F845" s="1287" t="s">
        <v>1199</v>
      </c>
      <c r="G845" s="1288" t="s">
        <v>1199</v>
      </c>
      <c r="H845" s="927"/>
      <c r="I845" s="927"/>
      <c r="J845" s="927" t="s">
        <v>37</v>
      </c>
      <c r="K845" s="927"/>
      <c r="L845" s="927" t="s">
        <v>37</v>
      </c>
      <c r="M845" s="1032"/>
      <c r="N845" s="1032"/>
      <c r="O845" s="1032"/>
      <c r="P845" s="1032"/>
      <c r="Q845" s="1032"/>
      <c r="R845" s="1032"/>
      <c r="S845" s="1032"/>
      <c r="T845" s="1032"/>
      <c r="U845" s="1030"/>
      <c r="V845" s="1083"/>
      <c r="W845"/>
    </row>
    <row r="846" spans="1:23" ht="26.25" customHeight="1">
      <c r="A846" s="446" t="s">
        <v>132</v>
      </c>
      <c r="B846" s="1231">
        <v>45443</v>
      </c>
      <c r="C846" s="82">
        <f t="shared" si="14"/>
        <v>22</v>
      </c>
      <c r="D846" s="1239" t="s">
        <v>4671</v>
      </c>
      <c r="E846" s="1239" t="s">
        <v>1890</v>
      </c>
      <c r="F846" s="1061" t="s">
        <v>1206</v>
      </c>
      <c r="G846" s="1061" t="s">
        <v>1206</v>
      </c>
      <c r="H846" s="1032"/>
      <c r="I846" s="1032"/>
      <c r="J846" s="1032" t="s">
        <v>37</v>
      </c>
      <c r="K846" s="1032"/>
      <c r="L846" s="1032" t="s">
        <v>37</v>
      </c>
      <c r="M846" s="1032"/>
      <c r="N846" s="1032"/>
      <c r="O846" s="1032"/>
      <c r="P846" s="1032"/>
      <c r="Q846" s="1032"/>
      <c r="R846" s="1032"/>
      <c r="S846" s="1032"/>
      <c r="T846" s="1032"/>
      <c r="U846" s="1030"/>
      <c r="V846" s="1083"/>
      <c r="W846"/>
    </row>
    <row r="847" spans="1:23" ht="26.25" customHeight="1">
      <c r="A847" s="446" t="s">
        <v>132</v>
      </c>
      <c r="B847" s="1231">
        <v>45443</v>
      </c>
      <c r="C847" s="82">
        <f t="shared" si="14"/>
        <v>22</v>
      </c>
      <c r="D847" s="1239" t="s">
        <v>1145</v>
      </c>
      <c r="E847" s="1239" t="s">
        <v>4180</v>
      </c>
      <c r="F847" s="1061" t="s">
        <v>1206</v>
      </c>
      <c r="G847" s="1204" t="s">
        <v>1206</v>
      </c>
      <c r="H847" s="3250"/>
      <c r="I847" s="5242"/>
      <c r="J847" s="3250" t="s">
        <v>37</v>
      </c>
      <c r="K847" s="5231" t="s">
        <v>4206</v>
      </c>
      <c r="L847" s="1032" t="s">
        <v>37</v>
      </c>
      <c r="M847" s="1032"/>
      <c r="N847" s="1032"/>
      <c r="O847" s="1032"/>
      <c r="P847" s="1032"/>
      <c r="Q847" s="1032"/>
      <c r="R847" s="1032"/>
      <c r="S847" s="1032"/>
      <c r="T847" s="1032"/>
      <c r="U847" s="1030"/>
      <c r="V847" s="1083"/>
      <c r="W847"/>
    </row>
    <row r="848" spans="1:23" ht="26.25" customHeight="1">
      <c r="A848" s="446" t="s">
        <v>4114</v>
      </c>
      <c r="B848" s="1231">
        <v>45444</v>
      </c>
      <c r="C848" s="82">
        <f t="shared" si="14"/>
        <v>22</v>
      </c>
      <c r="D848" s="1115" t="s">
        <v>4187</v>
      </c>
      <c r="E848" s="1115" t="s">
        <v>4821</v>
      </c>
      <c r="F848" s="937"/>
      <c r="G848" s="927"/>
      <c r="H848" s="3250">
        <v>706</v>
      </c>
      <c r="I848" s="3250"/>
      <c r="J848" s="3250"/>
      <c r="K848" s="3250" t="s">
        <v>5035</v>
      </c>
      <c r="L848" s="1032" t="s">
        <v>37</v>
      </c>
      <c r="M848" s="1032"/>
      <c r="N848" s="1032"/>
      <c r="O848" s="1032"/>
      <c r="P848" s="1032"/>
      <c r="Q848" s="1032"/>
      <c r="R848" s="1032"/>
      <c r="S848" s="1032"/>
      <c r="T848" s="1032"/>
      <c r="U848" s="1030"/>
      <c r="V848" s="1083"/>
      <c r="W848"/>
    </row>
    <row r="849" spans="1:23" ht="52.5" customHeight="1" thickBot="1">
      <c r="A849" s="999" t="s">
        <v>4114</v>
      </c>
      <c r="B849" s="1270">
        <v>45444</v>
      </c>
      <c r="C849" s="169">
        <f t="shared" si="14"/>
        <v>22</v>
      </c>
      <c r="D849" s="1268" t="s">
        <v>1512</v>
      </c>
      <c r="E849" s="1268" t="s">
        <v>4225</v>
      </c>
      <c r="F849" s="937" t="s">
        <v>1199</v>
      </c>
      <c r="G849" s="937" t="s">
        <v>1199</v>
      </c>
      <c r="H849" s="5197"/>
      <c r="I849" s="5196"/>
      <c r="J849" s="927"/>
      <c r="K849" s="5227" t="s">
        <v>174</v>
      </c>
      <c r="L849" s="1151"/>
      <c r="M849" s="1151" t="s">
        <v>30</v>
      </c>
      <c r="N849" s="20" t="s">
        <v>109</v>
      </c>
      <c r="O849" s="20" t="s">
        <v>300</v>
      </c>
      <c r="P849" s="20" t="s">
        <v>4082</v>
      </c>
      <c r="Q849" s="1151"/>
      <c r="R849" s="1151"/>
      <c r="S849" s="1151"/>
      <c r="T849" s="1151"/>
      <c r="U849" s="1269" t="s">
        <v>4822</v>
      </c>
      <c r="V849" s="1083"/>
      <c r="W849"/>
    </row>
    <row r="850" spans="1:23" ht="26.25" customHeight="1">
      <c r="A850" s="443" t="s">
        <v>25</v>
      </c>
      <c r="B850" s="1258">
        <v>45446</v>
      </c>
      <c r="C850" s="846">
        <f t="shared" si="14"/>
        <v>23</v>
      </c>
      <c r="D850" s="1383" t="s">
        <v>3538</v>
      </c>
      <c r="E850" s="1384" t="s">
        <v>4823</v>
      </c>
      <c r="F850" s="1381" t="s">
        <v>1199</v>
      </c>
      <c r="G850" s="1319" t="s">
        <v>1199</v>
      </c>
      <c r="H850" s="1388"/>
      <c r="I850" s="1381"/>
      <c r="J850" s="925"/>
      <c r="K850" s="1316"/>
      <c r="L850" s="1332"/>
      <c r="M850" s="972"/>
      <c r="N850" s="34"/>
      <c r="O850" s="34"/>
      <c r="P850" s="34"/>
      <c r="Q850" s="1105"/>
      <c r="R850" s="1105"/>
      <c r="S850" s="1105"/>
      <c r="T850" s="1105"/>
      <c r="U850" s="1106" t="s">
        <v>4824</v>
      </c>
      <c r="V850" s="1083"/>
      <c r="W850"/>
    </row>
    <row r="851" spans="1:23" ht="52.5" customHeight="1">
      <c r="A851" s="446" t="s">
        <v>25</v>
      </c>
      <c r="B851" s="1231">
        <v>45446</v>
      </c>
      <c r="C851" s="82">
        <f t="shared" si="14"/>
        <v>23</v>
      </c>
      <c r="D851" s="1297" t="s">
        <v>4825</v>
      </c>
      <c r="E851" s="1385" t="s">
        <v>4826</v>
      </c>
      <c r="F851" s="1381" t="s">
        <v>1199</v>
      </c>
      <c r="G851" s="1319" t="s">
        <v>1199</v>
      </c>
      <c r="H851" s="1389"/>
      <c r="I851" s="1381"/>
      <c r="J851" s="925"/>
      <c r="K851" s="1316"/>
      <c r="L851" s="1333"/>
      <c r="M851" s="927" t="s">
        <v>37</v>
      </c>
      <c r="N851" s="21" t="s">
        <v>109</v>
      </c>
      <c r="O851" s="21" t="s">
        <v>110</v>
      </c>
      <c r="P851" s="20" t="s">
        <v>4080</v>
      </c>
      <c r="Q851" s="1032"/>
      <c r="R851" s="1032"/>
      <c r="S851" s="1032"/>
      <c r="T851" s="1032"/>
      <c r="U851" s="1030" t="s">
        <v>4827</v>
      </c>
      <c r="V851" s="1083"/>
      <c r="W851"/>
    </row>
    <row r="852" spans="1:23" ht="26.25" customHeight="1">
      <c r="A852" s="446" t="s">
        <v>25</v>
      </c>
      <c r="B852" s="1231">
        <v>45446</v>
      </c>
      <c r="C852" s="82">
        <f t="shared" si="14"/>
        <v>23</v>
      </c>
      <c r="D852" s="1298" t="s">
        <v>339</v>
      </c>
      <c r="E852" s="1386" t="s">
        <v>183</v>
      </c>
      <c r="F852" s="1382" t="s">
        <v>1199</v>
      </c>
      <c r="G852" s="1413" t="s">
        <v>1199</v>
      </c>
      <c r="H852" s="5272"/>
      <c r="I852" s="5257"/>
      <c r="J852" s="3250"/>
      <c r="K852" s="5231" t="s">
        <v>4206</v>
      </c>
      <c r="L852" s="1333" t="s">
        <v>37</v>
      </c>
      <c r="M852" s="927"/>
      <c r="N852" s="1032"/>
      <c r="O852" s="1032"/>
      <c r="P852" s="1032"/>
      <c r="Q852" s="1032"/>
      <c r="R852" s="1032"/>
      <c r="S852" s="1032"/>
      <c r="T852" s="1032"/>
      <c r="U852" s="1030"/>
      <c r="V852" s="1083"/>
      <c r="W852"/>
    </row>
    <row r="853" spans="1:23" ht="26.25" customHeight="1">
      <c r="A853" s="446" t="s">
        <v>25</v>
      </c>
      <c r="B853" s="1231">
        <v>45446</v>
      </c>
      <c r="C853" s="82">
        <f t="shared" si="14"/>
        <v>23</v>
      </c>
      <c r="D853" s="1299" t="s">
        <v>339</v>
      </c>
      <c r="E853" s="1387" t="s">
        <v>1050</v>
      </c>
      <c r="F853" s="1382" t="s">
        <v>1199</v>
      </c>
      <c r="G853" s="1413" t="s">
        <v>1199</v>
      </c>
      <c r="H853" s="5272"/>
      <c r="I853" s="5257"/>
      <c r="J853" s="3250"/>
      <c r="K853" s="5231" t="s">
        <v>4206</v>
      </c>
      <c r="L853" s="1333" t="s">
        <v>37</v>
      </c>
      <c r="M853" s="927"/>
      <c r="N853" s="1032"/>
      <c r="O853" s="1032"/>
      <c r="P853" s="1032"/>
      <c r="Q853" s="1032"/>
      <c r="R853" s="1032"/>
      <c r="S853" s="1032"/>
      <c r="T853" s="1032"/>
      <c r="U853" s="1030"/>
      <c r="V853" s="1083"/>
      <c r="W853"/>
    </row>
    <row r="854" spans="1:23" ht="26.25" customHeight="1">
      <c r="A854" s="446" t="s">
        <v>25</v>
      </c>
      <c r="B854" s="1231">
        <v>45446</v>
      </c>
      <c r="C854" s="82">
        <f t="shared" si="14"/>
        <v>23</v>
      </c>
      <c r="D854" s="1299" t="s">
        <v>4828</v>
      </c>
      <c r="E854" s="1387" t="s">
        <v>4829</v>
      </c>
      <c r="F854" s="1382" t="s">
        <v>1199</v>
      </c>
      <c r="G854" s="1413" t="s">
        <v>1199</v>
      </c>
      <c r="H854" s="5272"/>
      <c r="I854" s="5257"/>
      <c r="J854" s="3250"/>
      <c r="K854" s="5231" t="s">
        <v>4206</v>
      </c>
      <c r="L854" s="1333" t="s">
        <v>37</v>
      </c>
      <c r="M854" s="927"/>
      <c r="N854" s="1032"/>
      <c r="O854" s="1032"/>
      <c r="P854" s="1032"/>
      <c r="Q854" s="1032"/>
      <c r="R854" s="1032"/>
      <c r="S854" s="1032"/>
      <c r="T854" s="1032"/>
      <c r="U854" s="1030"/>
      <c r="V854" s="1083"/>
      <c r="W854"/>
    </row>
    <row r="855" spans="1:23" ht="78.75" customHeight="1">
      <c r="A855" s="446" t="s">
        <v>25</v>
      </c>
      <c r="B855" s="1231">
        <v>45446</v>
      </c>
      <c r="C855" s="82">
        <f t="shared" si="14"/>
        <v>23</v>
      </c>
      <c r="D855" s="1300" t="s">
        <v>339</v>
      </c>
      <c r="E855" s="1328" t="s">
        <v>4830</v>
      </c>
      <c r="F855" s="1335" t="s">
        <v>1199</v>
      </c>
      <c r="G855" s="1350" t="s">
        <v>1199</v>
      </c>
      <c r="H855" s="1331"/>
      <c r="I855" s="1341"/>
      <c r="J855" s="927"/>
      <c r="K855" s="1319"/>
      <c r="L855" s="1333"/>
      <c r="M855" s="927" t="s">
        <v>37</v>
      </c>
      <c r="N855" s="21" t="s">
        <v>109</v>
      </c>
      <c r="O855" s="21" t="s">
        <v>213</v>
      </c>
      <c r="P855" s="20" t="s">
        <v>4080</v>
      </c>
      <c r="Q855" s="1032"/>
      <c r="R855" s="1032"/>
      <c r="S855" s="1032"/>
      <c r="T855" s="1032"/>
      <c r="U855" s="1030" t="s">
        <v>4831</v>
      </c>
      <c r="V855" s="1083"/>
      <c r="W855"/>
    </row>
    <row r="856" spans="1:23" ht="26.25" customHeight="1">
      <c r="A856" s="446" t="s">
        <v>25</v>
      </c>
      <c r="B856" s="1231">
        <v>45446</v>
      </c>
      <c r="C856" s="82">
        <f t="shared" si="14"/>
        <v>23</v>
      </c>
      <c r="D856" s="1301" t="s">
        <v>4498</v>
      </c>
      <c r="E856" s="1343" t="s">
        <v>1838</v>
      </c>
      <c r="F856" s="1335" t="s">
        <v>1199</v>
      </c>
      <c r="G856" s="1350" t="s">
        <v>1199</v>
      </c>
      <c r="H856" s="1331"/>
      <c r="I856" s="1341"/>
      <c r="J856" s="927"/>
      <c r="K856" s="1319"/>
      <c r="L856" s="1333" t="s">
        <v>37</v>
      </c>
      <c r="M856" s="927"/>
      <c r="N856" s="1151"/>
      <c r="O856" s="1151"/>
      <c r="P856" s="1151"/>
      <c r="Q856" s="1032"/>
      <c r="R856" s="1051"/>
      <c r="S856" s="1051"/>
      <c r="T856" s="1051"/>
      <c r="U856" s="1034"/>
      <c r="V856" s="1083"/>
      <c r="W856"/>
    </row>
    <row r="857" spans="1:23" ht="52.5" customHeight="1">
      <c r="A857" s="446" t="s">
        <v>25</v>
      </c>
      <c r="B857" s="1231">
        <v>45446</v>
      </c>
      <c r="C857" s="82">
        <f t="shared" si="14"/>
        <v>23</v>
      </c>
      <c r="D857" s="1301" t="s">
        <v>450</v>
      </c>
      <c r="E857" s="1343" t="s">
        <v>89</v>
      </c>
      <c r="F857" s="1337" t="s">
        <v>1199</v>
      </c>
      <c r="G857" s="1350" t="s">
        <v>1199</v>
      </c>
      <c r="H857" s="1331"/>
      <c r="I857" s="1341"/>
      <c r="J857" s="927"/>
      <c r="K857" s="1319"/>
      <c r="L857" s="1333"/>
      <c r="M857" s="1319" t="s">
        <v>37</v>
      </c>
      <c r="N857" s="21" t="s">
        <v>0</v>
      </c>
      <c r="O857" s="21" t="s">
        <v>31</v>
      </c>
      <c r="P857" s="21" t="s">
        <v>4102</v>
      </c>
      <c r="Q857" s="1407">
        <v>1</v>
      </c>
      <c r="R857" s="1051"/>
      <c r="S857" s="1051"/>
      <c r="T857" s="1051"/>
      <c r="U857" s="1034" t="s">
        <v>4832</v>
      </c>
      <c r="V857" s="1083"/>
      <c r="W857"/>
    </row>
    <row r="858" spans="1:23" ht="53.25" customHeight="1" thickBot="1">
      <c r="A858" s="447" t="s">
        <v>25</v>
      </c>
      <c r="B858" s="1252">
        <v>45446</v>
      </c>
      <c r="C858" s="85">
        <f t="shared" ref="C858:C920" si="15">_xlfn.ISOWEEKNUM(B858)</f>
        <v>23</v>
      </c>
      <c r="D858" s="1379" t="s">
        <v>89</v>
      </c>
      <c r="E858" s="1380" t="s">
        <v>450</v>
      </c>
      <c r="F858" s="1337" t="s">
        <v>1764</v>
      </c>
      <c r="G858" s="1350" t="s">
        <v>1199</v>
      </c>
      <c r="H858" s="1347"/>
      <c r="I858" s="1341"/>
      <c r="J858" s="927"/>
      <c r="K858" s="1319"/>
      <c r="L858" s="1334"/>
      <c r="M858" s="1320" t="s">
        <v>37</v>
      </c>
      <c r="N858" s="35" t="s">
        <v>0</v>
      </c>
      <c r="O858" s="35" t="s">
        <v>31</v>
      </c>
      <c r="P858" s="35" t="s">
        <v>4102</v>
      </c>
      <c r="Q858" s="1408"/>
      <c r="R858" s="1310"/>
      <c r="S858" s="1310"/>
      <c r="T858" s="1310"/>
      <c r="U858" s="1307" t="s">
        <v>4833</v>
      </c>
      <c r="V858" s="1083"/>
      <c r="W858"/>
    </row>
    <row r="859" spans="1:23" ht="26.25" customHeight="1">
      <c r="A859" s="965" t="s">
        <v>67</v>
      </c>
      <c r="B859" s="1221">
        <v>45447</v>
      </c>
      <c r="C859" s="832">
        <f t="shared" si="15"/>
        <v>23</v>
      </c>
      <c r="D859" s="1409" t="s">
        <v>1145</v>
      </c>
      <c r="E859" s="1410" t="s">
        <v>4834</v>
      </c>
      <c r="F859" s="1335" t="s">
        <v>1199</v>
      </c>
      <c r="G859" s="1350" t="s">
        <v>1199</v>
      </c>
      <c r="H859" s="1411"/>
      <c r="I859" s="1367"/>
      <c r="J859" s="927"/>
      <c r="K859" s="1319"/>
      <c r="L859" s="1412" t="s">
        <v>37</v>
      </c>
      <c r="M859" s="1200"/>
      <c r="N859" s="1051"/>
      <c r="O859" s="1051"/>
      <c r="P859" s="1051"/>
      <c r="Q859" s="1051"/>
      <c r="R859" s="1051"/>
      <c r="S859" s="1051"/>
      <c r="T859" s="1051"/>
      <c r="U859" s="1034"/>
      <c r="V859" s="1083"/>
      <c r="W859"/>
    </row>
    <row r="860" spans="1:23" ht="26.25" customHeight="1">
      <c r="A860" s="446" t="s">
        <v>67</v>
      </c>
      <c r="B860" s="1231">
        <v>45447</v>
      </c>
      <c r="C860" s="82">
        <f t="shared" si="15"/>
        <v>23</v>
      </c>
      <c r="D860" s="1302" t="s">
        <v>2750</v>
      </c>
      <c r="E860" s="1344" t="s">
        <v>1165</v>
      </c>
      <c r="F860" s="1335" t="s">
        <v>1199</v>
      </c>
      <c r="G860" s="1350" t="s">
        <v>1199</v>
      </c>
      <c r="H860" s="1331"/>
      <c r="I860" s="1367" t="s">
        <v>1199</v>
      </c>
      <c r="J860" s="927"/>
      <c r="K860" s="1319"/>
      <c r="L860" s="1333" t="s">
        <v>37</v>
      </c>
      <c r="M860" s="927"/>
      <c r="N860" s="1032"/>
      <c r="O860" s="1032"/>
      <c r="P860" s="1032"/>
      <c r="Q860" s="1032"/>
      <c r="R860" s="1303">
        <v>1</v>
      </c>
      <c r="S860" s="1051"/>
      <c r="T860" s="1051"/>
      <c r="U860" s="1034"/>
      <c r="V860" s="1083"/>
      <c r="W860"/>
    </row>
    <row r="861" spans="1:23" ht="78.75" customHeight="1">
      <c r="A861" s="446" t="s">
        <v>67</v>
      </c>
      <c r="B861" s="1231">
        <v>45447</v>
      </c>
      <c r="C861" s="82">
        <f t="shared" si="15"/>
        <v>23</v>
      </c>
      <c r="D861" s="1302" t="s">
        <v>4835</v>
      </c>
      <c r="E861" s="1344" t="s">
        <v>447</v>
      </c>
      <c r="F861" s="1375" t="s">
        <v>37</v>
      </c>
      <c r="G861" s="1373" t="s">
        <v>37</v>
      </c>
      <c r="H861" s="1331"/>
      <c r="I861" s="1341"/>
      <c r="J861" s="927"/>
      <c r="K861" s="1319"/>
      <c r="L861" s="1333"/>
      <c r="M861" s="927" t="s">
        <v>37</v>
      </c>
      <c r="N861" s="21" t="s">
        <v>71</v>
      </c>
      <c r="O861" s="21" t="s">
        <v>2932</v>
      </c>
      <c r="P861" s="21" t="s">
        <v>4082</v>
      </c>
      <c r="Q861" s="1032"/>
      <c r="R861" s="1051"/>
      <c r="S861" s="1051"/>
      <c r="T861" s="1051"/>
      <c r="U861" s="1034" t="s">
        <v>4836</v>
      </c>
      <c r="V861" s="1083"/>
      <c r="W861"/>
    </row>
    <row r="862" spans="1:23" ht="26.25" customHeight="1">
      <c r="A862" s="446" t="s">
        <v>67</v>
      </c>
      <c r="B862" s="1231">
        <v>45447</v>
      </c>
      <c r="C862" s="82">
        <f t="shared" si="15"/>
        <v>23</v>
      </c>
      <c r="D862" s="1304" t="s">
        <v>273</v>
      </c>
      <c r="E862" s="1377" t="s">
        <v>586</v>
      </c>
      <c r="F862" s="1337" t="s">
        <v>1199</v>
      </c>
      <c r="G862" s="1309" t="s">
        <v>1199</v>
      </c>
      <c r="H862" s="1331"/>
      <c r="I862" s="1367" t="s">
        <v>1199</v>
      </c>
      <c r="J862" s="927"/>
      <c r="K862" s="1319"/>
      <c r="L862" s="1333" t="s">
        <v>37</v>
      </c>
      <c r="M862" s="927"/>
      <c r="N862" s="1032"/>
      <c r="O862" s="1032"/>
      <c r="P862" s="1032"/>
      <c r="Q862" s="1032"/>
      <c r="R862" s="1051"/>
      <c r="S862" s="1051"/>
      <c r="T862" s="1051"/>
      <c r="U862" s="1034"/>
      <c r="V862" s="1083"/>
      <c r="W862"/>
    </row>
    <row r="863" spans="1:23" ht="26.25" customHeight="1">
      <c r="A863" s="446" t="s">
        <v>67</v>
      </c>
      <c r="B863" s="1231">
        <v>45447</v>
      </c>
      <c r="C863" s="82">
        <f t="shared" si="15"/>
        <v>23</v>
      </c>
      <c r="D863" s="1302" t="s">
        <v>586</v>
      </c>
      <c r="E863" s="1344" t="s">
        <v>273</v>
      </c>
      <c r="F863" s="1337" t="s">
        <v>1199</v>
      </c>
      <c r="G863" s="1309" t="s">
        <v>1199</v>
      </c>
      <c r="H863" s="1331"/>
      <c r="I863" s="1367" t="s">
        <v>1199</v>
      </c>
      <c r="J863" s="927"/>
      <c r="K863" s="1319"/>
      <c r="L863" s="1333" t="s">
        <v>37</v>
      </c>
      <c r="M863" s="927"/>
      <c r="N863" s="1032"/>
      <c r="O863" s="1032"/>
      <c r="P863" s="1032"/>
      <c r="Q863" s="1032"/>
      <c r="R863" s="1051"/>
      <c r="S863" s="1051"/>
      <c r="T863" s="1051"/>
      <c r="U863" s="1034"/>
      <c r="V863" s="1083"/>
      <c r="W863"/>
    </row>
    <row r="864" spans="1:23" ht="26.25" customHeight="1">
      <c r="A864" s="446" t="s">
        <v>67</v>
      </c>
      <c r="B864" s="1231">
        <v>45447</v>
      </c>
      <c r="C864" s="82">
        <f t="shared" si="15"/>
        <v>23</v>
      </c>
      <c r="D864" s="1302" t="s">
        <v>447</v>
      </c>
      <c r="E864" s="1344" t="s">
        <v>4225</v>
      </c>
      <c r="F864" s="1337" t="s">
        <v>1199</v>
      </c>
      <c r="G864" s="1309" t="s">
        <v>1199</v>
      </c>
      <c r="H864" s="3250">
        <v>702</v>
      </c>
      <c r="I864" s="5257"/>
      <c r="J864" s="3250"/>
      <c r="K864" s="5227" t="s">
        <v>1630</v>
      </c>
      <c r="L864" s="1333" t="s">
        <v>37</v>
      </c>
      <c r="M864" s="927"/>
      <c r="N864" s="1032"/>
      <c r="O864" s="1032"/>
      <c r="P864" s="1032"/>
      <c r="Q864" s="1032"/>
      <c r="R864" s="1051"/>
      <c r="S864" s="1051"/>
      <c r="T864" s="1051"/>
      <c r="U864" s="1034"/>
      <c r="V864" s="1083"/>
      <c r="W864"/>
    </row>
    <row r="865" spans="1:23" ht="26.25" customHeight="1">
      <c r="A865" s="446" t="s">
        <v>67</v>
      </c>
      <c r="B865" s="1231">
        <v>45447</v>
      </c>
      <c r="C865" s="82">
        <f t="shared" si="15"/>
        <v>23</v>
      </c>
      <c r="D865" s="1302" t="s">
        <v>1512</v>
      </c>
      <c r="E865" s="1344" t="s">
        <v>4155</v>
      </c>
      <c r="F865" s="1376" t="s">
        <v>1199</v>
      </c>
      <c r="G865" s="1374" t="s">
        <v>1199</v>
      </c>
      <c r="H865" s="5272"/>
      <c r="I865" s="5257"/>
      <c r="J865" s="3250"/>
      <c r="K865" s="5231" t="s">
        <v>4206</v>
      </c>
      <c r="L865" s="1333" t="s">
        <v>37</v>
      </c>
      <c r="M865" s="927"/>
      <c r="N865" s="1032"/>
      <c r="O865" s="1032"/>
      <c r="P865" s="1032"/>
      <c r="Q865" s="1032"/>
      <c r="R865" s="1051"/>
      <c r="S865" s="1051"/>
      <c r="T865" s="1051"/>
      <c r="U865" s="1034"/>
      <c r="V865" s="1083"/>
      <c r="W865"/>
    </row>
    <row r="866" spans="1:23" ht="26.25" customHeight="1">
      <c r="A866" s="446" t="s">
        <v>67</v>
      </c>
      <c r="B866" s="1231">
        <v>45447</v>
      </c>
      <c r="C866" s="82">
        <f t="shared" si="15"/>
        <v>23</v>
      </c>
      <c r="D866" s="1305" t="s">
        <v>360</v>
      </c>
      <c r="E866" s="1378" t="s">
        <v>4837</v>
      </c>
      <c r="F866" s="1335" t="s">
        <v>1199</v>
      </c>
      <c r="G866" s="1350" t="s">
        <v>1199</v>
      </c>
      <c r="H866" s="1331"/>
      <c r="I866" s="1367" t="s">
        <v>1199</v>
      </c>
      <c r="J866" s="927"/>
      <c r="K866" s="1319"/>
      <c r="L866" s="1333" t="s">
        <v>37</v>
      </c>
      <c r="M866" s="927"/>
      <c r="N866" s="1032"/>
      <c r="O866" s="1032"/>
      <c r="P866" s="1032"/>
      <c r="Q866" s="1032"/>
      <c r="R866" s="1051"/>
      <c r="S866" s="1051"/>
      <c r="T866" s="1051"/>
      <c r="U866" s="1034"/>
      <c r="V866" s="1083"/>
      <c r="W866"/>
    </row>
    <row r="867" spans="1:23" ht="53.25" customHeight="1" thickBot="1">
      <c r="A867" s="447" t="s">
        <v>67</v>
      </c>
      <c r="B867" s="1252">
        <v>45447</v>
      </c>
      <c r="C867" s="85">
        <f t="shared" si="15"/>
        <v>23</v>
      </c>
      <c r="D867" s="1379" t="s">
        <v>450</v>
      </c>
      <c r="E867" s="1380" t="s">
        <v>264</v>
      </c>
      <c r="F867" s="1364" t="s">
        <v>1768</v>
      </c>
      <c r="G867" s="1361" t="s">
        <v>1768</v>
      </c>
      <c r="H867" s="1347"/>
      <c r="I867" s="1341"/>
      <c r="J867" s="927"/>
      <c r="K867" s="1319"/>
      <c r="L867" s="1334"/>
      <c r="M867" s="970" t="s">
        <v>37</v>
      </c>
      <c r="N867" s="254" t="s">
        <v>0</v>
      </c>
      <c r="O867" s="254" t="s">
        <v>187</v>
      </c>
      <c r="P867" s="254" t="s">
        <v>4102</v>
      </c>
      <c r="Q867" s="1035"/>
      <c r="R867" s="1310"/>
      <c r="S867" s="1310"/>
      <c r="T867" s="1310"/>
      <c r="U867" s="1307" t="s">
        <v>4838</v>
      </c>
      <c r="V867" s="1083"/>
      <c r="W867"/>
    </row>
    <row r="868" spans="1:23" ht="53.25" customHeight="1" thickBot="1">
      <c r="A868" s="965" t="s">
        <v>85</v>
      </c>
      <c r="B868" s="1221">
        <v>45448</v>
      </c>
      <c r="C868" s="832">
        <f t="shared" si="15"/>
        <v>23</v>
      </c>
      <c r="D868" s="1306" t="s">
        <v>4839</v>
      </c>
      <c r="E868" s="1368" t="s">
        <v>4180</v>
      </c>
      <c r="F868" s="1364" t="s">
        <v>1768</v>
      </c>
      <c r="G868" s="1361" t="s">
        <v>1768</v>
      </c>
      <c r="H868" s="5271"/>
      <c r="I868" s="5317"/>
      <c r="J868" s="5233"/>
      <c r="K868" s="5231" t="s">
        <v>4206</v>
      </c>
      <c r="L868" s="1406"/>
      <c r="M868" s="152" t="s">
        <v>37</v>
      </c>
      <c r="N868" s="20" t="s">
        <v>0</v>
      </c>
      <c r="O868" s="20" t="s">
        <v>187</v>
      </c>
      <c r="P868" s="20" t="s">
        <v>4102</v>
      </c>
      <c r="Q868" s="111"/>
      <c r="R868" s="111"/>
      <c r="S868" s="111"/>
      <c r="T868" s="111"/>
      <c r="U868" s="112"/>
      <c r="V868"/>
      <c r="W868"/>
    </row>
    <row r="869" spans="1:23" ht="26.25" customHeight="1">
      <c r="A869" s="446" t="s">
        <v>85</v>
      </c>
      <c r="B869" s="1231">
        <v>45448</v>
      </c>
      <c r="C869" s="82">
        <f t="shared" si="15"/>
        <v>23</v>
      </c>
      <c r="D869" s="1296" t="s">
        <v>4840</v>
      </c>
      <c r="E869" s="1327" t="s">
        <v>129</v>
      </c>
      <c r="F869" s="251" t="s">
        <v>1199</v>
      </c>
      <c r="G869" s="368" t="s">
        <v>1199</v>
      </c>
      <c r="H869" s="1371"/>
      <c r="I869" s="1367" t="s">
        <v>1199</v>
      </c>
      <c r="J869" s="111"/>
      <c r="K869" s="235"/>
      <c r="L869" s="1372" t="s">
        <v>37</v>
      </c>
      <c r="M869" s="147"/>
      <c r="N869" s="49"/>
      <c r="O869" s="49"/>
      <c r="P869" s="49"/>
      <c r="Q869" s="49"/>
      <c r="R869" s="49"/>
      <c r="S869" s="49"/>
      <c r="T869" s="49"/>
      <c r="U869" s="50"/>
      <c r="V869"/>
      <c r="W869"/>
    </row>
    <row r="870" spans="1:23" ht="26.25" customHeight="1">
      <c r="A870" s="446" t="s">
        <v>85</v>
      </c>
      <c r="B870" s="1231">
        <v>45448</v>
      </c>
      <c r="C870" s="82">
        <f t="shared" si="15"/>
        <v>23</v>
      </c>
      <c r="D870" s="1296" t="s">
        <v>129</v>
      </c>
      <c r="E870" s="1327" t="s">
        <v>4840</v>
      </c>
      <c r="F870" s="370" t="s">
        <v>1199</v>
      </c>
      <c r="G870" s="368" t="s">
        <v>1199</v>
      </c>
      <c r="H870" s="1371"/>
      <c r="I870" s="1367" t="s">
        <v>1199</v>
      </c>
      <c r="J870" s="111"/>
      <c r="K870" s="235"/>
      <c r="L870" s="1372" t="s">
        <v>37</v>
      </c>
      <c r="M870" s="147"/>
      <c r="N870" s="51"/>
      <c r="O870" s="51"/>
      <c r="P870" s="51"/>
      <c r="Q870" s="49"/>
      <c r="R870" s="49"/>
      <c r="S870" s="49"/>
      <c r="T870" s="49"/>
      <c r="U870" s="50"/>
      <c r="V870"/>
      <c r="W870"/>
    </row>
    <row r="871" spans="1:23" ht="52.5" customHeight="1">
      <c r="A871" s="446" t="s">
        <v>85</v>
      </c>
      <c r="B871" s="1231">
        <v>45448</v>
      </c>
      <c r="C871" s="82">
        <f t="shared" si="15"/>
        <v>23</v>
      </c>
      <c r="D871" s="1300" t="s">
        <v>77</v>
      </c>
      <c r="E871" s="1328" t="s">
        <v>1239</v>
      </c>
      <c r="F871" s="1365" t="s">
        <v>37</v>
      </c>
      <c r="G871" s="1362" t="s">
        <v>37</v>
      </c>
      <c r="H871" s="285"/>
      <c r="I871" s="213"/>
      <c r="J871" s="111"/>
      <c r="K871" s="235"/>
      <c r="L871" s="1372"/>
      <c r="M871" s="1405" t="s">
        <v>37</v>
      </c>
      <c r="N871" s="21" t="s">
        <v>109</v>
      </c>
      <c r="O871" s="21" t="s">
        <v>2932</v>
      </c>
      <c r="P871" s="21" t="s">
        <v>4082</v>
      </c>
      <c r="Q871" s="213"/>
      <c r="R871" s="49"/>
      <c r="S871" s="49"/>
      <c r="T871" s="49"/>
      <c r="U871" s="1030" t="s">
        <v>4841</v>
      </c>
      <c r="V871" s="1083"/>
      <c r="W871"/>
    </row>
    <row r="872" spans="1:23" ht="26.25" customHeight="1">
      <c r="A872" s="446" t="s">
        <v>85</v>
      </c>
      <c r="B872" s="1231">
        <v>45448</v>
      </c>
      <c r="C872" s="82">
        <f t="shared" si="15"/>
        <v>23</v>
      </c>
      <c r="D872" s="1369" t="s">
        <v>4835</v>
      </c>
      <c r="E872" s="1370" t="s">
        <v>169</v>
      </c>
      <c r="F872" s="251" t="s">
        <v>1199</v>
      </c>
      <c r="G872" s="212" t="s">
        <v>1199</v>
      </c>
      <c r="H872" s="285"/>
      <c r="I872" s="1367" t="s">
        <v>1199</v>
      </c>
      <c r="J872" s="111"/>
      <c r="K872" s="235"/>
      <c r="L872" s="1372" t="s">
        <v>37</v>
      </c>
      <c r="M872" s="147"/>
      <c r="N872" s="111"/>
      <c r="O872" s="111"/>
      <c r="P872" s="111"/>
      <c r="Q872" s="49"/>
      <c r="R872" s="49"/>
      <c r="S872" s="49"/>
      <c r="T872" s="49"/>
      <c r="U872" s="50"/>
      <c r="V872"/>
      <c r="W872"/>
    </row>
    <row r="873" spans="1:23" ht="26.25" customHeight="1">
      <c r="A873" s="446" t="s">
        <v>85</v>
      </c>
      <c r="B873" s="1231">
        <v>45448</v>
      </c>
      <c r="C873" s="82">
        <f t="shared" si="15"/>
        <v>23</v>
      </c>
      <c r="D873" s="1369" t="s">
        <v>169</v>
      </c>
      <c r="E873" s="1370" t="s">
        <v>447</v>
      </c>
      <c r="F873" s="1366" t="s">
        <v>1199</v>
      </c>
      <c r="G873" s="1363" t="s">
        <v>1199</v>
      </c>
      <c r="H873" s="285"/>
      <c r="I873" s="224"/>
      <c r="J873" s="111"/>
      <c r="K873" s="235"/>
      <c r="L873" s="1372" t="s">
        <v>37</v>
      </c>
      <c r="M873" s="147"/>
      <c r="N873" s="49"/>
      <c r="O873" s="49"/>
      <c r="P873" s="49"/>
      <c r="Q873" s="49"/>
      <c r="R873" s="49"/>
      <c r="S873" s="49"/>
      <c r="T873" s="49"/>
      <c r="U873" s="50"/>
      <c r="V873"/>
      <c r="W873"/>
    </row>
    <row r="874" spans="1:23" ht="27" customHeight="1" thickBot="1">
      <c r="A874" s="447" t="s">
        <v>85</v>
      </c>
      <c r="B874" s="1252">
        <v>45448</v>
      </c>
      <c r="C874" s="85">
        <f t="shared" si="15"/>
        <v>23</v>
      </c>
      <c r="D874" s="1312" t="s">
        <v>273</v>
      </c>
      <c r="E874" s="1330" t="s">
        <v>3290</v>
      </c>
      <c r="F874" s="1337" t="s">
        <v>1199</v>
      </c>
      <c r="G874" s="1309" t="s">
        <v>1199</v>
      </c>
      <c r="H874" s="1347"/>
      <c r="I874" s="1367" t="s">
        <v>1199</v>
      </c>
      <c r="J874" s="1200"/>
      <c r="K874" s="1350"/>
      <c r="L874" s="1334" t="s">
        <v>37</v>
      </c>
      <c r="M874" s="970"/>
      <c r="N874" s="1035"/>
      <c r="O874" s="1035"/>
      <c r="P874" s="1035"/>
      <c r="Q874" s="1035"/>
      <c r="R874" s="1035"/>
      <c r="S874" s="1035"/>
      <c r="T874" s="1035"/>
      <c r="U874" s="1036"/>
      <c r="V874" s="1083"/>
      <c r="W874"/>
    </row>
    <row r="875" spans="1:23" ht="26.25" customHeight="1">
      <c r="A875" s="965" t="s">
        <v>105</v>
      </c>
      <c r="B875" s="1221">
        <v>45449</v>
      </c>
      <c r="C875" s="832">
        <f t="shared" si="15"/>
        <v>23</v>
      </c>
      <c r="D875" s="1306" t="s">
        <v>1165</v>
      </c>
      <c r="E875" s="1368" t="s">
        <v>4180</v>
      </c>
      <c r="F875" s="1322" t="s">
        <v>1199</v>
      </c>
      <c r="G875" s="1315" t="s">
        <v>1199</v>
      </c>
      <c r="H875" s="1345"/>
      <c r="I875" s="1339"/>
      <c r="J875" s="192"/>
      <c r="K875" s="292"/>
      <c r="L875" s="1349" t="s">
        <v>37</v>
      </c>
      <c r="M875" s="111"/>
      <c r="N875" s="111"/>
      <c r="O875" s="111"/>
      <c r="P875" s="111"/>
      <c r="Q875" s="111"/>
      <c r="R875" s="111"/>
      <c r="S875" s="111"/>
      <c r="T875" s="111"/>
      <c r="U875" s="112"/>
      <c r="V875"/>
      <c r="W875"/>
    </row>
    <row r="876" spans="1:23" ht="26.25" customHeight="1">
      <c r="A876" s="446" t="s">
        <v>105</v>
      </c>
      <c r="B876" s="1231">
        <v>45449</v>
      </c>
      <c r="C876" s="82">
        <f t="shared" si="15"/>
        <v>23</v>
      </c>
      <c r="D876" s="1308" t="s">
        <v>4180</v>
      </c>
      <c r="E876" s="1326" t="s">
        <v>4842</v>
      </c>
      <c r="F876" s="1322" t="s">
        <v>1199</v>
      </c>
      <c r="G876" s="1315" t="s">
        <v>1199</v>
      </c>
      <c r="H876" s="285"/>
      <c r="I876" s="213"/>
      <c r="J876" s="49"/>
      <c r="K876" s="211"/>
      <c r="L876" s="1348" t="s">
        <v>37</v>
      </c>
      <c r="M876" s="49"/>
      <c r="N876" s="49"/>
      <c r="O876" s="49"/>
      <c r="P876" s="49"/>
      <c r="Q876" s="49"/>
      <c r="R876" s="49"/>
      <c r="S876" s="49"/>
      <c r="T876" s="49"/>
      <c r="U876" s="50"/>
      <c r="V876"/>
      <c r="W876"/>
    </row>
    <row r="877" spans="1:23" ht="26.25" customHeight="1">
      <c r="A877" s="446" t="s">
        <v>105</v>
      </c>
      <c r="B877" s="1231">
        <v>45449</v>
      </c>
      <c r="C877" s="82">
        <f t="shared" si="15"/>
        <v>23</v>
      </c>
      <c r="D877" s="1300" t="s">
        <v>77</v>
      </c>
      <c r="E877" s="1328" t="s">
        <v>1239</v>
      </c>
      <c r="F877" s="1322" t="s">
        <v>1199</v>
      </c>
      <c r="G877" s="1315" t="s">
        <v>1199</v>
      </c>
      <c r="H877" s="285"/>
      <c r="I877" s="224"/>
      <c r="J877" s="111"/>
      <c r="K877" s="235"/>
      <c r="L877" s="1348" t="s">
        <v>37</v>
      </c>
      <c r="M877" s="49"/>
      <c r="N877" s="49"/>
      <c r="O877" s="49"/>
      <c r="P877" s="49"/>
      <c r="Q877" s="49"/>
      <c r="R877" s="49"/>
      <c r="S877" s="49"/>
      <c r="T877" s="49"/>
      <c r="U877" s="1030" t="s">
        <v>4843</v>
      </c>
      <c r="V877" s="1083"/>
      <c r="W877"/>
    </row>
    <row r="878" spans="1:23" ht="26.25" customHeight="1">
      <c r="A878" s="446" t="s">
        <v>105</v>
      </c>
      <c r="B878" s="1231">
        <v>45449</v>
      </c>
      <c r="C878" s="82">
        <f t="shared" si="15"/>
        <v>23</v>
      </c>
      <c r="D878" s="1354" t="s">
        <v>4155</v>
      </c>
      <c r="E878" s="1358" t="s">
        <v>4225</v>
      </c>
      <c r="F878" s="1335" t="s">
        <v>1199</v>
      </c>
      <c r="G878" s="1350" t="s">
        <v>1199</v>
      </c>
      <c r="H878" s="285"/>
      <c r="I878" s="224"/>
      <c r="J878" s="111"/>
      <c r="K878" s="235"/>
      <c r="L878" s="1348" t="s">
        <v>37</v>
      </c>
      <c r="M878" s="49"/>
      <c r="N878" s="49"/>
      <c r="O878" s="49"/>
      <c r="P878" s="49"/>
      <c r="Q878" s="49"/>
      <c r="R878" s="49"/>
      <c r="S878" s="1357" t="s">
        <v>37</v>
      </c>
      <c r="T878" s="49"/>
      <c r="U878" s="50"/>
      <c r="V878"/>
      <c r="W878"/>
    </row>
    <row r="879" spans="1:23" ht="26.25" customHeight="1">
      <c r="A879" s="446" t="s">
        <v>105</v>
      </c>
      <c r="B879" s="1231">
        <v>45449</v>
      </c>
      <c r="C879" s="82">
        <f t="shared" si="15"/>
        <v>23</v>
      </c>
      <c r="D879" s="1300" t="s">
        <v>4692</v>
      </c>
      <c r="E879" s="1328" t="s">
        <v>293</v>
      </c>
      <c r="F879" s="1335" t="s">
        <v>1199</v>
      </c>
      <c r="G879" s="1350" t="s">
        <v>1199</v>
      </c>
      <c r="H879" s="1346"/>
      <c r="I879" s="1340"/>
      <c r="J879" s="1200"/>
      <c r="K879" s="1350"/>
      <c r="L879" s="1333" t="s">
        <v>37</v>
      </c>
      <c r="M879" s="927"/>
      <c r="N879" s="1032"/>
      <c r="O879" s="1032"/>
      <c r="P879" s="1032"/>
      <c r="Q879" s="1032"/>
      <c r="R879" s="1032"/>
      <c r="S879" s="1032"/>
      <c r="T879" s="1032"/>
      <c r="U879" s="1030"/>
      <c r="V879" s="1083"/>
      <c r="W879"/>
    </row>
    <row r="880" spans="1:23" ht="26.25" customHeight="1">
      <c r="A880" s="446" t="s">
        <v>105</v>
      </c>
      <c r="B880" s="1231">
        <v>45449</v>
      </c>
      <c r="C880" s="82">
        <f t="shared" si="15"/>
        <v>23</v>
      </c>
      <c r="D880" s="1300" t="s">
        <v>4844</v>
      </c>
      <c r="E880" s="1328" t="s">
        <v>258</v>
      </c>
      <c r="F880" s="1336" t="s">
        <v>1199</v>
      </c>
      <c r="G880" s="1351" t="s">
        <v>1199</v>
      </c>
      <c r="H880" s="1331"/>
      <c r="I880" s="1341"/>
      <c r="J880" s="927"/>
      <c r="K880" s="1319"/>
      <c r="L880" s="1333" t="s">
        <v>37</v>
      </c>
      <c r="M880" s="927"/>
      <c r="N880" s="1151"/>
      <c r="O880" s="1151"/>
      <c r="P880" s="1151"/>
      <c r="Q880" s="1032"/>
      <c r="R880" s="1032"/>
      <c r="S880" s="1032"/>
      <c r="T880" s="1032"/>
      <c r="U880" s="1030"/>
      <c r="V880" s="1083"/>
      <c r="W880"/>
    </row>
    <row r="881" spans="1:23" ht="79.5" customHeight="1" thickBot="1">
      <c r="A881" s="446" t="s">
        <v>105</v>
      </c>
      <c r="B881" s="1231">
        <v>45449</v>
      </c>
      <c r="C881" s="82">
        <f t="shared" si="15"/>
        <v>23</v>
      </c>
      <c r="D881" s="1355" t="s">
        <v>4086</v>
      </c>
      <c r="E881" s="1359" t="s">
        <v>4845</v>
      </c>
      <c r="F881" s="1337" t="s">
        <v>1199</v>
      </c>
      <c r="G881" s="1352" t="s">
        <v>1199</v>
      </c>
      <c r="H881" s="5272"/>
      <c r="I881" s="5317"/>
      <c r="J881" s="3250"/>
      <c r="K881" s="5231" t="s">
        <v>4206</v>
      </c>
      <c r="L881" s="1333"/>
      <c r="M881" s="1404" t="s">
        <v>37</v>
      </c>
      <c r="N881" s="21" t="s">
        <v>0</v>
      </c>
      <c r="O881" s="21" t="s">
        <v>343</v>
      </c>
      <c r="P881" s="21" t="s">
        <v>4080</v>
      </c>
      <c r="Q881" s="1226"/>
      <c r="R881" s="1032"/>
      <c r="S881" s="1032"/>
      <c r="T881" s="1032"/>
      <c r="U881" s="1030" t="s">
        <v>4846</v>
      </c>
      <c r="V881" s="1083"/>
      <c r="W881"/>
    </row>
    <row r="882" spans="1:23" ht="27" customHeight="1" thickBot="1">
      <c r="A882" s="446" t="s">
        <v>105</v>
      </c>
      <c r="B882" s="1231">
        <v>45449</v>
      </c>
      <c r="C882" s="82">
        <f t="shared" si="15"/>
        <v>23</v>
      </c>
      <c r="D882" s="1356" t="s">
        <v>447</v>
      </c>
      <c r="E882" s="1360" t="s">
        <v>4461</v>
      </c>
      <c r="F882" s="1338" t="s">
        <v>1199</v>
      </c>
      <c r="G882" s="1314" t="s">
        <v>1199</v>
      </c>
      <c r="H882" s="5272"/>
      <c r="I882" s="5317"/>
      <c r="J882" s="3250"/>
      <c r="K882" s="5231" t="s">
        <v>4206</v>
      </c>
      <c r="L882" s="1333" t="s">
        <v>37</v>
      </c>
      <c r="M882" s="927"/>
      <c r="N882" s="1051"/>
      <c r="O882" s="1051"/>
      <c r="P882" s="1051"/>
      <c r="Q882" s="1032"/>
      <c r="R882" s="1032"/>
      <c r="S882" s="1032"/>
      <c r="T882" s="1032"/>
      <c r="U882" s="1030"/>
      <c r="V882" s="1083"/>
      <c r="W882"/>
    </row>
    <row r="883" spans="1:23" ht="26.25" customHeight="1">
      <c r="A883" s="446" t="s">
        <v>105</v>
      </c>
      <c r="B883" s="1231">
        <v>45449</v>
      </c>
      <c r="C883" s="82">
        <f t="shared" si="15"/>
        <v>23</v>
      </c>
      <c r="D883" s="1300" t="s">
        <v>168</v>
      </c>
      <c r="E883" s="1328" t="s">
        <v>879</v>
      </c>
      <c r="F883" s="1336" t="s">
        <v>1199</v>
      </c>
      <c r="G883" s="1353" t="s">
        <v>1199</v>
      </c>
      <c r="H883" s="1331"/>
      <c r="I883" s="1341"/>
      <c r="J883" s="927"/>
      <c r="K883" s="1319"/>
      <c r="L883" s="1333" t="s">
        <v>37</v>
      </c>
      <c r="M883" s="927"/>
      <c r="N883" s="1032"/>
      <c r="O883" s="1032"/>
      <c r="P883" s="1032"/>
      <c r="Q883" s="1032"/>
      <c r="R883" s="1032"/>
      <c r="S883" s="1032"/>
      <c r="T883" s="1032"/>
      <c r="U883" s="1030"/>
      <c r="V883" s="1083"/>
      <c r="W883"/>
    </row>
    <row r="884" spans="1:23" ht="53.25" customHeight="1" thickBot="1">
      <c r="A884" s="999" t="s">
        <v>105</v>
      </c>
      <c r="B884" s="1270">
        <v>45449</v>
      </c>
      <c r="C884" s="169">
        <f t="shared" si="15"/>
        <v>23</v>
      </c>
      <c r="D884" s="1390" t="s">
        <v>2662</v>
      </c>
      <c r="E884" s="1391" t="s">
        <v>168</v>
      </c>
      <c r="F884" s="1335" t="s">
        <v>1199</v>
      </c>
      <c r="G884" s="1350" t="s">
        <v>1199</v>
      </c>
      <c r="H884" s="1401"/>
      <c r="I884" s="1342"/>
      <c r="J884" s="970"/>
      <c r="K884" s="1320"/>
      <c r="L884" s="1392"/>
      <c r="M884" s="1245" t="s">
        <v>37</v>
      </c>
      <c r="N884" s="20" t="s">
        <v>71</v>
      </c>
      <c r="O884" s="20" t="s">
        <v>2989</v>
      </c>
      <c r="P884" s="20" t="s">
        <v>4082</v>
      </c>
      <c r="Q884" s="1151"/>
      <c r="R884" s="1151"/>
      <c r="S884" s="1151"/>
      <c r="T884" s="1151"/>
      <c r="U884" s="1269" t="s">
        <v>4847</v>
      </c>
      <c r="V884" s="1083"/>
      <c r="W884"/>
    </row>
    <row r="885" spans="1:23" ht="26.25" customHeight="1">
      <c r="A885" s="443" t="s">
        <v>132</v>
      </c>
      <c r="B885" s="1258">
        <v>45450</v>
      </c>
      <c r="C885" s="846">
        <f t="shared" si="15"/>
        <v>23</v>
      </c>
      <c r="D885" s="1402" t="s">
        <v>4225</v>
      </c>
      <c r="E885" s="1403" t="s">
        <v>4848</v>
      </c>
      <c r="F885" s="1321" t="s">
        <v>1199</v>
      </c>
      <c r="G885" s="1313" t="s">
        <v>1199</v>
      </c>
      <c r="H885" s="5323"/>
      <c r="I885" s="5318"/>
      <c r="J885" s="4762"/>
      <c r="K885" s="5231" t="s">
        <v>4206</v>
      </c>
      <c r="L885" s="1332" t="s">
        <v>37</v>
      </c>
      <c r="M885" s="972"/>
      <c r="N885" s="1105"/>
      <c r="O885" s="1105"/>
      <c r="P885" s="1105"/>
      <c r="Q885" s="1105"/>
      <c r="R885" s="1105"/>
      <c r="S885" s="1105"/>
      <c r="T885" s="1105"/>
      <c r="U885" s="1106"/>
      <c r="V885" s="1083"/>
      <c r="W885"/>
    </row>
    <row r="886" spans="1:23" ht="26.25" customHeight="1">
      <c r="A886" s="446" t="s">
        <v>132</v>
      </c>
      <c r="B886" s="1231">
        <v>45450</v>
      </c>
      <c r="C886" s="82">
        <f t="shared" si="15"/>
        <v>23</v>
      </c>
      <c r="D886" s="1308" t="s">
        <v>4842</v>
      </c>
      <c r="E886" s="1326" t="s">
        <v>4180</v>
      </c>
      <c r="F886" s="1066" t="s">
        <v>1199</v>
      </c>
      <c r="G886" s="1314" t="s">
        <v>1199</v>
      </c>
      <c r="H886" s="285"/>
      <c r="I886" s="1325" t="s">
        <v>1199</v>
      </c>
      <c r="J886" s="49"/>
      <c r="K886" s="211"/>
      <c r="L886" s="1333" t="s">
        <v>37</v>
      </c>
      <c r="M886" s="49"/>
      <c r="N886" s="49"/>
      <c r="O886" s="49"/>
      <c r="P886" s="49"/>
      <c r="Q886" s="49"/>
      <c r="R886" s="49"/>
      <c r="S886" s="49"/>
      <c r="T886" s="49"/>
      <c r="U886" s="50"/>
      <c r="V886"/>
      <c r="W886"/>
    </row>
    <row r="887" spans="1:23" ht="26.25" customHeight="1">
      <c r="A887" s="446" t="s">
        <v>132</v>
      </c>
      <c r="B887" s="1231">
        <v>45450</v>
      </c>
      <c r="C887" s="82">
        <f t="shared" si="15"/>
        <v>23</v>
      </c>
      <c r="D887" s="1308" t="s">
        <v>4180</v>
      </c>
      <c r="E887" s="1326" t="s">
        <v>3429</v>
      </c>
      <c r="F887" s="1066" t="s">
        <v>1199</v>
      </c>
      <c r="G887" s="1314" t="s">
        <v>1199</v>
      </c>
      <c r="H887" s="285"/>
      <c r="I887" s="213"/>
      <c r="J887" s="49"/>
      <c r="K887" s="211"/>
      <c r="L887" s="1333" t="s">
        <v>37</v>
      </c>
      <c r="M887" s="49"/>
      <c r="N887" s="49"/>
      <c r="O887" s="49"/>
      <c r="P887" s="49"/>
      <c r="Q887" s="49"/>
      <c r="R887" s="49"/>
      <c r="S887" s="49"/>
      <c r="T887" s="49"/>
      <c r="U887" s="50"/>
      <c r="V887"/>
      <c r="W887"/>
    </row>
    <row r="888" spans="1:23" ht="26.25" customHeight="1">
      <c r="A888" s="446" t="s">
        <v>132</v>
      </c>
      <c r="B888" s="1231">
        <v>45450</v>
      </c>
      <c r="C888" s="82">
        <f t="shared" si="15"/>
        <v>23</v>
      </c>
      <c r="D888" s="1296" t="s">
        <v>4786</v>
      </c>
      <c r="E888" s="1327" t="s">
        <v>148</v>
      </c>
      <c r="F888" s="1322" t="s">
        <v>1199</v>
      </c>
      <c r="G888" s="1315" t="s">
        <v>1199</v>
      </c>
      <c r="H888" s="1331"/>
      <c r="I888" s="1325" t="s">
        <v>1199</v>
      </c>
      <c r="J888" s="927"/>
      <c r="K888" s="1319"/>
      <c r="L888" s="1333" t="s">
        <v>37</v>
      </c>
      <c r="M888" s="927"/>
      <c r="N888" s="1032"/>
      <c r="O888" s="1032"/>
      <c r="P888" s="1032"/>
      <c r="Q888" s="1032"/>
      <c r="R888" s="1032"/>
      <c r="S888" s="1032"/>
      <c r="T888" s="1032"/>
      <c r="U888" s="1030"/>
      <c r="V888" s="1083"/>
      <c r="W888"/>
    </row>
    <row r="889" spans="1:23" ht="26.25" customHeight="1">
      <c r="A889" s="446" t="s">
        <v>132</v>
      </c>
      <c r="B889" s="1231">
        <v>45450</v>
      </c>
      <c r="C889" s="82">
        <f t="shared" si="15"/>
        <v>23</v>
      </c>
      <c r="D889" s="1300" t="s">
        <v>4786</v>
      </c>
      <c r="E889" s="1328" t="s">
        <v>339</v>
      </c>
      <c r="F889" s="1322" t="s">
        <v>1199</v>
      </c>
      <c r="G889" s="1315" t="s">
        <v>1199</v>
      </c>
      <c r="H889" s="1331"/>
      <c r="I889" s="1325" t="s">
        <v>1199</v>
      </c>
      <c r="J889" s="927"/>
      <c r="K889" s="1319"/>
      <c r="L889" s="1333" t="s">
        <v>37</v>
      </c>
      <c r="M889" s="927"/>
      <c r="N889" s="1032"/>
      <c r="O889" s="1032"/>
      <c r="P889" s="1032"/>
      <c r="Q889" s="1032"/>
      <c r="R889" s="1032"/>
      <c r="S889" s="1032"/>
      <c r="T889" s="1032"/>
      <c r="U889" s="1030"/>
      <c r="V889" s="1083"/>
      <c r="W889"/>
    </row>
    <row r="890" spans="1:23" ht="26.25" customHeight="1">
      <c r="A890" s="446" t="s">
        <v>132</v>
      </c>
      <c r="B890" s="1231">
        <v>45450</v>
      </c>
      <c r="C890" s="82">
        <f t="shared" si="15"/>
        <v>23</v>
      </c>
      <c r="D890" s="1311" t="s">
        <v>4849</v>
      </c>
      <c r="E890" s="1329" t="s">
        <v>4738</v>
      </c>
      <c r="F890" s="1322" t="s">
        <v>1199</v>
      </c>
      <c r="G890" s="1315" t="s">
        <v>1199</v>
      </c>
      <c r="H890" s="1331"/>
      <c r="I890" s="1325" t="s">
        <v>1199</v>
      </c>
      <c r="J890" s="927"/>
      <c r="K890" s="1319"/>
      <c r="L890" s="1333" t="s">
        <v>37</v>
      </c>
      <c r="M890" s="927"/>
      <c r="N890" s="1032"/>
      <c r="O890" s="1032"/>
      <c r="P890" s="1032"/>
      <c r="Q890" s="1032"/>
      <c r="R890" s="1032"/>
      <c r="S890" s="1032"/>
      <c r="T890" s="1032"/>
      <c r="U890" s="1030"/>
      <c r="V890" s="1083"/>
      <c r="W890"/>
    </row>
    <row r="891" spans="1:23" ht="26.25" customHeight="1">
      <c r="A891" s="446" t="s">
        <v>132</v>
      </c>
      <c r="B891" s="1231">
        <v>45450</v>
      </c>
      <c r="C891" s="82">
        <f t="shared" si="15"/>
        <v>23</v>
      </c>
      <c r="D891" s="1311" t="s">
        <v>4498</v>
      </c>
      <c r="E891" s="1329" t="s">
        <v>339</v>
      </c>
      <c r="F891" s="1322" t="s">
        <v>1199</v>
      </c>
      <c r="G891" s="1315" t="s">
        <v>1199</v>
      </c>
      <c r="H891" s="1331"/>
      <c r="I891" s="1325" t="s">
        <v>1199</v>
      </c>
      <c r="J891" s="927"/>
      <c r="K891" s="1319"/>
      <c r="L891" s="1333" t="s">
        <v>37</v>
      </c>
      <c r="M891" s="927"/>
      <c r="N891" s="1032"/>
      <c r="O891" s="1032"/>
      <c r="P891" s="1032"/>
      <c r="Q891" s="1032"/>
      <c r="R891" s="1032"/>
      <c r="S891" s="1032"/>
      <c r="T891" s="1032"/>
      <c r="U891" s="1030"/>
      <c r="V891" s="1083"/>
      <c r="W891"/>
    </row>
    <row r="892" spans="1:23" ht="26.25" customHeight="1">
      <c r="A892" s="446" t="s">
        <v>132</v>
      </c>
      <c r="B892" s="1231">
        <v>45450</v>
      </c>
      <c r="C892" s="82">
        <f t="shared" si="15"/>
        <v>23</v>
      </c>
      <c r="D892" s="1300" t="s">
        <v>879</v>
      </c>
      <c r="E892" s="1328" t="s">
        <v>4850</v>
      </c>
      <c r="F892" s="1323" t="s">
        <v>1199</v>
      </c>
      <c r="G892" s="1316"/>
      <c r="H892" s="3250">
        <v>706</v>
      </c>
      <c r="I892" s="5194"/>
      <c r="J892" s="927"/>
      <c r="K892" s="1319"/>
      <c r="L892" s="1333" t="s">
        <v>37</v>
      </c>
      <c r="M892" s="927"/>
      <c r="N892" s="1032"/>
      <c r="O892" s="1032"/>
      <c r="P892" s="1032"/>
      <c r="Q892" s="1032"/>
      <c r="R892" s="1032"/>
      <c r="S892" s="1032"/>
      <c r="T892" s="1032"/>
      <c r="U892" s="1030"/>
      <c r="V892" s="1083"/>
      <c r="W892"/>
    </row>
    <row r="893" spans="1:23" ht="53.25" customHeight="1" thickBot="1">
      <c r="A893" s="447" t="s">
        <v>132</v>
      </c>
      <c r="B893" s="1252">
        <v>45450</v>
      </c>
      <c r="C893" s="85">
        <f t="shared" si="15"/>
        <v>23</v>
      </c>
      <c r="D893" s="1312" t="s">
        <v>89</v>
      </c>
      <c r="E893" s="1330" t="s">
        <v>68</v>
      </c>
      <c r="F893" s="1322" t="s">
        <v>1199</v>
      </c>
      <c r="G893" s="1315" t="s">
        <v>1199</v>
      </c>
      <c r="H893" s="5324"/>
      <c r="I893" s="5257"/>
      <c r="J893" s="3250"/>
      <c r="K893" s="5231" t="s">
        <v>4206</v>
      </c>
      <c r="L893" s="1334"/>
      <c r="M893" s="970" t="s">
        <v>37</v>
      </c>
      <c r="N893" s="254" t="s">
        <v>0</v>
      </c>
      <c r="O893" s="254" t="s">
        <v>31</v>
      </c>
      <c r="P893" s="254" t="s">
        <v>4102</v>
      </c>
      <c r="Q893" s="1035"/>
      <c r="R893" s="1035"/>
      <c r="S893" s="1035"/>
      <c r="T893" s="1035"/>
      <c r="U893" s="1036"/>
      <c r="V893" s="1083"/>
      <c r="W893"/>
    </row>
    <row r="894" spans="1:23" ht="27" customHeight="1" thickBot="1">
      <c r="A894" s="1393" t="s">
        <v>4227</v>
      </c>
      <c r="B894" s="1394">
        <v>45452</v>
      </c>
      <c r="C894" s="950">
        <f t="shared" si="15"/>
        <v>23</v>
      </c>
      <c r="D894" s="1395" t="s">
        <v>2352</v>
      </c>
      <c r="E894" s="1396" t="s">
        <v>4851</v>
      </c>
      <c r="F894" s="1324" t="s">
        <v>1199</v>
      </c>
      <c r="G894" s="1317" t="s">
        <v>1199</v>
      </c>
      <c r="H894" s="5325"/>
      <c r="I894" s="5319"/>
      <c r="J894" s="3251"/>
      <c r="K894" s="5231" t="s">
        <v>4206</v>
      </c>
      <c r="L894" s="1397" t="s">
        <v>37</v>
      </c>
      <c r="M894" s="1398"/>
      <c r="N894" s="1399"/>
      <c r="O894" s="1399"/>
      <c r="P894" s="1399"/>
      <c r="Q894" s="1399"/>
      <c r="R894" s="1399"/>
      <c r="S894" s="1399"/>
      <c r="T894" s="1399"/>
      <c r="U894" s="1400"/>
      <c r="V894" s="1083"/>
      <c r="W894"/>
    </row>
    <row r="895" spans="1:23" ht="27" customHeight="1" thickBot="1">
      <c r="A895" s="297" t="s">
        <v>1280</v>
      </c>
      <c r="B895" s="1258">
        <v>45453</v>
      </c>
      <c r="C895" s="950">
        <f t="shared" si="15"/>
        <v>24</v>
      </c>
      <c r="D895" s="1415" t="s">
        <v>4461</v>
      </c>
      <c r="E895" s="1415" t="s">
        <v>2430</v>
      </c>
      <c r="F895" s="1416" t="s">
        <v>1199</v>
      </c>
      <c r="G895" s="1417" t="s">
        <v>1199</v>
      </c>
      <c r="H895" s="1418"/>
      <c r="I895" s="1419"/>
      <c r="J895" s="1420" t="s">
        <v>84</v>
      </c>
      <c r="K895" s="1996"/>
      <c r="L895" s="1421" t="s">
        <v>37</v>
      </c>
      <c r="M895" s="1419"/>
      <c r="N895" s="1419"/>
      <c r="O895" s="1419"/>
      <c r="P895" s="1419"/>
      <c r="Q895" s="1419"/>
      <c r="R895" s="1419"/>
      <c r="S895" s="1422"/>
      <c r="T895" s="905"/>
      <c r="U895" s="1423"/>
      <c r="V895" s="2464"/>
      <c r="W895"/>
    </row>
    <row r="896" spans="1:23" ht="27" customHeight="1" thickBot="1">
      <c r="A896" s="296" t="s">
        <v>1280</v>
      </c>
      <c r="B896" s="1231">
        <v>45453</v>
      </c>
      <c r="C896" s="950">
        <f t="shared" si="15"/>
        <v>24</v>
      </c>
      <c r="D896" s="1424" t="s">
        <v>2430</v>
      </c>
      <c r="E896" s="1424" t="s">
        <v>2849</v>
      </c>
      <c r="F896" s="1425" t="s">
        <v>1199</v>
      </c>
      <c r="G896" s="1426" t="s">
        <v>1199</v>
      </c>
      <c r="H896" s="1427"/>
      <c r="I896" s="1001"/>
      <c r="J896" s="1428" t="s">
        <v>84</v>
      </c>
      <c r="K896" s="1438"/>
      <c r="L896" s="1094" t="s">
        <v>37</v>
      </c>
      <c r="M896" s="1001"/>
      <c r="N896" s="1001"/>
      <c r="O896" s="1001"/>
      <c r="P896" s="1001"/>
      <c r="Q896" s="1001"/>
      <c r="R896" s="1001"/>
      <c r="S896" s="1002"/>
      <c r="T896" s="33"/>
      <c r="U896" s="1429"/>
      <c r="V896" s="2464"/>
      <c r="W896"/>
    </row>
    <row r="897" spans="1:23" ht="27" customHeight="1" thickBot="1">
      <c r="A897" s="296" t="s">
        <v>1280</v>
      </c>
      <c r="B897" s="1231">
        <v>45453</v>
      </c>
      <c r="C897" s="950">
        <f t="shared" si="15"/>
        <v>24</v>
      </c>
      <c r="D897" s="1430" t="s">
        <v>4852</v>
      </c>
      <c r="E897" s="1430" t="s">
        <v>4853</v>
      </c>
      <c r="F897" s="1425" t="s">
        <v>1199</v>
      </c>
      <c r="G897" s="1425" t="s">
        <v>1199</v>
      </c>
      <c r="H897" s="923"/>
      <c r="I897" s="1001"/>
      <c r="J897" s="1428" t="s">
        <v>4854</v>
      </c>
      <c r="K897" s="1438"/>
      <c r="L897" s="1094"/>
      <c r="M897" s="1001"/>
      <c r="N897" s="1001"/>
      <c r="O897" s="1001"/>
      <c r="P897" s="1001"/>
      <c r="Q897" s="1001"/>
      <c r="R897" s="1001"/>
      <c r="S897" s="1002"/>
      <c r="T897" s="33"/>
      <c r="U897" s="1429"/>
      <c r="V897" s="2464"/>
      <c r="W897"/>
    </row>
    <row r="898" spans="1:23" ht="27" customHeight="1" thickBot="1">
      <c r="A898" s="296" t="s">
        <v>1280</v>
      </c>
      <c r="B898" s="1231">
        <v>45453</v>
      </c>
      <c r="C898" s="950">
        <f t="shared" si="15"/>
        <v>24</v>
      </c>
      <c r="D898" s="1431" t="s">
        <v>4234</v>
      </c>
      <c r="E898" s="1431" t="s">
        <v>3450</v>
      </c>
      <c r="F898" s="1425" t="s">
        <v>1199</v>
      </c>
      <c r="G898" s="937" t="s">
        <v>1199</v>
      </c>
      <c r="H898" s="1427"/>
      <c r="I898" s="1001"/>
      <c r="J898" s="1428" t="s">
        <v>84</v>
      </c>
      <c r="K898" s="1438"/>
      <c r="L898" s="1094" t="s">
        <v>37</v>
      </c>
      <c r="M898" s="1001"/>
      <c r="N898" s="1001"/>
      <c r="O898" s="1001"/>
      <c r="P898" s="1001"/>
      <c r="Q898" s="1001"/>
      <c r="R898" s="1001"/>
      <c r="S898" s="1002"/>
      <c r="T898" s="33"/>
      <c r="U898" s="1429"/>
      <c r="V898" s="2464"/>
      <c r="W898"/>
    </row>
    <row r="899" spans="1:23" ht="27" customHeight="1" thickBot="1">
      <c r="A899" s="296" t="s">
        <v>1280</v>
      </c>
      <c r="B899" s="1231">
        <v>45453</v>
      </c>
      <c r="C899" s="950">
        <f t="shared" si="15"/>
        <v>24</v>
      </c>
      <c r="D899" s="1301" t="s">
        <v>4855</v>
      </c>
      <c r="E899" s="1301" t="s">
        <v>4498</v>
      </c>
      <c r="F899" s="1061" t="s">
        <v>1199</v>
      </c>
      <c r="G899" s="1061" t="s">
        <v>1199</v>
      </c>
      <c r="H899" s="927"/>
      <c r="I899" s="927"/>
      <c r="J899" s="925"/>
      <c r="K899" s="925"/>
      <c r="L899" s="937" t="s">
        <v>37</v>
      </c>
      <c r="M899" s="927"/>
      <c r="N899" s="1032"/>
      <c r="O899" s="1032"/>
      <c r="P899" s="1032"/>
      <c r="Q899" s="1032"/>
      <c r="R899" s="1032"/>
      <c r="S899" s="1032"/>
      <c r="T899" s="1032"/>
      <c r="U899" s="1030" t="s">
        <v>4856</v>
      </c>
      <c r="V899" s="1083"/>
      <c r="W899"/>
    </row>
    <row r="900" spans="1:23" ht="27" customHeight="1" thickBot="1">
      <c r="A900" s="296" t="s">
        <v>1280</v>
      </c>
      <c r="B900" s="1231">
        <v>45453</v>
      </c>
      <c r="C900" s="950">
        <f t="shared" si="15"/>
        <v>24</v>
      </c>
      <c r="D900" s="1301" t="s">
        <v>258</v>
      </c>
      <c r="E900" s="1301" t="s">
        <v>150</v>
      </c>
      <c r="F900" s="1432" t="s">
        <v>1199</v>
      </c>
      <c r="G900" s="1426" t="s">
        <v>1199</v>
      </c>
      <c r="H900" s="927"/>
      <c r="I900" s="927"/>
      <c r="J900" s="925"/>
      <c r="K900" s="925"/>
      <c r="L900" s="937" t="s">
        <v>37</v>
      </c>
      <c r="M900" s="927"/>
      <c r="N900" s="1032"/>
      <c r="O900" s="1032"/>
      <c r="P900" s="1032"/>
      <c r="Q900" s="1032"/>
      <c r="R900" s="1032"/>
      <c r="S900" s="1032"/>
      <c r="T900" s="1032"/>
      <c r="U900" s="1030"/>
      <c r="V900" s="1083"/>
      <c r="W900"/>
    </row>
    <row r="901" spans="1:23" ht="27" customHeight="1" thickBot="1">
      <c r="A901" s="296" t="s">
        <v>1280</v>
      </c>
      <c r="B901" s="1231">
        <v>45453</v>
      </c>
      <c r="C901" s="950">
        <f t="shared" si="15"/>
        <v>24</v>
      </c>
      <c r="D901" s="1301" t="s">
        <v>857</v>
      </c>
      <c r="E901" s="1301" t="s">
        <v>43</v>
      </c>
      <c r="F901" s="1432" t="s">
        <v>1199</v>
      </c>
      <c r="G901" s="1426" t="s">
        <v>1199</v>
      </c>
      <c r="H901" s="927"/>
      <c r="I901" s="927"/>
      <c r="J901" s="925"/>
      <c r="K901" s="925"/>
      <c r="L901" s="937" t="s">
        <v>37</v>
      </c>
      <c r="M901" s="927"/>
      <c r="N901" s="1032"/>
      <c r="O901" s="1032"/>
      <c r="P901" s="1032"/>
      <c r="Q901" s="1032"/>
      <c r="R901" s="1032"/>
      <c r="S901" s="1032"/>
      <c r="T901" s="1032"/>
      <c r="U901" s="1030"/>
      <c r="V901" s="1083"/>
      <c r="W901"/>
    </row>
    <row r="902" spans="1:23" ht="27" customHeight="1" thickBot="1">
      <c r="A902" s="296" t="s">
        <v>1280</v>
      </c>
      <c r="B902" s="1231">
        <v>45453</v>
      </c>
      <c r="C902" s="950">
        <f t="shared" si="15"/>
        <v>24</v>
      </c>
      <c r="D902" s="1301" t="s">
        <v>1654</v>
      </c>
      <c r="E902" s="1301" t="s">
        <v>1698</v>
      </c>
      <c r="F902" s="1243" t="s">
        <v>1206</v>
      </c>
      <c r="G902" s="1243" t="s">
        <v>1206</v>
      </c>
      <c r="H902" s="927"/>
      <c r="I902" s="927"/>
      <c r="J902" s="925"/>
      <c r="K902" s="925"/>
      <c r="L902" s="937" t="s">
        <v>37</v>
      </c>
      <c r="M902" s="927"/>
      <c r="N902" s="1032"/>
      <c r="O902" s="1032"/>
      <c r="P902" s="1032"/>
      <c r="Q902" s="1032"/>
      <c r="R902" s="1032"/>
      <c r="S902" s="1032"/>
      <c r="T902" s="1032"/>
      <c r="U902" s="1030"/>
      <c r="V902" s="1083"/>
      <c r="W902"/>
    </row>
    <row r="903" spans="1:23" ht="27" customHeight="1" thickBot="1">
      <c r="A903" s="296" t="s">
        <v>1280</v>
      </c>
      <c r="B903" s="1231">
        <v>45453</v>
      </c>
      <c r="C903" s="950">
        <f t="shared" si="15"/>
        <v>24</v>
      </c>
      <c r="D903" s="1301" t="s">
        <v>293</v>
      </c>
      <c r="E903" s="1301" t="s">
        <v>599</v>
      </c>
      <c r="F903" s="1432" t="s">
        <v>1199</v>
      </c>
      <c r="G903" s="1432" t="s">
        <v>1199</v>
      </c>
      <c r="H903" s="927"/>
      <c r="I903" s="927"/>
      <c r="J903" s="925"/>
      <c r="K903" s="925"/>
      <c r="L903" s="937" t="s">
        <v>37</v>
      </c>
      <c r="M903" s="927"/>
      <c r="N903" s="1032"/>
      <c r="O903" s="1032"/>
      <c r="P903" s="1032"/>
      <c r="Q903" s="1032"/>
      <c r="R903" s="1032"/>
      <c r="S903" s="1032"/>
      <c r="T903" s="1032"/>
      <c r="U903" s="1030" t="s">
        <v>4857</v>
      </c>
      <c r="V903" s="1083"/>
      <c r="W903"/>
    </row>
    <row r="904" spans="1:23" ht="27" customHeight="1" thickBot="1">
      <c r="A904" s="296" t="s">
        <v>1280</v>
      </c>
      <c r="B904" s="1231">
        <v>45453</v>
      </c>
      <c r="C904" s="950">
        <f t="shared" si="15"/>
        <v>24</v>
      </c>
      <c r="D904" s="1433" t="s">
        <v>339</v>
      </c>
      <c r="E904" s="1433" t="s">
        <v>4858</v>
      </c>
      <c r="F904" s="1061" t="s">
        <v>1199</v>
      </c>
      <c r="G904" s="1061" t="s">
        <v>1199</v>
      </c>
      <c r="H904" s="927"/>
      <c r="I904" s="927"/>
      <c r="J904" s="1428" t="s">
        <v>84</v>
      </c>
      <c r="K904" s="1428"/>
      <c r="L904" s="937" t="s">
        <v>37</v>
      </c>
      <c r="M904" s="927"/>
      <c r="N904" s="1032"/>
      <c r="O904" s="1032"/>
      <c r="P904" s="1032"/>
      <c r="Q904" s="1032"/>
      <c r="R904" s="1032"/>
      <c r="S904" s="1032"/>
      <c r="T904" s="1032"/>
      <c r="U904" s="1030"/>
      <c r="V904" s="1083"/>
      <c r="W904"/>
    </row>
    <row r="905" spans="1:23" ht="27" customHeight="1" thickBot="1">
      <c r="A905" s="296" t="s">
        <v>1280</v>
      </c>
      <c r="B905" s="1231">
        <v>45453</v>
      </c>
      <c r="C905" s="950">
        <f t="shared" si="15"/>
        <v>24</v>
      </c>
      <c r="D905" s="1433" t="s">
        <v>1905</v>
      </c>
      <c r="E905" s="1433" t="s">
        <v>488</v>
      </c>
      <c r="F905" s="1434" t="s">
        <v>1199</v>
      </c>
      <c r="G905" s="1434" t="s">
        <v>1199</v>
      </c>
      <c r="H905" s="927"/>
      <c r="I905" s="927"/>
      <c r="J905" s="1428" t="s">
        <v>84</v>
      </c>
      <c r="K905" s="1428"/>
      <c r="L905" s="937" t="s">
        <v>37</v>
      </c>
      <c r="M905" s="927"/>
      <c r="N905" s="1032"/>
      <c r="O905" s="1032"/>
      <c r="P905" s="1032"/>
      <c r="Q905" s="1032"/>
      <c r="R905" s="1032"/>
      <c r="S905" s="1032"/>
      <c r="T905" s="1032"/>
      <c r="U905" s="1030"/>
      <c r="V905" s="1083"/>
      <c r="W905"/>
    </row>
    <row r="906" spans="1:23" ht="27" customHeight="1" thickBot="1">
      <c r="A906" s="307" t="s">
        <v>1280</v>
      </c>
      <c r="B906" s="1270">
        <v>45453</v>
      </c>
      <c r="C906" s="903">
        <f t="shared" si="15"/>
        <v>24</v>
      </c>
      <c r="D906" s="1439" t="s">
        <v>1145</v>
      </c>
      <c r="E906" s="1439" t="s">
        <v>4859</v>
      </c>
      <c r="F906" s="1435" t="s">
        <v>1199</v>
      </c>
      <c r="G906" s="1435" t="s">
        <v>1199</v>
      </c>
      <c r="H906" s="1245"/>
      <c r="I906" s="970"/>
      <c r="J906" s="959"/>
      <c r="K906" s="959"/>
      <c r="L906" s="1094" t="s">
        <v>37</v>
      </c>
      <c r="M906" s="1245"/>
      <c r="N906" s="1151"/>
      <c r="O906" s="1151"/>
      <c r="P906" s="1151"/>
      <c r="Q906" s="1151"/>
      <c r="R906" s="1151"/>
      <c r="S906" s="1151"/>
      <c r="T906" s="1151"/>
      <c r="U906" s="1269"/>
      <c r="V906" s="1083"/>
      <c r="W906"/>
    </row>
    <row r="907" spans="1:23" ht="26.25" customHeight="1">
      <c r="A907" s="297" t="s">
        <v>180</v>
      </c>
      <c r="B907" s="1258">
        <v>45454</v>
      </c>
      <c r="C907" s="846">
        <f t="shared" si="15"/>
        <v>24</v>
      </c>
      <c r="D907" s="1503" t="s">
        <v>3603</v>
      </c>
      <c r="E907" s="1504" t="s">
        <v>1874</v>
      </c>
      <c r="F907" s="1455" t="s">
        <v>1199</v>
      </c>
      <c r="G907" s="1448" t="s">
        <v>1199</v>
      </c>
      <c r="H907" s="1388"/>
      <c r="I907" s="1335"/>
      <c r="J907" s="1017"/>
      <c r="K907" s="1351"/>
      <c r="L907" s="1332" t="s">
        <v>37</v>
      </c>
      <c r="M907" s="972"/>
      <c r="N907" s="1105"/>
      <c r="O907" s="1105"/>
      <c r="P907" s="1105"/>
      <c r="Q907" s="1105"/>
      <c r="R907" s="1105"/>
      <c r="S907" s="1105"/>
      <c r="T907" s="1105"/>
      <c r="U907" s="1106"/>
      <c r="V907" s="1083"/>
      <c r="W907"/>
    </row>
    <row r="908" spans="1:23" ht="26.25" customHeight="1">
      <c r="A908" s="296" t="s">
        <v>180</v>
      </c>
      <c r="B908" s="1231">
        <v>45454</v>
      </c>
      <c r="C908" s="82">
        <f t="shared" si="15"/>
        <v>24</v>
      </c>
      <c r="D908" s="1437" t="s">
        <v>1874</v>
      </c>
      <c r="E908" s="1494" t="s">
        <v>3603</v>
      </c>
      <c r="F908" s="1455" t="s">
        <v>1199</v>
      </c>
      <c r="G908" s="1451" t="s">
        <v>1199</v>
      </c>
      <c r="H908" s="1389"/>
      <c r="I908" s="1381"/>
      <c r="J908" s="925"/>
      <c r="K908" s="1316"/>
      <c r="L908" s="1333" t="s">
        <v>37</v>
      </c>
      <c r="M908" s="927"/>
      <c r="N908" s="1032"/>
      <c r="O908" s="1032"/>
      <c r="P908" s="1032"/>
      <c r="Q908" s="1032"/>
      <c r="R908" s="1032"/>
      <c r="S908" s="1032"/>
      <c r="T908" s="1032"/>
      <c r="U908" s="1030"/>
      <c r="V908" s="1083"/>
      <c r="W908"/>
    </row>
    <row r="909" spans="1:23" ht="26.25" customHeight="1">
      <c r="A909" s="296" t="s">
        <v>180</v>
      </c>
      <c r="B909" s="1231">
        <v>45454</v>
      </c>
      <c r="C909" s="82">
        <f t="shared" si="15"/>
        <v>24</v>
      </c>
      <c r="D909" s="1437" t="s">
        <v>3538</v>
      </c>
      <c r="E909" s="1494" t="s">
        <v>77</v>
      </c>
      <c r="F909" s="1455" t="s">
        <v>1199</v>
      </c>
      <c r="G909" s="1448" t="s">
        <v>1199</v>
      </c>
      <c r="H909" s="1466"/>
      <c r="I909" s="1458"/>
      <c r="J909" s="1428" t="s">
        <v>84</v>
      </c>
      <c r="K909" s="1997"/>
      <c r="L909" s="1333" t="s">
        <v>37</v>
      </c>
      <c r="M909" s="927"/>
      <c r="N909" s="1032"/>
      <c r="O909" s="1032"/>
      <c r="P909" s="1032"/>
      <c r="Q909" s="1032"/>
      <c r="R909" s="1032"/>
      <c r="S909" s="1032"/>
      <c r="T909" s="1032"/>
      <c r="U909" s="1030"/>
      <c r="V909" s="1083"/>
      <c r="W909"/>
    </row>
    <row r="910" spans="1:23" ht="26.25" customHeight="1">
      <c r="A910" s="296" t="s">
        <v>180</v>
      </c>
      <c r="B910" s="1231">
        <v>45454</v>
      </c>
      <c r="C910" s="82">
        <f t="shared" si="15"/>
        <v>24</v>
      </c>
      <c r="D910" s="1477" t="s">
        <v>1142</v>
      </c>
      <c r="E910" s="1479" t="s">
        <v>4860</v>
      </c>
      <c r="F910" s="1407" t="s">
        <v>1199</v>
      </c>
      <c r="G910" s="1451" t="s">
        <v>1199</v>
      </c>
      <c r="H910" s="1466"/>
      <c r="I910" s="1458"/>
      <c r="J910" s="925"/>
      <c r="K910" s="1316"/>
      <c r="L910" s="1333" t="s">
        <v>37</v>
      </c>
      <c r="M910" s="927"/>
      <c r="N910" s="1032"/>
      <c r="O910" s="1032"/>
      <c r="P910" s="1032"/>
      <c r="Q910" s="1032"/>
      <c r="R910" s="1032"/>
      <c r="S910" s="1032"/>
      <c r="T910" s="1032"/>
      <c r="U910" s="1030"/>
      <c r="V910" s="1083"/>
      <c r="W910"/>
    </row>
    <row r="911" spans="1:23" ht="26.25" customHeight="1">
      <c r="A911" s="296" t="s">
        <v>180</v>
      </c>
      <c r="B911" s="1231">
        <v>45454</v>
      </c>
      <c r="C911" s="82">
        <f t="shared" si="15"/>
        <v>24</v>
      </c>
      <c r="D911" s="992" t="s">
        <v>4180</v>
      </c>
      <c r="E911" s="1505" t="s">
        <v>4861</v>
      </c>
      <c r="F911" s="1407" t="s">
        <v>1199</v>
      </c>
      <c r="G911" s="1469" t="s">
        <v>1199</v>
      </c>
      <c r="H911" s="1466"/>
      <c r="I911" s="1458"/>
      <c r="J911" s="1428" t="s">
        <v>84</v>
      </c>
      <c r="K911" s="1997"/>
      <c r="L911" s="1333" t="s">
        <v>37</v>
      </c>
      <c r="M911" s="927"/>
      <c r="N911" s="1032"/>
      <c r="O911" s="1032"/>
      <c r="P911" s="1032"/>
      <c r="Q911" s="1032"/>
      <c r="R911" s="1032"/>
      <c r="S911" s="1032"/>
      <c r="T911" s="1032"/>
      <c r="U911" s="1030"/>
      <c r="V911" s="1083"/>
      <c r="W911"/>
    </row>
    <row r="912" spans="1:23" ht="26.25" customHeight="1">
      <c r="A912" s="296" t="s">
        <v>180</v>
      </c>
      <c r="B912" s="1231">
        <v>45454</v>
      </c>
      <c r="C912" s="82">
        <f t="shared" si="15"/>
        <v>24</v>
      </c>
      <c r="D912" s="1493" t="s">
        <v>1654</v>
      </c>
      <c r="E912" s="1496" t="s">
        <v>1052</v>
      </c>
      <c r="F912" s="1407" t="s">
        <v>1199</v>
      </c>
      <c r="G912" s="1469" t="s">
        <v>1199</v>
      </c>
      <c r="H912" s="1466"/>
      <c r="I912" s="1458"/>
      <c r="J912" s="925"/>
      <c r="K912" s="1316"/>
      <c r="L912" s="1333" t="s">
        <v>37</v>
      </c>
      <c r="M912" s="927"/>
      <c r="N912" s="1032"/>
      <c r="O912" s="1032"/>
      <c r="P912" s="1032"/>
      <c r="Q912" s="1032"/>
      <c r="R912" s="1032"/>
      <c r="S912" s="1032"/>
      <c r="T912" s="1032"/>
      <c r="U912" s="1030"/>
      <c r="V912" s="1083"/>
      <c r="W912"/>
    </row>
    <row r="913" spans="1:23" ht="26.25" customHeight="1">
      <c r="A913" s="296" t="s">
        <v>180</v>
      </c>
      <c r="B913" s="1231">
        <v>45454</v>
      </c>
      <c r="C913" s="82">
        <f t="shared" si="15"/>
        <v>24</v>
      </c>
      <c r="D913" s="1492" t="s">
        <v>4441</v>
      </c>
      <c r="E913" s="1495" t="s">
        <v>4862</v>
      </c>
      <c r="F913" s="1407" t="s">
        <v>1199</v>
      </c>
      <c r="G913" s="1469" t="s">
        <v>1199</v>
      </c>
      <c r="H913" s="1466"/>
      <c r="I913" s="1458"/>
      <c r="J913" s="1428" t="s">
        <v>84</v>
      </c>
      <c r="K913" s="1997"/>
      <c r="L913" s="1333" t="s">
        <v>37</v>
      </c>
      <c r="M913" s="927"/>
      <c r="N913" s="1032"/>
      <c r="O913" s="1032"/>
      <c r="P913" s="1032"/>
      <c r="Q913" s="1032"/>
      <c r="R913" s="1032"/>
      <c r="S913" s="1032"/>
      <c r="T913" s="1032"/>
      <c r="U913" s="1030"/>
      <c r="V913" s="1083"/>
      <c r="W913"/>
    </row>
    <row r="914" spans="1:23" ht="210" customHeight="1">
      <c r="A914" s="296" t="s">
        <v>180</v>
      </c>
      <c r="B914" s="1231">
        <v>45454</v>
      </c>
      <c r="C914" s="82">
        <f t="shared" si="15"/>
        <v>24</v>
      </c>
      <c r="D914" s="1476" t="s">
        <v>168</v>
      </c>
      <c r="E914" s="1506" t="s">
        <v>4863</v>
      </c>
      <c r="F914" s="1501" t="s">
        <v>1199</v>
      </c>
      <c r="G914" s="1499" t="s">
        <v>1199</v>
      </c>
      <c r="H914" s="1466"/>
      <c r="I914" s="1458"/>
      <c r="J914" s="925"/>
      <c r="K914" s="1316"/>
      <c r="L914" s="1333"/>
      <c r="M914" s="927" t="s">
        <v>37</v>
      </c>
      <c r="N914" s="21" t="s">
        <v>71</v>
      </c>
      <c r="O914" s="21" t="s">
        <v>2989</v>
      </c>
      <c r="P914" s="21" t="s">
        <v>4330</v>
      </c>
      <c r="Q914" s="1032"/>
      <c r="R914" s="1032"/>
      <c r="S914" s="1032"/>
      <c r="T914" s="1032"/>
      <c r="U914" s="1030" t="s">
        <v>4864</v>
      </c>
      <c r="V914" s="1083"/>
      <c r="W914"/>
    </row>
    <row r="915" spans="1:23" ht="26.25" customHeight="1">
      <c r="A915" s="296" t="s">
        <v>180</v>
      </c>
      <c r="B915" s="1231">
        <v>45454</v>
      </c>
      <c r="C915" s="82">
        <f t="shared" si="15"/>
        <v>24</v>
      </c>
      <c r="D915" s="1437" t="s">
        <v>2141</v>
      </c>
      <c r="E915" s="1494" t="s">
        <v>4311</v>
      </c>
      <c r="F915" s="1407" t="s">
        <v>1199</v>
      </c>
      <c r="G915" s="1469" t="s">
        <v>1199</v>
      </c>
      <c r="H915" s="1389"/>
      <c r="I915" s="1381"/>
      <c r="J915" s="1438" t="s">
        <v>84</v>
      </c>
      <c r="K915" s="1998"/>
      <c r="L915" s="1333" t="s">
        <v>37</v>
      </c>
      <c r="M915" s="927"/>
      <c r="N915" s="1032"/>
      <c r="O915" s="1032"/>
      <c r="P915" s="1032"/>
      <c r="Q915" s="1032"/>
      <c r="R915" s="1032"/>
      <c r="S915" s="1032"/>
      <c r="T915" s="1032"/>
      <c r="U915" s="1030"/>
      <c r="V915" s="1083"/>
      <c r="W915"/>
    </row>
    <row r="916" spans="1:23" ht="27" customHeight="1" thickBot="1">
      <c r="A916" s="298" t="s">
        <v>180</v>
      </c>
      <c r="B916" s="1252">
        <v>45454</v>
      </c>
      <c r="C916" s="85">
        <f t="shared" si="15"/>
        <v>24</v>
      </c>
      <c r="D916" s="1507" t="s">
        <v>4311</v>
      </c>
      <c r="E916" s="1508" t="s">
        <v>1624</v>
      </c>
      <c r="F916" s="1459" t="s">
        <v>1199</v>
      </c>
      <c r="G916" s="1453" t="s">
        <v>1199</v>
      </c>
      <c r="H916" s="1467"/>
      <c r="I916" s="1502"/>
      <c r="J916" s="1285"/>
      <c r="K916" s="1500"/>
      <c r="L916" s="1334" t="s">
        <v>37</v>
      </c>
      <c r="M916" s="970"/>
      <c r="N916" s="1035"/>
      <c r="O916" s="1035"/>
      <c r="P916" s="1035"/>
      <c r="Q916" s="1035"/>
      <c r="R916" s="1035"/>
      <c r="S916" s="1035"/>
      <c r="T916" s="1035"/>
      <c r="U916" s="1036"/>
      <c r="V916" s="1083"/>
      <c r="W916"/>
    </row>
    <row r="917" spans="1:23" ht="52.5" customHeight="1">
      <c r="A917" s="310" t="s">
        <v>1323</v>
      </c>
      <c r="B917" s="1221">
        <v>45455</v>
      </c>
      <c r="C917" s="832">
        <f t="shared" si="15"/>
        <v>24</v>
      </c>
      <c r="D917" s="1436" t="s">
        <v>4865</v>
      </c>
      <c r="E917" s="1491" t="s">
        <v>1300</v>
      </c>
      <c r="F917" s="1485" t="s">
        <v>1199</v>
      </c>
      <c r="G917" s="1482" t="s">
        <v>1199</v>
      </c>
      <c r="H917" s="1475"/>
      <c r="I917" s="1489"/>
      <c r="J917" s="953"/>
      <c r="K917" s="1999"/>
      <c r="L917" s="1412" t="s">
        <v>37</v>
      </c>
      <c r="M917" s="1200"/>
      <c r="N917" s="1051"/>
      <c r="O917" s="1051"/>
      <c r="P917" s="1051"/>
      <c r="Q917" s="1051"/>
      <c r="R917" s="1051"/>
      <c r="S917" s="1051"/>
      <c r="T917" s="1051"/>
      <c r="U917" s="1034" t="s">
        <v>4866</v>
      </c>
      <c r="V917" s="1083"/>
      <c r="W917"/>
    </row>
    <row r="918" spans="1:23" ht="78.75" customHeight="1">
      <c r="A918" s="296" t="s">
        <v>1323</v>
      </c>
      <c r="B918" s="1231">
        <v>45455</v>
      </c>
      <c r="C918" s="82">
        <f t="shared" si="15"/>
        <v>24</v>
      </c>
      <c r="D918" s="1300" t="s">
        <v>4867</v>
      </c>
      <c r="E918" s="1328" t="s">
        <v>375</v>
      </c>
      <c r="F918" s="1486" t="s">
        <v>1199</v>
      </c>
      <c r="G918" s="1469" t="s">
        <v>1199</v>
      </c>
      <c r="H918" s="1389"/>
      <c r="I918" s="1335"/>
      <c r="J918" s="1438" t="s">
        <v>627</v>
      </c>
      <c r="K918" s="1998"/>
      <c r="L918" s="1333"/>
      <c r="M918" s="927" t="s">
        <v>37</v>
      </c>
      <c r="N918" s="20" t="s">
        <v>122</v>
      </c>
      <c r="O918" s="20" t="s">
        <v>123</v>
      </c>
      <c r="P918" s="20" t="s">
        <v>4128</v>
      </c>
      <c r="Q918" s="940">
        <v>1</v>
      </c>
      <c r="R918" s="1032"/>
      <c r="S918" s="1032"/>
      <c r="T918" s="1032"/>
      <c r="U918" s="1030" t="s">
        <v>4868</v>
      </c>
      <c r="V918" s="1083"/>
      <c r="W918"/>
    </row>
    <row r="919" spans="1:23" ht="26.25" customHeight="1">
      <c r="A919" s="296" t="s">
        <v>1323</v>
      </c>
      <c r="B919" s="1231">
        <v>45455</v>
      </c>
      <c r="C919" s="82">
        <f t="shared" si="15"/>
        <v>24</v>
      </c>
      <c r="D919" s="1437" t="s">
        <v>77</v>
      </c>
      <c r="E919" s="1494" t="s">
        <v>4461</v>
      </c>
      <c r="F919" s="1407" t="s">
        <v>1199</v>
      </c>
      <c r="G919" s="1469" t="s">
        <v>1199</v>
      </c>
      <c r="H919" s="1389"/>
      <c r="I919" s="1335"/>
      <c r="J919" s="1438" t="s">
        <v>84</v>
      </c>
      <c r="K919" s="1998"/>
      <c r="L919" s="1333" t="s">
        <v>37</v>
      </c>
      <c r="M919" s="927"/>
      <c r="N919" s="1032"/>
      <c r="O919" s="1032"/>
      <c r="P919" s="1032"/>
      <c r="Q919" s="1032"/>
      <c r="R919" s="1032"/>
      <c r="S919" s="1032"/>
      <c r="T919" s="1032"/>
      <c r="U919" s="1030"/>
      <c r="V919" s="1083"/>
      <c r="W919"/>
    </row>
    <row r="920" spans="1:23" ht="26.25" customHeight="1">
      <c r="A920" s="296" t="s">
        <v>1323</v>
      </c>
      <c r="B920" s="1231">
        <v>45455</v>
      </c>
      <c r="C920" s="82">
        <f t="shared" si="15"/>
        <v>24</v>
      </c>
      <c r="D920" s="1492" t="s">
        <v>4196</v>
      </c>
      <c r="E920" s="1495" t="s">
        <v>4869</v>
      </c>
      <c r="F920" s="1487" t="s">
        <v>1206</v>
      </c>
      <c r="G920" s="1483" t="s">
        <v>1206</v>
      </c>
      <c r="H920" s="1389"/>
      <c r="I920" s="1335"/>
      <c r="J920" s="1017"/>
      <c r="K920" s="1351"/>
      <c r="L920" s="1333" t="s">
        <v>37</v>
      </c>
      <c r="M920" s="927"/>
      <c r="N920" s="1032"/>
      <c r="O920" s="1032"/>
      <c r="P920" s="1032"/>
      <c r="Q920" s="1032"/>
      <c r="R920" s="1032"/>
      <c r="S920" s="1032"/>
      <c r="T920" s="1032"/>
      <c r="U920" s="1030"/>
      <c r="V920" s="1083"/>
      <c r="W920"/>
    </row>
    <row r="921" spans="1:23" ht="26.25" customHeight="1">
      <c r="A921" s="296" t="s">
        <v>1323</v>
      </c>
      <c r="B921" s="1231">
        <v>45455</v>
      </c>
      <c r="C921" s="82">
        <f t="shared" ref="C921:C982" si="16">_xlfn.ISOWEEKNUM(B921)</f>
        <v>24</v>
      </c>
      <c r="D921" s="1493" t="s">
        <v>258</v>
      </c>
      <c r="E921" s="1496" t="s">
        <v>4870</v>
      </c>
      <c r="F921" s="1445" t="s">
        <v>1199</v>
      </c>
      <c r="G921" s="1452" t="s">
        <v>1199</v>
      </c>
      <c r="H921" s="1389"/>
      <c r="I921" s="1381"/>
      <c r="J921" s="925"/>
      <c r="K921" s="1316"/>
      <c r="L921" s="1333" t="s">
        <v>37</v>
      </c>
      <c r="M921" s="927"/>
      <c r="N921" s="1032"/>
      <c r="O921" s="1032"/>
      <c r="P921" s="1032"/>
      <c r="Q921" s="1032"/>
      <c r="R921" s="1032"/>
      <c r="S921" s="1032"/>
      <c r="T921" s="1032"/>
      <c r="U921" s="1030"/>
      <c r="V921" s="1083"/>
      <c r="W921"/>
    </row>
    <row r="922" spans="1:23" ht="105" customHeight="1">
      <c r="A922" s="296" t="s">
        <v>1323</v>
      </c>
      <c r="B922" s="1231">
        <v>45455</v>
      </c>
      <c r="C922" s="82">
        <f t="shared" si="16"/>
        <v>24</v>
      </c>
      <c r="D922" s="1477" t="s">
        <v>4734</v>
      </c>
      <c r="E922" s="1479" t="s">
        <v>68</v>
      </c>
      <c r="F922" s="1382" t="s">
        <v>1199</v>
      </c>
      <c r="G922" s="1413" t="s">
        <v>1199</v>
      </c>
      <c r="H922" s="1389"/>
      <c r="I922" s="1381"/>
      <c r="J922" s="925"/>
      <c r="K922" s="1316"/>
      <c r="L922" s="1333"/>
      <c r="M922" s="927" t="s">
        <v>37</v>
      </c>
      <c r="N922" s="20" t="s">
        <v>0</v>
      </c>
      <c r="O922" s="20" t="s">
        <v>4162</v>
      </c>
      <c r="P922" s="20" t="s">
        <v>4674</v>
      </c>
      <c r="Q922" s="1032"/>
      <c r="R922" s="1032"/>
      <c r="S922" s="1032"/>
      <c r="T922" s="1032"/>
      <c r="U922" s="1030" t="s">
        <v>4871</v>
      </c>
      <c r="V922" s="1083"/>
      <c r="W922"/>
    </row>
    <row r="923" spans="1:23" ht="27" customHeight="1" thickBot="1">
      <c r="A923" s="298" t="s">
        <v>1323</v>
      </c>
      <c r="B923" s="1252">
        <v>45455</v>
      </c>
      <c r="C923" s="85">
        <f t="shared" si="16"/>
        <v>24</v>
      </c>
      <c r="D923" s="1497" t="s">
        <v>4872</v>
      </c>
      <c r="E923" s="1498" t="s">
        <v>4873</v>
      </c>
      <c r="F923" s="1488" t="s">
        <v>1199</v>
      </c>
      <c r="G923" s="1484" t="s">
        <v>1199</v>
      </c>
      <c r="H923" s="1467"/>
      <c r="I923" s="1490"/>
      <c r="J923" s="959"/>
      <c r="K923" s="2000"/>
      <c r="L923" s="1334" t="s">
        <v>37</v>
      </c>
      <c r="M923" s="970"/>
      <c r="N923" s="1035"/>
      <c r="O923" s="1035"/>
      <c r="P923" s="1035"/>
      <c r="Q923" s="1035"/>
      <c r="R923" s="1035"/>
      <c r="S923" s="1035"/>
      <c r="T923" s="1035"/>
      <c r="U923" s="1036"/>
      <c r="V923" s="1083"/>
      <c r="W923"/>
    </row>
    <row r="924" spans="1:23" ht="52.5" customHeight="1">
      <c r="A924" s="310" t="s">
        <v>1495</v>
      </c>
      <c r="B924" s="1221">
        <v>45456</v>
      </c>
      <c r="C924" s="832">
        <f t="shared" si="16"/>
        <v>24</v>
      </c>
      <c r="D924" s="1436" t="s">
        <v>4180</v>
      </c>
      <c r="E924" s="1491" t="s">
        <v>4874</v>
      </c>
      <c r="F924" s="1471" t="s">
        <v>1199</v>
      </c>
      <c r="G924" s="1468" t="s">
        <v>1199</v>
      </c>
      <c r="H924" s="1475"/>
      <c r="I924" s="1335"/>
      <c r="J924" s="1017"/>
      <c r="K924" s="1351"/>
      <c r="L924" s="1412"/>
      <c r="M924" s="1017" t="s">
        <v>37</v>
      </c>
      <c r="N924" s="20" t="s">
        <v>109</v>
      </c>
      <c r="O924" s="20" t="s">
        <v>323</v>
      </c>
      <c r="P924" s="20" t="s">
        <v>4330</v>
      </c>
      <c r="Q924" s="1440">
        <v>2</v>
      </c>
      <c r="R924" s="1051"/>
      <c r="S924" s="1051"/>
      <c r="T924" s="1051"/>
      <c r="U924" s="1034" t="s">
        <v>4875</v>
      </c>
      <c r="V924" s="1083"/>
      <c r="W924"/>
    </row>
    <row r="925" spans="1:23" ht="26.25" customHeight="1">
      <c r="A925" s="296" t="s">
        <v>1495</v>
      </c>
      <c r="B925" s="1231">
        <v>45456</v>
      </c>
      <c r="C925" s="82">
        <f t="shared" si="16"/>
        <v>24</v>
      </c>
      <c r="D925" s="1477" t="s">
        <v>3657</v>
      </c>
      <c r="E925" s="1479" t="s">
        <v>4876</v>
      </c>
      <c r="F925" s="1472" t="s">
        <v>1206</v>
      </c>
      <c r="G925" s="1469" t="s">
        <v>1206</v>
      </c>
      <c r="H925" s="1389"/>
      <c r="I925" s="1381"/>
      <c r="J925" s="925"/>
      <c r="K925" s="1316"/>
      <c r="L925" s="1333" t="s">
        <v>37</v>
      </c>
      <c r="M925" s="927"/>
      <c r="N925" s="1032"/>
      <c r="O925" s="1032"/>
      <c r="P925" s="1032"/>
      <c r="Q925" s="1032"/>
      <c r="R925" s="1032"/>
      <c r="S925" s="1032"/>
      <c r="T925" s="1032"/>
      <c r="U925" s="1030" t="s">
        <v>4877</v>
      </c>
      <c r="V925" s="1083"/>
      <c r="W925"/>
    </row>
    <row r="926" spans="1:23" ht="52.5" customHeight="1">
      <c r="A926" s="296" t="s">
        <v>1495</v>
      </c>
      <c r="B926" s="1231">
        <v>45456</v>
      </c>
      <c r="C926" s="82">
        <f t="shared" si="16"/>
        <v>24</v>
      </c>
      <c r="D926" s="1300" t="s">
        <v>4878</v>
      </c>
      <c r="E926" s="1328" t="s">
        <v>4234</v>
      </c>
      <c r="F926" s="1382" t="s">
        <v>1199</v>
      </c>
      <c r="G926" s="1413" t="s">
        <v>1199</v>
      </c>
      <c r="H926" s="1389"/>
      <c r="I926" s="1381"/>
      <c r="J926" s="1438" t="s">
        <v>1274</v>
      </c>
      <c r="K926" s="2001"/>
      <c r="L926" s="1333"/>
      <c r="M926" s="927" t="s">
        <v>37</v>
      </c>
      <c r="N926" s="20" t="s">
        <v>122</v>
      </c>
      <c r="O926" s="20" t="s">
        <v>123</v>
      </c>
      <c r="P926" s="20" t="s">
        <v>4128</v>
      </c>
      <c r="Q926" s="1032"/>
      <c r="R926" s="940">
        <v>1</v>
      </c>
      <c r="S926" s="1032"/>
      <c r="T926" s="1032"/>
      <c r="U926" s="1030" t="s">
        <v>4879</v>
      </c>
      <c r="V926" s="1083"/>
      <c r="W926"/>
    </row>
    <row r="927" spans="1:23" ht="26.25" customHeight="1">
      <c r="A927" s="296" t="s">
        <v>1495</v>
      </c>
      <c r="B927" s="1231">
        <v>45456</v>
      </c>
      <c r="C927" s="82">
        <f t="shared" si="16"/>
        <v>24</v>
      </c>
      <c r="D927" s="1300" t="s">
        <v>4880</v>
      </c>
      <c r="E927" s="1328" t="s">
        <v>4881</v>
      </c>
      <c r="F927" s="1407" t="s">
        <v>1764</v>
      </c>
      <c r="G927" s="1469" t="s">
        <v>1764</v>
      </c>
      <c r="H927" s="1389"/>
      <c r="I927" s="1381"/>
      <c r="J927" s="925"/>
      <c r="K927" s="1316"/>
      <c r="L927" s="1333" t="s">
        <v>37</v>
      </c>
      <c r="M927" s="927"/>
      <c r="N927" s="1032"/>
      <c r="O927" s="1032"/>
      <c r="P927" s="1032"/>
      <c r="Q927" s="1032"/>
      <c r="R927" s="1032"/>
      <c r="S927" s="1032"/>
      <c r="T927" s="1032"/>
      <c r="U927" s="1030"/>
      <c r="V927" s="1083"/>
      <c r="W927"/>
    </row>
    <row r="928" spans="1:23" ht="26.25" customHeight="1">
      <c r="A928" s="296" t="s">
        <v>1495</v>
      </c>
      <c r="B928" s="1231">
        <v>45456</v>
      </c>
      <c r="C928" s="82">
        <f t="shared" si="16"/>
        <v>24</v>
      </c>
      <c r="D928" s="1478" t="s">
        <v>4155</v>
      </c>
      <c r="E928" s="1480" t="s">
        <v>4882</v>
      </c>
      <c r="F928" s="1407" t="s">
        <v>1199</v>
      </c>
      <c r="G928" s="1451" t="s">
        <v>1199</v>
      </c>
      <c r="H928" s="1389"/>
      <c r="I928" s="1381"/>
      <c r="J928" s="925"/>
      <c r="K928" s="1316"/>
      <c r="L928" s="1333" t="s">
        <v>37</v>
      </c>
      <c r="M928" s="927"/>
      <c r="N928" s="1032"/>
      <c r="O928" s="1032"/>
      <c r="P928" s="1032"/>
      <c r="Q928" s="1032"/>
      <c r="R928" s="1032"/>
      <c r="S928" s="1032"/>
      <c r="T928" s="1032"/>
      <c r="U928" s="1030"/>
      <c r="V928" s="1083"/>
      <c r="W928"/>
    </row>
    <row r="929" spans="1:23" ht="26.25" customHeight="1">
      <c r="A929" s="296" t="s">
        <v>1495</v>
      </c>
      <c r="B929" s="1231">
        <v>45456</v>
      </c>
      <c r="C929" s="82">
        <f t="shared" si="16"/>
        <v>24</v>
      </c>
      <c r="D929" s="1478" t="s">
        <v>4883</v>
      </c>
      <c r="E929" s="1480" t="s">
        <v>4884</v>
      </c>
      <c r="F929" s="1407" t="s">
        <v>1199</v>
      </c>
      <c r="G929" s="1469" t="s">
        <v>1199</v>
      </c>
      <c r="H929" s="1389" t="s">
        <v>1452</v>
      </c>
      <c r="I929" s="1381"/>
      <c r="J929" s="925"/>
      <c r="K929" s="1316"/>
      <c r="L929" s="1333" t="s">
        <v>37</v>
      </c>
      <c r="M929" s="927"/>
      <c r="N929" s="1032"/>
      <c r="O929" s="1032"/>
      <c r="P929" s="1032"/>
      <c r="Q929" s="1032"/>
      <c r="R929" s="1032"/>
      <c r="S929" s="1032"/>
      <c r="T929" s="1032"/>
      <c r="U929" s="1030"/>
      <c r="V929" s="1083"/>
      <c r="W929"/>
    </row>
    <row r="930" spans="1:23" ht="26.25" customHeight="1">
      <c r="A930" s="296" t="s">
        <v>1495</v>
      </c>
      <c r="B930" s="1231">
        <v>45456</v>
      </c>
      <c r="C930" s="82">
        <f t="shared" si="16"/>
        <v>24</v>
      </c>
      <c r="D930" s="1369" t="s">
        <v>1146</v>
      </c>
      <c r="E930" s="1370" t="s">
        <v>4885</v>
      </c>
      <c r="F930" s="1407" t="s">
        <v>1199</v>
      </c>
      <c r="G930" s="1469" t="s">
        <v>1199</v>
      </c>
      <c r="H930" s="1389"/>
      <c r="I930" s="1381"/>
      <c r="J930" s="925"/>
      <c r="K930" s="1316"/>
      <c r="L930" s="1333" t="s">
        <v>37</v>
      </c>
      <c r="M930" s="927"/>
      <c r="N930" s="1032"/>
      <c r="O930" s="1032"/>
      <c r="P930" s="1032"/>
      <c r="Q930" s="1032"/>
      <c r="R930" s="1032"/>
      <c r="S930" s="1032"/>
      <c r="T930" s="1032"/>
      <c r="U930" s="1030"/>
      <c r="V930" s="1083"/>
      <c r="W930"/>
    </row>
    <row r="931" spans="1:23" ht="27" customHeight="1" thickBot="1">
      <c r="A931" s="298" t="s">
        <v>1495</v>
      </c>
      <c r="B931" s="1252">
        <v>45456</v>
      </c>
      <c r="C931" s="85">
        <f t="shared" si="16"/>
        <v>24</v>
      </c>
      <c r="D931" s="1312" t="s">
        <v>304</v>
      </c>
      <c r="E931" s="1330" t="s">
        <v>4886</v>
      </c>
      <c r="F931" s="1473" t="s">
        <v>1199</v>
      </c>
      <c r="G931" s="1470" t="s">
        <v>1199</v>
      </c>
      <c r="H931" s="1481"/>
      <c r="I931" s="1474"/>
      <c r="J931" s="1441" t="s">
        <v>1199</v>
      </c>
      <c r="K931" s="2002"/>
      <c r="L931" s="1334" t="s">
        <v>37</v>
      </c>
      <c r="M931" s="970"/>
      <c r="N931" s="1035"/>
      <c r="O931" s="1035"/>
      <c r="P931" s="1035"/>
      <c r="Q931" s="1035"/>
      <c r="R931" s="1035"/>
      <c r="S931" s="1035"/>
      <c r="T931" s="1035"/>
      <c r="U931" s="1036"/>
      <c r="V931" s="1083"/>
      <c r="W931"/>
    </row>
    <row r="932" spans="1:23" ht="52.5" customHeight="1">
      <c r="A932" s="310" t="s">
        <v>1857</v>
      </c>
      <c r="B932" s="1221">
        <v>45457</v>
      </c>
      <c r="C932" s="832">
        <f t="shared" si="16"/>
        <v>24</v>
      </c>
      <c r="D932" s="1301" t="s">
        <v>2141</v>
      </c>
      <c r="E932" s="1343" t="s">
        <v>4887</v>
      </c>
      <c r="F932" s="1455" t="s">
        <v>1199</v>
      </c>
      <c r="G932" s="1448" t="s">
        <v>1199</v>
      </c>
      <c r="H932" s="1475"/>
      <c r="I932" s="1335"/>
      <c r="J932" s="1442" t="s">
        <v>4888</v>
      </c>
      <c r="K932" s="1971"/>
      <c r="L932" s="1412" t="s">
        <v>37</v>
      </c>
      <c r="M932" s="1200"/>
      <c r="N932" s="1051"/>
      <c r="O932" s="1051"/>
      <c r="P932" s="1051"/>
      <c r="Q932" s="1051"/>
      <c r="R932" s="1051"/>
      <c r="S932" s="1051"/>
      <c r="T932" s="1051"/>
      <c r="U932" s="1034"/>
      <c r="V932" s="1083"/>
      <c r="W932"/>
    </row>
    <row r="933" spans="1:23" ht="26.25" customHeight="1">
      <c r="A933" s="296" t="s">
        <v>1857</v>
      </c>
      <c r="B933" s="1231">
        <v>45457</v>
      </c>
      <c r="C933" s="82">
        <f t="shared" si="16"/>
        <v>24</v>
      </c>
      <c r="D933" s="1300" t="s">
        <v>2430</v>
      </c>
      <c r="E933" s="1328" t="s">
        <v>4086</v>
      </c>
      <c r="F933" s="1322" t="s">
        <v>1764</v>
      </c>
      <c r="G933" s="1315" t="s">
        <v>1764</v>
      </c>
      <c r="H933" s="1465"/>
      <c r="I933" s="1460"/>
      <c r="J933" s="1443" t="s">
        <v>84</v>
      </c>
      <c r="K933" s="1908"/>
      <c r="L933" s="1333" t="s">
        <v>37</v>
      </c>
      <c r="M933" s="927"/>
      <c r="N933" s="1032"/>
      <c r="O933" s="1032"/>
      <c r="P933" s="1032"/>
      <c r="Q933" s="1032"/>
      <c r="R933" s="1032"/>
      <c r="S933" s="1032"/>
      <c r="T933" s="1032"/>
      <c r="U933" s="1030"/>
      <c r="V933" s="1083"/>
      <c r="W933"/>
    </row>
    <row r="934" spans="1:23" ht="26.25" customHeight="1">
      <c r="A934" s="296" t="s">
        <v>1857</v>
      </c>
      <c r="B934" s="1231">
        <v>45457</v>
      </c>
      <c r="C934" s="82">
        <f t="shared" si="16"/>
        <v>24</v>
      </c>
      <c r="D934" s="1300" t="s">
        <v>2702</v>
      </c>
      <c r="E934" s="1328" t="s">
        <v>4859</v>
      </c>
      <c r="F934" s="1322" t="s">
        <v>1764</v>
      </c>
      <c r="G934" s="1315" t="s">
        <v>1199</v>
      </c>
      <c r="H934" s="1466"/>
      <c r="I934" s="1458"/>
      <c r="J934" s="1443" t="s">
        <v>84</v>
      </c>
      <c r="K934" s="1908"/>
      <c r="L934" s="1333" t="s">
        <v>37</v>
      </c>
      <c r="M934" s="927"/>
      <c r="N934" s="1032"/>
      <c r="O934" s="1032"/>
      <c r="P934" s="1032"/>
      <c r="Q934" s="1032"/>
      <c r="R934" s="1032"/>
      <c r="S934" s="1032"/>
      <c r="T934" s="1032"/>
      <c r="U934" s="1030"/>
      <c r="V934" s="1083"/>
      <c r="W934"/>
    </row>
    <row r="935" spans="1:23" ht="52.5" customHeight="1">
      <c r="A935" s="296" t="s">
        <v>1857</v>
      </c>
      <c r="B935" s="1231">
        <v>45457</v>
      </c>
      <c r="C935" s="82">
        <f t="shared" si="16"/>
        <v>24</v>
      </c>
      <c r="D935" s="1462" t="s">
        <v>4889</v>
      </c>
      <c r="E935" s="1463" t="s">
        <v>4890</v>
      </c>
      <c r="F935" s="1456" t="s">
        <v>1768</v>
      </c>
      <c r="G935" s="1449" t="s">
        <v>1768</v>
      </c>
      <c r="H935" s="1389"/>
      <c r="I935" s="1381"/>
      <c r="J935" s="1443" t="s">
        <v>4854</v>
      </c>
      <c r="K935" s="1908"/>
      <c r="L935" s="1333"/>
      <c r="M935" s="927" t="s">
        <v>37</v>
      </c>
      <c r="N935" s="21" t="s">
        <v>0</v>
      </c>
      <c r="O935" s="21" t="s">
        <v>187</v>
      </c>
      <c r="P935" s="21" t="s">
        <v>4102</v>
      </c>
      <c r="Q935" s="1032"/>
      <c r="R935" s="1032"/>
      <c r="S935" s="1032"/>
      <c r="T935" s="1032"/>
      <c r="U935" s="1030" t="s">
        <v>4346</v>
      </c>
      <c r="V935" s="1083"/>
      <c r="W935"/>
    </row>
    <row r="936" spans="1:23" ht="52.5" customHeight="1">
      <c r="A936" s="296" t="s">
        <v>1857</v>
      </c>
      <c r="B936" s="1231">
        <v>45457</v>
      </c>
      <c r="C936" s="82">
        <f t="shared" si="16"/>
        <v>24</v>
      </c>
      <c r="D936" s="1462" t="s">
        <v>4595</v>
      </c>
      <c r="E936" s="1463" t="s">
        <v>4891</v>
      </c>
      <c r="F936" s="1457" t="s">
        <v>1768</v>
      </c>
      <c r="G936" s="1450" t="s">
        <v>1768</v>
      </c>
      <c r="H936" s="1389"/>
      <c r="I936" s="1381"/>
      <c r="J936" s="925"/>
      <c r="K936" s="1316"/>
      <c r="L936" s="1333"/>
      <c r="M936" s="927" t="s">
        <v>37</v>
      </c>
      <c r="N936" s="21" t="s">
        <v>0</v>
      </c>
      <c r="O936" s="21" t="s">
        <v>187</v>
      </c>
      <c r="P936" s="21" t="s">
        <v>4102</v>
      </c>
      <c r="Q936" s="1032"/>
      <c r="R936" s="1032"/>
      <c r="S936" s="1032"/>
      <c r="T936" s="1032"/>
      <c r="U936" s="1030" t="s">
        <v>4346</v>
      </c>
      <c r="V936" s="1083"/>
      <c r="W936"/>
    </row>
    <row r="937" spans="1:23" ht="26.25" customHeight="1">
      <c r="A937" s="296" t="s">
        <v>1857</v>
      </c>
      <c r="B937" s="1231">
        <v>45457</v>
      </c>
      <c r="C937" s="82">
        <f t="shared" si="16"/>
        <v>24</v>
      </c>
      <c r="D937" s="1369" t="s">
        <v>4892</v>
      </c>
      <c r="E937" s="1370" t="s">
        <v>4893</v>
      </c>
      <c r="F937" s="1458" t="s">
        <v>1199</v>
      </c>
      <c r="G937" s="1451" t="s">
        <v>1199</v>
      </c>
      <c r="H937" s="1389"/>
      <c r="I937" s="1381"/>
      <c r="J937" s="925"/>
      <c r="K937" s="1316"/>
      <c r="L937" s="1333" t="s">
        <v>37</v>
      </c>
      <c r="M937" s="927"/>
      <c r="N937" s="1032"/>
      <c r="O937" s="1032"/>
      <c r="P937" s="1032"/>
      <c r="Q937" s="1032"/>
      <c r="R937" s="1032"/>
      <c r="S937" s="1032"/>
      <c r="T937" s="1032"/>
      <c r="U937" s="1030"/>
      <c r="V937" s="1083"/>
      <c r="W937"/>
    </row>
    <row r="938" spans="1:23" ht="26.25" customHeight="1">
      <c r="A938" s="296" t="s">
        <v>1857</v>
      </c>
      <c r="B938" s="1231">
        <v>45457</v>
      </c>
      <c r="C938" s="82">
        <f t="shared" si="16"/>
        <v>24</v>
      </c>
      <c r="D938" s="1444" t="s">
        <v>1165</v>
      </c>
      <c r="E938" s="1464" t="s">
        <v>4894</v>
      </c>
      <c r="F938" s="1445" t="s">
        <v>1199</v>
      </c>
      <c r="G938" s="1452" t="s">
        <v>1199</v>
      </c>
      <c r="H938" s="1389"/>
      <c r="I938" s="1461"/>
      <c r="J938" s="1443" t="s">
        <v>84</v>
      </c>
      <c r="K938" s="1968"/>
      <c r="L938" s="1333" t="s">
        <v>37</v>
      </c>
      <c r="M938" s="927"/>
      <c r="N938" s="1032"/>
      <c r="O938" s="1032"/>
      <c r="P938" s="1032"/>
      <c r="Q938" s="1032"/>
      <c r="R938" s="1032"/>
      <c r="S938" s="1032"/>
      <c r="T938" s="1032"/>
      <c r="U938" s="1030"/>
      <c r="V938" s="1083"/>
      <c r="W938"/>
    </row>
    <row r="939" spans="1:23" ht="27" customHeight="1" thickBot="1">
      <c r="A939" s="298" t="s">
        <v>1857</v>
      </c>
      <c r="B939" s="1252">
        <v>45457</v>
      </c>
      <c r="C939" s="85">
        <f t="shared" si="16"/>
        <v>24</v>
      </c>
      <c r="D939" s="1312" t="s">
        <v>4895</v>
      </c>
      <c r="E939" s="1330" t="s">
        <v>4881</v>
      </c>
      <c r="F939" s="1459" t="s">
        <v>1199</v>
      </c>
      <c r="G939" s="1453" t="s">
        <v>1199</v>
      </c>
      <c r="H939" s="1467"/>
      <c r="I939" s="1461"/>
      <c r="J939" s="948"/>
      <c r="K939" s="2003"/>
      <c r="L939" s="1334" t="s">
        <v>37</v>
      </c>
      <c r="M939" s="970"/>
      <c r="N939" s="1035"/>
      <c r="O939" s="1035"/>
      <c r="P939" s="1035"/>
      <c r="Q939" s="1035"/>
      <c r="R939" s="1035"/>
      <c r="S939" s="1035"/>
      <c r="T939" s="1035"/>
      <c r="U939" s="1036"/>
      <c r="V939" s="1083"/>
      <c r="W939"/>
    </row>
    <row r="940" spans="1:23" ht="26.25" customHeight="1" thickBot="1">
      <c r="A940" s="319" t="s">
        <v>1519</v>
      </c>
      <c r="B940" s="1546">
        <v>45458</v>
      </c>
      <c r="C940" s="1026">
        <f t="shared" si="16"/>
        <v>24</v>
      </c>
      <c r="D940" s="1547" t="s">
        <v>3037</v>
      </c>
      <c r="E940" s="1547" t="s">
        <v>4896</v>
      </c>
      <c r="F940" s="1446"/>
      <c r="G940" s="1446"/>
      <c r="H940" s="1548"/>
      <c r="I940" s="972"/>
      <c r="J940" s="1447" t="s">
        <v>84</v>
      </c>
      <c r="K940" s="1447"/>
      <c r="L940" s="1285" t="s">
        <v>37</v>
      </c>
      <c r="M940" s="1285"/>
      <c r="N940" s="1095"/>
      <c r="O940" s="1095"/>
      <c r="P940" s="1095"/>
      <c r="Q940" s="1095"/>
      <c r="R940" s="1095"/>
      <c r="S940" s="1095"/>
      <c r="T940" s="1095"/>
      <c r="U940" s="1549"/>
      <c r="V940" s="1083"/>
      <c r="W940"/>
    </row>
    <row r="941" spans="1:23" ht="26.25" customHeight="1">
      <c r="A941" s="1526" t="s">
        <v>4897</v>
      </c>
      <c r="B941" s="1527">
        <v>45460</v>
      </c>
      <c r="C941" s="846">
        <f t="shared" si="16"/>
        <v>25</v>
      </c>
      <c r="D941" s="1550" t="s">
        <v>4898</v>
      </c>
      <c r="E941" s="1551" t="s">
        <v>4899</v>
      </c>
      <c r="F941" s="1338" t="s">
        <v>1764</v>
      </c>
      <c r="G941" s="1512" t="s">
        <v>1206</v>
      </c>
      <c r="H941" s="5323"/>
      <c r="I941" s="5265"/>
      <c r="J941" s="5257"/>
      <c r="K941" s="5231" t="s">
        <v>4206</v>
      </c>
      <c r="L941" s="1553" t="s">
        <v>37</v>
      </c>
      <c r="M941" s="918"/>
      <c r="N941" s="918"/>
      <c r="O941" s="918"/>
      <c r="P941" s="918"/>
      <c r="Q941" s="918"/>
      <c r="R941" s="918"/>
      <c r="S941" s="919"/>
      <c r="T941" s="64"/>
      <c r="U941" s="1515"/>
      <c r="V941" s="2464"/>
      <c r="W941"/>
    </row>
    <row r="942" spans="1:23" ht="26.25" customHeight="1">
      <c r="A942" s="1516" t="s">
        <v>4897</v>
      </c>
      <c r="B942" s="1517">
        <v>45460</v>
      </c>
      <c r="C942" s="82">
        <f t="shared" si="16"/>
        <v>25</v>
      </c>
      <c r="D942" s="987" t="s">
        <v>80</v>
      </c>
      <c r="E942" s="1556" t="s">
        <v>4900</v>
      </c>
      <c r="F942" s="1542" t="s">
        <v>1764</v>
      </c>
      <c r="G942" s="1351" t="s">
        <v>1199</v>
      </c>
      <c r="H942" s="5272"/>
      <c r="I942" s="5265"/>
      <c r="J942" s="5257"/>
      <c r="K942" s="5231" t="s">
        <v>4206</v>
      </c>
      <c r="L942" s="1560" t="s">
        <v>37</v>
      </c>
      <c r="M942" s="923"/>
      <c r="N942" s="923"/>
      <c r="O942" s="923"/>
      <c r="P942" s="923"/>
      <c r="Q942" s="923"/>
      <c r="R942" s="923"/>
      <c r="S942" s="924"/>
      <c r="T942" s="71"/>
      <c r="U942" s="93"/>
      <c r="V942" s="2464"/>
      <c r="W942"/>
    </row>
    <row r="943" spans="1:23" ht="26.25" customHeight="1">
      <c r="A943" s="1516" t="s">
        <v>4300</v>
      </c>
      <c r="B943" s="1517">
        <v>45461</v>
      </c>
      <c r="C943" s="82">
        <f t="shared" si="16"/>
        <v>25</v>
      </c>
      <c r="D943" s="987" t="s">
        <v>80</v>
      </c>
      <c r="E943" s="1556" t="s">
        <v>4901</v>
      </c>
      <c r="F943" s="1542" t="s">
        <v>1764</v>
      </c>
      <c r="G943" s="1351" t="s">
        <v>1199</v>
      </c>
      <c r="H943" s="5272"/>
      <c r="I943" s="5265"/>
      <c r="J943" s="5257"/>
      <c r="K943" s="5231" t="s">
        <v>4206</v>
      </c>
      <c r="L943" s="1560" t="s">
        <v>37</v>
      </c>
      <c r="M943" s="923"/>
      <c r="N943" s="923"/>
      <c r="O943" s="923"/>
      <c r="P943" s="923"/>
      <c r="Q943" s="923"/>
      <c r="R943" s="923"/>
      <c r="S943" s="924"/>
      <c r="T943" s="71"/>
      <c r="U943" s="93"/>
      <c r="V943" s="2464"/>
      <c r="W943"/>
    </row>
    <row r="944" spans="1:23" ht="26.25" customHeight="1">
      <c r="A944" s="1516" t="s">
        <v>4897</v>
      </c>
      <c r="B944" s="1517">
        <v>45460</v>
      </c>
      <c r="C944" s="82">
        <f t="shared" si="16"/>
        <v>25</v>
      </c>
      <c r="D944" s="1194" t="s">
        <v>148</v>
      </c>
      <c r="E944" s="1557" t="s">
        <v>339</v>
      </c>
      <c r="F944" s="1542" t="s">
        <v>1764</v>
      </c>
      <c r="G944" s="1351" t="s">
        <v>1199</v>
      </c>
      <c r="H944" s="5272"/>
      <c r="I944" s="5265"/>
      <c r="J944" s="5257"/>
      <c r="K944" s="5231" t="s">
        <v>4206</v>
      </c>
      <c r="L944" s="1560" t="s">
        <v>37</v>
      </c>
      <c r="M944" s="923"/>
      <c r="N944" s="923"/>
      <c r="O944" s="923"/>
      <c r="P944" s="923"/>
      <c r="Q944" s="923"/>
      <c r="R944" s="923"/>
      <c r="S944" s="924"/>
      <c r="T944" s="71"/>
      <c r="U944" s="93"/>
      <c r="V944" s="2464"/>
      <c r="W944"/>
    </row>
    <row r="945" spans="1:23" ht="26.25" customHeight="1">
      <c r="A945" s="1516" t="s">
        <v>4897</v>
      </c>
      <c r="B945" s="1517">
        <v>45460</v>
      </c>
      <c r="C945" s="82">
        <f t="shared" si="16"/>
        <v>25</v>
      </c>
      <c r="D945" s="1194" t="s">
        <v>339</v>
      </c>
      <c r="E945" s="1557" t="s">
        <v>80</v>
      </c>
      <c r="F945" s="1338" t="s">
        <v>1764</v>
      </c>
      <c r="G945" s="1512" t="s">
        <v>1206</v>
      </c>
      <c r="H945" s="5272"/>
      <c r="I945" s="5265"/>
      <c r="J945" s="5257"/>
      <c r="K945" s="5231" t="s">
        <v>4206</v>
      </c>
      <c r="L945" s="1560" t="s">
        <v>37</v>
      </c>
      <c r="M945" s="923"/>
      <c r="N945" s="923"/>
      <c r="O945" s="923"/>
      <c r="P945" s="923"/>
      <c r="Q945" s="923"/>
      <c r="R945" s="923"/>
      <c r="S945" s="924"/>
      <c r="T945" s="71"/>
      <c r="U945" s="93"/>
      <c r="V945" s="2464"/>
      <c r="W945"/>
    </row>
    <row r="946" spans="1:23" ht="26.25" customHeight="1">
      <c r="A946" s="1516" t="s">
        <v>4897</v>
      </c>
      <c r="B946" s="1517">
        <v>45460</v>
      </c>
      <c r="C946" s="82">
        <f t="shared" si="16"/>
        <v>25</v>
      </c>
      <c r="D946" s="1194" t="s">
        <v>2606</v>
      </c>
      <c r="E946" s="1557" t="s">
        <v>1654</v>
      </c>
      <c r="F946" s="1543" t="s">
        <v>1764</v>
      </c>
      <c r="G946" s="1509" t="s">
        <v>1206</v>
      </c>
      <c r="H946" s="1559"/>
      <c r="I946" s="1510" t="s">
        <v>30</v>
      </c>
      <c r="J946" s="1511"/>
      <c r="K946" s="2004"/>
      <c r="L946" s="1560" t="s">
        <v>37</v>
      </c>
      <c r="M946" s="923"/>
      <c r="N946" s="923"/>
      <c r="O946" s="923"/>
      <c r="P946" s="923"/>
      <c r="Q946" s="923"/>
      <c r="R946" s="923"/>
      <c r="S946" s="924"/>
      <c r="T946" s="71"/>
      <c r="U946" s="93"/>
      <c r="V946" s="2464"/>
      <c r="W946"/>
    </row>
    <row r="947" spans="1:23" ht="78.75" customHeight="1">
      <c r="A947" s="1516" t="s">
        <v>4897</v>
      </c>
      <c r="B947" s="1517">
        <v>45460</v>
      </c>
      <c r="C947" s="82">
        <f t="shared" si="16"/>
        <v>25</v>
      </c>
      <c r="D947" s="1194" t="s">
        <v>2231</v>
      </c>
      <c r="E947" s="1557" t="s">
        <v>4902</v>
      </c>
      <c r="F947" s="1338" t="s">
        <v>1764</v>
      </c>
      <c r="G947" s="1512" t="s">
        <v>1206</v>
      </c>
      <c r="H947" s="1559"/>
      <c r="I947" s="1510" t="s">
        <v>30</v>
      </c>
      <c r="J947" s="1511"/>
      <c r="K947" s="2004"/>
      <c r="L947" s="1560"/>
      <c r="M947" s="923" t="s">
        <v>37</v>
      </c>
      <c r="N947" s="20" t="s">
        <v>109</v>
      </c>
      <c r="O947" s="20" t="s">
        <v>1019</v>
      </c>
      <c r="P947" s="20" t="s">
        <v>4102</v>
      </c>
      <c r="Q947" s="923"/>
      <c r="R947" s="923"/>
      <c r="S947" s="924"/>
      <c r="T947" s="71"/>
      <c r="U947" s="93" t="s">
        <v>4903</v>
      </c>
      <c r="V947" s="2464"/>
      <c r="W947"/>
    </row>
    <row r="948" spans="1:23" ht="26.25" customHeight="1">
      <c r="A948" s="1516" t="s">
        <v>4897</v>
      </c>
      <c r="B948" s="1517">
        <v>45460</v>
      </c>
      <c r="C948" s="82">
        <f t="shared" si="16"/>
        <v>25</v>
      </c>
      <c r="D948" s="1555" t="s">
        <v>1838</v>
      </c>
      <c r="E948" s="1558" t="s">
        <v>183</v>
      </c>
      <c r="F948" s="1544" t="s">
        <v>1764</v>
      </c>
      <c r="G948" s="1512" t="s">
        <v>1206</v>
      </c>
      <c r="H948" s="1559"/>
      <c r="I948" s="1510" t="s">
        <v>30</v>
      </c>
      <c r="J948" s="1511"/>
      <c r="K948" s="2004"/>
      <c r="L948" s="1560" t="s">
        <v>37</v>
      </c>
      <c r="M948" s="923"/>
      <c r="N948" s="923"/>
      <c r="O948" s="923"/>
      <c r="P948" s="923"/>
      <c r="Q948" s="923"/>
      <c r="R948" s="923"/>
      <c r="S948" s="924"/>
      <c r="T948" s="71"/>
      <c r="U948" s="93"/>
      <c r="V948" s="2464"/>
      <c r="W948"/>
    </row>
    <row r="949" spans="1:23" ht="26.25" customHeight="1">
      <c r="A949" s="1516" t="s">
        <v>4897</v>
      </c>
      <c r="B949" s="1517">
        <v>45460</v>
      </c>
      <c r="C949" s="82">
        <f t="shared" si="16"/>
        <v>25</v>
      </c>
      <c r="D949" s="1194" t="s">
        <v>1654</v>
      </c>
      <c r="E949" s="1557" t="s">
        <v>1698</v>
      </c>
      <c r="F949" s="1544" t="s">
        <v>1764</v>
      </c>
      <c r="G949" s="1512" t="s">
        <v>1206</v>
      </c>
      <c r="H949" s="1559"/>
      <c r="I949" s="1510" t="s">
        <v>30</v>
      </c>
      <c r="J949" s="1511"/>
      <c r="K949" s="2004"/>
      <c r="L949" s="1560" t="s">
        <v>37</v>
      </c>
      <c r="M949" s="923"/>
      <c r="N949" s="923"/>
      <c r="O949" s="923"/>
      <c r="P949" s="923"/>
      <c r="Q949" s="923"/>
      <c r="R949" s="923"/>
      <c r="S949" s="924"/>
      <c r="T949" s="71"/>
      <c r="U949" s="93"/>
      <c r="V949" s="2464"/>
      <c r="W949"/>
    </row>
    <row r="950" spans="1:23" ht="53.25" customHeight="1" thickBot="1">
      <c r="A950" s="1513" t="s">
        <v>4897</v>
      </c>
      <c r="B950" s="1531">
        <v>45460</v>
      </c>
      <c r="C950" s="85">
        <f t="shared" si="16"/>
        <v>25</v>
      </c>
      <c r="D950" s="1514" t="s">
        <v>450</v>
      </c>
      <c r="E950" s="1552" t="s">
        <v>4768</v>
      </c>
      <c r="F950" s="1545" t="s">
        <v>4904</v>
      </c>
      <c r="G950" s="1541" t="s">
        <v>4904</v>
      </c>
      <c r="H950" s="3250">
        <v>706</v>
      </c>
      <c r="I950" s="5218"/>
      <c r="J950" s="5219"/>
      <c r="K950" s="1972" t="s">
        <v>1119</v>
      </c>
      <c r="L950" s="1554"/>
      <c r="M950" s="957" t="s">
        <v>37</v>
      </c>
      <c r="N950" s="254" t="s">
        <v>109</v>
      </c>
      <c r="O950" s="35" t="s">
        <v>1847</v>
      </c>
      <c r="P950" s="254" t="s">
        <v>4330</v>
      </c>
      <c r="Q950" s="1591">
        <v>1</v>
      </c>
      <c r="R950" s="958"/>
      <c r="S950" s="958"/>
      <c r="T950" s="91"/>
      <c r="U950" s="116" t="s">
        <v>4905</v>
      </c>
      <c r="V950" s="2464"/>
      <c r="W950"/>
    </row>
    <row r="951" spans="1:23" ht="27" customHeight="1" thickBot="1">
      <c r="A951" s="1586" t="s">
        <v>4300</v>
      </c>
      <c r="B951" s="1587">
        <v>45461</v>
      </c>
      <c r="C951" s="832">
        <f t="shared" si="16"/>
        <v>25</v>
      </c>
      <c r="D951" s="1588" t="s">
        <v>169</v>
      </c>
      <c r="E951" s="1589" t="s">
        <v>4906</v>
      </c>
      <c r="F951" s="1543" t="s">
        <v>1764</v>
      </c>
      <c r="G951" s="1509" t="s">
        <v>1206</v>
      </c>
      <c r="H951" s="5271">
        <v>706</v>
      </c>
      <c r="I951" s="2074"/>
      <c r="J951" s="2048"/>
      <c r="K951" s="3250" t="s">
        <v>4504</v>
      </c>
      <c r="L951" s="1590" t="s">
        <v>37</v>
      </c>
      <c r="M951" s="1009"/>
      <c r="N951" s="1009"/>
      <c r="O951" s="1009"/>
      <c r="P951" s="1009"/>
      <c r="Q951" s="1009"/>
      <c r="R951" s="1009"/>
      <c r="S951" s="1005"/>
      <c r="T951" s="97"/>
      <c r="U951" s="98"/>
      <c r="V951" s="2464"/>
      <c r="W951"/>
    </row>
    <row r="952" spans="1:23" ht="26.25" customHeight="1">
      <c r="A952" s="1516" t="s">
        <v>4300</v>
      </c>
      <c r="B952" s="1517">
        <v>45461</v>
      </c>
      <c r="C952" s="82">
        <f t="shared" si="16"/>
        <v>25</v>
      </c>
      <c r="D952" s="987" t="s">
        <v>4220</v>
      </c>
      <c r="E952" s="1556" t="s">
        <v>4907</v>
      </c>
      <c r="F952" s="1381" t="s">
        <v>1764</v>
      </c>
      <c r="G952" s="1319" t="s">
        <v>1764</v>
      </c>
      <c r="H952" s="5290"/>
      <c r="I952" s="1510"/>
      <c r="J952" s="1511"/>
      <c r="K952" s="2004"/>
      <c r="L952" s="1560" t="s">
        <v>37</v>
      </c>
      <c r="M952" s="923"/>
      <c r="N952" s="923"/>
      <c r="O952" s="923"/>
      <c r="P952" s="923"/>
      <c r="Q952" s="923"/>
      <c r="R952" s="923"/>
      <c r="S952" s="924"/>
      <c r="T952" s="71"/>
      <c r="U952" s="93"/>
      <c r="V952" s="2464"/>
      <c r="W952"/>
    </row>
    <row r="953" spans="1:23" ht="105" customHeight="1">
      <c r="A953" s="1516" t="s">
        <v>4300</v>
      </c>
      <c r="B953" s="1517">
        <v>45461</v>
      </c>
      <c r="C953" s="82">
        <f t="shared" si="16"/>
        <v>25</v>
      </c>
      <c r="D953" s="987" t="s">
        <v>2141</v>
      </c>
      <c r="E953" s="1556" t="s">
        <v>4908</v>
      </c>
      <c r="F953" s="1338" t="s">
        <v>1199</v>
      </c>
      <c r="G953" s="1309" t="s">
        <v>1199</v>
      </c>
      <c r="H953" s="1559"/>
      <c r="I953" s="1510"/>
      <c r="J953" s="1511"/>
      <c r="K953" s="2004"/>
      <c r="L953" s="1560"/>
      <c r="M953" s="923" t="s">
        <v>37</v>
      </c>
      <c r="N953" s="21" t="s">
        <v>0</v>
      </c>
      <c r="O953" s="21" t="s">
        <v>757</v>
      </c>
      <c r="P953" s="21" t="s">
        <v>4330</v>
      </c>
      <c r="Q953" s="923"/>
      <c r="R953" s="923"/>
      <c r="S953" s="924"/>
      <c r="T953" s="71"/>
      <c r="U953" s="93" t="s">
        <v>4909</v>
      </c>
      <c r="V953" s="2464"/>
      <c r="W953"/>
    </row>
    <row r="954" spans="1:23" ht="26.25" customHeight="1" thickBot="1">
      <c r="A954" s="1516" t="s">
        <v>4300</v>
      </c>
      <c r="B954" s="1517">
        <v>45461</v>
      </c>
      <c r="C954" s="82">
        <f t="shared" si="16"/>
        <v>25</v>
      </c>
      <c r="D954" s="1063" t="s">
        <v>4609</v>
      </c>
      <c r="E954" s="1563" t="s">
        <v>659</v>
      </c>
      <c r="F954" s="1066" t="s">
        <v>1764</v>
      </c>
      <c r="G954" s="1314" t="s">
        <v>1764</v>
      </c>
      <c r="H954" s="3250">
        <v>706</v>
      </c>
      <c r="I954" s="5201"/>
      <c r="J954" s="2016"/>
      <c r="K954" s="1972" t="s">
        <v>1119</v>
      </c>
      <c r="L954" s="1560" t="s">
        <v>37</v>
      </c>
      <c r="M954" s="923"/>
      <c r="N954" s="923"/>
      <c r="O954" s="923"/>
      <c r="P954" s="923"/>
      <c r="Q954" s="923"/>
      <c r="R954" s="923"/>
      <c r="S954" s="924"/>
      <c r="T954" s="71"/>
      <c r="U954" s="93"/>
      <c r="V954" s="2464"/>
      <c r="W954"/>
    </row>
    <row r="955" spans="1:23" ht="26.25" customHeight="1">
      <c r="A955" s="1516" t="s">
        <v>4300</v>
      </c>
      <c r="B955" s="1517">
        <v>45461</v>
      </c>
      <c r="C955" s="82">
        <f t="shared" si="16"/>
        <v>25</v>
      </c>
      <c r="D955" s="1519" t="s">
        <v>2191</v>
      </c>
      <c r="E955" s="1564" t="s">
        <v>2461</v>
      </c>
      <c r="F955" s="1381" t="s">
        <v>1764</v>
      </c>
      <c r="G955" s="1319" t="s">
        <v>1764</v>
      </c>
      <c r="H955" s="5272"/>
      <c r="I955" s="5257"/>
      <c r="J955" s="5242"/>
      <c r="K955" s="5231" t="s">
        <v>4206</v>
      </c>
      <c r="L955" s="1560" t="s">
        <v>37</v>
      </c>
      <c r="M955" s="923"/>
      <c r="N955" s="923"/>
      <c r="O955" s="923"/>
      <c r="P955" s="923"/>
      <c r="Q955" s="923"/>
      <c r="R955" s="923"/>
      <c r="S955" s="924"/>
      <c r="T955" s="71"/>
      <c r="U955" s="93"/>
      <c r="V955" s="2464"/>
      <c r="W955"/>
    </row>
    <row r="956" spans="1:23" ht="26.25" customHeight="1">
      <c r="A956" s="1516" t="s">
        <v>4300</v>
      </c>
      <c r="B956" s="1517">
        <v>45461</v>
      </c>
      <c r="C956" s="82">
        <f t="shared" si="16"/>
        <v>25</v>
      </c>
      <c r="D956" s="993" t="s">
        <v>4671</v>
      </c>
      <c r="E956" s="1565" t="s">
        <v>351</v>
      </c>
      <c r="F956" s="1543" t="s">
        <v>1764</v>
      </c>
      <c r="G956" s="1509" t="s">
        <v>1206</v>
      </c>
      <c r="H956" s="1559"/>
      <c r="I956" s="1381" t="s">
        <v>1199</v>
      </c>
      <c r="J956" s="1520"/>
      <c r="K956" s="2006"/>
      <c r="L956" s="1560" t="s">
        <v>37</v>
      </c>
      <c r="M956" s="923"/>
      <c r="N956" s="923"/>
      <c r="O956" s="923"/>
      <c r="P956" s="923"/>
      <c r="Q956" s="923"/>
      <c r="R956" s="923"/>
      <c r="S956" s="924"/>
      <c r="T956" s="71"/>
      <c r="U956" s="93"/>
      <c r="V956" s="2464"/>
      <c r="W956"/>
    </row>
    <row r="957" spans="1:23" ht="26.25" customHeight="1">
      <c r="A957" s="1516" t="s">
        <v>4300</v>
      </c>
      <c r="B957" s="1517">
        <v>45461</v>
      </c>
      <c r="C957" s="82">
        <f t="shared" si="16"/>
        <v>25</v>
      </c>
      <c r="D957" s="1521" t="s">
        <v>1838</v>
      </c>
      <c r="E957" s="1566" t="s">
        <v>4645</v>
      </c>
      <c r="F957" s="1066" t="s">
        <v>1764</v>
      </c>
      <c r="G957" s="1223" t="s">
        <v>1206</v>
      </c>
      <c r="H957" s="1559"/>
      <c r="I957" s="1381" t="s">
        <v>1199</v>
      </c>
      <c r="J957" s="1520"/>
      <c r="K957" s="2006"/>
      <c r="L957" s="1560" t="s">
        <v>37</v>
      </c>
      <c r="M957" s="923"/>
      <c r="N957" s="923"/>
      <c r="O957" s="923"/>
      <c r="P957" s="923"/>
      <c r="Q957" s="923"/>
      <c r="R957" s="923"/>
      <c r="S957" s="924"/>
      <c r="T957" s="71"/>
      <c r="U957" s="93"/>
      <c r="V957" s="2464"/>
      <c r="W957"/>
    </row>
    <row r="958" spans="1:23" ht="26.25" customHeight="1">
      <c r="A958" s="1516" t="s">
        <v>4300</v>
      </c>
      <c r="B958" s="1517">
        <v>45461</v>
      </c>
      <c r="C958" s="82">
        <f t="shared" si="16"/>
        <v>25</v>
      </c>
      <c r="D958" s="1521" t="s">
        <v>4541</v>
      </c>
      <c r="E958" s="1566" t="s">
        <v>4910</v>
      </c>
      <c r="F958" s="1066" t="s">
        <v>1764</v>
      </c>
      <c r="G958" s="1314" t="s">
        <v>1764</v>
      </c>
      <c r="H958" s="1559"/>
      <c r="I958" s="1381" t="s">
        <v>1199</v>
      </c>
      <c r="J958" s="1520"/>
      <c r="K958" s="2006"/>
      <c r="L958" s="1560" t="s">
        <v>37</v>
      </c>
      <c r="M958" s="923"/>
      <c r="N958" s="923"/>
      <c r="O958" s="923"/>
      <c r="P958" s="923"/>
      <c r="Q958" s="923"/>
      <c r="R958" s="923"/>
      <c r="S958" s="924"/>
      <c r="T958" s="71"/>
      <c r="U958" s="93"/>
      <c r="V958" s="2464"/>
      <c r="W958"/>
    </row>
    <row r="959" spans="1:23" ht="26.25" customHeight="1" thickBot="1">
      <c r="A959" s="1522" t="s">
        <v>4300</v>
      </c>
      <c r="B959" s="1523">
        <v>45461</v>
      </c>
      <c r="C959" s="169">
        <f t="shared" si="16"/>
        <v>25</v>
      </c>
      <c r="D959" s="1524" t="s">
        <v>2606</v>
      </c>
      <c r="E959" s="1561" t="s">
        <v>4911</v>
      </c>
      <c r="F959" s="1445" t="s">
        <v>4912</v>
      </c>
      <c r="G959" s="1452" t="s">
        <v>1206</v>
      </c>
      <c r="H959" s="1570"/>
      <c r="I959" s="1461"/>
      <c r="J959" s="1525"/>
      <c r="K959" s="2007"/>
      <c r="L959" s="1562" t="s">
        <v>37</v>
      </c>
      <c r="M959" s="1001"/>
      <c r="N959" s="1001"/>
      <c r="O959" s="1001"/>
      <c r="P959" s="1001"/>
      <c r="Q959" s="1001"/>
      <c r="R959" s="1001"/>
      <c r="S959" s="1002"/>
      <c r="T959" s="33"/>
      <c r="U959" s="1429"/>
      <c r="V959" s="2464"/>
      <c r="W959"/>
    </row>
    <row r="960" spans="1:23" ht="26.25" customHeight="1">
      <c r="A960" s="1526" t="s">
        <v>1314</v>
      </c>
      <c r="B960" s="1527">
        <v>45462</v>
      </c>
      <c r="C960" s="846">
        <f t="shared" si="16"/>
        <v>25</v>
      </c>
      <c r="D960" s="1528" t="s">
        <v>4503</v>
      </c>
      <c r="E960" s="1571" t="s">
        <v>4768</v>
      </c>
      <c r="F960" s="1489" t="s">
        <v>1764</v>
      </c>
      <c r="G960" s="1318" t="s">
        <v>1764</v>
      </c>
      <c r="H960" s="1573"/>
      <c r="I960" s="1535" t="s">
        <v>1199</v>
      </c>
      <c r="J960" s="1529"/>
      <c r="K960" s="2008"/>
      <c r="L960" s="1553" t="s">
        <v>37</v>
      </c>
      <c r="M960" s="918"/>
      <c r="N960" s="918"/>
      <c r="O960" s="918"/>
      <c r="P960" s="918"/>
      <c r="Q960" s="918"/>
      <c r="R960" s="1530">
        <v>1</v>
      </c>
      <c r="S960" s="919"/>
      <c r="T960" s="64"/>
      <c r="U960" s="1515" t="s">
        <v>4913</v>
      </c>
      <c r="V960" s="2464"/>
      <c r="W960"/>
    </row>
    <row r="961" spans="1:23" ht="26.25" customHeight="1">
      <c r="A961" s="1516" t="s">
        <v>1314</v>
      </c>
      <c r="B961" s="1517">
        <v>45462</v>
      </c>
      <c r="C961" s="82">
        <f t="shared" si="16"/>
        <v>25</v>
      </c>
      <c r="D961" s="1194" t="s">
        <v>204</v>
      </c>
      <c r="E961" s="1557" t="s">
        <v>43</v>
      </c>
      <c r="F961" s="1066" t="s">
        <v>1764</v>
      </c>
      <c r="G961" s="1314" t="s">
        <v>1764</v>
      </c>
      <c r="H961" s="5272"/>
      <c r="I961" s="5257"/>
      <c r="J961" s="5242"/>
      <c r="K961" s="5231" t="s">
        <v>4206</v>
      </c>
      <c r="L961" s="1560" t="s">
        <v>37</v>
      </c>
      <c r="M961" s="923"/>
      <c r="N961" s="923"/>
      <c r="O961" s="923"/>
      <c r="P961" s="923"/>
      <c r="Q961" s="923"/>
      <c r="R961" s="923"/>
      <c r="S961" s="924"/>
      <c r="T961" s="71"/>
      <c r="U961" s="93"/>
      <c r="V961" s="2464"/>
      <c r="W961"/>
    </row>
    <row r="962" spans="1:23" ht="26.25" customHeight="1">
      <c r="A962" s="1516" t="s">
        <v>1314</v>
      </c>
      <c r="B962" s="1517">
        <v>45462</v>
      </c>
      <c r="C962" s="82">
        <f t="shared" si="16"/>
        <v>25</v>
      </c>
      <c r="D962" s="988" t="s">
        <v>1698</v>
      </c>
      <c r="E962" s="1572" t="s">
        <v>2276</v>
      </c>
      <c r="F962" s="1066" t="s">
        <v>1764</v>
      </c>
      <c r="G962" s="1314" t="s">
        <v>1764</v>
      </c>
      <c r="H962" s="1559"/>
      <c r="I962" s="1569" t="s">
        <v>1199</v>
      </c>
      <c r="J962" s="1520"/>
      <c r="K962" s="2006"/>
      <c r="L962" s="1560" t="s">
        <v>37</v>
      </c>
      <c r="M962" s="923"/>
      <c r="N962" s="923"/>
      <c r="O962" s="923"/>
      <c r="P962" s="923"/>
      <c r="Q962" s="923"/>
      <c r="R962" s="923"/>
      <c r="S962" s="924"/>
      <c r="T962" s="71"/>
      <c r="U962" s="93"/>
      <c r="V962" s="2464"/>
      <c r="W962"/>
    </row>
    <row r="963" spans="1:23" ht="26.25" customHeight="1">
      <c r="A963" s="1516" t="s">
        <v>1314</v>
      </c>
      <c r="B963" s="1517">
        <v>45462</v>
      </c>
      <c r="C963" s="82">
        <f t="shared" si="16"/>
        <v>25</v>
      </c>
      <c r="D963" s="988" t="s">
        <v>339</v>
      </c>
      <c r="E963" s="1572" t="s">
        <v>2461</v>
      </c>
      <c r="F963" s="1066" t="s">
        <v>1199</v>
      </c>
      <c r="G963" s="1314" t="s">
        <v>1199</v>
      </c>
      <c r="H963" s="1559"/>
      <c r="I963" s="1569" t="s">
        <v>1199</v>
      </c>
      <c r="J963" s="1520"/>
      <c r="K963" s="2006"/>
      <c r="L963" s="1560" t="s">
        <v>37</v>
      </c>
      <c r="M963" s="923"/>
      <c r="N963" s="923"/>
      <c r="O963" s="923"/>
      <c r="P963" s="923"/>
      <c r="Q963" s="923"/>
      <c r="R963" s="923"/>
      <c r="S963" s="924"/>
      <c r="T963" s="71"/>
      <c r="U963" s="93"/>
      <c r="V963" s="2464"/>
      <c r="W963"/>
    </row>
    <row r="964" spans="1:23" ht="26.25" customHeight="1">
      <c r="A964" s="1516" t="s">
        <v>1314</v>
      </c>
      <c r="B964" s="1517">
        <v>45462</v>
      </c>
      <c r="C964" s="82">
        <f t="shared" si="16"/>
        <v>25</v>
      </c>
      <c r="D964" s="1518" t="s">
        <v>2606</v>
      </c>
      <c r="E964" s="1563" t="s">
        <v>183</v>
      </c>
      <c r="F964" s="1381" t="s">
        <v>1764</v>
      </c>
      <c r="G964" s="1319" t="s">
        <v>1764</v>
      </c>
      <c r="H964" s="1559"/>
      <c r="I964" s="1569" t="s">
        <v>1199</v>
      </c>
      <c r="J964" s="1520"/>
      <c r="K964" s="2006"/>
      <c r="L964" s="1560" t="s">
        <v>37</v>
      </c>
      <c r="M964" s="923"/>
      <c r="N964" s="923"/>
      <c r="O964" s="923"/>
      <c r="P964" s="923"/>
      <c r="Q964" s="923"/>
      <c r="R964" s="923"/>
      <c r="S964" s="924"/>
      <c r="T964" s="71"/>
      <c r="U964" s="93"/>
      <c r="V964" s="2464"/>
      <c r="W964"/>
    </row>
    <row r="965" spans="1:23" ht="61.35" customHeight="1" thickBot="1">
      <c r="A965" s="1516" t="s">
        <v>1314</v>
      </c>
      <c r="B965" s="1517">
        <v>45462</v>
      </c>
      <c r="C965" s="82">
        <f t="shared" si="16"/>
        <v>25</v>
      </c>
      <c r="D965" s="1194" t="s">
        <v>293</v>
      </c>
      <c r="E965" s="1557" t="s">
        <v>4914</v>
      </c>
      <c r="F965" s="1472" t="s">
        <v>1199</v>
      </c>
      <c r="G965" s="1568" t="s">
        <v>1199</v>
      </c>
      <c r="H965" s="1559"/>
      <c r="I965" s="1569"/>
      <c r="J965" s="1520"/>
      <c r="K965" s="2006"/>
      <c r="L965" s="1560"/>
      <c r="M965" s="923" t="s">
        <v>37</v>
      </c>
      <c r="N965" s="21" t="s">
        <v>71</v>
      </c>
      <c r="O965" s="21" t="s">
        <v>2932</v>
      </c>
      <c r="P965" s="21" t="s">
        <v>4102</v>
      </c>
      <c r="Q965" s="923"/>
      <c r="R965" s="923"/>
      <c r="S965" s="924"/>
      <c r="T965" s="71"/>
      <c r="U965" s="93" t="s">
        <v>4915</v>
      </c>
      <c r="V965" s="2464"/>
      <c r="W965"/>
    </row>
    <row r="966" spans="1:23" ht="26.25" customHeight="1">
      <c r="A966" s="1526" t="s">
        <v>1437</v>
      </c>
      <c r="B966" s="1527">
        <v>45463</v>
      </c>
      <c r="C966" s="846">
        <f t="shared" si="16"/>
        <v>25</v>
      </c>
      <c r="D966" s="1580" t="s">
        <v>169</v>
      </c>
      <c r="E966" s="1581" t="s">
        <v>4916</v>
      </c>
      <c r="F966" s="1575" t="s">
        <v>1199</v>
      </c>
      <c r="G966" s="1533" t="s">
        <v>1199</v>
      </c>
      <c r="H966" s="1573"/>
      <c r="I966" s="1510"/>
      <c r="J966" s="1511"/>
      <c r="K966" s="2004"/>
      <c r="L966" s="1553" t="s">
        <v>37</v>
      </c>
      <c r="M966" s="918"/>
      <c r="N966" s="918"/>
      <c r="O966" s="918"/>
      <c r="P966" s="918"/>
      <c r="Q966" s="918"/>
      <c r="R966" s="918"/>
      <c r="S966" s="919"/>
      <c r="T966" s="64"/>
      <c r="U966" s="1515"/>
      <c r="V966" s="2464"/>
      <c r="W966"/>
    </row>
    <row r="967" spans="1:23" ht="26.25" customHeight="1">
      <c r="A967" s="1516" t="s">
        <v>1437</v>
      </c>
      <c r="B967" s="1517">
        <v>45463</v>
      </c>
      <c r="C967" s="82">
        <f t="shared" si="16"/>
        <v>25</v>
      </c>
      <c r="D967" s="987" t="s">
        <v>68</v>
      </c>
      <c r="E967" s="1556" t="s">
        <v>4917</v>
      </c>
      <c r="F967" s="1576" t="s">
        <v>1199</v>
      </c>
      <c r="G967" s="1574" t="s">
        <v>1199</v>
      </c>
      <c r="H967" s="1559"/>
      <c r="I967" s="1510" t="s">
        <v>1199</v>
      </c>
      <c r="J967" s="1511"/>
      <c r="K967" s="2004"/>
      <c r="L967" s="1560" t="s">
        <v>37</v>
      </c>
      <c r="M967" s="923"/>
      <c r="N967" s="923"/>
      <c r="O967" s="923"/>
      <c r="P967" s="923"/>
      <c r="Q967" s="923"/>
      <c r="R967" s="923"/>
      <c r="S967" s="924"/>
      <c r="T967" s="71"/>
      <c r="U967" s="93"/>
      <c r="V967" s="2464"/>
      <c r="W967"/>
    </row>
    <row r="968" spans="1:23" ht="26.25" customHeight="1">
      <c r="A968" s="1516" t="s">
        <v>1437</v>
      </c>
      <c r="B968" s="1517">
        <v>45463</v>
      </c>
      <c r="C968" s="82">
        <f t="shared" si="16"/>
        <v>25</v>
      </c>
      <c r="D968" s="987" t="s">
        <v>499</v>
      </c>
      <c r="E968" s="1556" t="s">
        <v>4918</v>
      </c>
      <c r="F968" s="1575" t="s">
        <v>1199</v>
      </c>
      <c r="G968" s="1533" t="s">
        <v>1199</v>
      </c>
      <c r="H968" s="1559"/>
      <c r="I968" s="1510" t="s">
        <v>1199</v>
      </c>
      <c r="J968" s="1511"/>
      <c r="K968" s="2004"/>
      <c r="L968" s="1560" t="s">
        <v>37</v>
      </c>
      <c r="M968" s="923"/>
      <c r="N968" s="923"/>
      <c r="O968" s="923"/>
      <c r="P968" s="923"/>
      <c r="Q968" s="923"/>
      <c r="R968" s="923"/>
      <c r="S968" s="924"/>
      <c r="T968" s="71"/>
      <c r="U968" s="93" t="s">
        <v>4919</v>
      </c>
      <c r="V968" s="2464"/>
      <c r="W968"/>
    </row>
    <row r="969" spans="1:23" ht="26.25" customHeight="1">
      <c r="A969" s="1516" t="s">
        <v>1437</v>
      </c>
      <c r="B969" s="1517">
        <v>45463</v>
      </c>
      <c r="C969" s="82">
        <f t="shared" si="16"/>
        <v>25</v>
      </c>
      <c r="D969" s="987" t="s">
        <v>207</v>
      </c>
      <c r="E969" s="1556" t="s">
        <v>4920</v>
      </c>
      <c r="F969" s="1575" t="s">
        <v>1199</v>
      </c>
      <c r="G969" s="1533" t="s">
        <v>1199</v>
      </c>
      <c r="H969" s="5272"/>
      <c r="I969" s="5265"/>
      <c r="J969" s="5257"/>
      <c r="K969" s="5231" t="s">
        <v>4206</v>
      </c>
      <c r="L969" s="1560" t="s">
        <v>37</v>
      </c>
      <c r="M969" s="923"/>
      <c r="N969" s="923"/>
      <c r="O969" s="923"/>
      <c r="P969" s="923"/>
      <c r="Q969" s="923"/>
      <c r="R969" s="923"/>
      <c r="S969" s="924"/>
      <c r="T969" s="71"/>
      <c r="U969" s="93"/>
      <c r="V969" s="2464"/>
      <c r="W969"/>
    </row>
    <row r="970" spans="1:23" ht="52.5" customHeight="1">
      <c r="A970" s="1516" t="s">
        <v>1437</v>
      </c>
      <c r="B970" s="1517">
        <v>45463</v>
      </c>
      <c r="C970" s="82">
        <f t="shared" si="16"/>
        <v>25</v>
      </c>
      <c r="D970" s="941" t="s">
        <v>4898</v>
      </c>
      <c r="E970" s="1582" t="s">
        <v>4091</v>
      </c>
      <c r="F970" s="1577" t="s">
        <v>1199</v>
      </c>
      <c r="G970" s="1352" t="s">
        <v>1199</v>
      </c>
      <c r="H970" s="5272"/>
      <c r="I970" s="5258"/>
      <c r="J970" s="5239"/>
      <c r="K970" s="5231" t="s">
        <v>4206</v>
      </c>
      <c r="L970" s="1560"/>
      <c r="M970" s="923" t="s">
        <v>37</v>
      </c>
      <c r="N970" s="21" t="s">
        <v>0</v>
      </c>
      <c r="O970" s="21" t="s">
        <v>31</v>
      </c>
      <c r="P970" s="21" t="s">
        <v>4102</v>
      </c>
      <c r="Q970" s="1579">
        <v>2</v>
      </c>
      <c r="R970" s="923"/>
      <c r="S970" s="924"/>
      <c r="T970" s="71"/>
      <c r="U970" s="93" t="s">
        <v>4921</v>
      </c>
      <c r="V970" s="2464"/>
      <c r="W970"/>
    </row>
    <row r="971" spans="1:23" ht="26.25" customHeight="1" thickBot="1">
      <c r="A971" s="1516" t="s">
        <v>1437</v>
      </c>
      <c r="B971" s="1517">
        <v>45463</v>
      </c>
      <c r="C971" s="82">
        <f t="shared" si="16"/>
        <v>25</v>
      </c>
      <c r="D971" s="1063" t="s">
        <v>4922</v>
      </c>
      <c r="E971" s="1563" t="s">
        <v>4220</v>
      </c>
      <c r="F971" s="1066" t="s">
        <v>1764</v>
      </c>
      <c r="G971" s="1223" t="s">
        <v>1199</v>
      </c>
      <c r="H971" s="3250">
        <v>706</v>
      </c>
      <c r="I971" s="5201"/>
      <c r="J971" s="2016"/>
      <c r="K971" s="1972" t="s">
        <v>1119</v>
      </c>
      <c r="L971" s="1560" t="s">
        <v>37</v>
      </c>
      <c r="M971" s="923"/>
      <c r="N971" s="923"/>
      <c r="O971" s="923"/>
      <c r="P971" s="923"/>
      <c r="Q971" s="923"/>
      <c r="R971" s="923"/>
      <c r="S971" s="924"/>
      <c r="T971" s="71"/>
      <c r="U971" s="93"/>
      <c r="V971" s="2464"/>
      <c r="W971"/>
    </row>
    <row r="972" spans="1:23" ht="26.25" customHeight="1">
      <c r="A972" s="1516" t="s">
        <v>1437</v>
      </c>
      <c r="B972" s="1517">
        <v>45463</v>
      </c>
      <c r="C972" s="82">
        <f t="shared" si="16"/>
        <v>25</v>
      </c>
      <c r="D972" s="1521" t="s">
        <v>4923</v>
      </c>
      <c r="E972" s="1566" t="s">
        <v>4924</v>
      </c>
      <c r="F972" s="1578" t="s">
        <v>1202</v>
      </c>
      <c r="G972" s="1512" t="s">
        <v>1202</v>
      </c>
      <c r="H972" s="1559"/>
      <c r="I972" s="1510"/>
      <c r="J972" s="1511"/>
      <c r="K972" s="2004"/>
      <c r="L972" s="1560" t="s">
        <v>37</v>
      </c>
      <c r="M972" s="923"/>
      <c r="N972" s="923"/>
      <c r="O972" s="923"/>
      <c r="P972" s="923"/>
      <c r="Q972" s="923"/>
      <c r="R972" s="923"/>
      <c r="S972" s="924"/>
      <c r="T972" s="71"/>
      <c r="U972" s="93"/>
      <c r="V972" s="2464"/>
      <c r="W972"/>
    </row>
    <row r="973" spans="1:23" ht="26.25" customHeight="1">
      <c r="A973" s="1516" t="s">
        <v>1437</v>
      </c>
      <c r="B973" s="1517">
        <v>45463</v>
      </c>
      <c r="C973" s="82">
        <f t="shared" si="16"/>
        <v>25</v>
      </c>
      <c r="D973" s="1521" t="s">
        <v>339</v>
      </c>
      <c r="E973" s="1566" t="s">
        <v>220</v>
      </c>
      <c r="F973" s="1338" t="s">
        <v>1764</v>
      </c>
      <c r="G973" s="1314" t="s">
        <v>1764</v>
      </c>
      <c r="H973" s="1559"/>
      <c r="I973" s="1510" t="s">
        <v>1199</v>
      </c>
      <c r="J973" s="1511"/>
      <c r="K973" s="2004"/>
      <c r="L973" s="1560" t="s">
        <v>37</v>
      </c>
      <c r="M973" s="923"/>
      <c r="N973" s="923"/>
      <c r="O973" s="923"/>
      <c r="P973" s="923"/>
      <c r="Q973" s="923"/>
      <c r="R973" s="923"/>
      <c r="S973" s="924"/>
      <c r="T973" s="71"/>
      <c r="U973" s="93"/>
      <c r="V973" s="2464"/>
      <c r="W973"/>
    </row>
    <row r="974" spans="1:23" ht="26.25" customHeight="1">
      <c r="A974" s="1516" t="s">
        <v>1437</v>
      </c>
      <c r="B974" s="1517">
        <v>45463</v>
      </c>
      <c r="C974" s="82">
        <f t="shared" si="16"/>
        <v>25</v>
      </c>
      <c r="D974" s="1521" t="s">
        <v>169</v>
      </c>
      <c r="E974" s="1566" t="s">
        <v>2149</v>
      </c>
      <c r="F974" s="1338" t="s">
        <v>1764</v>
      </c>
      <c r="G974" s="1309" t="s">
        <v>1764</v>
      </c>
      <c r="H974" s="5272"/>
      <c r="I974" s="5265"/>
      <c r="J974" s="5257"/>
      <c r="K974" s="5231" t="s">
        <v>4206</v>
      </c>
      <c r="L974" s="1560" t="s">
        <v>37</v>
      </c>
      <c r="M974" s="923"/>
      <c r="N974" s="923"/>
      <c r="O974" s="923"/>
      <c r="P974" s="923"/>
      <c r="Q974" s="923"/>
      <c r="R974" s="923"/>
      <c r="S974" s="924"/>
      <c r="T974" s="71"/>
      <c r="U974" s="93"/>
      <c r="V974" s="2464"/>
      <c r="W974"/>
    </row>
    <row r="975" spans="1:23" ht="26.25" customHeight="1" thickBot="1">
      <c r="A975" s="1522" t="s">
        <v>1437</v>
      </c>
      <c r="B975" s="1523">
        <v>45463</v>
      </c>
      <c r="C975" s="169">
        <f t="shared" si="16"/>
        <v>25</v>
      </c>
      <c r="D975" s="1524" t="s">
        <v>4821</v>
      </c>
      <c r="E975" s="1561" t="s">
        <v>4899</v>
      </c>
      <c r="F975" s="1543" t="s">
        <v>1764</v>
      </c>
      <c r="G975" s="1509" t="s">
        <v>1206</v>
      </c>
      <c r="H975" s="5261"/>
      <c r="I975" s="5265"/>
      <c r="J975" s="5257"/>
      <c r="K975" s="5231" t="s">
        <v>4206</v>
      </c>
      <c r="L975" s="1562" t="s">
        <v>37</v>
      </c>
      <c r="M975" s="1001"/>
      <c r="N975" s="1001"/>
      <c r="O975" s="1001"/>
      <c r="P975" s="1001"/>
      <c r="Q975" s="1001"/>
      <c r="R975" s="1001"/>
      <c r="S975" s="1002"/>
      <c r="T975" s="33"/>
      <c r="U975" s="1429"/>
      <c r="V975" s="2464"/>
      <c r="W975"/>
    </row>
    <row r="976" spans="1:23" ht="26.25" customHeight="1">
      <c r="A976" s="1526" t="s">
        <v>1193</v>
      </c>
      <c r="B976" s="1527">
        <v>45464</v>
      </c>
      <c r="C976" s="846">
        <f t="shared" si="16"/>
        <v>25</v>
      </c>
      <c r="D976" s="1528" t="s">
        <v>258</v>
      </c>
      <c r="E976" s="1571" t="s">
        <v>4541</v>
      </c>
      <c r="F976" s="1584" t="s">
        <v>1764</v>
      </c>
      <c r="G976" s="1313" t="s">
        <v>1764</v>
      </c>
      <c r="H976" s="1573"/>
      <c r="I976" s="1535" t="s">
        <v>1199</v>
      </c>
      <c r="J976" s="1529"/>
      <c r="K976" s="2008"/>
      <c r="L976" s="1553" t="s">
        <v>37</v>
      </c>
      <c r="M976" s="918"/>
      <c r="N976" s="918"/>
      <c r="O976" s="918"/>
      <c r="P976" s="918"/>
      <c r="Q976" s="918"/>
      <c r="R976" s="918"/>
      <c r="S976" s="919"/>
      <c r="T976" s="64"/>
      <c r="U976" s="1515"/>
      <c r="V976" s="2464"/>
      <c r="W976"/>
    </row>
    <row r="977" spans="1:23" ht="52.5" customHeight="1">
      <c r="A977" s="1516" t="s">
        <v>1193</v>
      </c>
      <c r="B977" s="1517">
        <v>45464</v>
      </c>
      <c r="C977" s="82">
        <f t="shared" si="16"/>
        <v>25</v>
      </c>
      <c r="D977" s="1194" t="s">
        <v>2191</v>
      </c>
      <c r="E977" s="1557" t="s">
        <v>488</v>
      </c>
      <c r="F977" s="1543" t="s">
        <v>1764</v>
      </c>
      <c r="G977" s="1509" t="s">
        <v>1206</v>
      </c>
      <c r="H977" s="5272"/>
      <c r="I977" s="5265"/>
      <c r="J977" s="5257"/>
      <c r="K977" s="5231" t="s">
        <v>4206</v>
      </c>
      <c r="L977" s="1560"/>
      <c r="M977" s="923" t="s">
        <v>37</v>
      </c>
      <c r="N977" s="21" t="s">
        <v>122</v>
      </c>
      <c r="O977" s="21" t="s">
        <v>123</v>
      </c>
      <c r="P977" s="21" t="s">
        <v>4102</v>
      </c>
      <c r="Q977" s="1536">
        <v>3</v>
      </c>
      <c r="R977" s="923"/>
      <c r="S977" s="924"/>
      <c r="T977" s="71"/>
      <c r="U977" s="93" t="s">
        <v>4925</v>
      </c>
      <c r="V977" s="2464"/>
      <c r="W977"/>
    </row>
    <row r="978" spans="1:23" ht="26.25" customHeight="1">
      <c r="A978" s="1516" t="s">
        <v>1193</v>
      </c>
      <c r="B978" s="1517">
        <v>45464</v>
      </c>
      <c r="C978" s="82">
        <f t="shared" si="16"/>
        <v>25</v>
      </c>
      <c r="D978" s="1194" t="s">
        <v>1654</v>
      </c>
      <c r="E978" s="1557" t="s">
        <v>1713</v>
      </c>
      <c r="F978" s="1338" t="s">
        <v>1199</v>
      </c>
      <c r="G978" s="1314" t="s">
        <v>1199</v>
      </c>
      <c r="H978" s="1559"/>
      <c r="I978" s="1510" t="s">
        <v>1199</v>
      </c>
      <c r="J978" s="1511"/>
      <c r="K978" s="2004"/>
      <c r="L978" s="1560" t="s">
        <v>37</v>
      </c>
      <c r="M978" s="923"/>
      <c r="N978" s="923"/>
      <c r="O978" s="923"/>
      <c r="P978" s="923"/>
      <c r="Q978" s="923"/>
      <c r="R978" s="923"/>
      <c r="S978" s="924"/>
      <c r="T978" s="71"/>
      <c r="U978" s="93"/>
      <c r="V978" s="2464"/>
      <c r="W978"/>
    </row>
    <row r="979" spans="1:23" ht="27" customHeight="1" thickBot="1">
      <c r="A979" s="1513" t="s">
        <v>1193</v>
      </c>
      <c r="B979" s="1531">
        <v>45464</v>
      </c>
      <c r="C979" s="85">
        <f t="shared" si="16"/>
        <v>25</v>
      </c>
      <c r="D979" s="1514" t="s">
        <v>1698</v>
      </c>
      <c r="E979" s="1552" t="s">
        <v>1091</v>
      </c>
      <c r="F979" s="1577" t="s">
        <v>1764</v>
      </c>
      <c r="G979" s="1583" t="s">
        <v>1206</v>
      </c>
      <c r="H979" s="5324"/>
      <c r="I979" s="5258"/>
      <c r="J979" s="5239"/>
      <c r="K979" s="5231" t="s">
        <v>4206</v>
      </c>
      <c r="L979" s="1554" t="s">
        <v>37</v>
      </c>
      <c r="M979" s="957"/>
      <c r="N979" s="957"/>
      <c r="O979" s="957"/>
      <c r="P979" s="957"/>
      <c r="Q979" s="957"/>
      <c r="R979" s="957"/>
      <c r="S979" s="958"/>
      <c r="T979" s="91"/>
      <c r="U979" s="116"/>
      <c r="V979" s="2464"/>
      <c r="W979"/>
    </row>
    <row r="980" spans="1:23" ht="27" customHeight="1" thickBot="1">
      <c r="A980" s="1534" t="s">
        <v>1697</v>
      </c>
      <c r="B980" s="1532">
        <v>45465</v>
      </c>
      <c r="C980" s="967">
        <f t="shared" si="16"/>
        <v>25</v>
      </c>
      <c r="D980" s="1585" t="s">
        <v>1698</v>
      </c>
      <c r="E980" s="1585" t="s">
        <v>4926</v>
      </c>
      <c r="F980" s="963" t="s">
        <v>1199</v>
      </c>
      <c r="G980" s="963" t="s">
        <v>1199</v>
      </c>
      <c r="H980" s="5206"/>
      <c r="I980" s="5208"/>
      <c r="J980" s="5208"/>
      <c r="K980" s="5227" t="s">
        <v>174</v>
      </c>
      <c r="L980" s="1048" t="s">
        <v>37</v>
      </c>
      <c r="M980" s="1009"/>
      <c r="N980" s="1009"/>
      <c r="O980" s="1009"/>
      <c r="P980" s="1009"/>
      <c r="Q980" s="1009"/>
      <c r="R980" s="1009"/>
      <c r="S980" s="1005"/>
      <c r="T980" s="97"/>
      <c r="U980" s="98"/>
      <c r="V980" s="2464"/>
      <c r="W980"/>
    </row>
    <row r="981" spans="1:23" ht="26.25" customHeight="1" thickBot="1">
      <c r="A981" s="1537" t="s">
        <v>1697</v>
      </c>
      <c r="B981" s="1538">
        <v>45465</v>
      </c>
      <c r="C981" s="1026">
        <f t="shared" si="16"/>
        <v>25</v>
      </c>
      <c r="D981" s="1539" t="s">
        <v>4927</v>
      </c>
      <c r="E981" s="1539" t="s">
        <v>2461</v>
      </c>
      <c r="F981" s="937" t="s">
        <v>1199</v>
      </c>
      <c r="G981" s="937" t="s">
        <v>1199</v>
      </c>
      <c r="H981" s="5220"/>
      <c r="I981" s="5220"/>
      <c r="J981" s="5220"/>
      <c r="K981" s="5227" t="s">
        <v>174</v>
      </c>
      <c r="L981" s="1094" t="s">
        <v>37</v>
      </c>
      <c r="M981" s="1001"/>
      <c r="N981" s="1001"/>
      <c r="O981" s="1001"/>
      <c r="P981" s="1001"/>
      <c r="Q981" s="1001"/>
      <c r="R981" s="1001"/>
      <c r="S981" s="1002"/>
      <c r="T981" s="33"/>
      <c r="U981" s="1429"/>
      <c r="V981" s="2464"/>
      <c r="W981"/>
    </row>
    <row r="982" spans="1:23" ht="26.25" customHeight="1">
      <c r="A982" s="1526" t="s">
        <v>1871</v>
      </c>
      <c r="B982" s="1527">
        <v>45466</v>
      </c>
      <c r="C982" s="846">
        <f t="shared" si="16"/>
        <v>25</v>
      </c>
      <c r="D982" s="1540" t="s">
        <v>4486</v>
      </c>
      <c r="E982" s="1567" t="s">
        <v>169</v>
      </c>
      <c r="F982" s="1543" t="s">
        <v>1764</v>
      </c>
      <c r="G982" s="1509" t="s">
        <v>1206</v>
      </c>
      <c r="H982" s="5323"/>
      <c r="I982" s="5258"/>
      <c r="J982" s="5239"/>
      <c r="K982" s="5231" t="s">
        <v>4206</v>
      </c>
      <c r="L982" s="1553"/>
      <c r="M982" s="918"/>
      <c r="N982" s="918"/>
      <c r="O982" s="918"/>
      <c r="P982" s="918"/>
      <c r="Q982" s="918"/>
      <c r="R982" s="918"/>
      <c r="S982" s="919"/>
      <c r="T982" s="64"/>
      <c r="U982" s="1515"/>
      <c r="V982" s="2464"/>
      <c r="W982"/>
    </row>
    <row r="983" spans="1:23" ht="87" customHeight="1" thickBot="1">
      <c r="A983" s="1522" t="s">
        <v>1871</v>
      </c>
      <c r="B983" s="1523">
        <v>45466</v>
      </c>
      <c r="C983" s="54">
        <f t="shared" ref="C983:C1045" si="17">_xlfn.ISOWEEKNUM(B983)</f>
        <v>25</v>
      </c>
      <c r="D983" s="1524" t="s">
        <v>43</v>
      </c>
      <c r="E983" s="1561" t="s">
        <v>148</v>
      </c>
      <c r="F983" s="1543" t="s">
        <v>1764</v>
      </c>
      <c r="G983" s="1509" t="s">
        <v>1206</v>
      </c>
      <c r="H983" s="5261">
        <v>705</v>
      </c>
      <c r="I983" s="5258"/>
      <c r="J983" s="5239"/>
      <c r="K983" s="5227" t="s">
        <v>1630</v>
      </c>
      <c r="L983" s="1562"/>
      <c r="M983" s="1001" t="s">
        <v>37</v>
      </c>
      <c r="N983" s="24" t="s">
        <v>0</v>
      </c>
      <c r="O983" s="24" t="s">
        <v>3799</v>
      </c>
      <c r="P983" s="24" t="s">
        <v>4330</v>
      </c>
      <c r="Q983" s="1633">
        <v>4</v>
      </c>
      <c r="R983" s="1001"/>
      <c r="S983" s="1002"/>
      <c r="T983" s="33"/>
      <c r="U983" s="1429" t="s">
        <v>4928</v>
      </c>
      <c r="V983" s="2464"/>
      <c r="W983"/>
    </row>
    <row r="984" spans="1:23" ht="78.75" customHeight="1">
      <c r="A984" s="1526" t="s">
        <v>4897</v>
      </c>
      <c r="B984" s="1527">
        <v>45467</v>
      </c>
      <c r="C984" s="144">
        <f t="shared" si="17"/>
        <v>26</v>
      </c>
      <c r="D984" s="1011" t="s">
        <v>447</v>
      </c>
      <c r="E984" s="1630" t="s">
        <v>4486</v>
      </c>
      <c r="F984" s="1338" t="s">
        <v>1199</v>
      </c>
      <c r="G984" s="1309" t="s">
        <v>1199</v>
      </c>
      <c r="H984" s="1631"/>
      <c r="I984" s="1628"/>
      <c r="J984" s="1592"/>
      <c r="K984" s="1512"/>
      <c r="L984" s="1632"/>
      <c r="M984" s="918" t="s">
        <v>37</v>
      </c>
      <c r="N984" s="21" t="s">
        <v>0</v>
      </c>
      <c r="O984" s="21" t="s">
        <v>526</v>
      </c>
      <c r="P984" s="20" t="s">
        <v>4330</v>
      </c>
      <c r="Q984" s="919">
        <v>1</v>
      </c>
      <c r="R984" s="918">
        <v>2</v>
      </c>
      <c r="S984" s="919"/>
      <c r="T984" s="64"/>
      <c r="U984" s="1515" t="s">
        <v>4929</v>
      </c>
      <c r="V984" s="2464"/>
      <c r="W984"/>
    </row>
    <row r="985" spans="1:23" ht="26.25" customHeight="1">
      <c r="A985" s="1516" t="s">
        <v>4897</v>
      </c>
      <c r="B985" s="1517">
        <v>45467</v>
      </c>
      <c r="C985" s="153">
        <f t="shared" si="17"/>
        <v>26</v>
      </c>
      <c r="D985" s="941" t="s">
        <v>4195</v>
      </c>
      <c r="E985" s="1582" t="s">
        <v>4930</v>
      </c>
      <c r="F985" s="1338" t="s">
        <v>1764</v>
      </c>
      <c r="G985" s="1309" t="s">
        <v>1764</v>
      </c>
      <c r="H985" s="1636"/>
      <c r="I985" s="1628"/>
      <c r="J985" s="1592"/>
      <c r="K985" s="1512"/>
      <c r="L985" s="1262" t="s">
        <v>37</v>
      </c>
      <c r="M985" s="923"/>
      <c r="N985" s="923"/>
      <c r="O985" s="923"/>
      <c r="P985" s="923"/>
      <c r="Q985" s="924"/>
      <c r="R985" s="923"/>
      <c r="S985" s="924"/>
      <c r="T985" s="71"/>
      <c r="U985" s="93"/>
      <c r="V985" s="2464"/>
      <c r="W985"/>
    </row>
    <row r="986" spans="1:23" ht="26.25" customHeight="1" thickBot="1">
      <c r="A986" s="1516" t="s">
        <v>4897</v>
      </c>
      <c r="B986" s="1517">
        <v>45467</v>
      </c>
      <c r="C986" s="153">
        <f t="shared" si="17"/>
        <v>26</v>
      </c>
      <c r="D986" s="1194" t="s">
        <v>169</v>
      </c>
      <c r="E986" s="1557" t="s">
        <v>4399</v>
      </c>
      <c r="F986" s="1625" t="s">
        <v>1206</v>
      </c>
      <c r="G986" s="1350" t="s">
        <v>1206</v>
      </c>
      <c r="H986" s="1637"/>
      <c r="I986" s="1336"/>
      <c r="J986" s="1017"/>
      <c r="K986" s="1351"/>
      <c r="L986" s="1639" t="s">
        <v>37</v>
      </c>
      <c r="M986" s="923"/>
      <c r="N986" s="923"/>
      <c r="O986" s="923"/>
      <c r="P986" s="923"/>
      <c r="Q986" s="924"/>
      <c r="R986" s="923"/>
      <c r="S986" s="924"/>
      <c r="T986" s="71"/>
      <c r="U986" s="93"/>
      <c r="V986" s="2464"/>
      <c r="W986"/>
    </row>
    <row r="987" spans="1:23" ht="78.75" customHeight="1">
      <c r="A987" s="1516" t="s">
        <v>4897</v>
      </c>
      <c r="B987" s="1517">
        <v>45467</v>
      </c>
      <c r="C987" s="153">
        <f t="shared" si="17"/>
        <v>26</v>
      </c>
      <c r="D987" s="1194" t="s">
        <v>4931</v>
      </c>
      <c r="E987" s="1557" t="s">
        <v>169</v>
      </c>
      <c r="F987" s="1626" t="s">
        <v>1764</v>
      </c>
      <c r="G987" s="1314" t="s">
        <v>1764</v>
      </c>
      <c r="H987" s="1636"/>
      <c r="I987" s="1628"/>
      <c r="J987" s="1592"/>
      <c r="K987" s="1512"/>
      <c r="L987" s="1632"/>
      <c r="M987" s="918" t="s">
        <v>37</v>
      </c>
      <c r="N987" s="21" t="s">
        <v>122</v>
      </c>
      <c r="O987" s="21" t="s">
        <v>110</v>
      </c>
      <c r="P987" s="20" t="s">
        <v>4080</v>
      </c>
      <c r="Q987" s="924">
        <v>2</v>
      </c>
      <c r="R987" s="923"/>
      <c r="S987" s="924"/>
      <c r="T987" s="71"/>
      <c r="U987" s="93" t="s">
        <v>4932</v>
      </c>
      <c r="V987" s="2464"/>
      <c r="W987"/>
    </row>
    <row r="988" spans="1:23" ht="26.25" customHeight="1">
      <c r="A988" s="1516" t="s">
        <v>4897</v>
      </c>
      <c r="B988" s="1517">
        <v>45467</v>
      </c>
      <c r="C988" s="153">
        <f t="shared" si="17"/>
        <v>26</v>
      </c>
      <c r="D988" s="1194" t="s">
        <v>381</v>
      </c>
      <c r="E988" s="1557" t="s">
        <v>4933</v>
      </c>
      <c r="F988" s="1627" t="s">
        <v>1206</v>
      </c>
      <c r="G988" s="1350" t="s">
        <v>1206</v>
      </c>
      <c r="H988" s="1638"/>
      <c r="I988" s="1629"/>
      <c r="J988" s="1183"/>
      <c r="K988" s="1509"/>
      <c r="L988" s="1640" t="s">
        <v>37</v>
      </c>
      <c r="M988" s="923"/>
      <c r="N988" s="923"/>
      <c r="O988" s="923"/>
      <c r="P988" s="923"/>
      <c r="Q988" s="924"/>
      <c r="R988" s="923"/>
      <c r="S988" s="924"/>
      <c r="T988" s="71"/>
      <c r="U988" s="93"/>
      <c r="V988" s="2464"/>
      <c r="W988"/>
    </row>
    <row r="989" spans="1:23" ht="78.75" customHeight="1">
      <c r="A989" s="1516" t="s">
        <v>4897</v>
      </c>
      <c r="B989" s="1517">
        <v>45467</v>
      </c>
      <c r="C989" s="153">
        <f t="shared" si="17"/>
        <v>26</v>
      </c>
      <c r="D989" s="1194" t="s">
        <v>169</v>
      </c>
      <c r="E989" s="1557" t="s">
        <v>4934</v>
      </c>
      <c r="F989" s="1382" t="s">
        <v>1199</v>
      </c>
      <c r="G989" s="1413" t="s">
        <v>1199</v>
      </c>
      <c r="H989" s="1559"/>
      <c r="I989" s="1510"/>
      <c r="J989" s="1511"/>
      <c r="K989" s="2004"/>
      <c r="L989" s="1560"/>
      <c r="M989" s="923" t="s">
        <v>37</v>
      </c>
      <c r="N989" s="20" t="s">
        <v>122</v>
      </c>
      <c r="O989" s="20" t="s">
        <v>123</v>
      </c>
      <c r="P989" s="20" t="s">
        <v>4102</v>
      </c>
      <c r="Q989" s="924">
        <v>3</v>
      </c>
      <c r="R989" s="923"/>
      <c r="S989" s="924"/>
      <c r="T989" s="71"/>
      <c r="U989" s="93" t="s">
        <v>4935</v>
      </c>
      <c r="V989" s="2464"/>
      <c r="W989"/>
    </row>
    <row r="990" spans="1:23" ht="26.25" customHeight="1">
      <c r="A990" s="1516" t="s">
        <v>4897</v>
      </c>
      <c r="B990" s="1517">
        <v>45467</v>
      </c>
      <c r="C990" s="153">
        <f t="shared" si="17"/>
        <v>26</v>
      </c>
      <c r="D990" s="1634" t="s">
        <v>4936</v>
      </c>
      <c r="E990" s="1635" t="s">
        <v>2575</v>
      </c>
      <c r="F990" s="1577" t="s">
        <v>1764</v>
      </c>
      <c r="G990" s="1499" t="s">
        <v>1199</v>
      </c>
      <c r="H990" s="3250">
        <v>706</v>
      </c>
      <c r="I990" s="5280"/>
      <c r="J990" s="5281"/>
      <c r="K990" s="1058" t="s">
        <v>4804</v>
      </c>
      <c r="L990" s="1560" t="s">
        <v>37</v>
      </c>
      <c r="M990" s="923"/>
      <c r="N990" s="923"/>
      <c r="O990" s="923"/>
      <c r="P990" s="923"/>
      <c r="Q990" s="924"/>
      <c r="R990" s="923"/>
      <c r="S990" s="924"/>
      <c r="T990" s="71"/>
      <c r="U990" s="93"/>
      <c r="V990" s="2464"/>
      <c r="W990"/>
    </row>
    <row r="991" spans="1:23" ht="27" customHeight="1" thickBot="1">
      <c r="A991" s="1522" t="s">
        <v>4897</v>
      </c>
      <c r="B991" s="1523">
        <v>45467</v>
      </c>
      <c r="C991" s="54">
        <f t="shared" si="17"/>
        <v>26</v>
      </c>
      <c r="D991" s="1524" t="s">
        <v>4937</v>
      </c>
      <c r="E991" s="1561" t="s">
        <v>3290</v>
      </c>
      <c r="F991" s="1545" t="s">
        <v>1764</v>
      </c>
      <c r="G991" s="1624" t="s">
        <v>1199</v>
      </c>
      <c r="H991" s="5221"/>
      <c r="I991" s="5218"/>
      <c r="J991" s="5219"/>
      <c r="K991" s="70" t="s">
        <v>1613</v>
      </c>
      <c r="L991" s="1562" t="s">
        <v>37</v>
      </c>
      <c r="M991" s="1001"/>
      <c r="N991" s="1001"/>
      <c r="O991" s="1001"/>
      <c r="P991" s="1001"/>
      <c r="Q991" s="1002"/>
      <c r="R991" s="1001"/>
      <c r="S991" s="1002"/>
      <c r="T991" s="33"/>
      <c r="U991" s="1429"/>
      <c r="V991" s="2464"/>
      <c r="W991"/>
    </row>
    <row r="992" spans="1:23" ht="26.25" customHeight="1">
      <c r="A992" s="1526" t="s">
        <v>4300</v>
      </c>
      <c r="B992" s="1527">
        <v>45468</v>
      </c>
      <c r="C992" s="144">
        <f t="shared" si="17"/>
        <v>26</v>
      </c>
      <c r="D992" s="1011" t="s">
        <v>447</v>
      </c>
      <c r="E992" s="1630" t="s">
        <v>4486</v>
      </c>
      <c r="F992" s="1338" t="s">
        <v>1199</v>
      </c>
      <c r="G992" s="1309" t="s">
        <v>1764</v>
      </c>
      <c r="H992" s="1631"/>
      <c r="I992" s="1628"/>
      <c r="J992" s="1592"/>
      <c r="K992" s="1512"/>
      <c r="L992" s="1632" t="s">
        <v>37</v>
      </c>
      <c r="M992" s="918"/>
      <c r="N992" s="34"/>
      <c r="O992" s="34"/>
      <c r="P992" s="34"/>
      <c r="Q992" s="919"/>
      <c r="R992" s="918">
        <v>1</v>
      </c>
      <c r="S992" s="919"/>
      <c r="T992" s="64"/>
      <c r="U992" s="1515"/>
      <c r="V992" s="2464"/>
      <c r="W992"/>
    </row>
    <row r="993" spans="1:23" ht="26.25" customHeight="1">
      <c r="A993" s="1516" t="s">
        <v>4300</v>
      </c>
      <c r="B993" s="1517">
        <v>45468</v>
      </c>
      <c r="C993" s="153">
        <f t="shared" si="17"/>
        <v>26</v>
      </c>
      <c r="D993" s="1634" t="s">
        <v>2141</v>
      </c>
      <c r="E993" s="1635" t="s">
        <v>4938</v>
      </c>
      <c r="F993" s="1337" t="s">
        <v>1764</v>
      </c>
      <c r="G993" s="1309" t="s">
        <v>1764</v>
      </c>
      <c r="H993" s="3250">
        <v>706</v>
      </c>
      <c r="I993" s="5282"/>
      <c r="J993" s="1511"/>
      <c r="K993" s="1058" t="s">
        <v>4804</v>
      </c>
      <c r="L993" s="1560" t="s">
        <v>37</v>
      </c>
      <c r="M993" s="923"/>
      <c r="N993" s="923"/>
      <c r="O993" s="923"/>
      <c r="P993" s="923"/>
      <c r="Q993" s="924"/>
      <c r="R993" s="923"/>
      <c r="S993" s="924"/>
      <c r="T993" s="71"/>
      <c r="U993" s="93"/>
      <c r="V993" s="2464"/>
      <c r="W993"/>
    </row>
    <row r="994" spans="1:23" ht="26.25" customHeight="1">
      <c r="A994" s="1516" t="s">
        <v>4300</v>
      </c>
      <c r="B994" s="1517">
        <v>45468</v>
      </c>
      <c r="C994" s="153">
        <f t="shared" si="17"/>
        <v>26</v>
      </c>
      <c r="D994" s="1634" t="s">
        <v>4180</v>
      </c>
      <c r="E994" s="1635" t="s">
        <v>4939</v>
      </c>
      <c r="F994" s="1337" t="s">
        <v>1764</v>
      </c>
      <c r="G994" s="1512" t="s">
        <v>1764</v>
      </c>
      <c r="H994" s="5231">
        <v>706</v>
      </c>
      <c r="I994" s="5259"/>
      <c r="J994" s="5240"/>
      <c r="K994" s="5227" t="s">
        <v>1630</v>
      </c>
      <c r="L994" s="1560" t="s">
        <v>37</v>
      </c>
      <c r="M994" s="923"/>
      <c r="N994" s="923"/>
      <c r="O994" s="923"/>
      <c r="P994" s="923"/>
      <c r="Q994" s="924"/>
      <c r="R994" s="923"/>
      <c r="S994" s="924"/>
      <c r="T994" s="71"/>
      <c r="U994" s="93"/>
      <c r="V994" s="2464"/>
      <c r="W994"/>
    </row>
    <row r="995" spans="1:23" ht="78.75" customHeight="1">
      <c r="A995" s="1516" t="s">
        <v>4300</v>
      </c>
      <c r="B995" s="1517">
        <v>45468</v>
      </c>
      <c r="C995" s="153">
        <f t="shared" si="17"/>
        <v>26</v>
      </c>
      <c r="D995" s="1650" t="s">
        <v>1145</v>
      </c>
      <c r="E995" s="1651" t="s">
        <v>4940</v>
      </c>
      <c r="F995" s="1066" t="s">
        <v>1199</v>
      </c>
      <c r="G995" s="1314" t="s">
        <v>1199</v>
      </c>
      <c r="H995" s="5272"/>
      <c r="I995" s="5257"/>
      <c r="J995" s="5242"/>
      <c r="K995" s="5231" t="s">
        <v>4206</v>
      </c>
      <c r="L995" s="1560"/>
      <c r="M995" s="923" t="s">
        <v>37</v>
      </c>
      <c r="N995" s="21" t="s">
        <v>122</v>
      </c>
      <c r="O995" s="21" t="s">
        <v>123</v>
      </c>
      <c r="P995" s="21" t="s">
        <v>4102</v>
      </c>
      <c r="Q995" s="924">
        <v>4</v>
      </c>
      <c r="R995" s="923"/>
      <c r="S995" s="924"/>
      <c r="T995" s="71"/>
      <c r="U995" s="93" t="s">
        <v>4941</v>
      </c>
      <c r="V995" s="2464"/>
      <c r="W995"/>
    </row>
    <row r="996" spans="1:23" ht="52.5" customHeight="1">
      <c r="A996" s="1516" t="s">
        <v>4300</v>
      </c>
      <c r="B996" s="1517">
        <v>45468</v>
      </c>
      <c r="C996" s="153">
        <f t="shared" si="17"/>
        <v>26</v>
      </c>
      <c r="D996" s="1650" t="s">
        <v>4940</v>
      </c>
      <c r="E996" s="1651" t="s">
        <v>4942</v>
      </c>
      <c r="F996" s="1066" t="s">
        <v>1764</v>
      </c>
      <c r="G996" s="1314" t="s">
        <v>1764</v>
      </c>
      <c r="H996" s="5272">
        <v>706</v>
      </c>
      <c r="I996" s="2034"/>
      <c r="J996" s="1763"/>
      <c r="K996" s="3250" t="s">
        <v>4504</v>
      </c>
      <c r="L996" s="1560"/>
      <c r="M996" s="923" t="s">
        <v>37</v>
      </c>
      <c r="N996" s="21" t="s">
        <v>0</v>
      </c>
      <c r="O996" s="21" t="s">
        <v>31</v>
      </c>
      <c r="P996" s="21" t="s">
        <v>4102</v>
      </c>
      <c r="Q996" s="924"/>
      <c r="R996" s="923"/>
      <c r="S996" s="924"/>
      <c r="T996" s="71"/>
      <c r="U996" s="93" t="s">
        <v>4943</v>
      </c>
      <c r="V996" s="2464"/>
      <c r="W996"/>
    </row>
    <row r="997" spans="1:23" ht="26.25" customHeight="1">
      <c r="A997" s="1516" t="s">
        <v>4300</v>
      </c>
      <c r="B997" s="1517">
        <v>45468</v>
      </c>
      <c r="C997" s="153">
        <f t="shared" si="17"/>
        <v>26</v>
      </c>
      <c r="D997" s="995" t="s">
        <v>4914</v>
      </c>
      <c r="E997" s="1644" t="s">
        <v>4944</v>
      </c>
      <c r="F997" s="1641" t="s">
        <v>1199</v>
      </c>
      <c r="G997" s="1314" t="s">
        <v>1199</v>
      </c>
      <c r="H997" s="1559"/>
      <c r="I997" s="1381"/>
      <c r="J997" s="1520"/>
      <c r="K997" s="2006"/>
      <c r="L997" s="1560" t="s">
        <v>37</v>
      </c>
      <c r="M997" s="923"/>
      <c r="N997" s="923"/>
      <c r="O997" s="923"/>
      <c r="P997" s="923"/>
      <c r="Q997" s="924"/>
      <c r="R997" s="923"/>
      <c r="S997" s="924"/>
      <c r="T997" s="71"/>
      <c r="U997" s="93"/>
      <c r="V997" s="2464"/>
      <c r="W997"/>
    </row>
    <row r="998" spans="1:23" ht="52.5" customHeight="1">
      <c r="A998" s="1516" t="s">
        <v>4300</v>
      </c>
      <c r="B998" s="1517">
        <v>45468</v>
      </c>
      <c r="C998" s="153">
        <f t="shared" si="17"/>
        <v>26</v>
      </c>
      <c r="D998" s="995" t="s">
        <v>1160</v>
      </c>
      <c r="E998" s="1644" t="s">
        <v>4945</v>
      </c>
      <c r="F998" s="1066" t="s">
        <v>1764</v>
      </c>
      <c r="G998" s="1223" t="s">
        <v>1764</v>
      </c>
      <c r="H998" s="5193">
        <v>706</v>
      </c>
      <c r="I998" s="5201"/>
      <c r="J998" s="2016"/>
      <c r="K998" s="1908"/>
      <c r="L998" s="1560"/>
      <c r="M998" s="923" t="s">
        <v>37</v>
      </c>
      <c r="N998" s="20" t="s">
        <v>122</v>
      </c>
      <c r="O998" s="20" t="s">
        <v>123</v>
      </c>
      <c r="P998" s="20" t="s">
        <v>4102</v>
      </c>
      <c r="Q998" s="924">
        <v>5</v>
      </c>
      <c r="R998" s="923"/>
      <c r="S998" s="924"/>
      <c r="T998" s="71"/>
      <c r="U998" s="93" t="s">
        <v>4946</v>
      </c>
      <c r="V998" s="2464"/>
      <c r="W998"/>
    </row>
    <row r="999" spans="1:23" ht="26.25" customHeight="1">
      <c r="A999" s="1516" t="s">
        <v>4300</v>
      </c>
      <c r="B999" s="1517">
        <v>45468</v>
      </c>
      <c r="C999" s="153">
        <f t="shared" si="17"/>
        <v>26</v>
      </c>
      <c r="D999" s="941" t="s">
        <v>4947</v>
      </c>
      <c r="E999" s="1582" t="s">
        <v>4486</v>
      </c>
      <c r="F999" s="1641" t="s">
        <v>1199</v>
      </c>
      <c r="G999" s="1647" t="s">
        <v>1199</v>
      </c>
      <c r="H999" s="1645"/>
      <c r="I999" s="1643"/>
      <c r="J999" s="1596"/>
      <c r="K999" s="1692"/>
      <c r="L999" s="1560" t="s">
        <v>37</v>
      </c>
      <c r="M999" s="923"/>
      <c r="N999" s="923"/>
      <c r="O999" s="923"/>
      <c r="P999" s="923"/>
      <c r="Q999" s="924"/>
      <c r="R999" s="923"/>
      <c r="S999" s="924"/>
      <c r="T999" s="71"/>
      <c r="U999" s="93"/>
      <c r="V999" s="2464"/>
      <c r="W999"/>
    </row>
    <row r="1000" spans="1:23" ht="52.5" customHeight="1">
      <c r="A1000" s="1516" t="s">
        <v>4300</v>
      </c>
      <c r="B1000" s="1517">
        <v>45468</v>
      </c>
      <c r="C1000" s="153">
        <f t="shared" si="17"/>
        <v>26</v>
      </c>
      <c r="D1000" s="1194" t="s">
        <v>4948</v>
      </c>
      <c r="E1000" s="1557" t="s">
        <v>4381</v>
      </c>
      <c r="F1000" s="1641" t="s">
        <v>1199</v>
      </c>
      <c r="G1000" s="1647" t="s">
        <v>1199</v>
      </c>
      <c r="H1000" s="1559"/>
      <c r="I1000" s="1381"/>
      <c r="J1000" s="1520"/>
      <c r="K1000" s="2006"/>
      <c r="L1000" s="1560"/>
      <c r="M1000" s="923" t="s">
        <v>37</v>
      </c>
      <c r="N1000" s="20" t="s">
        <v>122</v>
      </c>
      <c r="O1000" s="20" t="s">
        <v>110</v>
      </c>
      <c r="P1000" s="20" t="s">
        <v>4080</v>
      </c>
      <c r="Q1000" s="924">
        <v>6</v>
      </c>
      <c r="R1000" s="923"/>
      <c r="S1000" s="924"/>
      <c r="T1000" s="71"/>
      <c r="U1000" s="93" t="s">
        <v>4949</v>
      </c>
      <c r="V1000" s="2464"/>
      <c r="W1000"/>
    </row>
    <row r="1001" spans="1:23" ht="26.25" customHeight="1">
      <c r="A1001" s="1516" t="s">
        <v>4300</v>
      </c>
      <c r="B1001" s="1517">
        <v>45468</v>
      </c>
      <c r="C1001" s="153">
        <f t="shared" si="17"/>
        <v>26</v>
      </c>
      <c r="D1001" s="1194" t="s">
        <v>4086</v>
      </c>
      <c r="E1001" s="1557" t="s">
        <v>381</v>
      </c>
      <c r="F1001" s="1641" t="s">
        <v>1199</v>
      </c>
      <c r="G1001" s="1647" t="s">
        <v>1199</v>
      </c>
      <c r="H1001" s="1559"/>
      <c r="I1001" s="1381"/>
      <c r="J1001" s="1520"/>
      <c r="K1001" s="2006"/>
      <c r="L1001" s="1560" t="s">
        <v>37</v>
      </c>
      <c r="M1001" s="923"/>
      <c r="N1001" s="923"/>
      <c r="O1001" s="923"/>
      <c r="P1001" s="923"/>
      <c r="Q1001" s="924"/>
      <c r="R1001" s="923"/>
      <c r="S1001" s="924"/>
      <c r="T1001" s="71"/>
      <c r="U1001" s="93"/>
      <c r="V1001" s="2464"/>
      <c r="W1001"/>
    </row>
    <row r="1002" spans="1:23" ht="27" customHeight="1" thickBot="1">
      <c r="A1002" s="1513" t="s">
        <v>4300</v>
      </c>
      <c r="B1002" s="1531">
        <v>45468</v>
      </c>
      <c r="C1002" s="364">
        <f t="shared" si="17"/>
        <v>26</v>
      </c>
      <c r="D1002" s="1514" t="s">
        <v>4950</v>
      </c>
      <c r="E1002" s="1552" t="s">
        <v>4951</v>
      </c>
      <c r="F1002" s="1642" t="s">
        <v>1199</v>
      </c>
      <c r="G1002" s="1454" t="s">
        <v>1199</v>
      </c>
      <c r="H1002" s="1646"/>
      <c r="I1002" s="1461"/>
      <c r="J1002" s="1525"/>
      <c r="K1002" s="2007"/>
      <c r="L1002" s="1554" t="s">
        <v>37</v>
      </c>
      <c r="M1002" s="957"/>
      <c r="N1002" s="957"/>
      <c r="O1002" s="957"/>
      <c r="P1002" s="957"/>
      <c r="Q1002" s="958"/>
      <c r="R1002" s="957"/>
      <c r="S1002" s="958"/>
      <c r="T1002" s="91"/>
      <c r="U1002" s="116"/>
      <c r="V1002" s="2464"/>
      <c r="W1002"/>
    </row>
    <row r="1003" spans="1:23" ht="26.25" customHeight="1">
      <c r="A1003" s="1648" t="s">
        <v>1323</v>
      </c>
      <c r="B1003" s="1649">
        <v>45469</v>
      </c>
      <c r="C1003" s="1739">
        <f t="shared" si="17"/>
        <v>26</v>
      </c>
      <c r="D1003" s="1185" t="s">
        <v>169</v>
      </c>
      <c r="E1003" s="1185" t="s">
        <v>4381</v>
      </c>
      <c r="F1003" s="963" t="s">
        <v>1206</v>
      </c>
      <c r="G1003" s="963" t="s">
        <v>1206</v>
      </c>
      <c r="H1003" s="1593"/>
      <c r="I1003" s="1264"/>
      <c r="J1003" s="1597"/>
      <c r="K1003" s="1597"/>
      <c r="L1003" s="1292" t="s">
        <v>37</v>
      </c>
      <c r="M1003" s="1593"/>
      <c r="N1003" s="1593"/>
      <c r="O1003" s="1593"/>
      <c r="P1003" s="1593"/>
      <c r="Q1003" s="1029"/>
      <c r="R1003" s="1593"/>
      <c r="S1003" s="1029"/>
      <c r="T1003" s="1594"/>
      <c r="U1003" s="1595"/>
      <c r="V1003" s="2464"/>
      <c r="W1003"/>
    </row>
    <row r="1004" spans="1:23" ht="26.25" customHeight="1">
      <c r="A1004" s="1516" t="s">
        <v>1323</v>
      </c>
      <c r="B1004" s="1517">
        <v>45469</v>
      </c>
      <c r="C1004" s="153">
        <f t="shared" si="17"/>
        <v>26</v>
      </c>
      <c r="D1004" s="1194" t="s">
        <v>4412</v>
      </c>
      <c r="E1004" s="1194" t="s">
        <v>4952</v>
      </c>
      <c r="F1004" s="1426" t="s">
        <v>1199</v>
      </c>
      <c r="G1004" s="935" t="s">
        <v>1199</v>
      </c>
      <c r="H1004" s="923"/>
      <c r="I1004" s="927"/>
      <c r="J1004" s="1520"/>
      <c r="K1004" s="1520"/>
      <c r="L1004" s="937" t="s">
        <v>37</v>
      </c>
      <c r="M1004" s="923"/>
      <c r="N1004" s="923"/>
      <c r="O1004" s="923"/>
      <c r="P1004" s="923"/>
      <c r="Q1004" s="924"/>
      <c r="R1004" s="923"/>
      <c r="S1004" s="924"/>
      <c r="T1004" s="71"/>
      <c r="U1004" s="93"/>
      <c r="V1004" s="2464"/>
      <c r="W1004"/>
    </row>
    <row r="1005" spans="1:23" ht="26.25" customHeight="1">
      <c r="A1005" s="1516" t="s">
        <v>1323</v>
      </c>
      <c r="B1005" s="1517">
        <v>45469</v>
      </c>
      <c r="C1005" s="153">
        <f t="shared" si="17"/>
        <v>26</v>
      </c>
      <c r="D1005" s="1524" t="s">
        <v>4952</v>
      </c>
      <c r="E1005" s="1598" t="s">
        <v>4536</v>
      </c>
      <c r="F1005" s="1246" t="s">
        <v>1206</v>
      </c>
      <c r="G1005" s="1224" t="s">
        <v>1206</v>
      </c>
      <c r="H1005" s="5202"/>
      <c r="I1005" s="5200"/>
      <c r="J1005" s="5201"/>
      <c r="K1005" s="484" t="s">
        <v>29</v>
      </c>
      <c r="L1005" s="1094" t="s">
        <v>37</v>
      </c>
      <c r="M1005" s="1001"/>
      <c r="N1005" s="1001"/>
      <c r="O1005" s="1001"/>
      <c r="P1005" s="1001"/>
      <c r="Q1005" s="1002"/>
      <c r="R1005" s="1001"/>
      <c r="S1005" s="1002"/>
      <c r="T1005" s="33"/>
      <c r="U1005" s="1429"/>
      <c r="V1005" s="2464"/>
      <c r="W1005"/>
    </row>
    <row r="1006" spans="1:23" ht="26.25" customHeight="1">
      <c r="A1006" s="1516" t="s">
        <v>1323</v>
      </c>
      <c r="B1006" s="1517">
        <v>45469</v>
      </c>
      <c r="C1006" s="153">
        <f t="shared" si="17"/>
        <v>26</v>
      </c>
      <c r="D1006" s="1524" t="s">
        <v>4486</v>
      </c>
      <c r="E1006" s="1598" t="s">
        <v>4953</v>
      </c>
      <c r="F1006" s="1246" t="s">
        <v>1206</v>
      </c>
      <c r="G1006" s="1224" t="s">
        <v>1206</v>
      </c>
      <c r="H1006" s="5202"/>
      <c r="I1006" s="5200"/>
      <c r="J1006" s="5201"/>
      <c r="K1006" s="484" t="s">
        <v>29</v>
      </c>
      <c r="L1006" s="1094" t="s">
        <v>37</v>
      </c>
      <c r="M1006" s="1001"/>
      <c r="N1006" s="1001"/>
      <c r="O1006" s="1001"/>
      <c r="P1006" s="1001"/>
      <c r="Q1006" s="1002"/>
      <c r="R1006" s="1001"/>
      <c r="S1006" s="1002"/>
      <c r="T1006" s="33"/>
      <c r="U1006" s="1429"/>
      <c r="V1006" s="2464"/>
      <c r="W1006"/>
    </row>
    <row r="1007" spans="1:23" ht="26.25" customHeight="1">
      <c r="A1007" s="1516" t="s">
        <v>1323</v>
      </c>
      <c r="B1007" s="1517">
        <v>45469</v>
      </c>
      <c r="C1007" s="153">
        <f t="shared" si="17"/>
        <v>26</v>
      </c>
      <c r="D1007" s="1524" t="s">
        <v>1145</v>
      </c>
      <c r="E1007" s="1598" t="s">
        <v>879</v>
      </c>
      <c r="F1007" s="1061" t="s">
        <v>1199</v>
      </c>
      <c r="G1007" s="1407" t="s">
        <v>1199</v>
      </c>
      <c r="H1007" s="5326"/>
      <c r="I1007" s="5258"/>
      <c r="J1007" s="5239"/>
      <c r="K1007" s="5231" t="s">
        <v>4206</v>
      </c>
      <c r="L1007" s="1094" t="s">
        <v>37</v>
      </c>
      <c r="M1007" s="1001"/>
      <c r="N1007" s="1001"/>
      <c r="O1007" s="1001"/>
      <c r="P1007" s="1001"/>
      <c r="Q1007" s="1002"/>
      <c r="R1007" s="1001"/>
      <c r="S1007" s="1002"/>
      <c r="T1007" s="33"/>
      <c r="U1007" s="1429"/>
      <c r="V1007" s="2464"/>
      <c r="W1007"/>
    </row>
    <row r="1008" spans="1:23" ht="52.5" customHeight="1">
      <c r="A1008" s="1516" t="s">
        <v>1323</v>
      </c>
      <c r="B1008" s="1517">
        <v>45469</v>
      </c>
      <c r="C1008" s="153">
        <f t="shared" si="17"/>
        <v>26</v>
      </c>
      <c r="D1008" s="1524" t="s">
        <v>447</v>
      </c>
      <c r="E1008" s="1598" t="s">
        <v>1145</v>
      </c>
      <c r="F1008" s="1061" t="s">
        <v>1199</v>
      </c>
      <c r="G1008" s="1061" t="s">
        <v>1199</v>
      </c>
      <c r="H1008" s="5326"/>
      <c r="I1008" s="5258"/>
      <c r="J1008" s="5239"/>
      <c r="K1008" s="5231" t="s">
        <v>4206</v>
      </c>
      <c r="L1008" s="1094"/>
      <c r="M1008" s="1001" t="s">
        <v>37</v>
      </c>
      <c r="N1008" s="21" t="s">
        <v>122</v>
      </c>
      <c r="O1008" s="21" t="s">
        <v>123</v>
      </c>
      <c r="P1008" s="21" t="s">
        <v>4102</v>
      </c>
      <c r="Q1008" s="1002">
        <v>6</v>
      </c>
      <c r="R1008" s="1001"/>
      <c r="S1008" s="1002"/>
      <c r="T1008" s="33"/>
      <c r="U1008" s="1429" t="s">
        <v>4954</v>
      </c>
      <c r="V1008" s="2464"/>
      <c r="W1008"/>
    </row>
    <row r="1009" spans="1:23" ht="26.25" customHeight="1">
      <c r="A1009" s="1516" t="s">
        <v>1323</v>
      </c>
      <c r="B1009" s="1517">
        <v>45469</v>
      </c>
      <c r="C1009" s="153">
        <f t="shared" si="17"/>
        <v>26</v>
      </c>
      <c r="D1009" s="1524" t="s">
        <v>4085</v>
      </c>
      <c r="E1009" s="1524" t="s">
        <v>4955</v>
      </c>
      <c r="F1009" s="935" t="s">
        <v>1199</v>
      </c>
      <c r="G1009" s="935" t="s">
        <v>1199</v>
      </c>
      <c r="H1009" s="5193">
        <v>706</v>
      </c>
      <c r="I1009" s="2016"/>
      <c r="J1009" s="2016"/>
      <c r="K1009" s="1969"/>
      <c r="L1009" s="1094" t="s">
        <v>37</v>
      </c>
      <c r="M1009" s="1001"/>
      <c r="N1009" s="1001"/>
      <c r="O1009" s="1001"/>
      <c r="P1009" s="1001"/>
      <c r="Q1009" s="1002"/>
      <c r="R1009" s="1001">
        <v>5</v>
      </c>
      <c r="S1009" s="1002"/>
      <c r="T1009" s="33"/>
      <c r="U1009" s="1429"/>
      <c r="V1009" s="2464"/>
      <c r="W1009"/>
    </row>
    <row r="1010" spans="1:23" ht="27" customHeight="1" thickBot="1">
      <c r="A1010" s="1522" t="s">
        <v>1323</v>
      </c>
      <c r="B1010" s="1523">
        <v>45469</v>
      </c>
      <c r="C1010" s="187">
        <f t="shared" si="17"/>
        <v>26</v>
      </c>
      <c r="D1010" s="1524" t="s">
        <v>4956</v>
      </c>
      <c r="E1010" s="1524" t="s">
        <v>4381</v>
      </c>
      <c r="F1010" s="1599" t="s">
        <v>1199</v>
      </c>
      <c r="G1010" s="1600" t="s">
        <v>1199</v>
      </c>
      <c r="H1010" s="1001"/>
      <c r="I1010" s="1001"/>
      <c r="J1010" s="1001"/>
      <c r="K1010" s="1001"/>
      <c r="L1010" s="1001" t="s">
        <v>37</v>
      </c>
      <c r="M1010" s="1001"/>
      <c r="N1010" s="1001"/>
      <c r="O1010" s="1001"/>
      <c r="P1010" s="1001"/>
      <c r="Q1010" s="1002"/>
      <c r="R1010" s="1001"/>
      <c r="S1010" s="1001"/>
      <c r="T1010" s="1001"/>
      <c r="U1010" s="1601"/>
      <c r="V1010" s="2128"/>
      <c r="W1010"/>
    </row>
    <row r="1011" spans="1:23" ht="27" customHeight="1" thickBot="1">
      <c r="A1011" s="1526" t="s">
        <v>4144</v>
      </c>
      <c r="B1011" s="1527">
        <v>45470</v>
      </c>
      <c r="C1011" s="364">
        <f t="shared" si="17"/>
        <v>26</v>
      </c>
      <c r="D1011" s="1528" t="s">
        <v>879</v>
      </c>
      <c r="E1011" s="1528" t="s">
        <v>4957</v>
      </c>
      <c r="F1011" s="1602" t="s">
        <v>1199</v>
      </c>
      <c r="G1011" s="1602" t="s">
        <v>1199</v>
      </c>
      <c r="H1011" s="5273">
        <v>701</v>
      </c>
      <c r="I1011" s="2073"/>
      <c r="J1011" s="2047"/>
      <c r="K1011" s="3250" t="s">
        <v>4504</v>
      </c>
      <c r="L1011" s="963" t="s">
        <v>37</v>
      </c>
      <c r="M1011" s="918"/>
      <c r="N1011" s="918"/>
      <c r="O1011" s="918"/>
      <c r="P1011" s="918"/>
      <c r="Q1011" s="919"/>
      <c r="R1011" s="918"/>
      <c r="S1011" s="919"/>
      <c r="T1011" s="64"/>
      <c r="U1011" s="1515"/>
      <c r="V1011" s="2464"/>
      <c r="W1011"/>
    </row>
    <row r="1012" spans="1:23" ht="27" customHeight="1" thickBot="1">
      <c r="A1012" s="1513" t="s">
        <v>1437</v>
      </c>
      <c r="B1012" s="1531">
        <v>45470</v>
      </c>
      <c r="C1012" s="364">
        <f t="shared" si="17"/>
        <v>26</v>
      </c>
      <c r="D1012" s="1514" t="s">
        <v>4439</v>
      </c>
      <c r="E1012" s="1514" t="s">
        <v>4289</v>
      </c>
      <c r="F1012" s="1435" t="s">
        <v>1199</v>
      </c>
      <c r="G1012" s="1435" t="s">
        <v>1199</v>
      </c>
      <c r="H1012" s="1035"/>
      <c r="I1012" s="1035"/>
      <c r="J1012" s="1603"/>
      <c r="K1012" s="1603"/>
      <c r="L1012" s="1435" t="s">
        <v>37</v>
      </c>
      <c r="M1012" s="1035"/>
      <c r="N1012" s="1035"/>
      <c r="O1012" s="1035"/>
      <c r="P1012" s="1035"/>
      <c r="Q1012" s="958"/>
      <c r="R1012" s="1035"/>
      <c r="S1012" s="1035"/>
      <c r="T1012" s="1604"/>
      <c r="U1012" s="1605"/>
      <c r="V1012" s="3059"/>
      <c r="W1012"/>
    </row>
    <row r="1013" spans="1:23" ht="78.75" customHeight="1">
      <c r="A1013" s="1586" t="s">
        <v>1857</v>
      </c>
      <c r="B1013" s="1606">
        <v>45471</v>
      </c>
      <c r="C1013" s="54">
        <f t="shared" si="17"/>
        <v>26</v>
      </c>
      <c r="D1013" s="1607" t="s">
        <v>4958</v>
      </c>
      <c r="E1013" s="1607" t="s">
        <v>4293</v>
      </c>
      <c r="F1013" s="1303" t="s">
        <v>1768</v>
      </c>
      <c r="G1013" s="1303" t="s">
        <v>1768</v>
      </c>
      <c r="H1013" s="5279">
        <v>706</v>
      </c>
      <c r="I1013" s="5280"/>
      <c r="J1013" s="5281"/>
      <c r="K1013" s="1058" t="s">
        <v>4804</v>
      </c>
      <c r="L1013" s="1608"/>
      <c r="M1013" s="1608" t="s">
        <v>37</v>
      </c>
      <c r="N1013" s="21" t="s">
        <v>0</v>
      </c>
      <c r="O1013" s="21" t="s">
        <v>343</v>
      </c>
      <c r="P1013" s="21" t="s">
        <v>4102</v>
      </c>
      <c r="Q1013" s="1029">
        <v>7</v>
      </c>
      <c r="R1013" s="1051"/>
      <c r="S1013" s="1051"/>
      <c r="T1013" s="1609"/>
      <c r="U1013" s="1610"/>
      <c r="V1013" s="3059"/>
      <c r="W1013"/>
    </row>
    <row r="1014" spans="1:23" ht="26.25" customHeight="1">
      <c r="A1014" s="1516" t="s">
        <v>1857</v>
      </c>
      <c r="B1014" s="1517">
        <v>45471</v>
      </c>
      <c r="C1014" s="153">
        <f t="shared" si="17"/>
        <v>26</v>
      </c>
      <c r="D1014" s="1194" t="s">
        <v>381</v>
      </c>
      <c r="E1014" s="1194" t="s">
        <v>273</v>
      </c>
      <c r="F1014" s="1061" t="s">
        <v>1199</v>
      </c>
      <c r="G1014" s="1061" t="s">
        <v>1199</v>
      </c>
      <c r="H1014" s="1061"/>
      <c r="I1014" s="1061"/>
      <c r="J1014" s="1061"/>
      <c r="K1014" s="1061"/>
      <c r="L1014" s="1061" t="s">
        <v>37</v>
      </c>
      <c r="M1014" s="1061"/>
      <c r="N1014" s="1032"/>
      <c r="O1014" s="1032"/>
      <c r="P1014" s="1032"/>
      <c r="Q1014" s="924"/>
      <c r="R1014" s="1051"/>
      <c r="S1014" s="1051"/>
      <c r="T1014" s="1609"/>
      <c r="U1014" s="1610"/>
      <c r="V1014" s="3059"/>
      <c r="W1014"/>
    </row>
    <row r="1015" spans="1:23" ht="26.25" customHeight="1">
      <c r="A1015" s="1516" t="s">
        <v>1857</v>
      </c>
      <c r="B1015" s="1517">
        <v>45471</v>
      </c>
      <c r="C1015" s="153">
        <f t="shared" si="17"/>
        <v>26</v>
      </c>
      <c r="D1015" s="1092" t="s">
        <v>4381</v>
      </c>
      <c r="E1015" s="1611" t="s">
        <v>2141</v>
      </c>
      <c r="F1015" s="935" t="s">
        <v>1199</v>
      </c>
      <c r="G1015" s="935" t="s">
        <v>1199</v>
      </c>
      <c r="H1015" s="1217"/>
      <c r="I1015" s="1217"/>
      <c r="J1015" s="1217"/>
      <c r="K1015" s="1217"/>
      <c r="L1015" s="1217" t="s">
        <v>37</v>
      </c>
      <c r="M1015" s="1217"/>
      <c r="N1015" s="1051"/>
      <c r="O1015" s="1051"/>
      <c r="P1015" s="1051"/>
      <c r="Q1015" s="1005"/>
      <c r="R1015" s="1051"/>
      <c r="S1015" s="1051"/>
      <c r="T1015" s="1609"/>
      <c r="U1015" s="1610"/>
      <c r="V1015" s="3059"/>
      <c r="W1015"/>
    </row>
    <row r="1016" spans="1:23" ht="26.25" customHeight="1">
      <c r="A1016" s="1516" t="s">
        <v>1857</v>
      </c>
      <c r="B1016" s="1517">
        <v>45471</v>
      </c>
      <c r="C1016" s="153">
        <f t="shared" si="17"/>
        <v>26</v>
      </c>
      <c r="D1016" s="1092" t="s">
        <v>2141</v>
      </c>
      <c r="E1016" s="1611" t="s">
        <v>4399</v>
      </c>
      <c r="F1016" s="935" t="s">
        <v>1199</v>
      </c>
      <c r="G1016" s="935" t="s">
        <v>1199</v>
      </c>
      <c r="H1016" s="1217"/>
      <c r="I1016" s="1217"/>
      <c r="J1016" s="1217"/>
      <c r="K1016" s="1217"/>
      <c r="L1016" s="1217" t="s">
        <v>37</v>
      </c>
      <c r="M1016" s="1217"/>
      <c r="N1016" s="1051"/>
      <c r="O1016" s="1051"/>
      <c r="P1016" s="1051"/>
      <c r="Q1016" s="1005"/>
      <c r="R1016" s="1051"/>
      <c r="S1016" s="1051"/>
      <c r="T1016" s="1609"/>
      <c r="U1016" s="1610"/>
      <c r="V1016" s="3059"/>
      <c r="W1016"/>
    </row>
    <row r="1017" spans="1:23" ht="26.25" customHeight="1">
      <c r="A1017" s="1516" t="s">
        <v>1857</v>
      </c>
      <c r="B1017" s="1517">
        <v>45471</v>
      </c>
      <c r="C1017" s="153">
        <f t="shared" si="17"/>
        <v>26</v>
      </c>
      <c r="D1017" s="1053" t="s">
        <v>4959</v>
      </c>
      <c r="E1017" s="941" t="s">
        <v>2141</v>
      </c>
      <c r="F1017" s="1060" t="s">
        <v>1764</v>
      </c>
      <c r="G1017" s="1061" t="s">
        <v>1199</v>
      </c>
      <c r="H1017" s="5326"/>
      <c r="I1017" s="5258"/>
      <c r="J1017" s="5239"/>
      <c r="K1017" s="5231" t="s">
        <v>4206</v>
      </c>
      <c r="L1017" s="1217" t="s">
        <v>37</v>
      </c>
      <c r="M1017" s="1217"/>
      <c r="N1017" s="1051"/>
      <c r="O1017" s="1051"/>
      <c r="P1017" s="1051"/>
      <c r="Q1017" s="1005"/>
      <c r="R1017" s="1051"/>
      <c r="S1017" s="1051"/>
      <c r="T1017" s="1609"/>
      <c r="U1017" s="1610"/>
      <c r="V1017" s="3059"/>
      <c r="W1017"/>
    </row>
    <row r="1018" spans="1:23" ht="78.75" customHeight="1">
      <c r="A1018" s="1522" t="s">
        <v>1857</v>
      </c>
      <c r="B1018" s="1517">
        <v>45471</v>
      </c>
      <c r="C1018" s="153">
        <f t="shared" si="17"/>
        <v>26</v>
      </c>
      <c r="D1018" s="978" t="s">
        <v>1905</v>
      </c>
      <c r="E1018" s="978" t="s">
        <v>4960</v>
      </c>
      <c r="F1018" s="1060" t="s">
        <v>1764</v>
      </c>
      <c r="G1018" s="1061" t="s">
        <v>1199</v>
      </c>
      <c r="H1018" s="1061"/>
      <c r="I1018" s="1061"/>
      <c r="J1018" s="1061"/>
      <c r="K1018" s="1061"/>
      <c r="L1018" s="1061"/>
      <c r="M1018" s="1061" t="s">
        <v>37</v>
      </c>
      <c r="N1018" s="21" t="s">
        <v>0</v>
      </c>
      <c r="O1018" s="21" t="s">
        <v>736</v>
      </c>
      <c r="P1018" s="21" t="s">
        <v>4082</v>
      </c>
      <c r="Q1018" s="1005">
        <v>8</v>
      </c>
      <c r="R1018" s="1051"/>
      <c r="S1018" s="1051"/>
      <c r="T1018" s="1609"/>
      <c r="U1018" s="1610" t="s">
        <v>4961</v>
      </c>
      <c r="V1018" s="3059"/>
      <c r="W1018"/>
    </row>
    <row r="1019" spans="1:23" ht="79.5" customHeight="1" thickBot="1">
      <c r="A1019" s="1522" t="s">
        <v>1857</v>
      </c>
      <c r="B1019" s="1538">
        <v>45471</v>
      </c>
      <c r="C1019" s="187">
        <f t="shared" si="17"/>
        <v>26</v>
      </c>
      <c r="D1019" s="1612" t="s">
        <v>4962</v>
      </c>
      <c r="E1019" s="1612" t="s">
        <v>4663</v>
      </c>
      <c r="F1019" s="1613" t="s">
        <v>1764</v>
      </c>
      <c r="G1019" s="1614" t="s">
        <v>1199</v>
      </c>
      <c r="H1019" s="1615"/>
      <c r="I1019" s="1615"/>
      <c r="J1019" s="1615"/>
      <c r="K1019" s="1615"/>
      <c r="L1019" s="1615"/>
      <c r="M1019" s="1615" t="s">
        <v>37</v>
      </c>
      <c r="N1019" s="21" t="s">
        <v>0</v>
      </c>
      <c r="O1019" s="21" t="s">
        <v>736</v>
      </c>
      <c r="P1019" s="21" t="s">
        <v>4082</v>
      </c>
      <c r="Q1019" s="1002"/>
      <c r="R1019" s="1151"/>
      <c r="S1019" s="1151"/>
      <c r="T1019" s="1616"/>
      <c r="U1019" s="1610" t="s">
        <v>4961</v>
      </c>
      <c r="V1019" s="3059"/>
      <c r="W1019"/>
    </row>
    <row r="1020" spans="1:23" ht="78.75" customHeight="1">
      <c r="A1020" s="1526" t="s">
        <v>1519</v>
      </c>
      <c r="B1020" s="1527">
        <v>45472</v>
      </c>
      <c r="C1020" s="54">
        <f t="shared" si="17"/>
        <v>26</v>
      </c>
      <c r="D1020" s="1528" t="s">
        <v>4289</v>
      </c>
      <c r="E1020" s="1528" t="s">
        <v>1905</v>
      </c>
      <c r="F1020" s="1617" t="s">
        <v>1764</v>
      </c>
      <c r="G1020" s="1602" t="s">
        <v>1199</v>
      </c>
      <c r="H1020" s="5208"/>
      <c r="I1020" s="5208"/>
      <c r="J1020" s="5208"/>
      <c r="K1020" s="5227" t="s">
        <v>174</v>
      </c>
      <c r="L1020" s="1602"/>
      <c r="M1020" s="1105" t="s">
        <v>37</v>
      </c>
      <c r="N1020" s="21" t="s">
        <v>0</v>
      </c>
      <c r="O1020" s="21" t="s">
        <v>343</v>
      </c>
      <c r="P1020" s="21" t="s">
        <v>4082</v>
      </c>
      <c r="Q1020" s="919"/>
      <c r="R1020" s="1105"/>
      <c r="S1020" s="1105"/>
      <c r="T1020" s="1618"/>
      <c r="U1020" s="1619" t="s">
        <v>4963</v>
      </c>
      <c r="V1020" s="3059"/>
      <c r="W1020"/>
    </row>
    <row r="1021" spans="1:23" ht="53.25" customHeight="1" thickBot="1">
      <c r="A1021" s="1513" t="s">
        <v>1519</v>
      </c>
      <c r="B1021" s="1531">
        <v>45472</v>
      </c>
      <c r="C1021" s="153">
        <f t="shared" si="17"/>
        <v>26</v>
      </c>
      <c r="D1021" s="1514" t="s">
        <v>4155</v>
      </c>
      <c r="E1021" s="1514" t="s">
        <v>1153</v>
      </c>
      <c r="F1021" s="1620" t="s">
        <v>1764</v>
      </c>
      <c r="G1021" s="1435" t="s">
        <v>1199</v>
      </c>
      <c r="H1021" s="3251"/>
      <c r="I1021" s="5270"/>
      <c r="J1021" s="5270"/>
      <c r="K1021" s="5231" t="s">
        <v>4206</v>
      </c>
      <c r="L1021" s="1435"/>
      <c r="M1021" s="1035" t="s">
        <v>37</v>
      </c>
      <c r="N1021" s="21" t="s">
        <v>0</v>
      </c>
      <c r="O1021" s="21" t="s">
        <v>31</v>
      </c>
      <c r="P1021" s="21" t="s">
        <v>4330</v>
      </c>
      <c r="Q1021" s="958">
        <v>9</v>
      </c>
      <c r="R1021" s="1035"/>
      <c r="S1021" s="1035"/>
      <c r="T1021" s="1604"/>
      <c r="U1021" s="1605"/>
      <c r="V1021" s="3059"/>
      <c r="W1021"/>
    </row>
    <row r="1022" spans="1:23" ht="53.25" customHeight="1" thickBot="1">
      <c r="A1022" s="1621" t="s">
        <v>4594</v>
      </c>
      <c r="B1022" s="1532">
        <v>45473</v>
      </c>
      <c r="C1022" s="187">
        <f t="shared" si="17"/>
        <v>26</v>
      </c>
      <c r="D1022" s="1185" t="s">
        <v>4180</v>
      </c>
      <c r="E1022" s="1185" t="s">
        <v>4939</v>
      </c>
      <c r="F1022" s="1622" t="s">
        <v>1764</v>
      </c>
      <c r="G1022" s="1623" t="s">
        <v>1199</v>
      </c>
      <c r="H1022" s="5279"/>
      <c r="I1022" s="5320"/>
      <c r="J1022" s="5321"/>
      <c r="K1022" s="5231" t="s">
        <v>4206</v>
      </c>
      <c r="L1022" s="1303"/>
      <c r="M1022" s="1035" t="s">
        <v>37</v>
      </c>
      <c r="N1022" s="21" t="s">
        <v>0</v>
      </c>
      <c r="O1022" s="21" t="s">
        <v>31</v>
      </c>
      <c r="P1022" s="21" t="s">
        <v>4330</v>
      </c>
      <c r="Q1022" s="1005">
        <v>10</v>
      </c>
      <c r="R1022" s="1051"/>
      <c r="S1022" s="1051"/>
      <c r="T1022" s="1609"/>
      <c r="U1022" s="1610"/>
      <c r="V1022" s="3059"/>
      <c r="W1022"/>
    </row>
    <row r="1023" spans="1:23" ht="27" customHeight="1" thickBot="1">
      <c r="A1023" s="1526" t="s">
        <v>4964</v>
      </c>
      <c r="B1023" s="1527">
        <v>45474</v>
      </c>
      <c r="C1023" s="364">
        <f t="shared" si="17"/>
        <v>27</v>
      </c>
      <c r="D1023" s="1011" t="s">
        <v>4965</v>
      </c>
      <c r="E1023" s="1011" t="s">
        <v>4966</v>
      </c>
      <c r="F1023" s="1652" t="s">
        <v>1199</v>
      </c>
      <c r="G1023" s="1652" t="s">
        <v>1199</v>
      </c>
      <c r="H1023" s="55"/>
      <c r="I1023" s="246" t="s">
        <v>1199</v>
      </c>
      <c r="J1023" s="55"/>
      <c r="K1023" s="55"/>
      <c r="L1023" s="145" t="s">
        <v>37</v>
      </c>
      <c r="M1023" s="145"/>
      <c r="N1023" s="55"/>
      <c r="O1023" s="55"/>
      <c r="P1023" s="55"/>
      <c r="Q1023" s="55"/>
      <c r="R1023" s="55"/>
      <c r="S1023" s="55"/>
      <c r="T1023" s="55"/>
      <c r="U1023" s="56"/>
      <c r="V1023"/>
      <c r="W1023"/>
    </row>
    <row r="1024" spans="1:23" ht="27" customHeight="1" thickBot="1">
      <c r="A1024" s="1516" t="s">
        <v>4964</v>
      </c>
      <c r="B1024" s="1517">
        <v>45474</v>
      </c>
      <c r="C1024" s="364">
        <f t="shared" si="17"/>
        <v>27</v>
      </c>
      <c r="D1024" s="1611" t="s">
        <v>4966</v>
      </c>
      <c r="E1024" s="1611" t="s">
        <v>68</v>
      </c>
      <c r="F1024" s="158" t="s">
        <v>1199</v>
      </c>
      <c r="G1024" s="158" t="s">
        <v>1199</v>
      </c>
      <c r="H1024" s="49"/>
      <c r="I1024" s="158" t="s">
        <v>1199</v>
      </c>
      <c r="J1024" s="49"/>
      <c r="K1024" s="49"/>
      <c r="L1024" s="147" t="s">
        <v>37</v>
      </c>
      <c r="M1024" s="147"/>
      <c r="N1024" s="49"/>
      <c r="O1024" s="49"/>
      <c r="P1024" s="49"/>
      <c r="Q1024" s="49"/>
      <c r="R1024" s="49"/>
      <c r="S1024" s="49"/>
      <c r="T1024" s="49"/>
      <c r="U1024" s="50"/>
      <c r="V1024"/>
      <c r="W1024"/>
    </row>
    <row r="1025" spans="1:23" ht="27" customHeight="1" thickBot="1">
      <c r="A1025" s="1516" t="s">
        <v>4964</v>
      </c>
      <c r="B1025" s="1517">
        <v>45474</v>
      </c>
      <c r="C1025" s="364">
        <f t="shared" si="17"/>
        <v>27</v>
      </c>
      <c r="D1025" s="1521" t="s">
        <v>4967</v>
      </c>
      <c r="E1025" s="1521" t="s">
        <v>1145</v>
      </c>
      <c r="F1025" s="1653" t="s">
        <v>1199</v>
      </c>
      <c r="G1025" s="1653" t="s">
        <v>1199</v>
      </c>
      <c r="H1025" s="49"/>
      <c r="I1025" s="158" t="s">
        <v>1199</v>
      </c>
      <c r="J1025" s="49"/>
      <c r="K1025" s="49"/>
      <c r="L1025" s="147" t="s">
        <v>37</v>
      </c>
      <c r="M1025" s="147"/>
      <c r="N1025" s="49"/>
      <c r="O1025" s="49"/>
      <c r="P1025" s="49"/>
      <c r="Q1025" s="49"/>
      <c r="R1025" s="49"/>
      <c r="S1025" s="49"/>
      <c r="T1025" s="49"/>
      <c r="U1025" s="50"/>
      <c r="V1025"/>
      <c r="W1025"/>
    </row>
    <row r="1026" spans="1:23" ht="27" customHeight="1" thickBot="1">
      <c r="A1026" s="1516" t="s">
        <v>4964</v>
      </c>
      <c r="B1026" s="1517">
        <v>45474</v>
      </c>
      <c r="C1026" s="364">
        <f t="shared" si="17"/>
        <v>27</v>
      </c>
      <c r="D1026" s="1521" t="s">
        <v>1145</v>
      </c>
      <c r="E1026" s="1521" t="s">
        <v>4223</v>
      </c>
      <c r="F1026" s="158" t="s">
        <v>1199</v>
      </c>
      <c r="G1026" s="158" t="s">
        <v>1199</v>
      </c>
      <c r="H1026" s="49"/>
      <c r="I1026" s="158" t="s">
        <v>1199</v>
      </c>
      <c r="J1026" s="49"/>
      <c r="K1026" s="49"/>
      <c r="L1026" s="147" t="s">
        <v>37</v>
      </c>
      <c r="M1026" s="147"/>
      <c r="N1026" s="49"/>
      <c r="O1026" s="49"/>
      <c r="P1026" s="49"/>
      <c r="Q1026" s="146"/>
      <c r="R1026" s="49"/>
      <c r="S1026" s="49"/>
      <c r="T1026" s="49"/>
      <c r="U1026" s="1654"/>
      <c r="V1026" s="101"/>
      <c r="W1026"/>
    </row>
    <row r="1027" spans="1:23" ht="53.25" customHeight="1" thickBot="1">
      <c r="A1027" s="1516" t="s">
        <v>4964</v>
      </c>
      <c r="B1027" s="1517">
        <v>45474</v>
      </c>
      <c r="C1027" s="364">
        <f t="shared" si="17"/>
        <v>27</v>
      </c>
      <c r="D1027" s="992" t="s">
        <v>4968</v>
      </c>
      <c r="E1027" s="992" t="s">
        <v>4969</v>
      </c>
      <c r="F1027" s="158" t="s">
        <v>1199</v>
      </c>
      <c r="G1027" s="158" t="s">
        <v>1199</v>
      </c>
      <c r="H1027" s="49"/>
      <c r="I1027" s="158" t="s">
        <v>1199</v>
      </c>
      <c r="J1027" s="49"/>
      <c r="K1027" s="49"/>
      <c r="L1027" s="147"/>
      <c r="M1027" s="157" t="s">
        <v>37</v>
      </c>
      <c r="N1027" s="20" t="s">
        <v>0</v>
      </c>
      <c r="O1027" s="20" t="s">
        <v>126</v>
      </c>
      <c r="P1027" s="20" t="s">
        <v>4102</v>
      </c>
      <c r="Q1027" s="1655">
        <v>1</v>
      </c>
      <c r="R1027" s="49"/>
      <c r="S1027" s="49"/>
      <c r="T1027" s="49"/>
      <c r="U1027" s="1656" t="s">
        <v>4970</v>
      </c>
      <c r="V1027" s="3060"/>
      <c r="W1027"/>
    </row>
    <row r="1028" spans="1:23" ht="53.25" customHeight="1" thickBot="1">
      <c r="A1028" s="1516" t="s">
        <v>4964</v>
      </c>
      <c r="B1028" s="1517">
        <v>45474</v>
      </c>
      <c r="C1028" s="364">
        <f t="shared" si="17"/>
        <v>27</v>
      </c>
      <c r="D1028" s="992" t="s">
        <v>4969</v>
      </c>
      <c r="E1028" s="992" t="s">
        <v>1780</v>
      </c>
      <c r="F1028" s="1653" t="s">
        <v>1768</v>
      </c>
      <c r="G1028" s="1653" t="s">
        <v>4971</v>
      </c>
      <c r="H1028" s="5202"/>
      <c r="I1028" s="5200"/>
      <c r="J1028" s="5201"/>
      <c r="K1028" s="484" t="s">
        <v>29</v>
      </c>
      <c r="L1028" s="147"/>
      <c r="M1028" s="157" t="s">
        <v>37</v>
      </c>
      <c r="N1028" s="20" t="s">
        <v>0</v>
      </c>
      <c r="O1028" s="20" t="s">
        <v>126</v>
      </c>
      <c r="P1028" s="20" t="s">
        <v>4102</v>
      </c>
      <c r="Q1028" s="1655">
        <v>1</v>
      </c>
      <c r="R1028" s="49"/>
      <c r="S1028" s="49"/>
      <c r="T1028" s="49"/>
      <c r="U1028" s="1657" t="s">
        <v>4972</v>
      </c>
      <c r="V1028" s="3061"/>
      <c r="W1028"/>
    </row>
    <row r="1029" spans="1:23" ht="57" customHeight="1" thickBot="1">
      <c r="A1029" s="1516" t="s">
        <v>4964</v>
      </c>
      <c r="B1029" s="1517">
        <v>45474</v>
      </c>
      <c r="C1029" s="364">
        <f t="shared" si="17"/>
        <v>27</v>
      </c>
      <c r="D1029" s="440" t="s">
        <v>4973</v>
      </c>
      <c r="E1029" s="440" t="s">
        <v>4225</v>
      </c>
      <c r="F1029" s="1653" t="s">
        <v>1768</v>
      </c>
      <c r="G1029" s="1653" t="s">
        <v>1768</v>
      </c>
      <c r="H1029" s="5202"/>
      <c r="I1029" s="5202"/>
      <c r="J1029" s="5202"/>
      <c r="K1029" s="484" t="s">
        <v>29</v>
      </c>
      <c r="L1029" s="157"/>
      <c r="M1029" s="157" t="s">
        <v>37</v>
      </c>
      <c r="N1029" s="20" t="s">
        <v>231</v>
      </c>
      <c r="O1029" s="20" t="s">
        <v>1048</v>
      </c>
      <c r="P1029" s="20" t="s">
        <v>4102</v>
      </c>
      <c r="Q1029" s="1658">
        <v>2</v>
      </c>
      <c r="R1029" s="49"/>
      <c r="S1029" s="49"/>
      <c r="T1029" s="49"/>
      <c r="U1029" s="1656" t="s">
        <v>4974</v>
      </c>
      <c r="V1029" s="3060"/>
      <c r="W1029"/>
    </row>
    <row r="1030" spans="1:23" ht="27" customHeight="1" thickBot="1">
      <c r="A1030" s="1516" t="s">
        <v>4964</v>
      </c>
      <c r="B1030" s="1517">
        <v>45474</v>
      </c>
      <c r="C1030" s="364">
        <f t="shared" si="17"/>
        <v>27</v>
      </c>
      <c r="D1030" s="941" t="s">
        <v>4155</v>
      </c>
      <c r="E1030" s="941" t="s">
        <v>4223</v>
      </c>
      <c r="F1030" s="1653" t="s">
        <v>1199</v>
      </c>
      <c r="G1030" s="1653" t="s">
        <v>1199</v>
      </c>
      <c r="H1030" s="5202"/>
      <c r="I1030" s="5202"/>
      <c r="J1030" s="5202"/>
      <c r="K1030" s="70" t="s">
        <v>1613</v>
      </c>
      <c r="L1030" s="147" t="s">
        <v>37</v>
      </c>
      <c r="M1030" s="147"/>
      <c r="N1030" s="49"/>
      <c r="O1030" s="49"/>
      <c r="P1030" s="49"/>
      <c r="Q1030" s="146"/>
      <c r="R1030" s="49"/>
      <c r="S1030" s="49"/>
      <c r="T1030" s="49"/>
      <c r="U1030" s="1659"/>
      <c r="V1030" s="3035"/>
      <c r="W1030"/>
    </row>
    <row r="1031" spans="1:23" ht="27" customHeight="1" thickBot="1">
      <c r="A1031" s="1516" t="s">
        <v>4964</v>
      </c>
      <c r="B1031" s="1517">
        <v>45474</v>
      </c>
      <c r="C1031" s="364">
        <f t="shared" si="17"/>
        <v>27</v>
      </c>
      <c r="D1031" s="941" t="s">
        <v>4975</v>
      </c>
      <c r="E1031" s="941" t="s">
        <v>4155</v>
      </c>
      <c r="F1031" s="1660" t="s">
        <v>1199</v>
      </c>
      <c r="G1031" s="1653" t="s">
        <v>1199</v>
      </c>
      <c r="H1031" s="3250">
        <v>706</v>
      </c>
      <c r="I1031" s="5202"/>
      <c r="J1031" s="5202"/>
      <c r="K1031" s="1908"/>
      <c r="L1031" s="147" t="s">
        <v>37</v>
      </c>
      <c r="M1031" s="147"/>
      <c r="N1031" s="49"/>
      <c r="O1031" s="49"/>
      <c r="P1031" s="49"/>
      <c r="Q1031" s="146"/>
      <c r="R1031" s="49"/>
      <c r="S1031" s="49"/>
      <c r="T1031" s="49"/>
      <c r="U1031" s="1659"/>
      <c r="V1031" s="3035"/>
      <c r="W1031"/>
    </row>
    <row r="1032" spans="1:23" ht="27" customHeight="1" thickBot="1">
      <c r="A1032" s="1516" t="s">
        <v>4964</v>
      </c>
      <c r="B1032" s="1517">
        <v>45474</v>
      </c>
      <c r="C1032" s="364">
        <f t="shared" si="17"/>
        <v>27</v>
      </c>
      <c r="D1032" s="941" t="s">
        <v>4086</v>
      </c>
      <c r="E1032" s="941" t="s">
        <v>4152</v>
      </c>
      <c r="F1032" s="158" t="s">
        <v>1199</v>
      </c>
      <c r="G1032" s="158" t="s">
        <v>1199</v>
      </c>
      <c r="H1032" s="1661"/>
      <c r="I1032" s="1662" t="s">
        <v>1199</v>
      </c>
      <c r="J1032" s="1661"/>
      <c r="K1032" s="1661"/>
      <c r="L1032" s="147" t="s">
        <v>37</v>
      </c>
      <c r="M1032" s="147"/>
      <c r="N1032" s="49"/>
      <c r="O1032" s="49"/>
      <c r="P1032" s="49"/>
      <c r="Q1032" s="146"/>
      <c r="R1032" s="49"/>
      <c r="S1032" s="49"/>
      <c r="T1032" s="49"/>
      <c r="U1032" s="1659"/>
      <c r="V1032" s="3035"/>
      <c r="W1032"/>
    </row>
    <row r="1033" spans="1:23" ht="27" customHeight="1" thickBot="1">
      <c r="A1033" s="1516" t="s">
        <v>4964</v>
      </c>
      <c r="B1033" s="1517">
        <v>45474</v>
      </c>
      <c r="C1033" s="364">
        <f t="shared" si="17"/>
        <v>27</v>
      </c>
      <c r="D1033" s="941" t="s">
        <v>4976</v>
      </c>
      <c r="E1033" s="941" t="s">
        <v>1145</v>
      </c>
      <c r="F1033" s="1653" t="s">
        <v>1199</v>
      </c>
      <c r="G1033" s="1653" t="s">
        <v>1199</v>
      </c>
      <c r="H1033" s="49"/>
      <c r="I1033" s="49"/>
      <c r="J1033" s="49"/>
      <c r="K1033" s="49"/>
      <c r="L1033" s="147" t="s">
        <v>37</v>
      </c>
      <c r="M1033" s="147"/>
      <c r="N1033" s="49"/>
      <c r="O1033" s="49"/>
      <c r="P1033" s="49"/>
      <c r="Q1033" s="146"/>
      <c r="R1033" s="49"/>
      <c r="S1033" s="49"/>
      <c r="T1033" s="49"/>
      <c r="U1033" s="1659"/>
      <c r="V1033" s="3035"/>
      <c r="W1033"/>
    </row>
    <row r="1034" spans="1:23" ht="27" customHeight="1" thickBot="1">
      <c r="A1034" s="1513" t="s">
        <v>4964</v>
      </c>
      <c r="B1034" s="1531">
        <v>45474</v>
      </c>
      <c r="C1034" s="364">
        <f t="shared" si="17"/>
        <v>27</v>
      </c>
      <c r="D1034" s="1663" t="s">
        <v>4977</v>
      </c>
      <c r="E1034" s="1663" t="s">
        <v>4155</v>
      </c>
      <c r="F1034" s="1664" t="s">
        <v>1199</v>
      </c>
      <c r="G1034" s="1664" t="s">
        <v>1199</v>
      </c>
      <c r="H1034" s="3250">
        <v>702</v>
      </c>
      <c r="I1034" s="5241"/>
      <c r="J1034" s="5241"/>
      <c r="K1034" s="5227" t="s">
        <v>1630</v>
      </c>
      <c r="L1034" s="164" t="s">
        <v>37</v>
      </c>
      <c r="M1034" s="164"/>
      <c r="N1034" s="57"/>
      <c r="O1034" s="57"/>
      <c r="P1034" s="57"/>
      <c r="Q1034" s="159"/>
      <c r="R1034" s="57"/>
      <c r="S1034" s="57"/>
      <c r="T1034" s="57"/>
      <c r="U1034" s="1665"/>
      <c r="V1034" s="3035"/>
      <c r="W1034"/>
    </row>
    <row r="1035" spans="1:23" ht="27" customHeight="1" thickBot="1">
      <c r="A1035" s="1586" t="s">
        <v>4978</v>
      </c>
      <c r="B1035" s="1587">
        <v>45475</v>
      </c>
      <c r="C1035" s="364">
        <f t="shared" si="17"/>
        <v>27</v>
      </c>
      <c r="D1035" s="1430" t="s">
        <v>4155</v>
      </c>
      <c r="E1035" s="1430" t="s">
        <v>4225</v>
      </c>
      <c r="F1035" s="1666" t="s">
        <v>1199</v>
      </c>
      <c r="G1035" s="1666" t="s">
        <v>1199</v>
      </c>
      <c r="H1035" s="1667"/>
      <c r="I1035" s="1668"/>
      <c r="J1035" s="1669"/>
      <c r="K1035" s="1669"/>
      <c r="L1035" s="152" t="s">
        <v>37</v>
      </c>
      <c r="M1035" s="152"/>
      <c r="N1035" s="111"/>
      <c r="O1035" s="111"/>
      <c r="P1035" s="111"/>
      <c r="Q1035" s="160"/>
      <c r="R1035" s="111"/>
      <c r="S1035" s="111"/>
      <c r="T1035" s="111"/>
      <c r="U1035" s="1670" t="s">
        <v>4979</v>
      </c>
      <c r="V1035" s="3061"/>
      <c r="W1035"/>
    </row>
    <row r="1036" spans="1:23" ht="26.25" customHeight="1">
      <c r="A1036" s="1586" t="s">
        <v>4978</v>
      </c>
      <c r="B1036" s="1587">
        <v>45475</v>
      </c>
      <c r="C1036" s="54">
        <f t="shared" si="17"/>
        <v>27</v>
      </c>
      <c r="D1036" s="1671" t="s">
        <v>4086</v>
      </c>
      <c r="E1036" s="1671" t="s">
        <v>4839</v>
      </c>
      <c r="F1036" s="1672" t="s">
        <v>1768</v>
      </c>
      <c r="G1036" s="1672" t="s">
        <v>1768</v>
      </c>
      <c r="H1036" s="5213"/>
      <c r="I1036" s="5211"/>
      <c r="J1036" s="5212"/>
      <c r="K1036" s="484" t="s">
        <v>29</v>
      </c>
      <c r="L1036" s="152"/>
      <c r="M1036" s="186"/>
      <c r="N1036" s="20"/>
      <c r="O1036" s="20"/>
      <c r="P1036" s="20"/>
      <c r="Q1036" s="160"/>
      <c r="R1036" s="111"/>
      <c r="S1036" s="111"/>
      <c r="T1036" s="111"/>
      <c r="U1036" s="1670" t="s">
        <v>4980</v>
      </c>
      <c r="V1036" s="3061"/>
      <c r="W1036"/>
    </row>
    <row r="1037" spans="1:23" ht="26.25" customHeight="1">
      <c r="A1037" s="1586" t="s">
        <v>4978</v>
      </c>
      <c r="B1037" s="1587">
        <v>45475</v>
      </c>
      <c r="C1037" s="153">
        <f t="shared" si="17"/>
        <v>27</v>
      </c>
      <c r="D1037" s="1673" t="s">
        <v>4155</v>
      </c>
      <c r="E1037" s="1673" t="s">
        <v>4969</v>
      </c>
      <c r="F1037" s="1674" t="s">
        <v>1206</v>
      </c>
      <c r="G1037" s="1666" t="s">
        <v>1206</v>
      </c>
      <c r="H1037" s="1596"/>
      <c r="I1037" s="1596"/>
      <c r="J1037" s="1596"/>
      <c r="K1037" s="2009"/>
      <c r="L1037" s="152" t="s">
        <v>37</v>
      </c>
      <c r="M1037" s="152"/>
      <c r="N1037" s="111"/>
      <c r="O1037" s="111"/>
      <c r="P1037" s="111"/>
      <c r="Q1037" s="160"/>
      <c r="R1037" s="111"/>
      <c r="S1037" s="175" t="s">
        <v>37</v>
      </c>
      <c r="T1037" s="111"/>
      <c r="U1037" s="1675"/>
      <c r="V1037" s="3035"/>
      <c r="W1037"/>
    </row>
    <row r="1038" spans="1:23" ht="26.25" customHeight="1">
      <c r="A1038" s="1586" t="s">
        <v>4978</v>
      </c>
      <c r="B1038" s="1587">
        <v>45475</v>
      </c>
      <c r="C1038" s="153">
        <f t="shared" si="17"/>
        <v>27</v>
      </c>
      <c r="D1038" s="1430" t="s">
        <v>1145</v>
      </c>
      <c r="E1038" s="1430" t="s">
        <v>2430</v>
      </c>
      <c r="F1038" s="1674" t="s">
        <v>1206</v>
      </c>
      <c r="G1038" s="1666" t="s">
        <v>1206</v>
      </c>
      <c r="H1038" s="1676"/>
      <c r="I1038" s="1677"/>
      <c r="J1038" s="1677"/>
      <c r="K1038" s="1677"/>
      <c r="L1038" s="152" t="s">
        <v>37</v>
      </c>
      <c r="M1038" s="152"/>
      <c r="N1038" s="111"/>
      <c r="O1038" s="111"/>
      <c r="P1038" s="111"/>
      <c r="Q1038" s="160"/>
      <c r="R1038" s="111"/>
      <c r="S1038" s="111"/>
      <c r="T1038" s="111"/>
      <c r="U1038" s="1675"/>
      <c r="V1038" s="3035"/>
      <c r="W1038"/>
    </row>
    <row r="1039" spans="1:23" ht="52.5" customHeight="1">
      <c r="A1039" s="1516" t="s">
        <v>4978</v>
      </c>
      <c r="B1039" s="1517">
        <v>45475</v>
      </c>
      <c r="C1039" s="153">
        <f t="shared" si="17"/>
        <v>27</v>
      </c>
      <c r="D1039" s="941" t="s">
        <v>4416</v>
      </c>
      <c r="E1039" s="941" t="s">
        <v>3678</v>
      </c>
      <c r="F1039" s="1678" t="s">
        <v>1199</v>
      </c>
      <c r="G1039" s="1679" t="s">
        <v>1199</v>
      </c>
      <c r="H1039" s="5202"/>
      <c r="I1039" s="5200"/>
      <c r="J1039" s="5201"/>
      <c r="K1039" s="5246" t="s">
        <v>3346</v>
      </c>
      <c r="L1039" s="22"/>
      <c r="M1039" s="82" t="s">
        <v>37</v>
      </c>
      <c r="N1039" s="20" t="s">
        <v>231</v>
      </c>
      <c r="O1039" s="20" t="s">
        <v>232</v>
      </c>
      <c r="P1039" s="20" t="s">
        <v>4102</v>
      </c>
      <c r="Q1039" s="1680">
        <v>3</v>
      </c>
      <c r="R1039" s="49"/>
      <c r="S1039" s="49"/>
      <c r="T1039" s="49"/>
      <c r="U1039" s="1659" t="s">
        <v>4981</v>
      </c>
      <c r="V1039" s="3035"/>
      <c r="W1039"/>
    </row>
    <row r="1040" spans="1:23" ht="27" customHeight="1" thickBot="1">
      <c r="A1040" s="1516" t="s">
        <v>4978</v>
      </c>
      <c r="B1040" s="1517">
        <v>45475</v>
      </c>
      <c r="C1040" s="187">
        <f t="shared" si="17"/>
        <v>27</v>
      </c>
      <c r="D1040" s="1611" t="s">
        <v>68</v>
      </c>
      <c r="E1040" s="1611" t="s">
        <v>4335</v>
      </c>
      <c r="F1040" s="1681" t="s">
        <v>1206</v>
      </c>
      <c r="G1040" s="1682" t="s">
        <v>1206</v>
      </c>
      <c r="H1040" s="49"/>
      <c r="I1040" s="49"/>
      <c r="J1040" s="49"/>
      <c r="K1040" s="49"/>
      <c r="L1040" s="1683" t="s">
        <v>37</v>
      </c>
      <c r="M1040" s="49"/>
      <c r="N1040" s="49"/>
      <c r="O1040" s="49"/>
      <c r="P1040" s="49"/>
      <c r="Q1040" s="146"/>
      <c r="R1040" s="49"/>
      <c r="S1040" s="49"/>
      <c r="T1040" s="49"/>
      <c r="U1040" s="1659"/>
      <c r="V1040" s="3035"/>
      <c r="W1040"/>
    </row>
    <row r="1041" spans="1:23" ht="26.25" customHeight="1">
      <c r="A1041" s="1526" t="s">
        <v>3802</v>
      </c>
      <c r="B1041" s="1527">
        <v>45476</v>
      </c>
      <c r="C1041" s="54">
        <f t="shared" si="17"/>
        <v>27</v>
      </c>
      <c r="D1041" s="1011" t="s">
        <v>4335</v>
      </c>
      <c r="E1041" s="1011" t="s">
        <v>4155</v>
      </c>
      <c r="F1041" s="1684" t="s">
        <v>1199</v>
      </c>
      <c r="G1041" s="1684" t="s">
        <v>1199</v>
      </c>
      <c r="H1041" s="55"/>
      <c r="I1041" s="55"/>
      <c r="J1041" s="55"/>
      <c r="K1041" s="55"/>
      <c r="L1041" s="144" t="s">
        <v>37</v>
      </c>
      <c r="M1041" s="144"/>
      <c r="N1041" s="55"/>
      <c r="O1041" s="55"/>
      <c r="P1041" s="55"/>
      <c r="Q1041" s="151"/>
      <c r="R1041" s="55"/>
      <c r="S1041" s="55"/>
      <c r="T1041" s="55"/>
      <c r="U1041" s="1685"/>
      <c r="V1041" s="3035"/>
      <c r="W1041"/>
    </row>
    <row r="1042" spans="1:23" ht="26.25" customHeight="1">
      <c r="A1042" s="1516" t="s">
        <v>3802</v>
      </c>
      <c r="B1042" s="1517">
        <v>45476</v>
      </c>
      <c r="C1042" s="153">
        <f t="shared" si="17"/>
        <v>27</v>
      </c>
      <c r="D1042" s="1673" t="s">
        <v>4969</v>
      </c>
      <c r="E1042" s="1673" t="s">
        <v>4595</v>
      </c>
      <c r="F1042" s="1686" t="s">
        <v>1199</v>
      </c>
      <c r="G1042" s="1686" t="s">
        <v>1199</v>
      </c>
      <c r="H1042" s="5250"/>
      <c r="I1042" s="5265"/>
      <c r="J1042" s="5257"/>
      <c r="K1042" s="5231" t="s">
        <v>4206</v>
      </c>
      <c r="L1042" s="1687" t="s">
        <v>37</v>
      </c>
      <c r="M1042" s="1687"/>
      <c r="N1042" s="111"/>
      <c r="O1042" s="111"/>
      <c r="P1042" s="111"/>
      <c r="Q1042" s="160"/>
      <c r="R1042" s="111"/>
      <c r="S1042" s="111"/>
      <c r="T1042" s="111"/>
      <c r="U1042" s="1675"/>
      <c r="V1042" s="3035"/>
      <c r="W1042"/>
    </row>
    <row r="1043" spans="1:23" ht="52.5" customHeight="1">
      <c r="A1043" s="1516" t="s">
        <v>3802</v>
      </c>
      <c r="B1043" s="1517">
        <v>45476</v>
      </c>
      <c r="C1043" s="153">
        <f t="shared" si="17"/>
        <v>27</v>
      </c>
      <c r="D1043" s="1688" t="s">
        <v>4839</v>
      </c>
      <c r="E1043" s="1688" t="s">
        <v>1145</v>
      </c>
      <c r="F1043" s="176" t="s">
        <v>1768</v>
      </c>
      <c r="G1043" s="176" t="s">
        <v>1768</v>
      </c>
      <c r="H1043" s="5250"/>
      <c r="I1043" s="5265"/>
      <c r="J1043" s="5257"/>
      <c r="K1043" s="5231" t="s">
        <v>4206</v>
      </c>
      <c r="L1043" s="153"/>
      <c r="M1043" s="153" t="s">
        <v>37</v>
      </c>
      <c r="N1043" s="21" t="s">
        <v>231</v>
      </c>
      <c r="O1043" s="21" t="s">
        <v>1048</v>
      </c>
      <c r="P1043" s="21" t="s">
        <v>4102</v>
      </c>
      <c r="Q1043" s="146"/>
      <c r="R1043" s="49"/>
      <c r="S1043" s="49"/>
      <c r="T1043" s="49"/>
      <c r="U1043" s="1659"/>
      <c r="V1043" s="3035"/>
      <c r="W1043"/>
    </row>
    <row r="1044" spans="1:23" ht="52.5" customHeight="1">
      <c r="A1044" s="1516" t="s">
        <v>3802</v>
      </c>
      <c r="B1044" s="1517">
        <v>45476</v>
      </c>
      <c r="C1044" s="153">
        <f t="shared" si="17"/>
        <v>27</v>
      </c>
      <c r="D1044" s="1689" t="s">
        <v>447</v>
      </c>
      <c r="E1044" s="1689" t="s">
        <v>2750</v>
      </c>
      <c r="F1044" s="1690" t="s">
        <v>1199</v>
      </c>
      <c r="G1044" s="1690" t="s">
        <v>1199</v>
      </c>
      <c r="H1044" s="5250">
        <v>705</v>
      </c>
      <c r="I1044" s="5265"/>
      <c r="J1044" s="5257"/>
      <c r="K1044" s="70" t="s">
        <v>627</v>
      </c>
      <c r="L1044" s="153"/>
      <c r="M1044" s="153" t="s">
        <v>37</v>
      </c>
      <c r="N1044" s="21" t="s">
        <v>122</v>
      </c>
      <c r="O1044" s="21" t="s">
        <v>123</v>
      </c>
      <c r="P1044" s="21" t="s">
        <v>4330</v>
      </c>
      <c r="Q1044" s="1691">
        <v>4</v>
      </c>
      <c r="R1044" s="49"/>
      <c r="S1044" s="49"/>
      <c r="T1044" s="49"/>
      <c r="U1044" s="1657" t="s">
        <v>4982</v>
      </c>
      <c r="V1044" s="3061"/>
      <c r="W1044"/>
    </row>
    <row r="1045" spans="1:23" ht="26.25" customHeight="1">
      <c r="A1045" s="1516" t="s">
        <v>3802</v>
      </c>
      <c r="B1045" s="1517">
        <v>45476</v>
      </c>
      <c r="C1045" s="1739">
        <f t="shared" si="17"/>
        <v>27</v>
      </c>
      <c r="D1045" s="1688" t="s">
        <v>4955</v>
      </c>
      <c r="E1045" s="1688" t="s">
        <v>4223</v>
      </c>
      <c r="F1045" s="1686" t="s">
        <v>1199</v>
      </c>
      <c r="G1045" s="1686" t="s">
        <v>1199</v>
      </c>
      <c r="H1045" s="1692"/>
      <c r="I1045" s="1693"/>
      <c r="J1045" s="1643"/>
      <c r="K1045" s="1643"/>
      <c r="L1045" s="82" t="s">
        <v>37</v>
      </c>
      <c r="M1045" s="82"/>
      <c r="N1045" s="49"/>
      <c r="O1045" s="49"/>
      <c r="P1045" s="49"/>
      <c r="Q1045" s="49"/>
      <c r="R1045" s="49"/>
      <c r="S1045" s="49"/>
      <c r="T1045" s="49"/>
      <c r="U1045" s="1659"/>
      <c r="V1045" s="3035"/>
      <c r="W1045"/>
    </row>
    <row r="1046" spans="1:23" ht="56.25" customHeight="1">
      <c r="A1046" s="1516" t="s">
        <v>3802</v>
      </c>
      <c r="B1046" s="1517">
        <v>45476</v>
      </c>
      <c r="C1046" s="153">
        <f t="shared" ref="C1046:C1106" si="18">_xlfn.ISOWEEKNUM(B1046)</f>
        <v>27</v>
      </c>
      <c r="D1046" s="1694" t="s">
        <v>4416</v>
      </c>
      <c r="E1046" s="1694" t="s">
        <v>4983</v>
      </c>
      <c r="F1046" s="1686" t="s">
        <v>1199</v>
      </c>
      <c r="G1046" s="1686" t="s">
        <v>1199</v>
      </c>
      <c r="H1046" s="5250">
        <v>706</v>
      </c>
      <c r="I1046" s="5283"/>
      <c r="J1046" s="5284"/>
      <c r="K1046" s="1058" t="s">
        <v>4804</v>
      </c>
      <c r="L1046" s="82"/>
      <c r="M1046" s="153" t="s">
        <v>37</v>
      </c>
      <c r="N1046" s="20" t="s">
        <v>231</v>
      </c>
      <c r="O1046" s="20" t="s">
        <v>232</v>
      </c>
      <c r="P1046" s="21" t="s">
        <v>4102</v>
      </c>
      <c r="Q1046" s="1695">
        <v>5</v>
      </c>
      <c r="R1046" s="49"/>
      <c r="S1046" s="49"/>
      <c r="T1046" s="49"/>
      <c r="U1046" s="1656" t="s">
        <v>4984</v>
      </c>
      <c r="V1046" s="3060"/>
      <c r="W1046"/>
    </row>
    <row r="1047" spans="1:23" ht="26.25" customHeight="1">
      <c r="A1047" s="1516" t="s">
        <v>3802</v>
      </c>
      <c r="B1047" s="1517">
        <v>45476</v>
      </c>
      <c r="C1047" s="153">
        <f t="shared" si="18"/>
        <v>27</v>
      </c>
      <c r="D1047" s="1696" t="s">
        <v>1165</v>
      </c>
      <c r="E1047" s="1696" t="s">
        <v>4839</v>
      </c>
      <c r="F1047" s="176" t="s">
        <v>1768</v>
      </c>
      <c r="G1047" s="176" t="s">
        <v>1768</v>
      </c>
      <c r="H1047" s="5202"/>
      <c r="I1047" s="5200"/>
      <c r="J1047" s="5201"/>
      <c r="K1047" s="484" t="s">
        <v>29</v>
      </c>
      <c r="L1047" s="82" t="s">
        <v>2994</v>
      </c>
      <c r="M1047" s="82"/>
      <c r="N1047" s="49"/>
      <c r="O1047" s="49"/>
      <c r="P1047" s="49"/>
      <c r="Q1047" s="49"/>
      <c r="R1047" s="49"/>
      <c r="S1047" s="49"/>
      <c r="T1047" s="49"/>
      <c r="U1047" s="1659" t="s">
        <v>1768</v>
      </c>
      <c r="V1047" s="3035"/>
      <c r="W1047"/>
    </row>
    <row r="1048" spans="1:23" ht="75" customHeight="1">
      <c r="A1048" s="1516" t="s">
        <v>3802</v>
      </c>
      <c r="B1048" s="1517">
        <v>45476</v>
      </c>
      <c r="C1048" s="153">
        <f t="shared" si="18"/>
        <v>27</v>
      </c>
      <c r="D1048" s="1697" t="s">
        <v>4416</v>
      </c>
      <c r="E1048" s="1697" t="s">
        <v>4985</v>
      </c>
      <c r="F1048" s="176" t="s">
        <v>1199</v>
      </c>
      <c r="G1048" s="176" t="s">
        <v>1199</v>
      </c>
      <c r="H1048" s="1692"/>
      <c r="I1048" s="1693"/>
      <c r="J1048" s="1643"/>
      <c r="K1048" s="1643"/>
      <c r="L1048" s="82"/>
      <c r="M1048" s="82" t="s">
        <v>4986</v>
      </c>
      <c r="N1048" s="20" t="s">
        <v>231</v>
      </c>
      <c r="O1048" s="20" t="s">
        <v>232</v>
      </c>
      <c r="P1048" s="20" t="s">
        <v>4102</v>
      </c>
      <c r="Q1048" s="1698">
        <v>6</v>
      </c>
      <c r="R1048" s="49"/>
      <c r="S1048" s="49"/>
      <c r="T1048" s="49"/>
      <c r="U1048" s="1699" t="s">
        <v>4987</v>
      </c>
      <c r="V1048" s="3062"/>
      <c r="W1048"/>
    </row>
    <row r="1049" spans="1:23" ht="26.25" customHeight="1">
      <c r="A1049" s="1516" t="s">
        <v>3802</v>
      </c>
      <c r="B1049" s="1517">
        <v>45476</v>
      </c>
      <c r="C1049" s="153">
        <f t="shared" si="18"/>
        <v>27</v>
      </c>
      <c r="D1049" s="1700" t="s">
        <v>4988</v>
      </c>
      <c r="E1049" s="1700" t="s">
        <v>4825</v>
      </c>
      <c r="F1049" s="176" t="s">
        <v>1199</v>
      </c>
      <c r="G1049" s="176" t="s">
        <v>1199</v>
      </c>
      <c r="H1049" s="1692"/>
      <c r="I1049" s="1693"/>
      <c r="J1049" s="1643"/>
      <c r="K1049" s="1643"/>
      <c r="L1049" s="82" t="s">
        <v>4986</v>
      </c>
      <c r="M1049" s="82"/>
      <c r="N1049" s="49"/>
      <c r="O1049" s="49"/>
      <c r="P1049" s="49"/>
      <c r="Q1049" s="49"/>
      <c r="R1049" s="49"/>
      <c r="S1049" s="49"/>
      <c r="T1049" s="49"/>
      <c r="U1049" s="1659"/>
      <c r="V1049" s="3035"/>
      <c r="W1049"/>
    </row>
    <row r="1050" spans="1:23" ht="26.25" customHeight="1">
      <c r="A1050" s="1516" t="s">
        <v>3802</v>
      </c>
      <c r="B1050" s="1517">
        <v>45476</v>
      </c>
      <c r="C1050" s="153">
        <f t="shared" si="18"/>
        <v>27</v>
      </c>
      <c r="D1050" s="1700" t="s">
        <v>4825</v>
      </c>
      <c r="E1050" s="1700" t="s">
        <v>4989</v>
      </c>
      <c r="F1050" s="176" t="s">
        <v>1199</v>
      </c>
      <c r="G1050" s="176" t="s">
        <v>1199</v>
      </c>
      <c r="H1050" s="1692"/>
      <c r="I1050" s="1693"/>
      <c r="J1050" s="1643"/>
      <c r="K1050" s="1643"/>
      <c r="L1050" s="82" t="s">
        <v>4986</v>
      </c>
      <c r="M1050" s="82"/>
      <c r="N1050" s="49"/>
      <c r="O1050" s="49"/>
      <c r="P1050" s="49"/>
      <c r="Q1050" s="49"/>
      <c r="R1050" s="49"/>
      <c r="S1050" s="49"/>
      <c r="T1050" s="49"/>
      <c r="U1050" s="1659"/>
      <c r="V1050" s="3035"/>
      <c r="W1050"/>
    </row>
    <row r="1051" spans="1:23" ht="27" customHeight="1" thickBot="1">
      <c r="A1051" s="1513" t="s">
        <v>3802</v>
      </c>
      <c r="B1051" s="1531">
        <v>45476</v>
      </c>
      <c r="C1051" s="187">
        <f t="shared" si="18"/>
        <v>27</v>
      </c>
      <c r="D1051" s="1701" t="s">
        <v>1145</v>
      </c>
      <c r="E1051" s="1701" t="s">
        <v>2141</v>
      </c>
      <c r="F1051" s="1702" t="s">
        <v>1199</v>
      </c>
      <c r="G1051" s="1702" t="s">
        <v>1199</v>
      </c>
      <c r="H1051" s="1703"/>
      <c r="I1051" s="1704"/>
      <c r="J1051" s="1705"/>
      <c r="K1051" s="1705"/>
      <c r="L1051" s="85" t="s">
        <v>4986</v>
      </c>
      <c r="M1051" s="85"/>
      <c r="N1051" s="57"/>
      <c r="O1051" s="57"/>
      <c r="P1051" s="57"/>
      <c r="Q1051" s="57"/>
      <c r="R1051" s="57"/>
      <c r="S1051" s="57"/>
      <c r="T1051" s="57"/>
      <c r="U1051" s="1665"/>
      <c r="V1051" s="3035"/>
      <c r="W1051"/>
    </row>
    <row r="1052" spans="1:23" ht="26.25" customHeight="1">
      <c r="A1052" s="1516" t="s">
        <v>4144</v>
      </c>
      <c r="B1052" s="1517">
        <v>45477</v>
      </c>
      <c r="C1052" s="54">
        <f t="shared" si="18"/>
        <v>27</v>
      </c>
      <c r="D1052" s="1706" t="s">
        <v>2750</v>
      </c>
      <c r="E1052" s="1706" t="s">
        <v>4790</v>
      </c>
      <c r="F1052" s="1707" t="s">
        <v>1768</v>
      </c>
      <c r="G1052" s="1707" t="s">
        <v>1768</v>
      </c>
      <c r="H1052" s="5274">
        <v>706</v>
      </c>
      <c r="I1052" s="5264"/>
      <c r="J1052" s="2034"/>
      <c r="K1052" s="3250" t="s">
        <v>4504</v>
      </c>
      <c r="L1052" s="82" t="s">
        <v>2994</v>
      </c>
      <c r="M1052" s="82"/>
      <c r="N1052" s="49"/>
      <c r="O1052" s="49"/>
      <c r="P1052" s="49"/>
      <c r="Q1052" s="1680">
        <v>3</v>
      </c>
      <c r="R1052" s="49"/>
      <c r="S1052" s="49"/>
      <c r="T1052" s="49"/>
      <c r="U1052" s="1659" t="s">
        <v>4990</v>
      </c>
      <c r="V1052" s="3035"/>
      <c r="W1052"/>
    </row>
    <row r="1053" spans="1:23" ht="26.25" customHeight="1">
      <c r="A1053" s="1516" t="s">
        <v>4144</v>
      </c>
      <c r="B1053" s="1517">
        <v>45477</v>
      </c>
      <c r="C1053" s="153">
        <f t="shared" si="18"/>
        <v>27</v>
      </c>
      <c r="D1053" s="1708" t="s">
        <v>447</v>
      </c>
      <c r="E1053" s="1708" t="s">
        <v>4991</v>
      </c>
      <c r="F1053" s="1686" t="s">
        <v>1206</v>
      </c>
      <c r="G1053" s="1686" t="s">
        <v>1206</v>
      </c>
      <c r="H1053" s="49"/>
      <c r="I1053" s="49"/>
      <c r="J1053" s="49"/>
      <c r="K1053" s="49"/>
      <c r="L1053" s="82" t="s">
        <v>37</v>
      </c>
      <c r="M1053" s="82"/>
      <c r="N1053" s="49"/>
      <c r="O1053" s="49"/>
      <c r="P1053" s="49"/>
      <c r="Q1053" s="49"/>
      <c r="R1053" s="1691">
        <v>4</v>
      </c>
      <c r="S1053" s="49"/>
      <c r="T1053" s="49"/>
      <c r="U1053" s="1659"/>
      <c r="V1053" s="3035"/>
      <c r="W1053"/>
    </row>
    <row r="1054" spans="1:23" ht="26.25" customHeight="1">
      <c r="A1054" s="1516" t="s">
        <v>4144</v>
      </c>
      <c r="B1054" s="1517">
        <v>45477</v>
      </c>
      <c r="C1054" s="153">
        <f t="shared" si="18"/>
        <v>27</v>
      </c>
      <c r="D1054" s="1688" t="s">
        <v>4416</v>
      </c>
      <c r="E1054" s="1688" t="s">
        <v>1145</v>
      </c>
      <c r="F1054" s="1690" t="s">
        <v>1199</v>
      </c>
      <c r="G1054" s="1690" t="s">
        <v>1199</v>
      </c>
      <c r="H1054" s="5202"/>
      <c r="I1054" s="5200"/>
      <c r="J1054" s="5201"/>
      <c r="K1054" s="484" t="s">
        <v>29</v>
      </c>
      <c r="L1054" s="82" t="s">
        <v>37</v>
      </c>
      <c r="M1054" s="82"/>
      <c r="N1054" s="49"/>
      <c r="O1054" s="49"/>
      <c r="P1054" s="49"/>
      <c r="Q1054" s="49"/>
      <c r="R1054" s="1709" t="s">
        <v>4992</v>
      </c>
      <c r="S1054" s="49"/>
      <c r="T1054" s="49"/>
      <c r="U1054" s="1659"/>
      <c r="V1054" s="3035"/>
      <c r="W1054"/>
    </row>
    <row r="1055" spans="1:23" ht="26.25" customHeight="1">
      <c r="A1055" s="1516" t="s">
        <v>4144</v>
      </c>
      <c r="B1055" s="1517">
        <v>45477</v>
      </c>
      <c r="C1055" s="153">
        <f t="shared" si="18"/>
        <v>27</v>
      </c>
      <c r="D1055" s="1697" t="s">
        <v>4335</v>
      </c>
      <c r="E1055" s="1697" t="s">
        <v>4993</v>
      </c>
      <c r="F1055" s="176" t="s">
        <v>1768</v>
      </c>
      <c r="G1055" s="176" t="s">
        <v>1768</v>
      </c>
      <c r="H1055" s="49"/>
      <c r="I1055" s="49"/>
      <c r="J1055" s="49"/>
      <c r="K1055" s="49"/>
      <c r="L1055" s="82" t="s">
        <v>2994</v>
      </c>
      <c r="M1055" s="82"/>
      <c r="N1055" s="49"/>
      <c r="O1055" s="49"/>
      <c r="P1055" s="49"/>
      <c r="Q1055" s="1698">
        <v>6</v>
      </c>
      <c r="R1055" s="49"/>
      <c r="S1055" s="49"/>
      <c r="T1055" s="49"/>
      <c r="U1055" s="1659"/>
      <c r="V1055" s="3035"/>
      <c r="W1055"/>
    </row>
    <row r="1056" spans="1:23" ht="42" customHeight="1">
      <c r="A1056" s="1516" t="s">
        <v>4144</v>
      </c>
      <c r="B1056" s="1517">
        <v>45477</v>
      </c>
      <c r="C1056" s="153">
        <f t="shared" si="18"/>
        <v>27</v>
      </c>
      <c r="D1056" s="1696" t="s">
        <v>4967</v>
      </c>
      <c r="E1056" s="1696" t="s">
        <v>4234</v>
      </c>
      <c r="F1056" s="1690" t="s">
        <v>1199</v>
      </c>
      <c r="G1056" s="1710" t="s">
        <v>4994</v>
      </c>
      <c r="H1056" s="5202"/>
      <c r="I1056" s="5200"/>
      <c r="J1056" s="5201"/>
      <c r="K1056" s="484" t="s">
        <v>29</v>
      </c>
      <c r="L1056" s="153" t="s">
        <v>37</v>
      </c>
      <c r="M1056"/>
      <c r="N1056" s="49"/>
      <c r="O1056" s="49"/>
      <c r="P1056" s="49"/>
      <c r="Q1056" s="49"/>
      <c r="R1056" s="49"/>
      <c r="S1056" s="49"/>
      <c r="T1056" s="49"/>
      <c r="U1056" s="1657" t="s">
        <v>4995</v>
      </c>
      <c r="V1056" s="3061"/>
      <c r="W1056"/>
    </row>
    <row r="1057" spans="1:23" ht="52.5" customHeight="1">
      <c r="A1057" s="1516" t="s">
        <v>4144</v>
      </c>
      <c r="B1057" s="1517">
        <v>45477</v>
      </c>
      <c r="C1057" s="153">
        <f t="shared" si="18"/>
        <v>27</v>
      </c>
      <c r="D1057" s="1711" t="s">
        <v>4989</v>
      </c>
      <c r="E1057" s="1711" t="s">
        <v>4996</v>
      </c>
      <c r="F1057" s="176" t="s">
        <v>1199</v>
      </c>
      <c r="G1057" s="176" t="s">
        <v>1199</v>
      </c>
      <c r="H1057" s="5250"/>
      <c r="I1057" s="5265"/>
      <c r="J1057" s="5257"/>
      <c r="K1057" s="5231" t="s">
        <v>4206</v>
      </c>
      <c r="L1057" s="82"/>
      <c r="M1057" s="82" t="s">
        <v>30</v>
      </c>
      <c r="N1057" s="20" t="s">
        <v>122</v>
      </c>
      <c r="O1057" s="21" t="s">
        <v>123</v>
      </c>
      <c r="P1057" s="20" t="s">
        <v>4080</v>
      </c>
      <c r="Q1057" s="49"/>
      <c r="R1057" s="49"/>
      <c r="S1057" s="49"/>
      <c r="T1057" s="49"/>
      <c r="U1057" s="50" t="s">
        <v>4997</v>
      </c>
      <c r="V1057"/>
      <c r="W1057"/>
    </row>
    <row r="1058" spans="1:23" ht="26.25" customHeight="1">
      <c r="A1058" s="1516" t="s">
        <v>4144</v>
      </c>
      <c r="B1058" s="1517">
        <v>45477</v>
      </c>
      <c r="C1058" s="153">
        <f t="shared" si="18"/>
        <v>27</v>
      </c>
      <c r="D1058" s="1688" t="s">
        <v>4989</v>
      </c>
      <c r="E1058" s="1688" t="s">
        <v>4850</v>
      </c>
      <c r="F1058" s="176" t="s">
        <v>1768</v>
      </c>
      <c r="G1058" s="176" t="s">
        <v>1768</v>
      </c>
      <c r="H1058" s="3250">
        <v>706</v>
      </c>
      <c r="I1058" s="5277"/>
      <c r="J1058" s="5257"/>
      <c r="K1058" s="3250" t="s">
        <v>5035</v>
      </c>
      <c r="L1058" s="82" t="s">
        <v>2994</v>
      </c>
      <c r="M1058" s="82"/>
      <c r="N1058" s="49"/>
      <c r="O1058" s="49"/>
      <c r="P1058" s="49"/>
      <c r="Q1058" s="49"/>
      <c r="R1058" s="49"/>
      <c r="S1058" s="49"/>
      <c r="T1058" s="49"/>
      <c r="U1058" s="50"/>
      <c r="V1058"/>
      <c r="W1058"/>
    </row>
    <row r="1059" spans="1:23" ht="26.25" customHeight="1">
      <c r="A1059" s="1586" t="s">
        <v>4144</v>
      </c>
      <c r="B1059" s="1587">
        <v>45477</v>
      </c>
      <c r="C1059" s="153">
        <f t="shared" si="18"/>
        <v>27</v>
      </c>
      <c r="D1059" s="1712" t="s">
        <v>148</v>
      </c>
      <c r="E1059" s="1712" t="s">
        <v>1045</v>
      </c>
      <c r="F1059" s="1713" t="s">
        <v>1199</v>
      </c>
      <c r="G1059" s="1713" t="s">
        <v>1199</v>
      </c>
      <c r="H1059" s="111"/>
      <c r="I1059" s="111"/>
      <c r="J1059" s="111"/>
      <c r="K1059" s="111"/>
      <c r="L1059" s="832" t="s">
        <v>37</v>
      </c>
      <c r="M1059" s="832"/>
      <c r="N1059" s="111"/>
      <c r="O1059" s="111"/>
      <c r="P1059" s="111"/>
      <c r="Q1059" s="111"/>
      <c r="R1059" s="111"/>
      <c r="S1059" s="111"/>
      <c r="T1059" s="111"/>
      <c r="U1059" s="112"/>
      <c r="V1059"/>
      <c r="W1059"/>
    </row>
    <row r="1060" spans="1:23" ht="26.25" customHeight="1">
      <c r="A1060" s="1522" t="s">
        <v>4144</v>
      </c>
      <c r="B1060" s="1523">
        <v>45477</v>
      </c>
      <c r="C1060" s="153">
        <f t="shared" si="18"/>
        <v>27</v>
      </c>
      <c r="D1060" s="1714" t="s">
        <v>1050</v>
      </c>
      <c r="E1060" s="1714" t="s">
        <v>808</v>
      </c>
      <c r="F1060" s="1715" t="s">
        <v>1199</v>
      </c>
      <c r="G1060" s="1716" t="s">
        <v>1199</v>
      </c>
      <c r="H1060" s="51"/>
      <c r="I1060" s="51"/>
      <c r="J1060" s="51"/>
      <c r="K1060" s="51"/>
      <c r="L1060" s="169" t="s">
        <v>37</v>
      </c>
      <c r="M1060" s="169"/>
      <c r="N1060" s="51"/>
      <c r="O1060" s="51"/>
      <c r="P1060" s="51"/>
      <c r="Q1060" s="51"/>
      <c r="R1060" s="51"/>
      <c r="S1060" s="51"/>
      <c r="T1060" s="51"/>
      <c r="U1060" s="53"/>
      <c r="V1060"/>
      <c r="W1060"/>
    </row>
    <row r="1061" spans="1:23" ht="27" customHeight="1" thickBot="1">
      <c r="A1061" s="1513" t="s">
        <v>4144</v>
      </c>
      <c r="B1061" s="1531">
        <v>45477</v>
      </c>
      <c r="C1061" s="1739">
        <f t="shared" si="18"/>
        <v>27</v>
      </c>
      <c r="D1061" s="1015" t="s">
        <v>4968</v>
      </c>
      <c r="E1061" s="1015" t="s">
        <v>1145</v>
      </c>
      <c r="F1061" s="1717" t="s">
        <v>1206</v>
      </c>
      <c r="G1061" s="245" t="s">
        <v>1206</v>
      </c>
      <c r="H1061" s="57"/>
      <c r="I1061" s="1718"/>
      <c r="J1061" s="57"/>
      <c r="K1061" s="57"/>
      <c r="L1061" s="85" t="s">
        <v>37</v>
      </c>
      <c r="M1061" s="1719"/>
      <c r="N1061" s="57"/>
      <c r="O1061" s="57"/>
      <c r="P1061" s="57"/>
      <c r="Q1061" s="57"/>
      <c r="R1061" s="57"/>
      <c r="S1061" s="57"/>
      <c r="T1061" s="57"/>
      <c r="U1061" s="1720"/>
      <c r="V1061" s="3063"/>
      <c r="W1061"/>
    </row>
    <row r="1062" spans="1:23" ht="26.25" customHeight="1">
      <c r="A1062" s="1721" t="s">
        <v>4149</v>
      </c>
      <c r="B1062" s="1722">
        <v>45478</v>
      </c>
      <c r="C1062" s="153">
        <f t="shared" si="18"/>
        <v>27</v>
      </c>
      <c r="D1062" s="1723" t="s">
        <v>4998</v>
      </c>
      <c r="E1062" s="1723" t="s">
        <v>3037</v>
      </c>
      <c r="F1062" s="1715" t="s">
        <v>1199</v>
      </c>
      <c r="G1062" s="1715" t="s">
        <v>1199</v>
      </c>
      <c r="H1062" s="55"/>
      <c r="I1062" s="55"/>
      <c r="J1062" s="55"/>
      <c r="K1062" s="55"/>
      <c r="L1062" s="846" t="s">
        <v>37</v>
      </c>
      <c r="M1062" s="846"/>
      <c r="N1062" s="846"/>
      <c r="O1062" s="846"/>
      <c r="P1062" s="846"/>
      <c r="Q1062" s="846"/>
      <c r="R1062" s="55"/>
      <c r="S1062" s="55"/>
      <c r="T1062" s="55"/>
      <c r="U1062" s="56"/>
      <c r="V1062"/>
      <c r="W1062"/>
    </row>
    <row r="1063" spans="1:23" ht="26.25" customHeight="1">
      <c r="A1063" s="1517" t="s">
        <v>4149</v>
      </c>
      <c r="B1063" s="1517">
        <v>45478</v>
      </c>
      <c r="C1063" s="153">
        <f t="shared" si="18"/>
        <v>27</v>
      </c>
      <c r="D1063" s="1688" t="s">
        <v>1145</v>
      </c>
      <c r="E1063" s="1688" t="s">
        <v>1165</v>
      </c>
      <c r="F1063" s="1724" t="s">
        <v>1199</v>
      </c>
      <c r="G1063" s="1725" t="s">
        <v>1199</v>
      </c>
      <c r="H1063" s="235"/>
      <c r="I1063" s="355"/>
      <c r="J1063" s="224"/>
      <c r="K1063" s="224"/>
      <c r="L1063" s="832" t="s">
        <v>37</v>
      </c>
      <c r="M1063" s="832"/>
      <c r="N1063" s="832"/>
      <c r="O1063" s="832"/>
      <c r="P1063" s="832"/>
      <c r="Q1063" s="832"/>
      <c r="R1063" s="111"/>
      <c r="S1063" s="111"/>
      <c r="T1063" s="111"/>
      <c r="U1063" s="112"/>
      <c r="V1063"/>
      <c r="W1063"/>
    </row>
    <row r="1064" spans="1:23" ht="26.25" customHeight="1">
      <c r="A1064" s="1517" t="s">
        <v>4149</v>
      </c>
      <c r="B1064" s="1517">
        <v>45478</v>
      </c>
      <c r="C1064" s="153">
        <f t="shared" si="18"/>
        <v>27</v>
      </c>
      <c r="D1064" s="1688" t="s">
        <v>4225</v>
      </c>
      <c r="E1064" s="1688" t="s">
        <v>4999</v>
      </c>
      <c r="F1064" s="1726" t="s">
        <v>1199</v>
      </c>
      <c r="G1064" s="1726" t="s">
        <v>1199</v>
      </c>
      <c r="H1064" s="5250"/>
      <c r="I1064" s="5265"/>
      <c r="J1064" s="5257"/>
      <c r="K1064" s="5231" t="s">
        <v>4206</v>
      </c>
      <c r="L1064" s="832" t="s">
        <v>37</v>
      </c>
      <c r="M1064" s="832"/>
      <c r="N1064" s="832"/>
      <c r="O1064" s="832"/>
      <c r="P1064" s="832"/>
      <c r="Q1064" s="832"/>
      <c r="R1064" s="111"/>
      <c r="S1064" s="111"/>
      <c r="T1064" s="111"/>
      <c r="U1064" s="112"/>
      <c r="V1064"/>
      <c r="W1064"/>
    </row>
    <row r="1065" spans="1:23" ht="26.25" customHeight="1">
      <c r="A1065" s="1516" t="s">
        <v>4149</v>
      </c>
      <c r="B1065" s="1517">
        <v>45478</v>
      </c>
      <c r="C1065" s="153">
        <f t="shared" si="18"/>
        <v>27</v>
      </c>
      <c r="D1065" s="1727" t="s">
        <v>1145</v>
      </c>
      <c r="E1065" s="1727" t="s">
        <v>5000</v>
      </c>
      <c r="F1065" s="1728" t="s">
        <v>1199</v>
      </c>
      <c r="G1065" s="1725" t="s">
        <v>5001</v>
      </c>
      <c r="H1065" s="111"/>
      <c r="I1065" s="111"/>
      <c r="J1065" s="111"/>
      <c r="K1065" s="111"/>
      <c r="L1065" s="832" t="s">
        <v>37</v>
      </c>
      <c r="M1065" s="832"/>
      <c r="N1065" s="832"/>
      <c r="O1065" s="832"/>
      <c r="P1065" s="832"/>
      <c r="Q1065" s="832"/>
      <c r="R1065" s="111"/>
      <c r="S1065" s="111"/>
      <c r="T1065" s="111"/>
      <c r="U1065" s="112"/>
      <c r="V1065"/>
      <c r="W1065"/>
    </row>
    <row r="1066" spans="1:23" ht="78.75" customHeight="1">
      <c r="A1066" s="1516" t="s">
        <v>4149</v>
      </c>
      <c r="B1066" s="1517">
        <v>45478</v>
      </c>
      <c r="C1066" s="153">
        <f t="shared" si="18"/>
        <v>27</v>
      </c>
      <c r="D1066" s="1727" t="s">
        <v>879</v>
      </c>
      <c r="E1066" s="1727" t="s">
        <v>2430</v>
      </c>
      <c r="F1066" s="1725" t="s">
        <v>1199</v>
      </c>
      <c r="G1066" s="1725" t="s">
        <v>1199</v>
      </c>
      <c r="H1066" s="111"/>
      <c r="I1066" s="111"/>
      <c r="J1066" s="111"/>
      <c r="K1066" s="111"/>
      <c r="L1066" s="832"/>
      <c r="M1066" s="832" t="s">
        <v>37</v>
      </c>
      <c r="N1066" s="21" t="s">
        <v>71</v>
      </c>
      <c r="O1066" s="21" t="s">
        <v>720</v>
      </c>
      <c r="P1066" s="21" t="s">
        <v>4080</v>
      </c>
      <c r="Q1066" s="1729">
        <v>7</v>
      </c>
      <c r="R1066" s="111"/>
      <c r="S1066" s="111"/>
      <c r="T1066" s="111"/>
      <c r="U1066" s="1740" t="s">
        <v>5002</v>
      </c>
      <c r="V1066" s="377"/>
      <c r="W1066"/>
    </row>
    <row r="1067" spans="1:23" ht="26.25" customHeight="1">
      <c r="A1067" s="1516" t="s">
        <v>4149</v>
      </c>
      <c r="B1067" s="1517">
        <v>45478</v>
      </c>
      <c r="C1067" s="153">
        <f t="shared" si="18"/>
        <v>27</v>
      </c>
      <c r="D1067" s="1694" t="s">
        <v>4983</v>
      </c>
      <c r="E1067" s="1694" t="s">
        <v>5003</v>
      </c>
      <c r="F1067" s="1731" t="s">
        <v>1199</v>
      </c>
      <c r="G1067" s="1730" t="s">
        <v>1199</v>
      </c>
      <c r="H1067" s="5266">
        <v>706</v>
      </c>
      <c r="I1067" s="5265"/>
      <c r="J1067" s="5257"/>
      <c r="K1067" s="70" t="s">
        <v>627</v>
      </c>
      <c r="L1067" s="82" t="s">
        <v>1768</v>
      </c>
      <c r="M1067" s="82"/>
      <c r="N1067" s="82"/>
      <c r="O1067" s="82"/>
      <c r="P1067" s="82"/>
      <c r="Q1067" s="82"/>
      <c r="R1067" s="49"/>
      <c r="S1067" s="49"/>
      <c r="T1067" s="49"/>
      <c r="U1067" s="50"/>
      <c r="V1067"/>
      <c r="W1067"/>
    </row>
    <row r="1068" spans="1:23" ht="26.25" customHeight="1">
      <c r="A1068" s="1516" t="s">
        <v>4149</v>
      </c>
      <c r="B1068" s="1517">
        <v>45478</v>
      </c>
      <c r="C1068" s="153">
        <f t="shared" si="18"/>
        <v>27</v>
      </c>
      <c r="D1068" s="1732" t="s">
        <v>77</v>
      </c>
      <c r="E1068" s="1732" t="s">
        <v>5004</v>
      </c>
      <c r="F1068" s="1731" t="s">
        <v>1199</v>
      </c>
      <c r="G1068" s="1730" t="s">
        <v>1199</v>
      </c>
      <c r="H1068" s="111"/>
      <c r="I1068" s="111"/>
      <c r="J1068" s="111"/>
      <c r="K1068" s="111"/>
      <c r="L1068" s="832" t="s">
        <v>37</v>
      </c>
      <c r="M1068" s="832"/>
      <c r="N1068" s="832"/>
      <c r="O1068" s="832"/>
      <c r="P1068" s="832"/>
      <c r="Q1068" s="832"/>
      <c r="R1068" s="111"/>
      <c r="S1068" s="111"/>
      <c r="T1068" s="111"/>
      <c r="U1068" s="112"/>
      <c r="V1068"/>
      <c r="W1068"/>
    </row>
    <row r="1069" spans="1:23" ht="26.25" customHeight="1">
      <c r="A1069" s="1586" t="s">
        <v>4149</v>
      </c>
      <c r="B1069" s="1587">
        <v>45478</v>
      </c>
      <c r="C1069" s="153">
        <f t="shared" si="18"/>
        <v>27</v>
      </c>
      <c r="D1069" s="1712" t="s">
        <v>148</v>
      </c>
      <c r="E1069" s="1712" t="s">
        <v>1045</v>
      </c>
      <c r="F1069" s="196" t="s">
        <v>1199</v>
      </c>
      <c r="G1069" s="196" t="s">
        <v>1199</v>
      </c>
      <c r="H1069" s="111"/>
      <c r="I1069" s="111"/>
      <c r="J1069" s="111"/>
      <c r="K1069" s="111"/>
      <c r="L1069" s="832" t="s">
        <v>37</v>
      </c>
      <c r="M1069" s="832"/>
      <c r="N1069" s="832"/>
      <c r="O1069" s="832"/>
      <c r="P1069" s="832"/>
      <c r="Q1069" s="832"/>
      <c r="R1069" s="111"/>
      <c r="S1069" s="111"/>
      <c r="T1069" s="111"/>
      <c r="U1069" s="112"/>
      <c r="V1069"/>
      <c r="W1069"/>
    </row>
    <row r="1070" spans="1:23" ht="27" customHeight="1" thickBot="1">
      <c r="A1070" s="1513" t="s">
        <v>4149</v>
      </c>
      <c r="B1070" s="1531">
        <v>45478</v>
      </c>
      <c r="C1070" s="187">
        <f t="shared" si="18"/>
        <v>27</v>
      </c>
      <c r="D1070" s="1733" t="s">
        <v>1050</v>
      </c>
      <c r="E1070" s="1733" t="s">
        <v>808</v>
      </c>
      <c r="F1070" s="243" t="s">
        <v>1199</v>
      </c>
      <c r="G1070" s="243" t="s">
        <v>1199</v>
      </c>
      <c r="H1070" s="57"/>
      <c r="I1070" s="57"/>
      <c r="J1070" s="57"/>
      <c r="K1070" s="57"/>
      <c r="L1070" s="85" t="s">
        <v>37</v>
      </c>
      <c r="M1070" s="85"/>
      <c r="N1070" s="85"/>
      <c r="O1070" s="85"/>
      <c r="P1070" s="85"/>
      <c r="Q1070" s="85"/>
      <c r="R1070" s="57"/>
      <c r="S1070" s="57"/>
      <c r="T1070" s="57"/>
      <c r="U1070" s="99"/>
      <c r="V1070"/>
      <c r="W1070"/>
    </row>
    <row r="1071" spans="1:23" ht="27" customHeight="1" thickBot="1">
      <c r="A1071" s="1526" t="s">
        <v>4114</v>
      </c>
      <c r="B1071" s="1527">
        <v>45479</v>
      </c>
      <c r="C1071" s="144">
        <f t="shared" si="18"/>
        <v>27</v>
      </c>
      <c r="D1071" s="1712" t="s">
        <v>148</v>
      </c>
      <c r="E1071" s="1712" t="s">
        <v>2430</v>
      </c>
      <c r="F1071" s="1736" t="s">
        <v>1199</v>
      </c>
      <c r="G1071" s="1736" t="s">
        <v>1199</v>
      </c>
      <c r="H1071" s="5274"/>
      <c r="I1071" s="5322"/>
      <c r="J1071" s="5259"/>
      <c r="K1071" s="5231" t="s">
        <v>4206</v>
      </c>
      <c r="L1071" s="832" t="s">
        <v>37</v>
      </c>
      <c r="M1071" s="832"/>
      <c r="N1071" s="832"/>
      <c r="O1071" s="832"/>
      <c r="P1071" s="832"/>
      <c r="Q1071" s="832"/>
      <c r="R1071" s="111"/>
      <c r="S1071" s="111"/>
      <c r="T1071" s="111"/>
      <c r="U1071" s="112"/>
      <c r="V1071"/>
      <c r="W1071"/>
    </row>
    <row r="1072" spans="1:23" ht="27" customHeight="1" thickBot="1">
      <c r="A1072" s="1734" t="s">
        <v>4114</v>
      </c>
      <c r="B1072" s="1735">
        <v>45479</v>
      </c>
      <c r="C1072" s="187">
        <f t="shared" si="18"/>
        <v>27</v>
      </c>
      <c r="D1072" s="1737" t="s">
        <v>4086</v>
      </c>
      <c r="E1072" s="1737" t="s">
        <v>4155</v>
      </c>
      <c r="F1072" s="1736" t="s">
        <v>1199</v>
      </c>
      <c r="G1072" s="1736" t="s">
        <v>1199</v>
      </c>
      <c r="H1072" s="5222"/>
      <c r="I1072" s="5223"/>
      <c r="J1072" s="5224"/>
      <c r="K1072" s="5227" t="s">
        <v>174</v>
      </c>
      <c r="L1072" s="967" t="s">
        <v>37</v>
      </c>
      <c r="M1072" s="181"/>
      <c r="N1072" s="181"/>
      <c r="O1072" s="181"/>
      <c r="P1072" s="181"/>
      <c r="Q1072" s="181"/>
      <c r="R1072" s="181"/>
      <c r="S1072" s="181"/>
      <c r="T1072" s="181"/>
      <c r="U1072" s="1738"/>
      <c r="V1072"/>
      <c r="W1072"/>
    </row>
    <row r="1073" spans="1:23" ht="26.25" customHeight="1">
      <c r="A1073" s="1526" t="s">
        <v>4964</v>
      </c>
      <c r="B1073" s="1527">
        <v>45481</v>
      </c>
      <c r="C1073" s="153">
        <f t="shared" si="18"/>
        <v>28</v>
      </c>
      <c r="D1073" s="1845" t="s">
        <v>4155</v>
      </c>
      <c r="E1073" s="1871" t="s">
        <v>4749</v>
      </c>
      <c r="F1073" s="1741" t="s">
        <v>1199</v>
      </c>
      <c r="G1073" s="1742" t="s">
        <v>1199</v>
      </c>
      <c r="H1073" s="1743"/>
      <c r="I1073" s="322"/>
      <c r="J1073" s="1743"/>
      <c r="K1073" s="1743"/>
      <c r="L1073" s="67" t="s">
        <v>37</v>
      </c>
      <c r="M1073" s="55"/>
      <c r="N1073" s="55"/>
      <c r="O1073" s="55"/>
      <c r="P1073" s="55"/>
      <c r="Q1073" s="55"/>
      <c r="R1073" s="55"/>
      <c r="S1073" s="55"/>
      <c r="T1073" s="55"/>
      <c r="U1073" s="56"/>
      <c r="V1073"/>
      <c r="W1073"/>
    </row>
    <row r="1074" spans="1:23" ht="26.25" customHeight="1">
      <c r="A1074" s="1516" t="s">
        <v>4964</v>
      </c>
      <c r="B1074" s="1517">
        <v>45481</v>
      </c>
      <c r="C1074" s="153">
        <f t="shared" si="18"/>
        <v>28</v>
      </c>
      <c r="D1074" s="1846" t="s">
        <v>89</v>
      </c>
      <c r="E1074" s="1872" t="s">
        <v>209</v>
      </c>
      <c r="F1074" s="1744" t="s">
        <v>1199</v>
      </c>
      <c r="G1074" s="261" t="s">
        <v>1199</v>
      </c>
      <c r="H1074" s="1745"/>
      <c r="I1074" s="257"/>
      <c r="J1074" s="1745"/>
      <c r="K1074" s="1745"/>
      <c r="L1074" s="22" t="s">
        <v>37</v>
      </c>
      <c r="M1074" s="49"/>
      <c r="N1074" s="49"/>
      <c r="O1074" s="49"/>
      <c r="P1074" s="49"/>
      <c r="Q1074" s="49"/>
      <c r="R1074" s="49"/>
      <c r="S1074" s="49"/>
      <c r="T1074" s="49"/>
      <c r="U1074" s="50"/>
      <c r="V1074"/>
      <c r="W1074"/>
    </row>
    <row r="1075" spans="1:23" ht="26.25" customHeight="1">
      <c r="A1075" s="1516" t="s">
        <v>4964</v>
      </c>
      <c r="B1075" s="1517">
        <v>45481</v>
      </c>
      <c r="C1075" s="153">
        <f t="shared" si="18"/>
        <v>28</v>
      </c>
      <c r="D1075" s="1847" t="s">
        <v>80</v>
      </c>
      <c r="E1075" s="1873" t="s">
        <v>1052</v>
      </c>
      <c r="F1075" s="1744" t="s">
        <v>1199</v>
      </c>
      <c r="G1075" s="261" t="s">
        <v>1199</v>
      </c>
      <c r="H1075" s="5250"/>
      <c r="I1075" s="5265"/>
      <c r="J1075" s="5257"/>
      <c r="K1075" s="5231" t="s">
        <v>4206</v>
      </c>
      <c r="L1075" s="22" t="s">
        <v>37</v>
      </c>
      <c r="M1075" s="49"/>
      <c r="N1075" s="49"/>
      <c r="O1075" s="49"/>
      <c r="P1075" s="49"/>
      <c r="Q1075" s="49"/>
      <c r="R1075" s="49"/>
      <c r="S1075" s="49"/>
      <c r="T1075" s="49"/>
      <c r="U1075" s="50"/>
      <c r="V1075"/>
      <c r="W1075"/>
    </row>
    <row r="1076" spans="1:23" ht="26.25" customHeight="1">
      <c r="A1076" s="1516" t="s">
        <v>4964</v>
      </c>
      <c r="B1076" s="1517">
        <v>45481</v>
      </c>
      <c r="C1076" s="153">
        <f t="shared" si="18"/>
        <v>28</v>
      </c>
      <c r="D1076" s="1847" t="s">
        <v>258</v>
      </c>
      <c r="E1076" s="1873" t="s">
        <v>61</v>
      </c>
      <c r="F1076" s="1747" t="s">
        <v>1199</v>
      </c>
      <c r="G1076" s="1748" t="s">
        <v>1199</v>
      </c>
      <c r="H1076" s="5250"/>
      <c r="I1076" s="5265"/>
      <c r="J1076" s="5257"/>
      <c r="K1076" s="5231" t="s">
        <v>4206</v>
      </c>
      <c r="L1076" s="22" t="s">
        <v>37</v>
      </c>
      <c r="M1076" s="49"/>
      <c r="N1076" s="49"/>
      <c r="O1076" s="49"/>
      <c r="P1076" s="49"/>
      <c r="Q1076" s="49"/>
      <c r="R1076" s="49"/>
      <c r="S1076" s="49"/>
      <c r="T1076" s="49"/>
      <c r="U1076" s="50"/>
      <c r="V1076"/>
      <c r="W1076"/>
    </row>
    <row r="1077" spans="1:23" ht="26.25" customHeight="1">
      <c r="A1077" s="1516" t="s">
        <v>4964</v>
      </c>
      <c r="B1077" s="1517">
        <v>45481</v>
      </c>
      <c r="C1077" s="153">
        <f t="shared" si="18"/>
        <v>28</v>
      </c>
      <c r="D1077" s="1848" t="s">
        <v>5005</v>
      </c>
      <c r="E1077" s="1874" t="s">
        <v>1983</v>
      </c>
      <c r="F1077" s="1750" t="s">
        <v>1764</v>
      </c>
      <c r="G1077" s="261" t="s">
        <v>1764</v>
      </c>
      <c r="H1077" s="1751"/>
      <c r="I1077" s="1751"/>
      <c r="J1077" s="1745"/>
      <c r="K1077" s="1745"/>
      <c r="L1077" s="22" t="s">
        <v>37</v>
      </c>
      <c r="M1077" s="49"/>
      <c r="N1077" s="49"/>
      <c r="O1077" s="49"/>
      <c r="P1077" s="49"/>
      <c r="Q1077" s="49"/>
      <c r="R1077" s="49"/>
      <c r="S1077" s="49"/>
      <c r="T1077" s="49"/>
      <c r="U1077" s="50"/>
      <c r="V1077"/>
      <c r="W1077"/>
    </row>
    <row r="1078" spans="1:23" ht="26.25" customHeight="1">
      <c r="A1078" s="1516" t="s">
        <v>4964</v>
      </c>
      <c r="B1078" s="1517">
        <v>45481</v>
      </c>
      <c r="C1078" s="153">
        <f t="shared" si="18"/>
        <v>28</v>
      </c>
      <c r="D1078" s="1032" t="s">
        <v>148</v>
      </c>
      <c r="E1078" s="1030" t="s">
        <v>1654</v>
      </c>
      <c r="F1078" s="1744" t="s">
        <v>1199</v>
      </c>
      <c r="G1078" s="261" t="s">
        <v>1199</v>
      </c>
      <c r="H1078" s="5250"/>
      <c r="I1078" s="5265"/>
      <c r="J1078" s="5257"/>
      <c r="K1078" s="5231" t="s">
        <v>4206</v>
      </c>
      <c r="L1078" s="22" t="s">
        <v>37</v>
      </c>
      <c r="M1078" s="49"/>
      <c r="N1078" s="49"/>
      <c r="O1078" s="49"/>
      <c r="P1078" s="49"/>
      <c r="Q1078" s="49"/>
      <c r="R1078" s="49"/>
      <c r="S1078" s="49"/>
      <c r="T1078" s="49"/>
      <c r="U1078" s="50"/>
      <c r="V1078"/>
      <c r="W1078"/>
    </row>
    <row r="1079" spans="1:23" ht="26.25" customHeight="1">
      <c r="A1079" s="1516" t="s">
        <v>4964</v>
      </c>
      <c r="B1079" s="1517">
        <v>45481</v>
      </c>
      <c r="C1079" s="153">
        <f t="shared" si="18"/>
        <v>28</v>
      </c>
      <c r="D1079" s="1849" t="s">
        <v>405</v>
      </c>
      <c r="E1079" s="1875" t="s">
        <v>5006</v>
      </c>
      <c r="F1079" s="250" t="s">
        <v>1206</v>
      </c>
      <c r="G1079" s="312" t="s">
        <v>1206</v>
      </c>
      <c r="H1079" s="5193">
        <v>706</v>
      </c>
      <c r="I1079" s="5200"/>
      <c r="J1079" s="5201"/>
      <c r="K1079" s="1809"/>
      <c r="L1079" s="22" t="s">
        <v>37</v>
      </c>
      <c r="M1079" s="49"/>
      <c r="N1079" s="49"/>
      <c r="O1079" s="49"/>
      <c r="P1079" s="49"/>
      <c r="Q1079" s="49"/>
      <c r="R1079" s="49"/>
      <c r="S1079" s="49"/>
      <c r="T1079" s="49"/>
      <c r="U1079" s="50"/>
      <c r="V1079"/>
      <c r="W1079"/>
    </row>
    <row r="1080" spans="1:23" ht="52.5" customHeight="1">
      <c r="A1080" s="1516" t="s">
        <v>4964</v>
      </c>
      <c r="B1080" s="1517">
        <v>45481</v>
      </c>
      <c r="C1080" s="153">
        <f t="shared" si="18"/>
        <v>28</v>
      </c>
      <c r="D1080" s="1850" t="s">
        <v>5007</v>
      </c>
      <c r="E1080" s="1876" t="s">
        <v>2461</v>
      </c>
      <c r="F1080" s="1744" t="s">
        <v>1199</v>
      </c>
      <c r="G1080" s="261" t="s">
        <v>1199</v>
      </c>
      <c r="H1080" s="1751"/>
      <c r="I1080" s="1751"/>
      <c r="J1080" s="1745"/>
      <c r="K1080" s="1745"/>
      <c r="L1080" s="22"/>
      <c r="M1080" s="49" t="s">
        <v>37</v>
      </c>
      <c r="N1080" s="20" t="s">
        <v>109</v>
      </c>
      <c r="O1080" s="20" t="s">
        <v>213</v>
      </c>
      <c r="P1080" s="20" t="s">
        <v>4082</v>
      </c>
      <c r="Q1080" s="49"/>
      <c r="R1080" s="49"/>
      <c r="S1080" s="49"/>
      <c r="T1080" s="49"/>
      <c r="U1080" s="50" t="s">
        <v>5008</v>
      </c>
      <c r="V1080"/>
      <c r="W1080"/>
    </row>
    <row r="1081" spans="1:23" ht="53.25" customHeight="1" thickBot="1">
      <c r="A1081" s="1513" t="s">
        <v>4964</v>
      </c>
      <c r="B1081" s="1531">
        <v>45481</v>
      </c>
      <c r="C1081" s="153">
        <f t="shared" si="18"/>
        <v>28</v>
      </c>
      <c r="D1081" s="1035" t="s">
        <v>4155</v>
      </c>
      <c r="E1081" s="1036" t="s">
        <v>1527</v>
      </c>
      <c r="F1081" s="1752" t="s">
        <v>1199</v>
      </c>
      <c r="G1081" s="1752" t="s">
        <v>1199</v>
      </c>
      <c r="H1081" s="1753"/>
      <c r="I1081" s="1754"/>
      <c r="J1081" s="1753"/>
      <c r="K1081" s="1753"/>
      <c r="L1081" s="88"/>
      <c r="M1081" s="57" t="s">
        <v>37</v>
      </c>
      <c r="N1081" s="20" t="s">
        <v>0</v>
      </c>
      <c r="O1081" s="20" t="s">
        <v>187</v>
      </c>
      <c r="P1081" s="20" t="s">
        <v>4082</v>
      </c>
      <c r="Q1081" s="57"/>
      <c r="R1081" s="57"/>
      <c r="S1081" s="57"/>
      <c r="T1081" s="57"/>
      <c r="U1081" s="99" t="s">
        <v>5009</v>
      </c>
      <c r="V1081"/>
      <c r="W1081"/>
    </row>
    <row r="1082" spans="1:23" ht="26.25" customHeight="1">
      <c r="A1082" s="1526" t="s">
        <v>4978</v>
      </c>
      <c r="B1082" s="1527">
        <v>45482</v>
      </c>
      <c r="C1082" s="153">
        <f t="shared" si="18"/>
        <v>28</v>
      </c>
      <c r="D1082" s="1851" t="s">
        <v>4898</v>
      </c>
      <c r="E1082" s="1877" t="s">
        <v>5010</v>
      </c>
      <c r="F1082" s="1741" t="s">
        <v>1199</v>
      </c>
      <c r="G1082" s="1742" t="s">
        <v>1199</v>
      </c>
      <c r="H1082" s="5203"/>
      <c r="I1082" s="2078"/>
      <c r="J1082" s="5204"/>
      <c r="K1082" s="484" t="s">
        <v>29</v>
      </c>
      <c r="L1082" s="67" t="s">
        <v>37</v>
      </c>
      <c r="M1082" s="1755"/>
      <c r="N1082" s="55"/>
      <c r="O1082" s="55"/>
      <c r="P1082" s="55"/>
      <c r="Q1082" s="55"/>
      <c r="R1082" s="55"/>
      <c r="S1082" s="55"/>
      <c r="T1082" s="55"/>
      <c r="U1082" s="1756"/>
      <c r="V1082" s="3063"/>
      <c r="W1082"/>
    </row>
    <row r="1083" spans="1:23" ht="26.25" customHeight="1">
      <c r="A1083" s="1586" t="s">
        <v>4978</v>
      </c>
      <c r="B1083" s="1587">
        <v>45482</v>
      </c>
      <c r="C1083" s="153">
        <f t="shared" si="18"/>
        <v>28</v>
      </c>
      <c r="D1083" s="1107" t="s">
        <v>4155</v>
      </c>
      <c r="E1083" s="1034" t="s">
        <v>1654</v>
      </c>
      <c r="F1083" s="1747" t="s">
        <v>1199</v>
      </c>
      <c r="G1083" s="1748" t="s">
        <v>1199</v>
      </c>
      <c r="H1083" s="1758"/>
      <c r="I1083" s="1758"/>
      <c r="J1083" s="1758"/>
      <c r="K1083" s="1758"/>
      <c r="L1083" s="182" t="s">
        <v>37</v>
      </c>
      <c r="M1083" s="1122"/>
      <c r="N1083" s="111"/>
      <c r="O1083" s="111"/>
      <c r="P1083" s="111"/>
      <c r="Q1083" s="111"/>
      <c r="R1083" s="111"/>
      <c r="S1083" s="111"/>
      <c r="T1083" s="111"/>
      <c r="U1083" s="1759"/>
      <c r="V1083" s="3063"/>
      <c r="W1083"/>
    </row>
    <row r="1084" spans="1:23" ht="26.25" customHeight="1">
      <c r="A1084" s="1586" t="s">
        <v>4978</v>
      </c>
      <c r="B1084" s="1587">
        <v>45482</v>
      </c>
      <c r="C1084" s="153">
        <f t="shared" si="18"/>
        <v>28</v>
      </c>
      <c r="D1084" s="1107" t="s">
        <v>4155</v>
      </c>
      <c r="E1084" s="1034" t="s">
        <v>5012</v>
      </c>
      <c r="F1084" s="1760" t="s">
        <v>1206</v>
      </c>
      <c r="G1084" s="1760" t="s">
        <v>1206</v>
      </c>
      <c r="H1084" s="1758"/>
      <c r="I1084" s="1758"/>
      <c r="J1084" s="1758"/>
      <c r="K1084" s="1758"/>
      <c r="L1084" s="182" t="s">
        <v>37</v>
      </c>
      <c r="M1084" s="1122"/>
      <c r="N1084" s="111"/>
      <c r="O1084" s="111"/>
      <c r="P1084" s="111"/>
      <c r="Q1084" s="111"/>
      <c r="R1084" s="111"/>
      <c r="S1084" s="111"/>
      <c r="T1084" s="111"/>
      <c r="U1084" s="1759"/>
      <c r="V1084" s="3063"/>
      <c r="W1084"/>
    </row>
    <row r="1085" spans="1:23" ht="26.25" customHeight="1">
      <c r="A1085" s="1586" t="s">
        <v>4978</v>
      </c>
      <c r="B1085" s="1587">
        <v>45482</v>
      </c>
      <c r="C1085" s="153">
        <f t="shared" si="18"/>
        <v>28</v>
      </c>
      <c r="D1085" s="1107" t="s">
        <v>5013</v>
      </c>
      <c r="E1085" s="1034" t="s">
        <v>4324</v>
      </c>
      <c r="F1085" s="1760" t="s">
        <v>1206</v>
      </c>
      <c r="G1085" s="1760" t="s">
        <v>1206</v>
      </c>
      <c r="H1085" s="1758"/>
      <c r="I1085" s="1758"/>
      <c r="J1085" s="1758"/>
      <c r="K1085" s="1758"/>
      <c r="L1085" s="182" t="s">
        <v>37</v>
      </c>
      <c r="M1085" s="1122"/>
      <c r="N1085" s="111"/>
      <c r="O1085" s="111"/>
      <c r="P1085" s="111"/>
      <c r="Q1085" s="111"/>
      <c r="R1085" s="111"/>
      <c r="S1085" s="111"/>
      <c r="T1085" s="111"/>
      <c r="U1085" s="1759"/>
      <c r="V1085" s="3063"/>
      <c r="W1085"/>
    </row>
    <row r="1086" spans="1:23" ht="26.25" customHeight="1">
      <c r="A1086" s="1516" t="s">
        <v>4978</v>
      </c>
      <c r="B1086" s="1517">
        <v>45482</v>
      </c>
      <c r="C1086" s="153">
        <f t="shared" si="18"/>
        <v>28</v>
      </c>
      <c r="D1086" s="1852" t="s">
        <v>304</v>
      </c>
      <c r="E1086" s="1878" t="s">
        <v>2268</v>
      </c>
      <c r="F1086" s="1761" t="s">
        <v>1206</v>
      </c>
      <c r="G1086" s="1762" t="s">
        <v>1206</v>
      </c>
      <c r="H1086" s="1763"/>
      <c r="I1086" s="1763"/>
      <c r="J1086" s="1763"/>
      <c r="K1086" s="1763"/>
      <c r="L1086" s="22" t="s">
        <v>37</v>
      </c>
      <c r="M1086" s="124"/>
      <c r="N1086" s="49"/>
      <c r="O1086" s="49"/>
      <c r="P1086" s="49"/>
      <c r="Q1086" s="49"/>
      <c r="R1086" s="49"/>
      <c r="S1086" s="49"/>
      <c r="T1086" s="49"/>
      <c r="U1086" s="1764"/>
      <c r="V1086" s="3063"/>
      <c r="W1086"/>
    </row>
    <row r="1087" spans="1:23" ht="26.25" customHeight="1">
      <c r="A1087" s="1516" t="s">
        <v>4978</v>
      </c>
      <c r="B1087" s="1517">
        <v>45482</v>
      </c>
      <c r="C1087" s="153">
        <f t="shared" si="18"/>
        <v>28</v>
      </c>
      <c r="D1087" s="1853" t="s">
        <v>1145</v>
      </c>
      <c r="E1087" s="1872" t="s">
        <v>2779</v>
      </c>
      <c r="F1087" s="1765" t="s">
        <v>1206</v>
      </c>
      <c r="G1087" s="1762" t="s">
        <v>1206</v>
      </c>
      <c r="H1087" s="1763"/>
      <c r="I1087" s="1763"/>
      <c r="J1087" s="1763"/>
      <c r="K1087" s="1763"/>
      <c r="L1087" s="22" t="s">
        <v>37</v>
      </c>
      <c r="M1087" s="49"/>
      <c r="N1087" s="49"/>
      <c r="O1087" s="49"/>
      <c r="P1087" s="49"/>
      <c r="Q1087" s="49"/>
      <c r="R1087" s="49"/>
      <c r="S1087" s="49"/>
      <c r="T1087" s="49"/>
      <c r="U1087" s="50"/>
      <c r="V1087"/>
      <c r="W1087"/>
    </row>
    <row r="1088" spans="1:23" ht="26.25" customHeight="1">
      <c r="A1088" s="1516" t="s">
        <v>4978</v>
      </c>
      <c r="B1088" s="1517">
        <v>45482</v>
      </c>
      <c r="C1088" s="153">
        <f t="shared" si="18"/>
        <v>28</v>
      </c>
      <c r="D1088" s="1854" t="s">
        <v>258</v>
      </c>
      <c r="E1088" s="1879" t="s">
        <v>5014</v>
      </c>
      <c r="F1088" s="1747" t="s">
        <v>1206</v>
      </c>
      <c r="G1088" s="1730" t="s">
        <v>1199</v>
      </c>
      <c r="H1088" s="1763"/>
      <c r="I1088" s="1763"/>
      <c r="J1088" s="1763"/>
      <c r="K1088" s="1763"/>
      <c r="L1088" s="22" t="s">
        <v>37</v>
      </c>
      <c r="M1088" s="49"/>
      <c r="N1088" s="49"/>
      <c r="O1088" s="49"/>
      <c r="P1088" s="49"/>
      <c r="Q1088" s="49"/>
      <c r="R1088" s="49"/>
      <c r="S1088" s="49"/>
      <c r="T1088" s="49"/>
      <c r="U1088" s="50"/>
      <c r="V1088"/>
      <c r="W1088"/>
    </row>
    <row r="1089" spans="1:23" ht="26.25" customHeight="1">
      <c r="A1089" s="1516" t="s">
        <v>4978</v>
      </c>
      <c r="B1089" s="1517">
        <v>45482</v>
      </c>
      <c r="C1089" s="153">
        <f t="shared" si="18"/>
        <v>28</v>
      </c>
      <c r="D1089" s="1855" t="s">
        <v>148</v>
      </c>
      <c r="E1089" s="1874" t="s">
        <v>463</v>
      </c>
      <c r="F1089" s="1761" t="s">
        <v>1199</v>
      </c>
      <c r="G1089" s="1761" t="s">
        <v>1199</v>
      </c>
      <c r="H1089" s="5202"/>
      <c r="I1089" s="5200"/>
      <c r="J1089" s="5201"/>
      <c r="K1089" s="484" t="s">
        <v>29</v>
      </c>
      <c r="L1089" s="22" t="s">
        <v>37</v>
      </c>
      <c r="M1089" s="49"/>
      <c r="N1089" s="49"/>
      <c r="O1089" s="49"/>
      <c r="P1089" s="49"/>
      <c r="Q1089" s="49"/>
      <c r="R1089" s="49"/>
      <c r="S1089" s="49"/>
      <c r="T1089" s="49"/>
      <c r="U1089" s="50"/>
      <c r="V1089"/>
      <c r="W1089"/>
    </row>
    <row r="1090" spans="1:23" ht="26.25" customHeight="1">
      <c r="A1090" s="1516" t="s">
        <v>4978</v>
      </c>
      <c r="B1090" s="1517">
        <v>45482</v>
      </c>
      <c r="C1090" s="153">
        <f t="shared" si="18"/>
        <v>28</v>
      </c>
      <c r="D1090" s="1856" t="s">
        <v>1421</v>
      </c>
      <c r="E1090" s="1875" t="s">
        <v>5015</v>
      </c>
      <c r="F1090" s="1765" t="s">
        <v>1199</v>
      </c>
      <c r="G1090" s="1762" t="s">
        <v>1199</v>
      </c>
      <c r="H1090" s="3250">
        <v>706</v>
      </c>
      <c r="I1090" s="5200"/>
      <c r="J1090" s="5201"/>
      <c r="K1090" s="1809"/>
      <c r="L1090" s="22" t="s">
        <v>37</v>
      </c>
      <c r="M1090" s="49"/>
      <c r="N1090" s="49"/>
      <c r="O1090" s="49"/>
      <c r="P1090" s="49"/>
      <c r="Q1090" s="49"/>
      <c r="R1090" s="49"/>
      <c r="S1090" s="49"/>
      <c r="T1090" s="49"/>
      <c r="U1090" s="50"/>
      <c r="V1090"/>
      <c r="W1090"/>
    </row>
    <row r="1091" spans="1:23" ht="26.25" customHeight="1">
      <c r="A1091" s="1516" t="s">
        <v>4978</v>
      </c>
      <c r="B1091" s="1517">
        <v>45482</v>
      </c>
      <c r="C1091" s="153">
        <f t="shared" si="18"/>
        <v>28</v>
      </c>
      <c r="D1091" s="1857" t="s">
        <v>1145</v>
      </c>
      <c r="E1091" s="1880" t="s">
        <v>5016</v>
      </c>
      <c r="F1091" s="1765" t="s">
        <v>1199</v>
      </c>
      <c r="G1091" s="1762" t="s">
        <v>1199</v>
      </c>
      <c r="H1091" s="5250"/>
      <c r="I1091" s="5265"/>
      <c r="J1091" s="5257"/>
      <c r="K1091" s="5231" t="s">
        <v>4206</v>
      </c>
      <c r="L1091" s="22" t="s">
        <v>37</v>
      </c>
      <c r="M1091" s="49"/>
      <c r="N1091" s="49"/>
      <c r="O1091" s="49"/>
      <c r="P1091" s="49"/>
      <c r="Q1091" s="49"/>
      <c r="R1091" s="49"/>
      <c r="S1091" s="49"/>
      <c r="T1091" s="49"/>
      <c r="U1091" s="50"/>
      <c r="V1091"/>
      <c r="W1091"/>
    </row>
    <row r="1092" spans="1:23" ht="27" customHeight="1" thickBot="1">
      <c r="A1092" s="1522" t="s">
        <v>4978</v>
      </c>
      <c r="B1092" s="1523">
        <v>45482</v>
      </c>
      <c r="C1092" s="54">
        <f t="shared" si="18"/>
        <v>28</v>
      </c>
      <c r="D1092" s="1858" t="s">
        <v>4541</v>
      </c>
      <c r="E1092" s="1881" t="s">
        <v>5017</v>
      </c>
      <c r="F1092" s="1766" t="s">
        <v>1764</v>
      </c>
      <c r="G1092" s="1767" t="s">
        <v>1764</v>
      </c>
      <c r="H1092" s="1796"/>
      <c r="I1092" s="1768"/>
      <c r="J1092" s="1768"/>
      <c r="K1092" s="1768"/>
      <c r="L1092" s="52" t="s">
        <v>37</v>
      </c>
      <c r="M1092" s="51"/>
      <c r="N1092" s="51"/>
      <c r="O1092" s="51"/>
      <c r="P1092" s="51"/>
      <c r="Q1092" s="51"/>
      <c r="R1092" s="51"/>
      <c r="S1092" s="51"/>
      <c r="T1092" s="51"/>
      <c r="U1092" s="53"/>
      <c r="V1092"/>
      <c r="W1092"/>
    </row>
    <row r="1093" spans="1:23" ht="26.25" customHeight="1">
      <c r="A1093" s="1526" t="s">
        <v>85</v>
      </c>
      <c r="B1093" s="1527">
        <v>45483</v>
      </c>
      <c r="C1093" s="144">
        <f t="shared" si="18"/>
        <v>28</v>
      </c>
      <c r="D1093" s="1851" t="s">
        <v>454</v>
      </c>
      <c r="E1093" s="1877" t="s">
        <v>463</v>
      </c>
      <c r="F1093" s="1769" t="s">
        <v>1206</v>
      </c>
      <c r="G1093" s="1787" t="s">
        <v>5018</v>
      </c>
      <c r="H1093" s="5205"/>
      <c r="I1093" s="2078"/>
      <c r="J1093" s="5204"/>
      <c r="K1093" s="484" t="s">
        <v>29</v>
      </c>
      <c r="L1093" s="238" t="s">
        <v>37</v>
      </c>
      <c r="M1093" s="55"/>
      <c r="N1093" s="55"/>
      <c r="O1093" s="55"/>
      <c r="P1093" s="55"/>
      <c r="Q1093" s="55"/>
      <c r="R1093" s="55"/>
      <c r="S1093" s="55"/>
      <c r="T1093" s="55"/>
      <c r="U1093" s="56"/>
      <c r="V1093"/>
      <c r="W1093"/>
    </row>
    <row r="1094" spans="1:23" ht="26.25" customHeight="1">
      <c r="A1094" s="1586" t="s">
        <v>85</v>
      </c>
      <c r="B1094" s="1587">
        <v>45483</v>
      </c>
      <c r="C1094" s="153">
        <f t="shared" si="18"/>
        <v>28</v>
      </c>
      <c r="D1094" s="1857" t="s">
        <v>4898</v>
      </c>
      <c r="E1094" s="1880" t="s">
        <v>1123</v>
      </c>
      <c r="F1094" s="1771" t="s">
        <v>5019</v>
      </c>
      <c r="G1094" s="1788" t="s">
        <v>5020</v>
      </c>
      <c r="H1094" s="5272">
        <v>706</v>
      </c>
      <c r="I1094" s="5200"/>
      <c r="J1094" s="5201"/>
      <c r="K1094" s="1808"/>
      <c r="L1094" s="239" t="s">
        <v>37</v>
      </c>
      <c r="M1094" s="49"/>
      <c r="N1094" s="49"/>
      <c r="O1094" s="49"/>
      <c r="P1094" s="49"/>
      <c r="Q1094" s="49"/>
      <c r="R1094" s="49"/>
      <c r="S1094" s="49"/>
      <c r="T1094" s="49"/>
      <c r="U1094" s="50"/>
      <c r="V1094"/>
      <c r="W1094"/>
    </row>
    <row r="1095" spans="1:23" ht="26.25" customHeight="1">
      <c r="A1095" s="1586" t="s">
        <v>85</v>
      </c>
      <c r="B1095" s="1587">
        <v>45483</v>
      </c>
      <c r="C1095" s="153">
        <f t="shared" si="18"/>
        <v>28</v>
      </c>
      <c r="D1095" s="1859" t="s">
        <v>450</v>
      </c>
      <c r="E1095" s="1882" t="s">
        <v>5021</v>
      </c>
      <c r="F1095" s="1761" t="s">
        <v>1206</v>
      </c>
      <c r="G1095" s="1789" t="s">
        <v>1046</v>
      </c>
      <c r="H1095" s="1797"/>
      <c r="I1095" s="1784"/>
      <c r="J1095" s="1758"/>
      <c r="K1095" s="1782"/>
      <c r="L1095" s="241" t="s">
        <v>37</v>
      </c>
      <c r="M1095" s="111"/>
      <c r="N1095" s="20"/>
      <c r="O1095" s="20"/>
      <c r="P1095" s="20"/>
      <c r="Q1095" s="111"/>
      <c r="R1095" s="111"/>
      <c r="S1095" s="111"/>
      <c r="T1095" s="111"/>
      <c r="U1095" s="112"/>
      <c r="V1095"/>
      <c r="W1095"/>
    </row>
    <row r="1096" spans="1:23" ht="26.25" customHeight="1">
      <c r="A1096" s="1516" t="s">
        <v>85</v>
      </c>
      <c r="B1096" s="1517">
        <v>45483</v>
      </c>
      <c r="C1096" s="153">
        <f t="shared" si="18"/>
        <v>28</v>
      </c>
      <c r="D1096" s="1853" t="s">
        <v>264</v>
      </c>
      <c r="E1096" s="1872" t="s">
        <v>512</v>
      </c>
      <c r="F1096" s="1744" t="s">
        <v>1764</v>
      </c>
      <c r="G1096" s="249" t="s">
        <v>1206</v>
      </c>
      <c r="H1096" s="1798"/>
      <c r="I1096" s="1458"/>
      <c r="J1096" s="1763"/>
      <c r="K1096" s="2010"/>
      <c r="L1096" s="239" t="s">
        <v>37</v>
      </c>
      <c r="M1096" s="49"/>
      <c r="N1096" s="49"/>
      <c r="O1096" s="49"/>
      <c r="P1096" s="49"/>
      <c r="Q1096" s="49"/>
      <c r="R1096" s="49"/>
      <c r="S1096" s="49"/>
      <c r="T1096" s="49"/>
      <c r="U1096" s="50"/>
      <c r="V1096"/>
      <c r="W1096"/>
    </row>
    <row r="1097" spans="1:23" ht="26.25" customHeight="1">
      <c r="A1097" s="1516" t="s">
        <v>85</v>
      </c>
      <c r="B1097" s="1517">
        <v>45483</v>
      </c>
      <c r="C1097" s="153">
        <f t="shared" si="18"/>
        <v>28</v>
      </c>
      <c r="D1097" s="1854" t="s">
        <v>943</v>
      </c>
      <c r="E1097" s="1879" t="s">
        <v>5022</v>
      </c>
      <c r="F1097" s="1761" t="s">
        <v>1206</v>
      </c>
      <c r="G1097" s="1790" t="s">
        <v>1206</v>
      </c>
      <c r="H1097" s="1799"/>
      <c r="I1097" s="1793"/>
      <c r="J1097" s="1745"/>
      <c r="K1097" s="2011"/>
      <c r="L1097" s="239" t="s">
        <v>37</v>
      </c>
      <c r="M1097" s="49"/>
      <c r="N1097" s="49"/>
      <c r="O1097" s="49"/>
      <c r="P1097" s="49"/>
      <c r="Q1097" s="49"/>
      <c r="R1097" s="49"/>
      <c r="S1097" s="49"/>
      <c r="T1097" s="49"/>
      <c r="U1097" s="50"/>
      <c r="V1097"/>
      <c r="W1097"/>
    </row>
    <row r="1098" spans="1:23" ht="26.25" customHeight="1">
      <c r="A1098" s="1516" t="s">
        <v>85</v>
      </c>
      <c r="B1098" s="1517">
        <v>45483</v>
      </c>
      <c r="C1098" s="153">
        <f t="shared" si="18"/>
        <v>28</v>
      </c>
      <c r="D1098" s="1860" t="s">
        <v>1654</v>
      </c>
      <c r="E1098" s="1883" t="s">
        <v>3838</v>
      </c>
      <c r="F1098" s="1771" t="s">
        <v>1199</v>
      </c>
      <c r="G1098" s="1788" t="s">
        <v>1199</v>
      </c>
      <c r="H1098" s="1799"/>
      <c r="I1098" s="1793"/>
      <c r="J1098" s="1745"/>
      <c r="K1098" s="2011"/>
      <c r="L1098" s="239" t="s">
        <v>37</v>
      </c>
      <c r="M1098" s="49"/>
      <c r="N1098" s="49"/>
      <c r="O1098" s="49"/>
      <c r="P1098" s="49"/>
      <c r="Q1098" s="49"/>
      <c r="R1098" s="49"/>
      <c r="S1098" s="49"/>
      <c r="T1098" s="49"/>
      <c r="U1098" s="50"/>
      <c r="V1098"/>
      <c r="W1098"/>
    </row>
    <row r="1099" spans="1:23" ht="26.25" customHeight="1">
      <c r="A1099" s="1516" t="s">
        <v>85</v>
      </c>
      <c r="B1099" s="1517">
        <v>45483</v>
      </c>
      <c r="C1099" s="153">
        <f t="shared" si="18"/>
        <v>28</v>
      </c>
      <c r="D1099" s="1113" t="s">
        <v>4609</v>
      </c>
      <c r="E1099" s="1030" t="s">
        <v>5023</v>
      </c>
      <c r="F1099" s="1772" t="s">
        <v>5024</v>
      </c>
      <c r="G1099" s="1791" t="s">
        <v>5025</v>
      </c>
      <c r="H1099" s="3250">
        <v>706</v>
      </c>
      <c r="I1099" s="5200"/>
      <c r="J1099" s="5201"/>
      <c r="K1099" s="1808"/>
      <c r="L1099" s="239" t="s">
        <v>37</v>
      </c>
      <c r="M1099" s="49"/>
      <c r="N1099" s="49"/>
      <c r="O1099" s="49"/>
      <c r="P1099" s="49"/>
      <c r="Q1099" s="49"/>
      <c r="R1099" s="49"/>
      <c r="S1099" s="49"/>
      <c r="T1099" s="49"/>
      <c r="U1099" s="50"/>
      <c r="V1099"/>
      <c r="W1099"/>
    </row>
    <row r="1100" spans="1:23" ht="26.25" customHeight="1">
      <c r="A1100" s="1516" t="s">
        <v>85</v>
      </c>
      <c r="B1100" s="1517">
        <v>45483</v>
      </c>
      <c r="C1100" s="153">
        <f t="shared" si="18"/>
        <v>28</v>
      </c>
      <c r="D1100" s="1113" t="s">
        <v>80</v>
      </c>
      <c r="E1100" s="1030" t="s">
        <v>148</v>
      </c>
      <c r="F1100" s="1761" t="s">
        <v>1199</v>
      </c>
      <c r="G1100" s="1790" t="s">
        <v>1199</v>
      </c>
      <c r="H1100" s="5272"/>
      <c r="I1100" s="5265"/>
      <c r="J1100" s="5257"/>
      <c r="K1100" s="5231" t="s">
        <v>4206</v>
      </c>
      <c r="L1100" s="239" t="s">
        <v>37</v>
      </c>
      <c r="M1100" s="49"/>
      <c r="N1100" s="49"/>
      <c r="O1100" s="49"/>
      <c r="P1100" s="49"/>
      <c r="Q1100" s="49"/>
      <c r="R1100" s="49"/>
      <c r="S1100" s="49"/>
      <c r="T1100" s="49"/>
      <c r="U1100" s="50"/>
      <c r="V1100"/>
      <c r="W1100"/>
    </row>
    <row r="1101" spans="1:23" ht="26.25" customHeight="1">
      <c r="A1101" s="1516" t="s">
        <v>85</v>
      </c>
      <c r="B1101" s="1517">
        <v>45483</v>
      </c>
      <c r="C1101" s="153">
        <f t="shared" si="18"/>
        <v>28</v>
      </c>
      <c r="D1101" s="1117" t="s">
        <v>1502</v>
      </c>
      <c r="E1101" s="1884" t="s">
        <v>5026</v>
      </c>
      <c r="F1101" s="248" t="s">
        <v>1199</v>
      </c>
      <c r="G1101" s="242" t="s">
        <v>1199</v>
      </c>
      <c r="H1101" s="1800"/>
      <c r="I1101" s="1794"/>
      <c r="J1101" s="1745"/>
      <c r="K1101" s="2011"/>
      <c r="L1101" s="239" t="s">
        <v>37</v>
      </c>
      <c r="M1101" s="49"/>
      <c r="N1101" s="49"/>
      <c r="O1101" s="49"/>
      <c r="P1101" s="49"/>
      <c r="Q1101" s="49"/>
      <c r="R1101" s="49"/>
      <c r="S1101" s="49"/>
      <c r="T1101" s="49"/>
      <c r="U1101" s="50"/>
      <c r="V1101"/>
      <c r="W1101"/>
    </row>
    <row r="1102" spans="1:23" ht="27" customHeight="1" thickBot="1">
      <c r="A1102" s="1513" t="s">
        <v>85</v>
      </c>
      <c r="B1102" s="1531">
        <v>45483</v>
      </c>
      <c r="C1102" s="364">
        <f t="shared" si="18"/>
        <v>28</v>
      </c>
      <c r="D1102" s="1861" t="s">
        <v>4541</v>
      </c>
      <c r="E1102" s="1885" t="s">
        <v>5027</v>
      </c>
      <c r="F1102" s="1774" t="s">
        <v>1764</v>
      </c>
      <c r="G1102" s="1792" t="s">
        <v>1206</v>
      </c>
      <c r="H1102" s="1801"/>
      <c r="I1102" s="1795"/>
      <c r="J1102" s="1775"/>
      <c r="K1102" s="2012"/>
      <c r="L1102" s="240" t="s">
        <v>37</v>
      </c>
      <c r="M1102" s="57"/>
      <c r="N1102" s="57"/>
      <c r="O1102" s="57"/>
      <c r="P1102" s="57"/>
      <c r="Q1102" s="57"/>
      <c r="R1102" s="57"/>
      <c r="S1102" s="57"/>
      <c r="T1102" s="57"/>
      <c r="U1102" s="99"/>
      <c r="V1102"/>
      <c r="W1102"/>
    </row>
    <row r="1103" spans="1:23" ht="26.25" customHeight="1">
      <c r="A1103" s="1586" t="s">
        <v>105</v>
      </c>
      <c r="B1103" s="1587">
        <v>45484</v>
      </c>
      <c r="C1103" s="1687">
        <f t="shared" si="18"/>
        <v>28</v>
      </c>
      <c r="D1103" s="1093" t="s">
        <v>5028</v>
      </c>
      <c r="E1103" s="1093" t="s">
        <v>3012</v>
      </c>
      <c r="F1103" s="1770" t="s">
        <v>1199</v>
      </c>
      <c r="G1103" s="1770" t="s">
        <v>1199</v>
      </c>
      <c r="H1103" s="1511"/>
      <c r="I1103" s="1529"/>
      <c r="J1103" s="1529"/>
      <c r="K1103" s="1529"/>
      <c r="L1103" s="182" t="s">
        <v>37</v>
      </c>
      <c r="M1103" s="111"/>
      <c r="N1103" s="111"/>
      <c r="O1103" s="111"/>
      <c r="P1103" s="111"/>
      <c r="Q1103" s="111"/>
      <c r="R1103" s="111"/>
      <c r="S1103" s="111"/>
      <c r="T1103" s="111"/>
      <c r="U1103" s="347"/>
      <c r="V1103" s="23"/>
      <c r="W1103"/>
    </row>
    <row r="1104" spans="1:23" ht="26.25" customHeight="1">
      <c r="A1104" s="1516" t="s">
        <v>105</v>
      </c>
      <c r="B1104" s="1517">
        <v>45484</v>
      </c>
      <c r="C1104" s="153">
        <f t="shared" si="18"/>
        <v>28</v>
      </c>
      <c r="D1104" s="1862" t="s">
        <v>68</v>
      </c>
      <c r="E1104" s="1117" t="s">
        <v>5029</v>
      </c>
      <c r="F1104" s="1730" t="s">
        <v>1764</v>
      </c>
      <c r="G1104" s="1730" t="s">
        <v>1764</v>
      </c>
      <c r="H1104" s="1763"/>
      <c r="I1104" s="1763"/>
      <c r="J1104" s="1763"/>
      <c r="K1104" s="1763"/>
      <c r="L1104" s="22" t="s">
        <v>37</v>
      </c>
      <c r="M1104" s="49"/>
      <c r="N1104" s="49"/>
      <c r="O1104" s="49"/>
      <c r="P1104" s="49"/>
      <c r="Q1104" s="49"/>
      <c r="R1104" s="49"/>
      <c r="S1104" s="49"/>
      <c r="T1104" s="49"/>
      <c r="U1104" s="50"/>
      <c r="V1104"/>
      <c r="W1104"/>
    </row>
    <row r="1105" spans="1:23" ht="26.25" customHeight="1">
      <c r="A1105" s="1516" t="s">
        <v>105</v>
      </c>
      <c r="B1105" s="1517">
        <v>45484</v>
      </c>
      <c r="C1105" s="153">
        <f t="shared" si="18"/>
        <v>28</v>
      </c>
      <c r="D1105" s="1863" t="s">
        <v>499</v>
      </c>
      <c r="E1105" s="1863" t="s">
        <v>5030</v>
      </c>
      <c r="F1105" s="1730" t="s">
        <v>1764</v>
      </c>
      <c r="G1105" s="1730" t="s">
        <v>1764</v>
      </c>
      <c r="H1105" s="1520"/>
      <c r="I1105" s="1520"/>
      <c r="J1105" s="1520"/>
      <c r="K1105" s="1520"/>
      <c r="L1105" s="22" t="s">
        <v>37</v>
      </c>
      <c r="M1105" s="49"/>
      <c r="N1105" s="49"/>
      <c r="O1105" s="49"/>
      <c r="P1105" s="49"/>
      <c r="Q1105" s="49"/>
      <c r="R1105" s="49"/>
      <c r="S1105" s="49"/>
      <c r="T1105" s="49"/>
      <c r="U1105" s="346"/>
      <c r="V1105" s="23"/>
      <c r="W1105"/>
    </row>
    <row r="1106" spans="1:23" ht="26.25" customHeight="1">
      <c r="A1106" s="1516" t="s">
        <v>105</v>
      </c>
      <c r="B1106" s="1517">
        <v>45484</v>
      </c>
      <c r="C1106" s="153">
        <f t="shared" si="18"/>
        <v>28</v>
      </c>
      <c r="D1106" s="1032" t="s">
        <v>4155</v>
      </c>
      <c r="E1106" s="1032" t="s">
        <v>1091</v>
      </c>
      <c r="F1106" s="1730" t="s">
        <v>1764</v>
      </c>
      <c r="G1106" s="1730" t="s">
        <v>1764</v>
      </c>
      <c r="H1106" s="3250">
        <v>702</v>
      </c>
      <c r="I1106" s="5242"/>
      <c r="J1106" s="5242"/>
      <c r="K1106" s="5227" t="s">
        <v>1630</v>
      </c>
      <c r="L1106" s="22" t="s">
        <v>37</v>
      </c>
      <c r="M1106" s="49"/>
      <c r="N1106" s="49"/>
      <c r="O1106" s="49"/>
      <c r="P1106" s="49"/>
      <c r="Q1106" s="49"/>
      <c r="R1106" s="49"/>
      <c r="S1106" s="49"/>
      <c r="T1106" s="49"/>
      <c r="U1106" s="50"/>
      <c r="V1106"/>
      <c r="W1106"/>
    </row>
    <row r="1107" spans="1:23" ht="26.25" customHeight="1">
      <c r="A1107" s="1516" t="s">
        <v>105</v>
      </c>
      <c r="B1107" s="1517">
        <v>45484</v>
      </c>
      <c r="C1107" s="153">
        <f t="shared" ref="C1107:C1144" si="19">_xlfn.ISOWEEKNUM(B1107)</f>
        <v>28</v>
      </c>
      <c r="D1107" s="1032" t="s">
        <v>258</v>
      </c>
      <c r="E1107" s="1032" t="s">
        <v>169</v>
      </c>
      <c r="F1107" s="1777" t="s">
        <v>1199</v>
      </c>
      <c r="G1107" s="1762" t="s">
        <v>1199</v>
      </c>
      <c r="H1107" s="1520"/>
      <c r="I1107" s="1520"/>
      <c r="J1107" s="1520"/>
      <c r="K1107" s="1520"/>
      <c r="L1107" s="22" t="s">
        <v>37</v>
      </c>
      <c r="M1107" s="49"/>
      <c r="N1107" s="49"/>
      <c r="O1107" s="49"/>
      <c r="P1107" s="49"/>
      <c r="Q1107" s="49"/>
      <c r="R1107" s="49"/>
      <c r="S1107" s="49"/>
      <c r="T1107" s="49"/>
      <c r="U1107" s="346"/>
      <c r="V1107" s="23"/>
      <c r="W1107"/>
    </row>
    <row r="1108" spans="1:23" ht="27" customHeight="1" thickBot="1">
      <c r="A1108" s="1513" t="s">
        <v>105</v>
      </c>
      <c r="B1108" s="1531">
        <v>45484</v>
      </c>
      <c r="C1108" s="153">
        <f t="shared" si="19"/>
        <v>28</v>
      </c>
      <c r="D1108" s="1864" t="s">
        <v>148</v>
      </c>
      <c r="E1108" s="1864" t="s">
        <v>5031</v>
      </c>
      <c r="F1108" s="1779" t="s">
        <v>1206</v>
      </c>
      <c r="G1108" s="1779" t="s">
        <v>1206</v>
      </c>
      <c r="H1108" s="1603"/>
      <c r="I1108" s="1603"/>
      <c r="J1108" s="1603"/>
      <c r="K1108" s="1603"/>
      <c r="L1108" s="57" t="s">
        <v>37</v>
      </c>
      <c r="M1108" s="57"/>
      <c r="N1108" s="57"/>
      <c r="O1108" s="57"/>
      <c r="P1108" s="57"/>
      <c r="Q1108" s="57"/>
      <c r="R1108" s="57"/>
      <c r="S1108" s="57"/>
      <c r="T1108" s="57"/>
      <c r="U1108" s="348"/>
      <c r="V1108" s="23"/>
      <c r="W1108"/>
    </row>
    <row r="1109" spans="1:23" ht="52.5" customHeight="1">
      <c r="A1109" s="1586" t="s">
        <v>132</v>
      </c>
      <c r="B1109" s="1587">
        <v>45485</v>
      </c>
      <c r="C1109" s="153">
        <f t="shared" si="19"/>
        <v>28</v>
      </c>
      <c r="D1109" s="1865" t="s">
        <v>5032</v>
      </c>
      <c r="E1109" s="1886" t="s">
        <v>5033</v>
      </c>
      <c r="F1109" s="1780" t="s">
        <v>1199</v>
      </c>
      <c r="G1109" s="1780" t="s">
        <v>1199</v>
      </c>
      <c r="H1109" s="1758"/>
      <c r="I1109" s="1758"/>
      <c r="J1109" s="1758"/>
      <c r="K1109" s="1758"/>
      <c r="L1109" s="182"/>
      <c r="M1109" s="111" t="s">
        <v>30</v>
      </c>
      <c r="N1109" s="20" t="s">
        <v>0</v>
      </c>
      <c r="O1109" s="20" t="s">
        <v>110</v>
      </c>
      <c r="P1109" s="20" t="s">
        <v>4082</v>
      </c>
      <c r="Q1109" s="111">
        <v>1</v>
      </c>
      <c r="R1109" s="111"/>
      <c r="S1109" s="111"/>
      <c r="T1109" s="111"/>
      <c r="U1109" s="111" t="s">
        <v>5034</v>
      </c>
      <c r="V1109"/>
      <c r="W1109"/>
    </row>
    <row r="1110" spans="1:23" ht="26.25" customHeight="1">
      <c r="A1110" s="1586" t="s">
        <v>132</v>
      </c>
      <c r="B1110" s="1587">
        <v>45485</v>
      </c>
      <c r="C1110" s="153">
        <f t="shared" si="19"/>
        <v>28</v>
      </c>
      <c r="D1110" s="1151" t="s">
        <v>4155</v>
      </c>
      <c r="E1110" s="1269" t="s">
        <v>1527</v>
      </c>
      <c r="F1110" s="1781" t="s">
        <v>1206</v>
      </c>
      <c r="G1110" s="1781" t="s">
        <v>1206</v>
      </c>
      <c r="H1110" s="1782"/>
      <c r="I1110" s="1783"/>
      <c r="J1110" s="1784"/>
      <c r="K1110" s="1784"/>
      <c r="L1110" s="182" t="s">
        <v>37</v>
      </c>
      <c r="M1110" s="111"/>
      <c r="N1110" s="111"/>
      <c r="O1110" s="111"/>
      <c r="P1110" s="111"/>
      <c r="Q1110" s="111"/>
      <c r="R1110" s="111"/>
      <c r="S1110" s="111"/>
      <c r="T1110" s="111"/>
      <c r="U1110" s="111"/>
      <c r="V1110"/>
      <c r="W1110"/>
    </row>
    <row r="1111" spans="1:23" ht="26.25" customHeight="1">
      <c r="A1111" s="1517" t="s">
        <v>132</v>
      </c>
      <c r="B1111" s="1517">
        <v>45485</v>
      </c>
      <c r="C1111" s="153">
        <f t="shared" si="19"/>
        <v>28</v>
      </c>
      <c r="D1111" s="1863" t="s">
        <v>207</v>
      </c>
      <c r="E1111" s="1863" t="s">
        <v>148</v>
      </c>
      <c r="F1111" s="1748" t="s">
        <v>1199</v>
      </c>
      <c r="G1111" s="1748" t="s">
        <v>1199</v>
      </c>
      <c r="H1111" s="3250"/>
      <c r="I1111" s="5242"/>
      <c r="J1111" s="5242"/>
      <c r="K1111" s="5231" t="s">
        <v>4206</v>
      </c>
      <c r="L1111" s="22" t="s">
        <v>37</v>
      </c>
      <c r="M1111" s="48"/>
      <c r="N1111" s="49"/>
      <c r="O1111" s="49"/>
      <c r="P1111" s="49"/>
      <c r="Q1111" s="49"/>
      <c r="R1111" s="49"/>
      <c r="S1111" s="49"/>
      <c r="T1111" s="49"/>
      <c r="U1111" s="49"/>
      <c r="V1111"/>
      <c r="W1111"/>
    </row>
    <row r="1112" spans="1:23" ht="26.25" customHeight="1" thickBot="1">
      <c r="A1112" s="1517" t="s">
        <v>132</v>
      </c>
      <c r="B1112" s="1517">
        <v>45485</v>
      </c>
      <c r="C1112" s="153">
        <f t="shared" si="19"/>
        <v>28</v>
      </c>
      <c r="D1112" s="1863" t="s">
        <v>148</v>
      </c>
      <c r="E1112" s="1863" t="s">
        <v>1698</v>
      </c>
      <c r="F1112" s="1785"/>
      <c r="G1112" s="1785"/>
      <c r="H1112" s="3250"/>
      <c r="I1112" s="5242"/>
      <c r="J1112" s="5242"/>
      <c r="K1112" s="5231" t="s">
        <v>4206</v>
      </c>
      <c r="L1112" s="22"/>
      <c r="M1112" s="48"/>
      <c r="N1112" s="49"/>
      <c r="O1112" s="49"/>
      <c r="P1112" s="49"/>
      <c r="Q1112" s="49"/>
      <c r="R1112" s="49"/>
      <c r="S1112" s="49"/>
      <c r="T1112" s="49"/>
      <c r="U1112" s="49"/>
      <c r="V1112"/>
      <c r="W1112"/>
    </row>
    <row r="1113" spans="1:23" ht="28.35" customHeight="1" thickBot="1">
      <c r="A1113" s="1517" t="s">
        <v>132</v>
      </c>
      <c r="B1113" s="1517">
        <v>45485</v>
      </c>
      <c r="C1113" s="153">
        <f t="shared" si="19"/>
        <v>28</v>
      </c>
      <c r="D1113" s="1032" t="s">
        <v>148</v>
      </c>
      <c r="E1113" s="1032" t="s">
        <v>537</v>
      </c>
      <c r="F1113" s="1762" t="s">
        <v>1199</v>
      </c>
      <c r="G1113" s="1762" t="s">
        <v>1199</v>
      </c>
      <c r="H1113" s="3250">
        <v>701</v>
      </c>
      <c r="I1113" s="3250"/>
      <c r="J1113" s="5242"/>
      <c r="K1113" s="3250" t="s">
        <v>5035</v>
      </c>
      <c r="L1113" s="22"/>
      <c r="M1113" s="49" t="s">
        <v>37</v>
      </c>
      <c r="N1113" s="590" t="s">
        <v>231</v>
      </c>
      <c r="O1113" s="590" t="s">
        <v>1048</v>
      </c>
      <c r="P1113" s="20" t="s">
        <v>4339</v>
      </c>
      <c r="Q1113" s="49"/>
      <c r="R1113" s="49"/>
      <c r="S1113" s="49"/>
      <c r="T1113" s="49"/>
      <c r="U1113" s="1807" t="s">
        <v>5036</v>
      </c>
      <c r="V1113" s="3036"/>
      <c r="W1113"/>
    </row>
    <row r="1114" spans="1:23" ht="27" customHeight="1" thickBot="1">
      <c r="A1114" s="1522" t="s">
        <v>132</v>
      </c>
      <c r="B1114" s="1523">
        <v>45485</v>
      </c>
      <c r="C1114" s="54">
        <f t="shared" si="19"/>
        <v>28</v>
      </c>
      <c r="D1114" s="1866" t="s">
        <v>675</v>
      </c>
      <c r="E1114" s="1269" t="s">
        <v>169</v>
      </c>
      <c r="F1114" s="1779" t="s">
        <v>1199</v>
      </c>
      <c r="G1114" s="1779" t="s">
        <v>1199</v>
      </c>
      <c r="H1114" s="1796"/>
      <c r="I1114" s="1768"/>
      <c r="J1114" s="1768"/>
      <c r="K1114" s="1768"/>
      <c r="L1114" s="52" t="s">
        <v>37</v>
      </c>
      <c r="M1114" s="51"/>
      <c r="N1114" s="51"/>
      <c r="O1114" s="51"/>
      <c r="P1114" s="51"/>
      <c r="Q1114" s="51"/>
      <c r="R1114" s="51"/>
      <c r="S1114" s="51"/>
      <c r="T1114" s="51"/>
      <c r="U1114" s="51"/>
      <c r="V1114"/>
      <c r="W1114"/>
    </row>
    <row r="1115" spans="1:23" ht="53.25" customHeight="1" thickBot="1">
      <c r="A1115" s="1803" t="s">
        <v>143</v>
      </c>
      <c r="B1115" s="1804">
        <v>45486</v>
      </c>
      <c r="C1115" s="1805">
        <f t="shared" si="19"/>
        <v>28</v>
      </c>
      <c r="D1115" s="1867" t="s">
        <v>1654</v>
      </c>
      <c r="E1115" s="1400" t="s">
        <v>1698</v>
      </c>
      <c r="F1115" s="1786" t="s">
        <v>1768</v>
      </c>
      <c r="G1115" s="1802" t="s">
        <v>1768</v>
      </c>
      <c r="H1115" s="5210"/>
      <c r="I1115" s="5211"/>
      <c r="J1115" s="5212"/>
      <c r="K1115" s="5227" t="s">
        <v>174</v>
      </c>
      <c r="L1115" s="589"/>
      <c r="M1115" s="193" t="s">
        <v>37</v>
      </c>
      <c r="N1115" s="590" t="s">
        <v>0</v>
      </c>
      <c r="O1115" s="590" t="s">
        <v>187</v>
      </c>
      <c r="P1115" s="590" t="s">
        <v>4082</v>
      </c>
      <c r="Q1115" s="194"/>
      <c r="R1115" s="194"/>
      <c r="S1115" s="194"/>
      <c r="T1115" s="194"/>
      <c r="U1115" s="1806"/>
      <c r="V1115"/>
      <c r="W1115"/>
    </row>
    <row r="1116" spans="1:23" ht="26.25" customHeight="1">
      <c r="A1116" s="1526" t="s">
        <v>1280</v>
      </c>
      <c r="B1116" s="1527">
        <v>45488</v>
      </c>
      <c r="C1116" s="144">
        <f t="shared" si="19"/>
        <v>29</v>
      </c>
      <c r="D1116" s="1105" t="s">
        <v>1698</v>
      </c>
      <c r="E1116" s="1106" t="s">
        <v>1091</v>
      </c>
      <c r="F1116" s="1812" t="s">
        <v>1764</v>
      </c>
      <c r="G1116" s="1813" t="s">
        <v>1199</v>
      </c>
      <c r="H1116" s="4762"/>
      <c r="I1116" s="5304"/>
      <c r="J1116" s="5304"/>
      <c r="K1116" s="5231" t="s">
        <v>4206</v>
      </c>
      <c r="L1116" s="67" t="s">
        <v>37</v>
      </c>
      <c r="M1116" s="55"/>
      <c r="N1116" s="55"/>
      <c r="O1116" s="55"/>
      <c r="P1116" s="55"/>
      <c r="Q1116" s="55"/>
      <c r="R1116" s="55"/>
      <c r="S1116" s="55"/>
      <c r="T1116" s="55"/>
      <c r="U1116" s="56"/>
      <c r="V1116" s="56"/>
      <c r="W1116" s="56"/>
    </row>
    <row r="1117" spans="1:23" ht="26.25" customHeight="1">
      <c r="A1117" s="1516" t="s">
        <v>1280</v>
      </c>
      <c r="B1117" s="1517">
        <v>45488</v>
      </c>
      <c r="C1117" s="153">
        <f t="shared" si="19"/>
        <v>29</v>
      </c>
      <c r="D1117" s="1051" t="s">
        <v>53</v>
      </c>
      <c r="E1117" s="1034" t="s">
        <v>1239</v>
      </c>
      <c r="F1117" s="1781" t="s">
        <v>1764</v>
      </c>
      <c r="G1117" s="1666" t="s">
        <v>1199</v>
      </c>
      <c r="H1117" s="3250">
        <v>701</v>
      </c>
      <c r="I1117" s="3250"/>
      <c r="J1117" s="5242"/>
      <c r="K1117" s="3250" t="s">
        <v>5035</v>
      </c>
      <c r="L1117" s="182" t="s">
        <v>37</v>
      </c>
      <c r="M1117" s="111"/>
      <c r="N1117" s="111"/>
      <c r="O1117" s="111"/>
      <c r="P1117" s="111"/>
      <c r="Q1117" s="111"/>
      <c r="R1117" s="111"/>
      <c r="S1117" s="111"/>
      <c r="T1117" s="111"/>
      <c r="U1117" s="112"/>
      <c r="V1117" s="112"/>
      <c r="W1117" s="112"/>
    </row>
    <row r="1118" spans="1:23" ht="26.25" customHeight="1">
      <c r="A1118" s="1516" t="s">
        <v>1280</v>
      </c>
      <c r="B1118" s="1517">
        <v>45488</v>
      </c>
      <c r="C1118" s="153">
        <f t="shared" si="19"/>
        <v>29</v>
      </c>
      <c r="D1118" s="1051" t="s">
        <v>2729</v>
      </c>
      <c r="E1118" s="1034" t="s">
        <v>169</v>
      </c>
      <c r="F1118" s="1781" t="s">
        <v>1764</v>
      </c>
      <c r="G1118" s="1666" t="s">
        <v>1206</v>
      </c>
      <c r="H1118" s="1814"/>
      <c r="I1118" s="247"/>
      <c r="J1118" s="1814"/>
      <c r="K1118" s="1814"/>
      <c r="L1118" s="182" t="s">
        <v>37</v>
      </c>
      <c r="M1118" s="111"/>
      <c r="N1118" s="111"/>
      <c r="O1118" s="111"/>
      <c r="P1118" s="111"/>
      <c r="Q1118" s="111"/>
      <c r="R1118" s="111"/>
      <c r="S1118" s="111"/>
      <c r="T1118" s="111"/>
      <c r="U1118" s="112"/>
      <c r="V1118" s="112"/>
      <c r="W1118" s="112"/>
    </row>
    <row r="1119" spans="1:23" ht="26.25" customHeight="1">
      <c r="A1119" s="1516" t="s">
        <v>1280</v>
      </c>
      <c r="B1119" s="1517">
        <v>45488</v>
      </c>
      <c r="C1119" s="153">
        <f t="shared" si="19"/>
        <v>29</v>
      </c>
      <c r="D1119" s="1032" t="s">
        <v>1698</v>
      </c>
      <c r="E1119" s="1030" t="s">
        <v>43</v>
      </c>
      <c r="F1119" s="1761" t="s">
        <v>1764</v>
      </c>
      <c r="G1119" s="1762" t="s">
        <v>1206</v>
      </c>
      <c r="H1119" s="1745"/>
      <c r="I1119" s="257"/>
      <c r="J1119" s="1745"/>
      <c r="K1119" s="1745"/>
      <c r="L1119" s="22" t="s">
        <v>37</v>
      </c>
      <c r="M1119" s="49"/>
      <c r="N1119" s="49"/>
      <c r="O1119" s="49"/>
      <c r="P1119" s="49"/>
      <c r="Q1119" s="49"/>
      <c r="R1119" s="49"/>
      <c r="S1119" s="49"/>
      <c r="T1119" s="49"/>
      <c r="U1119" s="50"/>
      <c r="V1119" s="50"/>
      <c r="W1119" s="50"/>
    </row>
    <row r="1120" spans="1:23" ht="26.25" customHeight="1">
      <c r="A1120" s="1516" t="s">
        <v>1280</v>
      </c>
      <c r="B1120" s="1517">
        <v>45488</v>
      </c>
      <c r="C1120" s="153">
        <f t="shared" si="19"/>
        <v>29</v>
      </c>
      <c r="D1120" s="1051" t="s">
        <v>840</v>
      </c>
      <c r="E1120" s="1034" t="s">
        <v>1698</v>
      </c>
      <c r="F1120" s="1781" t="s">
        <v>1764</v>
      </c>
      <c r="G1120" s="1666" t="s">
        <v>1206</v>
      </c>
      <c r="H1120" s="1814"/>
      <c r="I1120" s="247"/>
      <c r="J1120" s="1814"/>
      <c r="K1120" s="1814"/>
      <c r="L1120" s="182" t="s">
        <v>37</v>
      </c>
      <c r="M1120" s="111"/>
      <c r="N1120" s="111"/>
      <c r="O1120" s="111"/>
      <c r="P1120" s="111"/>
      <c r="Q1120" s="111"/>
      <c r="R1120" s="111"/>
      <c r="S1120" s="111"/>
      <c r="T1120" s="111"/>
      <c r="U1120" s="112"/>
      <c r="V1120" s="112"/>
      <c r="W1120" s="112"/>
    </row>
    <row r="1121" spans="1:23" ht="27" customHeight="1" thickBot="1">
      <c r="A1121" s="1513" t="s">
        <v>1280</v>
      </c>
      <c r="B1121" s="1531">
        <v>45488</v>
      </c>
      <c r="C1121" s="364">
        <f t="shared" si="19"/>
        <v>29</v>
      </c>
      <c r="D1121" s="1035" t="s">
        <v>1698</v>
      </c>
      <c r="E1121" s="1036" t="s">
        <v>1654</v>
      </c>
      <c r="F1121" s="1815" t="s">
        <v>1764</v>
      </c>
      <c r="G1121" s="1779" t="s">
        <v>1206</v>
      </c>
      <c r="H1121" s="3251"/>
      <c r="I1121" s="5270"/>
      <c r="J1121" s="5270"/>
      <c r="K1121" s="5231" t="s">
        <v>4206</v>
      </c>
      <c r="L1121" s="88" t="s">
        <v>37</v>
      </c>
      <c r="M1121" s="57"/>
      <c r="N1121" s="57"/>
      <c r="O1121" s="57"/>
      <c r="P1121" s="57"/>
      <c r="Q1121" s="57"/>
      <c r="R1121" s="57"/>
      <c r="S1121" s="57"/>
      <c r="T1121" s="57"/>
      <c r="U1121" s="99"/>
      <c r="V1121" s="99"/>
      <c r="W1121" s="99"/>
    </row>
    <row r="1122" spans="1:23" ht="64.5" customHeight="1" thickBot="1">
      <c r="A1122" s="1526" t="s">
        <v>180</v>
      </c>
      <c r="B1122" s="1527">
        <v>45489</v>
      </c>
      <c r="C1122" s="144">
        <f t="shared" si="19"/>
        <v>29</v>
      </c>
      <c r="D1122" s="1105" t="s">
        <v>169</v>
      </c>
      <c r="E1122" s="1887" t="s">
        <v>5037</v>
      </c>
      <c r="F1122" s="1816" t="s">
        <v>1199</v>
      </c>
      <c r="G1122" s="1817" t="s">
        <v>1199</v>
      </c>
      <c r="H1122" s="2078"/>
      <c r="I1122" s="5203"/>
      <c r="J1122" s="5203"/>
      <c r="K1122" s="484" t="s">
        <v>29</v>
      </c>
      <c r="L1122" s="67"/>
      <c r="M1122" s="22" t="s">
        <v>37</v>
      </c>
      <c r="N1122" s="590" t="s">
        <v>231</v>
      </c>
      <c r="O1122" s="590" t="s">
        <v>1048</v>
      </c>
      <c r="P1122" s="20" t="s">
        <v>4102</v>
      </c>
      <c r="Q1122" s="55"/>
      <c r="R1122" s="55"/>
      <c r="S1122" s="55"/>
      <c r="T1122" s="55"/>
      <c r="U1122" s="1890" t="s">
        <v>5038</v>
      </c>
      <c r="V1122" s="1890"/>
      <c r="W1122" s="56"/>
    </row>
    <row r="1123" spans="1:23" ht="26.25" customHeight="1">
      <c r="A1123" s="1586" t="s">
        <v>180</v>
      </c>
      <c r="B1123" s="1587">
        <v>45489</v>
      </c>
      <c r="C1123" s="153">
        <f t="shared" si="19"/>
        <v>29</v>
      </c>
      <c r="D1123" s="1032" t="s">
        <v>1698</v>
      </c>
      <c r="E1123" s="1034" t="s">
        <v>169</v>
      </c>
      <c r="F1123" s="1818" t="s">
        <v>1199</v>
      </c>
      <c r="G1123" s="1819" t="s">
        <v>1199</v>
      </c>
      <c r="H1123" s="5274"/>
      <c r="I1123" s="5268"/>
      <c r="J1123" s="5268"/>
      <c r="K1123" s="5231" t="s">
        <v>4206</v>
      </c>
      <c r="L1123" s="182" t="s">
        <v>37</v>
      </c>
      <c r="M1123" s="111"/>
      <c r="N1123" s="111"/>
      <c r="O1123" s="111"/>
      <c r="P1123" s="111"/>
      <c r="Q1123" s="111"/>
      <c r="R1123" s="111"/>
      <c r="S1123" s="111"/>
      <c r="T1123" s="111"/>
      <c r="U1123" s="112"/>
      <c r="V1123" s="112"/>
      <c r="W1123" s="112"/>
    </row>
    <row r="1124" spans="1:23" ht="27" thickBot="1">
      <c r="A1124" s="1586" t="s">
        <v>180</v>
      </c>
      <c r="B1124" s="1587">
        <v>45489</v>
      </c>
      <c r="C1124" s="153">
        <f t="shared" si="19"/>
        <v>29</v>
      </c>
      <c r="D1124" s="1868" t="s">
        <v>1165</v>
      </c>
      <c r="E1124" s="1888" t="s">
        <v>5039</v>
      </c>
      <c r="F1124" s="1820" t="s">
        <v>1764</v>
      </c>
      <c r="G1124" s="1762" t="s">
        <v>1206</v>
      </c>
      <c r="H1124" s="5193">
        <v>706</v>
      </c>
      <c r="I1124" s="1810"/>
      <c r="J1124" s="1811"/>
      <c r="K1124" s="1811"/>
      <c r="L1124" s="182" t="s">
        <v>37</v>
      </c>
      <c r="M1124" s="111"/>
      <c r="N1124" s="111"/>
      <c r="O1124" s="111"/>
      <c r="P1124" s="111"/>
      <c r="Q1124" s="111"/>
      <c r="R1124" s="111"/>
      <c r="S1124" s="111"/>
      <c r="T1124" s="111"/>
      <c r="U1124" s="195"/>
      <c r="V1124" s="195"/>
      <c r="W1124" s="195"/>
    </row>
    <row r="1125" spans="1:23" ht="27" customHeight="1" thickBot="1">
      <c r="A1125" s="1648" t="s">
        <v>180</v>
      </c>
      <c r="B1125" s="1649">
        <v>45489</v>
      </c>
      <c r="C1125" s="153">
        <f t="shared" si="19"/>
        <v>29</v>
      </c>
      <c r="D1125" s="1095" t="s">
        <v>1654</v>
      </c>
      <c r="E1125" s="1549" t="s">
        <v>889</v>
      </c>
      <c r="F1125" s="1818" t="s">
        <v>1199</v>
      </c>
      <c r="G1125" s="1819" t="s">
        <v>1199</v>
      </c>
      <c r="H1125" s="1821"/>
      <c r="I1125" s="1822"/>
      <c r="J1125" s="1821"/>
      <c r="K1125" s="1821"/>
      <c r="L1125" s="313"/>
      <c r="M1125" s="1892" t="s">
        <v>37</v>
      </c>
      <c r="N1125" s="590" t="s">
        <v>0</v>
      </c>
      <c r="O1125" s="590" t="s">
        <v>31</v>
      </c>
      <c r="P1125" s="20" t="s">
        <v>4339</v>
      </c>
      <c r="Q1125" s="1357" t="s">
        <v>37</v>
      </c>
      <c r="R1125" s="190"/>
      <c r="S1125" s="190"/>
      <c r="T1125" s="190"/>
      <c r="U1125" s="1823" t="s">
        <v>5040</v>
      </c>
      <c r="V1125" s="1823"/>
      <c r="W1125" s="1823" t="s">
        <v>5040</v>
      </c>
    </row>
    <row r="1126" spans="1:23" ht="53.25" customHeight="1" thickBot="1">
      <c r="A1126" s="1516" t="s">
        <v>180</v>
      </c>
      <c r="B1126" s="1517">
        <v>45489</v>
      </c>
      <c r="C1126" s="153">
        <f t="shared" si="19"/>
        <v>29</v>
      </c>
      <c r="D1126" s="1032" t="s">
        <v>4855</v>
      </c>
      <c r="E1126" s="1030" t="s">
        <v>3540</v>
      </c>
      <c r="F1126" s="1747" t="s">
        <v>1199</v>
      </c>
      <c r="G1126" s="1748" t="s">
        <v>1199</v>
      </c>
      <c r="H1126" s="1745"/>
      <c r="I1126" s="257"/>
      <c r="J1126" s="1745"/>
      <c r="K1126" s="1745"/>
      <c r="L1126" s="22"/>
      <c r="M1126" s="1892" t="s">
        <v>37</v>
      </c>
      <c r="N1126" s="590" t="s">
        <v>0</v>
      </c>
      <c r="O1126" s="590" t="s">
        <v>31</v>
      </c>
      <c r="P1126" s="20" t="s">
        <v>4082</v>
      </c>
      <c r="Q1126" s="1357" t="s">
        <v>37</v>
      </c>
      <c r="R1126" s="49"/>
      <c r="S1126" s="49"/>
      <c r="T1126" s="49"/>
      <c r="U1126" s="1824" t="s">
        <v>5041</v>
      </c>
      <c r="V1126" s="1824"/>
      <c r="W1126" s="1824" t="s">
        <v>5041</v>
      </c>
    </row>
    <row r="1127" spans="1:23" ht="26.25" customHeight="1">
      <c r="A1127" s="1516" t="s">
        <v>180</v>
      </c>
      <c r="B1127" s="1517">
        <v>45489</v>
      </c>
      <c r="C1127" s="153">
        <f t="shared" si="19"/>
        <v>29</v>
      </c>
      <c r="D1127" s="1032" t="s">
        <v>4768</v>
      </c>
      <c r="E1127" s="1030" t="s">
        <v>5042</v>
      </c>
      <c r="F1127" s="1761" t="s">
        <v>1764</v>
      </c>
      <c r="G1127" s="1762" t="s">
        <v>1199</v>
      </c>
      <c r="H1127" s="1745"/>
      <c r="I1127" s="257"/>
      <c r="J1127" s="1745"/>
      <c r="K1127" s="1745"/>
      <c r="L1127" s="22" t="s">
        <v>37</v>
      </c>
      <c r="M1127" s="49"/>
      <c r="N1127" s="49"/>
      <c r="O1127" s="49"/>
      <c r="P1127" s="49"/>
      <c r="Q1127" s="49"/>
      <c r="R1127" s="49"/>
      <c r="S1127" s="49"/>
      <c r="T1127" s="49"/>
      <c r="U1127" s="50"/>
      <c r="V1127" s="50"/>
      <c r="W1127" s="50"/>
    </row>
    <row r="1128" spans="1:23" ht="27" customHeight="1" thickBot="1">
      <c r="A1128" s="1734" t="s">
        <v>180</v>
      </c>
      <c r="B1128" s="1735">
        <v>45489</v>
      </c>
      <c r="C1128" s="364">
        <f t="shared" si="19"/>
        <v>29</v>
      </c>
      <c r="D1128" s="1035" t="s">
        <v>4079</v>
      </c>
      <c r="E1128" s="1036" t="s">
        <v>5043</v>
      </c>
      <c r="F1128" s="1752" t="s">
        <v>1764</v>
      </c>
      <c r="G1128" s="1779" t="s">
        <v>1199</v>
      </c>
      <c r="H1128" s="1825"/>
      <c r="I1128" s="1826"/>
      <c r="J1128" s="1825"/>
      <c r="K1128" s="1825"/>
      <c r="L1128" s="315" t="s">
        <v>37</v>
      </c>
      <c r="M1128" s="181"/>
      <c r="N1128" s="181"/>
      <c r="O1128" s="181"/>
      <c r="P1128" s="181"/>
      <c r="Q1128" s="181"/>
      <c r="R1128" s="181"/>
      <c r="S1128" s="181"/>
      <c r="T1128" s="181"/>
      <c r="U1128" s="1738"/>
      <c r="V1128" s="1738"/>
      <c r="W1128" s="1738"/>
    </row>
    <row r="1129" spans="1:23" ht="26.25" customHeight="1">
      <c r="A1129" s="1526" t="s">
        <v>1323</v>
      </c>
      <c r="B1129" s="1527">
        <v>45490</v>
      </c>
      <c r="C1129" s="144">
        <f t="shared" si="19"/>
        <v>29</v>
      </c>
      <c r="D1129" s="1105" t="s">
        <v>1776</v>
      </c>
      <c r="E1129" s="1887" t="s">
        <v>5044</v>
      </c>
      <c r="F1129" s="1827" t="s">
        <v>1206</v>
      </c>
      <c r="G1129" s="1813" t="s">
        <v>1206</v>
      </c>
      <c r="H1129" s="2078"/>
      <c r="I1129" s="5203"/>
      <c r="J1129" s="5203"/>
      <c r="K1129" s="484" t="s">
        <v>29</v>
      </c>
      <c r="L1129" s="22" t="s">
        <v>37</v>
      </c>
      <c r="M1129" s="55"/>
      <c r="N1129" s="55"/>
      <c r="O1129" s="55"/>
      <c r="P1129" s="55"/>
      <c r="Q1129" s="55"/>
      <c r="R1129" s="55"/>
      <c r="S1129" s="55"/>
      <c r="T1129" s="55"/>
      <c r="U1129" s="56"/>
      <c r="V1129" s="56"/>
      <c r="W1129" s="56"/>
    </row>
    <row r="1130" spans="1:23" ht="26.25" customHeight="1">
      <c r="A1130" s="1586" t="s">
        <v>1323</v>
      </c>
      <c r="B1130" s="1587">
        <v>45490</v>
      </c>
      <c r="C1130" s="1739">
        <f t="shared" si="19"/>
        <v>29</v>
      </c>
      <c r="D1130" s="1032" t="s">
        <v>1654</v>
      </c>
      <c r="E1130" s="1030" t="s">
        <v>5021</v>
      </c>
      <c r="F1130" s="1818" t="s">
        <v>1199</v>
      </c>
      <c r="G1130" s="1819" t="s">
        <v>1199</v>
      </c>
      <c r="H1130" s="5213"/>
      <c r="I1130" s="5213"/>
      <c r="J1130" s="5213"/>
      <c r="K1130" s="484" t="s">
        <v>29</v>
      </c>
      <c r="L1130" s="22" t="s">
        <v>37</v>
      </c>
      <c r="M1130" s="111"/>
      <c r="N1130" s="111"/>
      <c r="O1130" s="111"/>
      <c r="P1130" s="111"/>
      <c r="Q1130" s="111"/>
      <c r="R1130" s="111"/>
      <c r="S1130" s="111"/>
      <c r="T1130" s="111"/>
      <c r="U1130" s="112"/>
      <c r="V1130" s="112"/>
      <c r="W1130" s="112"/>
    </row>
    <row r="1131" spans="1:23" ht="26.25" customHeight="1">
      <c r="A1131" s="1586" t="s">
        <v>1323</v>
      </c>
      <c r="B1131" s="1587">
        <v>45490</v>
      </c>
      <c r="C1131" s="153">
        <f t="shared" si="19"/>
        <v>29</v>
      </c>
      <c r="D1131" s="1097" t="s">
        <v>68</v>
      </c>
      <c r="E1131" s="1034" t="s">
        <v>3651</v>
      </c>
      <c r="F1131" s="1781" t="s">
        <v>1199</v>
      </c>
      <c r="G1131" s="1789" t="s">
        <v>1199</v>
      </c>
      <c r="H1131" s="182"/>
      <c r="I1131" s="111"/>
      <c r="J1131" s="111"/>
      <c r="K1131" s="111"/>
      <c r="L1131" s="182" t="s">
        <v>37</v>
      </c>
      <c r="M1131" s="111"/>
      <c r="N1131" s="111"/>
      <c r="O1131" s="111"/>
      <c r="P1131" s="111"/>
      <c r="Q1131" s="111"/>
      <c r="R1131" s="111"/>
      <c r="S1131" s="111"/>
      <c r="T1131" s="111"/>
      <c r="U1131" s="1828"/>
      <c r="V1131" s="1828"/>
      <c r="W1131" s="1828" t="s">
        <v>5045</v>
      </c>
    </row>
    <row r="1132" spans="1:23" ht="26.25" customHeight="1">
      <c r="A1132" s="1586" t="s">
        <v>1323</v>
      </c>
      <c r="B1132" s="1587">
        <v>45490</v>
      </c>
      <c r="C1132" s="153">
        <f t="shared" si="19"/>
        <v>29</v>
      </c>
      <c r="D1132" s="1051" t="s">
        <v>1698</v>
      </c>
      <c r="E1132" s="1034" t="s">
        <v>5046</v>
      </c>
      <c r="F1132" s="1747" t="s">
        <v>1199</v>
      </c>
      <c r="G1132" s="1748" t="s">
        <v>1199</v>
      </c>
      <c r="H1132" s="2727"/>
      <c r="I1132" s="5240"/>
      <c r="J1132" s="5240"/>
      <c r="K1132" s="5231" t="s">
        <v>4206</v>
      </c>
      <c r="L1132" s="182" t="s">
        <v>37</v>
      </c>
      <c r="M1132" s="111"/>
      <c r="N1132" s="111"/>
      <c r="O1132" s="111"/>
      <c r="P1132" s="111"/>
      <c r="Q1132" s="111"/>
      <c r="R1132" s="111"/>
      <c r="S1132" s="111"/>
      <c r="T1132" s="111"/>
      <c r="U1132" s="112"/>
      <c r="V1132" s="112"/>
      <c r="W1132" s="112"/>
    </row>
    <row r="1133" spans="1:23" ht="26.25" customHeight="1">
      <c r="A1133" s="1648" t="s">
        <v>1323</v>
      </c>
      <c r="B1133" s="1587">
        <v>45490</v>
      </c>
      <c r="C1133" s="153">
        <f t="shared" si="19"/>
        <v>29</v>
      </c>
      <c r="D1133" s="1051" t="s">
        <v>106</v>
      </c>
      <c r="E1133" s="1034" t="s">
        <v>5047</v>
      </c>
      <c r="F1133" s="1747" t="s">
        <v>1199</v>
      </c>
      <c r="G1133" s="1747" t="s">
        <v>1199</v>
      </c>
      <c r="H1133" s="5238"/>
      <c r="I1133" s="5242"/>
      <c r="J1133" s="5242"/>
      <c r="K1133" s="5231" t="s">
        <v>4206</v>
      </c>
      <c r="L1133" s="182" t="s">
        <v>37</v>
      </c>
      <c r="M1133" s="111"/>
      <c r="N1133" s="111"/>
      <c r="O1133" s="111"/>
      <c r="P1133" s="111"/>
      <c r="Q1133" s="111"/>
      <c r="R1133" s="111"/>
      <c r="S1133" s="111"/>
      <c r="T1133" s="111"/>
      <c r="U1133" s="112"/>
      <c r="V1133" s="112"/>
      <c r="W1133" s="112"/>
    </row>
    <row r="1134" spans="1:23">
      <c r="A1134" s="1517" t="s">
        <v>1323</v>
      </c>
      <c r="B1134" s="1829">
        <v>45490</v>
      </c>
      <c r="C1134" s="1687">
        <f t="shared" si="19"/>
        <v>29</v>
      </c>
      <c r="D1134" s="940" t="s">
        <v>5048</v>
      </c>
      <c r="E1134" s="1889" t="s">
        <v>5049</v>
      </c>
      <c r="F1134" s="1760" t="s">
        <v>1764</v>
      </c>
      <c r="G1134" s="1762" t="s">
        <v>1206</v>
      </c>
      <c r="H1134" s="5193">
        <v>706</v>
      </c>
      <c r="I1134" s="1808"/>
      <c r="J1134" s="1443"/>
      <c r="K1134" s="1443"/>
      <c r="L1134" s="22" t="s">
        <v>37</v>
      </c>
      <c r="M1134" s="49"/>
      <c r="N1134" s="49"/>
      <c r="O1134" s="49"/>
      <c r="P1134" s="49"/>
      <c r="Q1134" s="49"/>
      <c r="R1134" s="49"/>
      <c r="S1134" s="49"/>
      <c r="T1134" s="49"/>
      <c r="U1134" s="49"/>
      <c r="V1134" s="49"/>
      <c r="W1134" s="49"/>
    </row>
    <row r="1135" spans="1:23" ht="26.25" customHeight="1" thickBot="1">
      <c r="A1135" s="1517" t="s">
        <v>1323</v>
      </c>
      <c r="B1135" s="1829">
        <v>45490</v>
      </c>
      <c r="C1135" s="1687">
        <f t="shared" si="19"/>
        <v>29</v>
      </c>
      <c r="D1135" s="1032" t="s">
        <v>4412</v>
      </c>
      <c r="E1135" s="1225" t="s">
        <v>348</v>
      </c>
      <c r="F1135" s="1830" t="s">
        <v>1764</v>
      </c>
      <c r="G1135" s="1831" t="s">
        <v>1206</v>
      </c>
      <c r="H1135" s="1809"/>
      <c r="I1135" s="1808" t="s">
        <v>5035</v>
      </c>
      <c r="J1135" s="1443"/>
      <c r="K1135" s="484" t="s">
        <v>29</v>
      </c>
      <c r="L1135" s="22" t="s">
        <v>37</v>
      </c>
      <c r="M1135" s="49"/>
      <c r="N1135" s="49"/>
      <c r="O1135" s="49"/>
      <c r="P1135" s="49"/>
      <c r="Q1135" s="49"/>
      <c r="R1135" s="49"/>
      <c r="S1135" s="49"/>
      <c r="T1135" s="49"/>
      <c r="U1135" s="1828" t="s">
        <v>5050</v>
      </c>
      <c r="V1135" s="1828"/>
      <c r="W1135" s="1828" t="s">
        <v>5050</v>
      </c>
    </row>
    <row r="1136" spans="1:23" ht="27" customHeight="1" thickBot="1">
      <c r="A1136" s="1517" t="s">
        <v>1323</v>
      </c>
      <c r="B1136" s="1517">
        <v>45490</v>
      </c>
      <c r="C1136" s="187">
        <f t="shared" si="19"/>
        <v>29</v>
      </c>
      <c r="D1136" s="1032" t="s">
        <v>169</v>
      </c>
      <c r="E1136" s="1225" t="s">
        <v>1698</v>
      </c>
      <c r="F1136" s="1779" t="s">
        <v>1206</v>
      </c>
      <c r="G1136" s="1779" t="s">
        <v>1206</v>
      </c>
      <c r="H1136" s="1793"/>
      <c r="I1136" s="257"/>
      <c r="J1136" s="1745"/>
      <c r="K1136" s="1745"/>
      <c r="L1136" s="22"/>
      <c r="M1136" s="1892" t="s">
        <v>37</v>
      </c>
      <c r="N1136" s="590" t="s">
        <v>122</v>
      </c>
      <c r="O1136" s="590" t="s">
        <v>174</v>
      </c>
      <c r="P1136" s="20" t="s">
        <v>4339</v>
      </c>
      <c r="Q1136" s="57"/>
      <c r="R1136" s="57"/>
      <c r="S1136" s="57"/>
      <c r="T1136" s="49"/>
      <c r="U1136" s="1893" t="s">
        <v>5051</v>
      </c>
      <c r="V1136" s="1893"/>
      <c r="W1136" s="153" t="s">
        <v>5052</v>
      </c>
    </row>
    <row r="1137" spans="1:23" ht="26.25" customHeight="1" thickBot="1">
      <c r="A1137" s="1526" t="s">
        <v>1495</v>
      </c>
      <c r="B1137" s="1527">
        <v>45491</v>
      </c>
      <c r="C1137" s="144">
        <f t="shared" si="19"/>
        <v>29</v>
      </c>
      <c r="D1137" s="1105" t="s">
        <v>5053</v>
      </c>
      <c r="E1137" s="1887" t="s">
        <v>904</v>
      </c>
      <c r="F1137" s="1832" t="s">
        <v>1199</v>
      </c>
      <c r="G1137" s="1819" t="s">
        <v>1199</v>
      </c>
      <c r="H1137" s="1743"/>
      <c r="I1137" s="322"/>
      <c r="J1137" s="1833"/>
      <c r="K1137" s="2013"/>
      <c r="L1137" s="67" t="s">
        <v>37</v>
      </c>
      <c r="M1137" s="55"/>
      <c r="N1137" s="55"/>
      <c r="O1137" s="55"/>
      <c r="P1137" s="55"/>
      <c r="Q1137" s="111"/>
      <c r="R1137" s="1891" t="s">
        <v>37</v>
      </c>
      <c r="S1137" s="111"/>
      <c r="T1137" s="55"/>
      <c r="U1137" s="56"/>
      <c r="V1137" s="56"/>
      <c r="W1137" s="56"/>
    </row>
    <row r="1138" spans="1:23" ht="79.5" customHeight="1" thickBot="1">
      <c r="A1138" s="1586" t="s">
        <v>1495</v>
      </c>
      <c r="B1138" s="1587">
        <v>45491</v>
      </c>
      <c r="C1138" s="1739">
        <f t="shared" si="19"/>
        <v>29</v>
      </c>
      <c r="D1138" s="1051" t="s">
        <v>392</v>
      </c>
      <c r="E1138" s="1225" t="s">
        <v>5033</v>
      </c>
      <c r="F1138" s="1834" t="s">
        <v>1206</v>
      </c>
      <c r="G1138" s="1781" t="s">
        <v>1206</v>
      </c>
      <c r="H1138" s="1814"/>
      <c r="I1138" s="247"/>
      <c r="J1138" s="1835"/>
      <c r="K1138" s="2014"/>
      <c r="L1138" s="182"/>
      <c r="M1138" s="1892" t="s">
        <v>37</v>
      </c>
      <c r="N1138" s="590" t="s">
        <v>0</v>
      </c>
      <c r="O1138" s="590" t="s">
        <v>526</v>
      </c>
      <c r="P1138" s="20" t="s">
        <v>4082</v>
      </c>
      <c r="Q1138" s="111"/>
      <c r="R1138" s="1357" t="s">
        <v>37</v>
      </c>
      <c r="S1138" s="111"/>
      <c r="T1138" s="111"/>
      <c r="U1138" s="112" t="s">
        <v>5054</v>
      </c>
      <c r="V1138" s="112"/>
      <c r="W1138" s="112" t="s">
        <v>5054</v>
      </c>
    </row>
    <row r="1139" spans="1:23" ht="26.25" customHeight="1" thickBot="1">
      <c r="A1139" s="1586" t="s">
        <v>1495</v>
      </c>
      <c r="B1139" s="1587">
        <v>45491</v>
      </c>
      <c r="C1139" s="54">
        <f t="shared" si="19"/>
        <v>29</v>
      </c>
      <c r="D1139" s="1051" t="s">
        <v>1811</v>
      </c>
      <c r="E1139" s="1097" t="s">
        <v>5055</v>
      </c>
      <c r="F1139" s="1836" t="s">
        <v>1764</v>
      </c>
      <c r="G1139" s="1781" t="s">
        <v>1206</v>
      </c>
      <c r="H1139" s="3250">
        <v>706</v>
      </c>
      <c r="I1139" s="2016"/>
      <c r="J1139" s="2016"/>
      <c r="K1139" s="1811"/>
      <c r="L1139" s="182" t="s">
        <v>37</v>
      </c>
      <c r="M1139" s="111"/>
      <c r="N1139" s="111"/>
      <c r="O1139" s="111"/>
      <c r="P1139" s="111"/>
      <c r="Q1139" s="111"/>
      <c r="R1139" s="111"/>
      <c r="S1139" s="111"/>
      <c r="T1139" s="111"/>
      <c r="U1139" s="112"/>
      <c r="V1139" s="112"/>
      <c r="W1139" s="112"/>
    </row>
    <row r="1140" spans="1:23" ht="79.5" customHeight="1" thickBot="1">
      <c r="A1140" s="1586" t="s">
        <v>1495</v>
      </c>
      <c r="B1140" s="1587">
        <v>45491</v>
      </c>
      <c r="C1140" s="153">
        <f t="shared" si="19"/>
        <v>29</v>
      </c>
      <c r="D1140" s="1051" t="s">
        <v>3657</v>
      </c>
      <c r="E1140" s="1034" t="s">
        <v>5056</v>
      </c>
      <c r="F1140" s="1818" t="s">
        <v>1199</v>
      </c>
      <c r="G1140" s="1819" t="s">
        <v>1199</v>
      </c>
      <c r="H1140" s="1814"/>
      <c r="I1140" s="247"/>
      <c r="J1140" s="1835"/>
      <c r="K1140" s="2014"/>
      <c r="L1140" s="182"/>
      <c r="M1140" s="1892" t="s">
        <v>37</v>
      </c>
      <c r="N1140" s="590" t="s">
        <v>0</v>
      </c>
      <c r="O1140" s="590" t="s">
        <v>526</v>
      </c>
      <c r="P1140" s="20" t="s">
        <v>4082</v>
      </c>
      <c r="Q1140" s="111"/>
      <c r="R1140" s="111"/>
      <c r="S1140" s="111"/>
      <c r="T1140" s="111"/>
      <c r="U1140" s="112" t="s">
        <v>5057</v>
      </c>
      <c r="V1140" s="112"/>
      <c r="W1140" s="112" t="s">
        <v>5057</v>
      </c>
    </row>
    <row r="1141" spans="1:23" ht="27" customHeight="1" thickBot="1">
      <c r="A1141" s="1586" t="s">
        <v>1495</v>
      </c>
      <c r="B1141" s="1587">
        <v>45491</v>
      </c>
      <c r="C1141" s="1687">
        <f t="shared" si="19"/>
        <v>29</v>
      </c>
      <c r="D1141" s="1051" t="s">
        <v>169</v>
      </c>
      <c r="E1141" s="1097" t="s">
        <v>148</v>
      </c>
      <c r="F1141" s="1834" t="s">
        <v>1764</v>
      </c>
      <c r="G1141" s="1781" t="s">
        <v>1206</v>
      </c>
      <c r="H1141" s="1814"/>
      <c r="I1141" s="247"/>
      <c r="J1141" s="1835"/>
      <c r="K1141" s="2014"/>
      <c r="L1141" s="182"/>
      <c r="M1141" s="1892" t="s">
        <v>37</v>
      </c>
      <c r="N1141" s="590" t="s">
        <v>231</v>
      </c>
      <c r="O1141" s="590" t="s">
        <v>1048</v>
      </c>
      <c r="P1141" s="20" t="s">
        <v>4339</v>
      </c>
      <c r="Q1141" s="111"/>
      <c r="R1141" s="111"/>
      <c r="S1141" s="111"/>
      <c r="T1141" s="111"/>
      <c r="U1141" s="112" t="s">
        <v>5058</v>
      </c>
      <c r="V1141" s="112"/>
      <c r="W1141" s="112" t="s">
        <v>5058</v>
      </c>
    </row>
    <row r="1142" spans="1:23" ht="26.25" customHeight="1">
      <c r="A1142" s="1586" t="s">
        <v>1495</v>
      </c>
      <c r="B1142" s="1587">
        <v>45491</v>
      </c>
      <c r="C1142" s="1739">
        <f t="shared" si="19"/>
        <v>29</v>
      </c>
      <c r="D1142" s="1051" t="s">
        <v>43</v>
      </c>
      <c r="E1142" s="1097" t="s">
        <v>584</v>
      </c>
      <c r="F1142" s="1834" t="s">
        <v>1764</v>
      </c>
      <c r="G1142" s="1781" t="s">
        <v>1206</v>
      </c>
      <c r="H1142" s="1814"/>
      <c r="I1142" s="247"/>
      <c r="J1142" s="1835"/>
      <c r="K1142" s="2014"/>
      <c r="L1142" s="182" t="s">
        <v>37</v>
      </c>
      <c r="M1142" s="111"/>
      <c r="N1142" s="111"/>
      <c r="O1142" s="111"/>
      <c r="P1142" s="111"/>
      <c r="Q1142" s="111"/>
      <c r="R1142" s="111"/>
      <c r="S1142" s="111"/>
      <c r="T1142" s="111"/>
      <c r="U1142" s="112"/>
      <c r="V1142" s="112"/>
      <c r="W1142" s="112"/>
    </row>
    <row r="1143" spans="1:23" ht="26.25" customHeight="1">
      <c r="A1143" s="1586" t="s">
        <v>1495</v>
      </c>
      <c r="B1143" s="1587">
        <v>45491</v>
      </c>
      <c r="C1143" s="153">
        <f t="shared" si="19"/>
        <v>29</v>
      </c>
      <c r="D1143" s="1051" t="s">
        <v>586</v>
      </c>
      <c r="E1143" s="1097" t="s">
        <v>830</v>
      </c>
      <c r="F1143" s="1834" t="s">
        <v>1764</v>
      </c>
      <c r="G1143" s="1781" t="s">
        <v>1206</v>
      </c>
      <c r="H1143" s="1814"/>
      <c r="I1143" s="247"/>
      <c r="J1143" s="1835"/>
      <c r="K1143" s="2014"/>
      <c r="L1143" s="182" t="s">
        <v>37</v>
      </c>
      <c r="M1143" s="111"/>
      <c r="N1143" s="111"/>
      <c r="O1143" s="111"/>
      <c r="P1143" s="111"/>
      <c r="Q1143" s="111"/>
      <c r="R1143" s="111"/>
      <c r="S1143" s="111"/>
      <c r="T1143" s="111"/>
      <c r="U1143" s="112"/>
      <c r="V1143" s="112"/>
      <c r="W1143" s="112"/>
    </row>
    <row r="1144" spans="1:23" ht="27" customHeight="1" thickBot="1">
      <c r="A1144" s="1648" t="s">
        <v>1495</v>
      </c>
      <c r="B1144" s="1649">
        <v>45491</v>
      </c>
      <c r="C1144" s="187">
        <f t="shared" si="19"/>
        <v>29</v>
      </c>
      <c r="D1144" s="1151" t="s">
        <v>1698</v>
      </c>
      <c r="E1144" s="1098" t="s">
        <v>169</v>
      </c>
      <c r="F1144" s="1837" t="s">
        <v>1199</v>
      </c>
      <c r="G1144" s="1838" t="s">
        <v>1199</v>
      </c>
      <c r="H1144" s="3269"/>
      <c r="I1144" s="5306"/>
      <c r="J1144" s="5306"/>
      <c r="K1144" s="5231" t="s">
        <v>4206</v>
      </c>
      <c r="L1144" s="313" t="s">
        <v>37</v>
      </c>
      <c r="M1144" s="190"/>
      <c r="N1144" s="190"/>
      <c r="O1144" s="190"/>
      <c r="P1144" s="190"/>
      <c r="Q1144" s="190"/>
      <c r="R1144" s="190"/>
      <c r="S1144" s="190"/>
      <c r="T1144" s="190"/>
      <c r="U1144" s="195"/>
      <c r="V1144" s="195"/>
      <c r="W1144" s="195"/>
    </row>
    <row r="1145" spans="1:23" ht="26.25" customHeight="1" thickBot="1">
      <c r="A1145" s="1526" t="s">
        <v>1857</v>
      </c>
      <c r="B1145" s="1527">
        <v>45492</v>
      </c>
      <c r="C1145" s="187">
        <f t="shared" ref="C1145:C1176" si="20">_xlfn.ISOWEEKNUM(B1145)</f>
        <v>29</v>
      </c>
      <c r="D1145" s="1105" t="s">
        <v>2275</v>
      </c>
      <c r="E1145" s="1106" t="s">
        <v>939</v>
      </c>
      <c r="F1145" s="1819" t="s">
        <v>1199</v>
      </c>
      <c r="G1145" s="1839" t="s">
        <v>1199</v>
      </c>
      <c r="H1145" s="1763"/>
      <c r="I1145" s="1763"/>
      <c r="J1145" s="1763"/>
      <c r="K1145" s="484" t="s">
        <v>29</v>
      </c>
      <c r="L1145" s="22" t="s">
        <v>37</v>
      </c>
      <c r="M1145" s="49"/>
      <c r="N1145" s="49"/>
      <c r="O1145" s="49"/>
      <c r="P1145" s="49"/>
      <c r="Q1145" s="49"/>
      <c r="R1145" s="49"/>
      <c r="S1145" s="49"/>
      <c r="T1145" s="49"/>
      <c r="U1145" s="49"/>
      <c r="V1145" s="49"/>
      <c r="W1145" s="49"/>
    </row>
    <row r="1146" spans="1:23" ht="26.25" customHeight="1" thickBot="1">
      <c r="A1146" s="1516" t="s">
        <v>1857</v>
      </c>
      <c r="B1146" s="1517">
        <v>45492</v>
      </c>
      <c r="C1146" s="187">
        <f t="shared" si="20"/>
        <v>29</v>
      </c>
      <c r="D1146" s="1032" t="s">
        <v>80</v>
      </c>
      <c r="E1146" s="1030" t="s">
        <v>2662</v>
      </c>
      <c r="F1146" s="1840" t="s">
        <v>1199</v>
      </c>
      <c r="G1146" s="1762" t="s">
        <v>1199</v>
      </c>
      <c r="H1146" s="1763"/>
      <c r="I1146" s="1763"/>
      <c r="J1146" s="1763"/>
      <c r="K1146" s="484" t="s">
        <v>29</v>
      </c>
      <c r="L1146" s="22" t="s">
        <v>37</v>
      </c>
      <c r="M1146" s="49"/>
      <c r="N1146" s="49"/>
      <c r="O1146" s="49"/>
      <c r="P1146" s="49"/>
      <c r="Q1146" s="49"/>
      <c r="R1146" s="49"/>
      <c r="S1146" s="49"/>
      <c r="T1146" s="49"/>
      <c r="U1146" s="49"/>
      <c r="V1146" s="49"/>
      <c r="W1146" s="49"/>
    </row>
    <row r="1147" spans="1:23" ht="26.25" customHeight="1" thickBot="1">
      <c r="A1147" s="1516" t="s">
        <v>1857</v>
      </c>
      <c r="B1147" s="1517">
        <v>45492</v>
      </c>
      <c r="C1147" s="187">
        <f t="shared" si="20"/>
        <v>29</v>
      </c>
      <c r="D1147" s="1032" t="s">
        <v>2662</v>
      </c>
      <c r="E1147" s="1030" t="s">
        <v>80</v>
      </c>
      <c r="F1147" s="1840" t="s">
        <v>1199</v>
      </c>
      <c r="G1147" s="1762" t="s">
        <v>1199</v>
      </c>
      <c r="H1147" s="1763"/>
      <c r="I1147" s="1763"/>
      <c r="J1147" s="1763"/>
      <c r="K1147" s="484" t="s">
        <v>29</v>
      </c>
      <c r="L1147" s="22" t="s">
        <v>37</v>
      </c>
      <c r="M1147" s="49"/>
      <c r="N1147" s="49"/>
      <c r="O1147" s="49"/>
      <c r="P1147" s="49"/>
      <c r="Q1147" s="49"/>
      <c r="R1147" s="48"/>
      <c r="S1147" s="49"/>
      <c r="T1147" s="49"/>
      <c r="U1147" s="49"/>
      <c r="V1147" s="49"/>
      <c r="W1147" s="49"/>
    </row>
    <row r="1148" spans="1:23" ht="26.25" customHeight="1" thickBot="1">
      <c r="A1148" s="1516" t="s">
        <v>1857</v>
      </c>
      <c r="B1148" s="1517">
        <v>45492</v>
      </c>
      <c r="C1148" s="187">
        <f t="shared" si="20"/>
        <v>29</v>
      </c>
      <c r="D1148" s="1032" t="s">
        <v>169</v>
      </c>
      <c r="E1148" s="1030" t="s">
        <v>148</v>
      </c>
      <c r="F1148" s="1841" t="s">
        <v>1199</v>
      </c>
      <c r="G1148" s="1839" t="s">
        <v>1199</v>
      </c>
      <c r="H1148" s="1763"/>
      <c r="I1148" s="1763"/>
      <c r="J1148" s="1763"/>
      <c r="K1148" s="484" t="s">
        <v>29</v>
      </c>
      <c r="L1148" s="22" t="s">
        <v>37</v>
      </c>
      <c r="M1148" s="49"/>
      <c r="N1148" s="49"/>
      <c r="O1148" s="49"/>
      <c r="P1148" s="49"/>
      <c r="Q1148" s="49"/>
      <c r="R1148" s="49" t="s">
        <v>37</v>
      </c>
      <c r="S1148" s="49"/>
      <c r="T1148" s="49"/>
      <c r="U1148" s="49"/>
      <c r="V1148" s="49"/>
      <c r="W1148" s="49"/>
    </row>
    <row r="1149" spans="1:23" ht="27" customHeight="1" thickBot="1">
      <c r="A1149" s="1516" t="s">
        <v>1857</v>
      </c>
      <c r="B1149" s="1517">
        <v>45492</v>
      </c>
      <c r="C1149" s="187">
        <f t="shared" si="20"/>
        <v>29</v>
      </c>
      <c r="D1149" s="1032" t="s">
        <v>2397</v>
      </c>
      <c r="E1149" s="1030" t="s">
        <v>4609</v>
      </c>
      <c r="F1149" s="1761" t="s">
        <v>1206</v>
      </c>
      <c r="G1149" s="1762" t="s">
        <v>1206</v>
      </c>
      <c r="H1149" s="5279"/>
      <c r="I1149" s="5278"/>
      <c r="J1149" s="5278"/>
      <c r="K1149" s="5231" t="s">
        <v>4206</v>
      </c>
      <c r="L1149" s="22" t="s">
        <v>37</v>
      </c>
      <c r="M1149" s="49"/>
      <c r="N1149" s="49"/>
      <c r="O1149" s="49"/>
      <c r="P1149" s="49"/>
      <c r="Q1149" s="49"/>
      <c r="R1149" s="49"/>
      <c r="S1149" s="49"/>
      <c r="T1149" s="49"/>
      <c r="U1149" s="49"/>
      <c r="V1149" s="49"/>
      <c r="W1149" s="49"/>
    </row>
    <row r="1150" spans="1:23" ht="26.25" customHeight="1" thickBot="1">
      <c r="A1150" s="1516" t="s">
        <v>1857</v>
      </c>
      <c r="B1150" s="1517">
        <v>45492</v>
      </c>
      <c r="C1150" s="187">
        <f t="shared" si="20"/>
        <v>29</v>
      </c>
      <c r="D1150" s="1032" t="s">
        <v>207</v>
      </c>
      <c r="E1150" s="1030" t="s">
        <v>4713</v>
      </c>
      <c r="F1150" s="1761" t="s">
        <v>1206</v>
      </c>
      <c r="G1150" s="1762" t="s">
        <v>1206</v>
      </c>
      <c r="H1150" s="5207"/>
      <c r="I1150" s="5207"/>
      <c r="J1150" s="5207"/>
      <c r="K1150" s="484" t="s">
        <v>29</v>
      </c>
      <c r="L1150" s="22" t="s">
        <v>37</v>
      </c>
      <c r="M1150" s="49"/>
      <c r="N1150" s="49"/>
      <c r="O1150" s="49"/>
      <c r="P1150" s="49"/>
      <c r="Q1150" s="49"/>
      <c r="R1150" s="49"/>
      <c r="S1150" s="49"/>
      <c r="T1150" s="49"/>
      <c r="U1150" s="49"/>
      <c r="V1150" s="49"/>
      <c r="W1150" s="49"/>
    </row>
    <row r="1151" spans="1:23" ht="27" customHeight="1" thickBot="1">
      <c r="A1151" s="1513" t="s">
        <v>1857</v>
      </c>
      <c r="B1151" s="1531">
        <v>45492</v>
      </c>
      <c r="C1151" s="187">
        <f t="shared" si="20"/>
        <v>29</v>
      </c>
      <c r="D1151" s="1869" t="s">
        <v>5059</v>
      </c>
      <c r="E1151" s="1269" t="s">
        <v>3046</v>
      </c>
      <c r="F1151" s="1818" t="s">
        <v>1199</v>
      </c>
      <c r="G1151" s="1819" t="s">
        <v>1199</v>
      </c>
      <c r="H1151" s="5223"/>
      <c r="I1151" s="5223"/>
      <c r="J1151" s="5223"/>
      <c r="K1151" s="484" t="s">
        <v>29</v>
      </c>
      <c r="L1151" s="22" t="s">
        <v>37</v>
      </c>
      <c r="M1151" s="49"/>
      <c r="N1151" s="49"/>
      <c r="O1151" s="49"/>
      <c r="P1151" s="49"/>
      <c r="Q1151" s="49"/>
      <c r="R1151" s="49"/>
      <c r="S1151" s="49"/>
      <c r="T1151" s="49"/>
      <c r="U1151" s="49"/>
      <c r="V1151" s="49"/>
      <c r="W1151" s="49"/>
    </row>
    <row r="1152" spans="1:23" ht="26.25" customHeight="1" thickBot="1">
      <c r="A1152" s="1586" t="s">
        <v>1519</v>
      </c>
      <c r="B1152" s="1587">
        <v>45493</v>
      </c>
      <c r="C1152" s="187">
        <f t="shared" si="20"/>
        <v>29</v>
      </c>
      <c r="D1152" s="1051" t="s">
        <v>169</v>
      </c>
      <c r="E1152" s="1887" t="s">
        <v>1074</v>
      </c>
      <c r="F1152" s="1842" t="s">
        <v>1199</v>
      </c>
      <c r="G1152" s="1813" t="s">
        <v>1199</v>
      </c>
      <c r="H1152" s="3250">
        <v>706</v>
      </c>
      <c r="I1152" s="5206"/>
      <c r="J1152" s="5206"/>
      <c r="K1152" s="1442"/>
      <c r="L1152" s="182" t="s">
        <v>37</v>
      </c>
      <c r="M1152" s="111"/>
      <c r="N1152" s="111"/>
      <c r="O1152" s="111"/>
      <c r="P1152" s="111"/>
      <c r="Q1152" s="111"/>
      <c r="R1152" s="111"/>
      <c r="S1152" s="111"/>
      <c r="T1152" s="111"/>
      <c r="U1152" s="112"/>
      <c r="V1152" s="112"/>
      <c r="W1152" s="112"/>
    </row>
    <row r="1153" spans="1:23" ht="53.25" customHeight="1" thickBot="1">
      <c r="A1153" s="1734" t="s">
        <v>1519</v>
      </c>
      <c r="B1153" s="1735">
        <v>45493</v>
      </c>
      <c r="C1153" s="187">
        <f t="shared" si="20"/>
        <v>29</v>
      </c>
      <c r="D1153" s="1310" t="s">
        <v>1654</v>
      </c>
      <c r="E1153" s="1869" t="s">
        <v>1698</v>
      </c>
      <c r="F1153" s="1818" t="s">
        <v>1199</v>
      </c>
      <c r="G1153" s="1819" t="s">
        <v>1199</v>
      </c>
      <c r="H1153" s="49"/>
      <c r="I1153" s="49"/>
      <c r="J1153" s="49"/>
      <c r="K1153" s="49"/>
      <c r="L1153" s="22"/>
      <c r="M1153" s="1892" t="s">
        <v>37</v>
      </c>
      <c r="N1153" s="590" t="s">
        <v>0</v>
      </c>
      <c r="O1153" s="590" t="s">
        <v>110</v>
      </c>
      <c r="P1153" s="20" t="s">
        <v>4082</v>
      </c>
      <c r="Q1153" s="181"/>
      <c r="R1153" s="181"/>
      <c r="S1153" s="181"/>
      <c r="T1153" s="181"/>
      <c r="U1153" s="1843" t="s">
        <v>5060</v>
      </c>
      <c r="V1153" s="1843"/>
      <c r="W1153" s="1843" t="s">
        <v>5061</v>
      </c>
    </row>
    <row r="1154" spans="1:23" ht="26.25" customHeight="1" thickBot="1">
      <c r="A1154" s="1649" t="s">
        <v>3984</v>
      </c>
      <c r="B1154" s="1649">
        <v>45494</v>
      </c>
      <c r="C1154" s="187">
        <f t="shared" si="20"/>
        <v>29</v>
      </c>
      <c r="D1154" s="1549" t="s">
        <v>204</v>
      </c>
      <c r="E1154" s="1549" t="s">
        <v>5055</v>
      </c>
      <c r="F1154" s="1781" t="s">
        <v>1199</v>
      </c>
      <c r="G1154" s="1666" t="s">
        <v>1199</v>
      </c>
      <c r="H1154" s="3250">
        <v>706</v>
      </c>
      <c r="I1154" s="5206"/>
      <c r="J1154" s="5206"/>
      <c r="K1154" s="1442"/>
      <c r="L1154" s="313" t="s">
        <v>37</v>
      </c>
      <c r="M1154" s="190"/>
      <c r="N1154" s="190"/>
      <c r="O1154" s="190"/>
      <c r="P1154" s="190"/>
      <c r="Q1154" s="190"/>
      <c r="R1154" s="190"/>
      <c r="S1154" s="190"/>
      <c r="T1154" s="190"/>
      <c r="U1154" s="112"/>
      <c r="V1154" s="112"/>
      <c r="W1154" s="112"/>
    </row>
    <row r="1155" spans="1:23" ht="27" customHeight="1" thickBot="1">
      <c r="A1155" s="76" t="s">
        <v>25</v>
      </c>
      <c r="B1155" s="1300">
        <v>45495</v>
      </c>
      <c r="C1155" s="187">
        <f t="shared" si="20"/>
        <v>30</v>
      </c>
      <c r="D1155" s="76" t="s">
        <v>1698</v>
      </c>
      <c r="E1155" s="76" t="s">
        <v>5062</v>
      </c>
      <c r="H1155" s="3250"/>
      <c r="I1155" s="5305"/>
      <c r="J1155" s="5306"/>
      <c r="K1155" s="5231" t="s">
        <v>4206</v>
      </c>
      <c r="L1155" s="48" t="s">
        <v>30</v>
      </c>
      <c r="M1155" s="48"/>
      <c r="N1155" s="49"/>
      <c r="O1155" s="49"/>
      <c r="P1155" s="49"/>
      <c r="Q1155" s="49"/>
      <c r="R1155" s="22"/>
      <c r="S1155" s="22"/>
      <c r="T1155" s="49"/>
      <c r="U1155" s="1357"/>
      <c r="V1155" s="1922"/>
      <c r="W1155"/>
    </row>
    <row r="1156" spans="1:23" ht="27" customHeight="1" thickBot="1">
      <c r="A1156" s="76" t="s">
        <v>25</v>
      </c>
      <c r="B1156" s="1300">
        <v>45495</v>
      </c>
      <c r="C1156" s="187">
        <f t="shared" si="20"/>
        <v>30</v>
      </c>
      <c r="D1156" s="76" t="s">
        <v>5063</v>
      </c>
      <c r="E1156" s="76" t="s">
        <v>1714</v>
      </c>
      <c r="H1156" s="3250"/>
      <c r="I1156" s="5305"/>
      <c r="J1156" s="5306"/>
      <c r="K1156" s="5231" t="s">
        <v>4206</v>
      </c>
      <c r="L1156" s="48" t="s">
        <v>30</v>
      </c>
      <c r="M1156" s="48"/>
      <c r="N1156" s="49"/>
      <c r="O1156" s="49"/>
      <c r="P1156" s="49"/>
      <c r="Q1156" s="49"/>
      <c r="R1156" s="22"/>
      <c r="S1156" s="22"/>
      <c r="T1156" s="49"/>
      <c r="U1156" s="1357"/>
      <c r="V1156" s="1922"/>
      <c r="W1156"/>
    </row>
    <row r="1157" spans="1:23" ht="27" customHeight="1" thickBot="1">
      <c r="A1157" s="76" t="s">
        <v>25</v>
      </c>
      <c r="B1157" s="1300">
        <v>45495</v>
      </c>
      <c r="C1157" s="187">
        <f t="shared" si="20"/>
        <v>30</v>
      </c>
      <c r="D1157" s="149" t="s">
        <v>43</v>
      </c>
      <c r="E1157" s="149" t="s">
        <v>5064</v>
      </c>
      <c r="H1157" s="3250">
        <v>701</v>
      </c>
      <c r="I1157" s="2007"/>
      <c r="J1157" s="1525"/>
      <c r="K1157" s="1058" t="s">
        <v>4804</v>
      </c>
      <c r="L1157" s="48" t="s">
        <v>30</v>
      </c>
      <c r="M1157" s="48"/>
      <c r="N1157" s="49"/>
      <c r="O1157" s="49"/>
      <c r="P1157" s="49"/>
      <c r="Q1157" s="49"/>
      <c r="R1157" s="49"/>
      <c r="S1157" s="22"/>
      <c r="T1157" s="49"/>
      <c r="U1157" s="1357"/>
      <c r="V1157" s="1922"/>
      <c r="W1157"/>
    </row>
    <row r="1158" spans="1:23" ht="27" customHeight="1" thickBot="1">
      <c r="A1158" s="76" t="s">
        <v>25</v>
      </c>
      <c r="B1158" s="1300">
        <v>45495</v>
      </c>
      <c r="C1158" s="187">
        <f t="shared" si="20"/>
        <v>30</v>
      </c>
      <c r="D1158" s="76" t="s">
        <v>169</v>
      </c>
      <c r="E1158" s="76" t="s">
        <v>1571</v>
      </c>
      <c r="H1158" s="2016"/>
      <c r="I1158" s="5207"/>
      <c r="J1158" s="5207"/>
      <c r="K1158" s="5227" t="s">
        <v>174</v>
      </c>
      <c r="L1158" s="48" t="s">
        <v>30</v>
      </c>
      <c r="M1158" s="174"/>
      <c r="N1158" s="51"/>
      <c r="O1158" s="51"/>
      <c r="P1158" s="51"/>
      <c r="Q1158" s="49"/>
      <c r="R1158" s="49"/>
      <c r="S1158" s="22"/>
      <c r="T1158" s="49"/>
      <c r="U1158" s="1357"/>
      <c r="V1158" s="1922"/>
      <c r="W1158"/>
    </row>
    <row r="1159" spans="1:23" ht="158.25" customHeight="1" thickBot="1">
      <c r="A1159" s="76" t="s">
        <v>25</v>
      </c>
      <c r="B1159" s="1300">
        <v>45495</v>
      </c>
      <c r="C1159" s="187">
        <f t="shared" si="20"/>
        <v>30</v>
      </c>
      <c r="D1159" s="76" t="s">
        <v>169</v>
      </c>
      <c r="E1159" s="76" t="s">
        <v>1698</v>
      </c>
      <c r="H1159" s="49"/>
      <c r="I1159" s="49"/>
      <c r="J1159" s="49"/>
      <c r="K1159"/>
      <c r="L1159" s="199"/>
      <c r="M1159" s="1357" t="s">
        <v>37</v>
      </c>
      <c r="N1159" s="21" t="s">
        <v>71</v>
      </c>
      <c r="O1159" s="21" t="s">
        <v>2989</v>
      </c>
      <c r="P1159" s="21" t="s">
        <v>4080</v>
      </c>
      <c r="Q1159" s="1916">
        <v>1</v>
      </c>
      <c r="R1159" s="49"/>
      <c r="S1159" s="22"/>
      <c r="T1159" s="49"/>
      <c r="U1159" s="1909" t="s">
        <v>5065</v>
      </c>
      <c r="V1159" s="3064"/>
      <c r="W1159"/>
    </row>
    <row r="1160" spans="1:23" ht="27" customHeight="1" thickBot="1">
      <c r="A1160" s="710" t="s">
        <v>25</v>
      </c>
      <c r="B1160" s="1312">
        <v>45495</v>
      </c>
      <c r="C1160" s="187">
        <f t="shared" si="20"/>
        <v>30</v>
      </c>
      <c r="D1160" s="710" t="s">
        <v>1698</v>
      </c>
      <c r="E1160" s="710" t="s">
        <v>1011</v>
      </c>
      <c r="H1160" s="57"/>
      <c r="I1160" s="57"/>
      <c r="J1160" s="57"/>
      <c r="K1160"/>
      <c r="L1160" s="178" t="s">
        <v>30</v>
      </c>
      <c r="M1160" s="1929"/>
      <c r="N1160" s="181"/>
      <c r="O1160" s="181"/>
      <c r="P1160" s="181"/>
      <c r="Q1160" s="57"/>
      <c r="R1160" s="57"/>
      <c r="S1160" s="88"/>
      <c r="T1160" s="57"/>
      <c r="U1160" s="1907"/>
      <c r="V1160" s="1922"/>
      <c r="W1160"/>
    </row>
    <row r="1161" spans="1:23" ht="27" customHeight="1" thickBot="1">
      <c r="A1161" s="162" t="s">
        <v>67</v>
      </c>
      <c r="B1161" s="1301">
        <v>45496</v>
      </c>
      <c r="C1161" s="187">
        <f t="shared" si="20"/>
        <v>30</v>
      </c>
      <c r="D1161" s="107" t="s">
        <v>339</v>
      </c>
      <c r="E1161" s="107" t="s">
        <v>1698</v>
      </c>
      <c r="H1161" s="111"/>
      <c r="I1161" s="111"/>
      <c r="J1161" s="111"/>
      <c r="K1161"/>
      <c r="L1161" s="175" t="s">
        <v>30</v>
      </c>
      <c r="M1161" s="175"/>
      <c r="N1161" s="111"/>
      <c r="O1161" s="111"/>
      <c r="P1161" s="111"/>
      <c r="R1161" s="1901">
        <v>1</v>
      </c>
      <c r="S1161" s="182"/>
      <c r="T1161" s="111"/>
      <c r="U1161" s="1891"/>
      <c r="V1161" s="1922"/>
      <c r="W1161"/>
    </row>
    <row r="1162" spans="1:23" ht="27" customHeight="1" thickBot="1">
      <c r="A1162" s="76" t="s">
        <v>67</v>
      </c>
      <c r="B1162" s="1300">
        <v>45496</v>
      </c>
      <c r="C1162" s="187">
        <f t="shared" si="20"/>
        <v>30</v>
      </c>
      <c r="D1162" s="134" t="s">
        <v>182</v>
      </c>
      <c r="E1162" s="134" t="s">
        <v>5066</v>
      </c>
      <c r="H1162" s="2016"/>
      <c r="I1162" s="5213"/>
      <c r="J1162" s="5206"/>
      <c r="K1162" s="5246" t="s">
        <v>3346</v>
      </c>
      <c r="L1162" s="175"/>
      <c r="M1162" s="189"/>
      <c r="N1162" s="51"/>
      <c r="O1162" s="51"/>
      <c r="P1162" s="51"/>
      <c r="Q1162" s="51"/>
      <c r="R1162" s="51"/>
      <c r="S1162" s="22"/>
      <c r="T1162" s="49"/>
      <c r="U1162" s="1891"/>
      <c r="V1162" s="1922"/>
      <c r="W1162"/>
    </row>
    <row r="1163" spans="1:23" ht="27" customHeight="1" thickBot="1">
      <c r="A1163" s="76" t="s">
        <v>67</v>
      </c>
      <c r="B1163" s="1300">
        <v>45496</v>
      </c>
      <c r="C1163" s="187">
        <f t="shared" si="20"/>
        <v>30</v>
      </c>
      <c r="D1163" s="81" t="s">
        <v>1698</v>
      </c>
      <c r="E1163" s="81" t="s">
        <v>4193</v>
      </c>
      <c r="H1163" s="49"/>
      <c r="I1163" s="49"/>
      <c r="J1163" s="49"/>
      <c r="K1163"/>
      <c r="L1163" s="199" t="s">
        <v>30</v>
      </c>
      <c r="M1163" s="48"/>
      <c r="N1163" s="49"/>
      <c r="O1163" s="49"/>
      <c r="P1163" s="49"/>
      <c r="Q1163" s="49"/>
      <c r="R1163" s="22"/>
      <c r="S1163" s="1912"/>
      <c r="T1163" s="49"/>
      <c r="U1163" s="1357"/>
      <c r="V1163" s="1922"/>
      <c r="W1163"/>
    </row>
    <row r="1164" spans="1:23" ht="53.25" customHeight="1" thickBot="1">
      <c r="A1164" s="76" t="s">
        <v>67</v>
      </c>
      <c r="B1164" s="1300">
        <v>45496</v>
      </c>
      <c r="C1164" s="187">
        <f t="shared" si="20"/>
        <v>30</v>
      </c>
      <c r="D1164" s="81" t="s">
        <v>3922</v>
      </c>
      <c r="E1164" s="81" t="s">
        <v>2461</v>
      </c>
      <c r="H1164" s="49"/>
      <c r="I1164" s="49"/>
      <c r="J1164" s="49"/>
      <c r="K1164"/>
      <c r="L1164" s="199"/>
      <c r="M1164" s="1357" t="s">
        <v>37</v>
      </c>
      <c r="N1164" s="21" t="s">
        <v>0</v>
      </c>
      <c r="O1164" s="21" t="s">
        <v>110</v>
      </c>
      <c r="P1164" s="21" t="s">
        <v>4082</v>
      </c>
      <c r="Q1164" s="1902">
        <v>2</v>
      </c>
      <c r="R1164" s="49"/>
      <c r="S1164" s="1912"/>
      <c r="T1164" s="49"/>
      <c r="U1164" s="1357" t="s">
        <v>5067</v>
      </c>
      <c r="V1164" s="1922"/>
      <c r="W1164"/>
    </row>
    <row r="1165" spans="1:23" ht="237" customHeight="1" thickBot="1">
      <c r="A1165" s="76" t="s">
        <v>67</v>
      </c>
      <c r="B1165" s="1300">
        <v>45496</v>
      </c>
      <c r="C1165" s="187">
        <f t="shared" si="20"/>
        <v>30</v>
      </c>
      <c r="D1165" s="105" t="s">
        <v>1698</v>
      </c>
      <c r="E1165" s="105" t="s">
        <v>4254</v>
      </c>
      <c r="H1165" s="226"/>
      <c r="I1165" s="226"/>
      <c r="J1165" s="226"/>
      <c r="K1165" s="2015"/>
      <c r="L1165" s="1930"/>
      <c r="M1165" s="1357" t="s">
        <v>37</v>
      </c>
      <c r="N1165" s="21" t="s">
        <v>109</v>
      </c>
      <c r="O1165" s="21" t="s">
        <v>1109</v>
      </c>
      <c r="P1165" s="21" t="s">
        <v>4080</v>
      </c>
      <c r="Q1165" s="1913">
        <v>3</v>
      </c>
      <c r="R1165" s="49"/>
      <c r="S1165" s="1912"/>
      <c r="T1165" s="49"/>
      <c r="U1165" s="1909" t="s">
        <v>5068</v>
      </c>
      <c r="V1165" s="3064"/>
      <c r="W1165"/>
    </row>
    <row r="1166" spans="1:23" ht="27" customHeight="1" thickBot="1">
      <c r="A1166" s="76" t="s">
        <v>67</v>
      </c>
      <c r="B1166" s="1300">
        <v>45496</v>
      </c>
      <c r="C1166" s="187">
        <f t="shared" si="20"/>
        <v>30</v>
      </c>
      <c r="D1166" s="149" t="s">
        <v>1658</v>
      </c>
      <c r="E1166" s="149" t="s">
        <v>5069</v>
      </c>
      <c r="H1166" s="3250">
        <v>701</v>
      </c>
      <c r="I1166" s="2006"/>
      <c r="J1166" s="1520"/>
      <c r="K1166" s="1058" t="s">
        <v>4804</v>
      </c>
      <c r="L1166" s="48" t="s">
        <v>30</v>
      </c>
      <c r="M1166" s="189"/>
      <c r="N1166" s="190"/>
      <c r="O1166" s="190"/>
      <c r="P1166" s="190"/>
      <c r="R1166" s="190"/>
      <c r="S1166" s="52"/>
      <c r="T1166" s="49"/>
      <c r="U1166" s="1357"/>
      <c r="V1166" s="1922"/>
      <c r="W1166"/>
    </row>
    <row r="1167" spans="1:23" ht="53.25" customHeight="1" thickBot="1">
      <c r="A1167" s="76" t="s">
        <v>67</v>
      </c>
      <c r="B1167" s="1300">
        <v>45496</v>
      </c>
      <c r="C1167" s="187">
        <f t="shared" si="20"/>
        <v>30</v>
      </c>
      <c r="D1167" s="76" t="s">
        <v>1698</v>
      </c>
      <c r="E1167" s="76" t="s">
        <v>4254</v>
      </c>
      <c r="H1167" s="49"/>
      <c r="I1167" s="49"/>
      <c r="J1167" s="49"/>
      <c r="K1167"/>
      <c r="L1167" s="199"/>
      <c r="M1167" s="1357" t="s">
        <v>37</v>
      </c>
      <c r="N1167" s="21" t="s">
        <v>231</v>
      </c>
      <c r="O1167" s="21" t="s">
        <v>4673</v>
      </c>
      <c r="P1167" s="21" t="s">
        <v>4080</v>
      </c>
      <c r="Q1167" s="226"/>
      <c r="R1167" s="226"/>
      <c r="S1167" s="22"/>
      <c r="T1167" s="213"/>
      <c r="U1167" s="1904" t="s">
        <v>5070</v>
      </c>
      <c r="V1167" s="3065"/>
      <c r="W1167"/>
    </row>
    <row r="1168" spans="1:23" ht="53.25" customHeight="1" thickBot="1">
      <c r="A1168" s="118" t="s">
        <v>67</v>
      </c>
      <c r="B1168" s="1390">
        <v>45496</v>
      </c>
      <c r="C1168" s="187">
        <f t="shared" si="20"/>
        <v>30</v>
      </c>
      <c r="D1168" s="1914" t="s">
        <v>1698</v>
      </c>
      <c r="E1168" s="1914" t="s">
        <v>2384</v>
      </c>
      <c r="H1168" s="51"/>
      <c r="I1168" s="49"/>
      <c r="J1168" s="49"/>
      <c r="K1168"/>
      <c r="L1168" s="174"/>
      <c r="M1168" s="189" t="s">
        <v>30</v>
      </c>
      <c r="N1168" s="20" t="s">
        <v>0</v>
      </c>
      <c r="O1168" s="20" t="s">
        <v>126</v>
      </c>
      <c r="P1168" s="20" t="s">
        <v>4082</v>
      </c>
      <c r="Q1168" s="1915">
        <v>4</v>
      </c>
      <c r="R1168" s="190"/>
      <c r="S1168" s="313"/>
      <c r="T1168" s="51"/>
      <c r="U1168" s="1921" t="s">
        <v>5071</v>
      </c>
      <c r="V1168" s="1922"/>
      <c r="W1168"/>
    </row>
    <row r="1169" spans="1:23" ht="27" customHeight="1" thickBot="1">
      <c r="A1169" s="710" t="s">
        <v>67</v>
      </c>
      <c r="B1169" s="1312">
        <v>45496</v>
      </c>
      <c r="C1169" s="187">
        <f t="shared" si="20"/>
        <v>30</v>
      </c>
      <c r="D1169" s="1895" t="s">
        <v>4419</v>
      </c>
      <c r="E1169" s="1895" t="s">
        <v>5072</v>
      </c>
      <c r="H1169" s="5209"/>
      <c r="I1169" s="5211"/>
      <c r="J1169" s="5206"/>
      <c r="K1169" s="484" t="s">
        <v>29</v>
      </c>
      <c r="L1169" s="178" t="s">
        <v>30</v>
      </c>
      <c r="M1169" s="178"/>
      <c r="N1169" s="57"/>
      <c r="O1169" s="57"/>
      <c r="P1169" s="57"/>
      <c r="Q1169" s="356"/>
      <c r="R1169" s="57"/>
      <c r="S1169" s="88"/>
      <c r="T1169" s="57"/>
      <c r="U1169" s="1907"/>
      <c r="V1169" s="1922"/>
      <c r="W1169"/>
    </row>
    <row r="1170" spans="1:23" ht="27" customHeight="1" thickBot="1">
      <c r="A1170" s="162" t="s">
        <v>85</v>
      </c>
      <c r="B1170" s="1301">
        <v>45497</v>
      </c>
      <c r="C1170" s="187">
        <f t="shared" si="20"/>
        <v>30</v>
      </c>
      <c r="D1170" s="1896" t="s">
        <v>5073</v>
      </c>
      <c r="E1170" s="1896" t="s">
        <v>2779</v>
      </c>
      <c r="H1170" s="5206"/>
      <c r="I1170" s="5207"/>
      <c r="J1170" s="5207"/>
      <c r="K1170" s="484" t="s">
        <v>29</v>
      </c>
      <c r="L1170" s="175" t="s">
        <v>30</v>
      </c>
      <c r="M1170" s="175"/>
      <c r="N1170" s="111"/>
      <c r="O1170" s="111"/>
      <c r="P1170" s="190"/>
      <c r="Q1170" s="190"/>
      <c r="R1170" s="190"/>
      <c r="S1170" s="313"/>
      <c r="T1170" s="111"/>
      <c r="U1170" s="1891"/>
      <c r="V1170" s="1922"/>
      <c r="W1170"/>
    </row>
    <row r="1171" spans="1:23" ht="27" customHeight="1" thickBot="1">
      <c r="A1171" s="76" t="s">
        <v>85</v>
      </c>
      <c r="B1171" s="1300">
        <v>45497</v>
      </c>
      <c r="C1171" s="187">
        <f t="shared" si="20"/>
        <v>30</v>
      </c>
      <c r="D1171" s="851" t="s">
        <v>264</v>
      </c>
      <c r="E1171" s="851" t="s">
        <v>5074</v>
      </c>
      <c r="H1171" s="1443"/>
      <c r="K1171" s="484" t="s">
        <v>29</v>
      </c>
      <c r="L1171" s="175" t="s">
        <v>30</v>
      </c>
      <c r="M1171" s="175"/>
      <c r="N1171" s="49"/>
      <c r="O1171" s="211"/>
      <c r="P1171" s="49"/>
      <c r="Q1171" s="49"/>
      <c r="R1171" s="49"/>
      <c r="S1171" s="49"/>
      <c r="T1171" s="49"/>
      <c r="U1171" s="1891"/>
      <c r="V1171" s="1922"/>
      <c r="W1171"/>
    </row>
    <row r="1172" spans="1:23" ht="27" customHeight="1" thickBot="1">
      <c r="A1172" s="76" t="s">
        <v>85</v>
      </c>
      <c r="B1172" s="1300">
        <v>45497</v>
      </c>
      <c r="C1172" s="187">
        <f t="shared" si="20"/>
        <v>30</v>
      </c>
      <c r="D1172" s="134" t="s">
        <v>5073</v>
      </c>
      <c r="E1172" s="134" t="s">
        <v>488</v>
      </c>
      <c r="H1172" s="2016"/>
      <c r="I1172" s="5213"/>
      <c r="J1172" s="5206"/>
      <c r="K1172" s="5246" t="s">
        <v>3346</v>
      </c>
      <c r="L1172" s="175" t="s">
        <v>30</v>
      </c>
      <c r="M1172" s="48"/>
      <c r="N1172" s="49"/>
      <c r="O1172" s="49"/>
      <c r="P1172" s="49"/>
      <c r="Q1172" s="49"/>
      <c r="R1172" s="49"/>
      <c r="S1172" s="22"/>
      <c r="T1172" s="49"/>
      <c r="U1172" s="76" t="s">
        <v>5075</v>
      </c>
      <c r="V1172" s="3066"/>
      <c r="W1172"/>
    </row>
    <row r="1173" spans="1:23" ht="53.25" customHeight="1" thickBot="1">
      <c r="A1173" s="76" t="s">
        <v>85</v>
      </c>
      <c r="B1173" s="1300">
        <v>45497</v>
      </c>
      <c r="C1173" s="187">
        <f t="shared" si="20"/>
        <v>30</v>
      </c>
      <c r="D1173" s="125" t="s">
        <v>442</v>
      </c>
      <c r="E1173" s="125" t="s">
        <v>5076</v>
      </c>
      <c r="H1173" s="1443"/>
      <c r="I1173" s="49"/>
      <c r="J1173" s="49"/>
      <c r="K1173" s="484" t="s">
        <v>29</v>
      </c>
      <c r="L1173" s="199"/>
      <c r="M1173" s="48" t="s">
        <v>37</v>
      </c>
      <c r="N1173" s="590" t="s">
        <v>231</v>
      </c>
      <c r="O1173" s="21" t="s">
        <v>231</v>
      </c>
      <c r="P1173" s="21" t="s">
        <v>4082</v>
      </c>
      <c r="Q1173" s="1917">
        <v>4</v>
      </c>
      <c r="R1173" s="111"/>
      <c r="S1173" s="22"/>
      <c r="T1173" s="49"/>
      <c r="U1173" s="1921"/>
      <c r="V1173" s="1922"/>
      <c r="W1173"/>
    </row>
    <row r="1174" spans="1:23" ht="53.25" customHeight="1" thickBot="1">
      <c r="A1174" s="76" t="s">
        <v>85</v>
      </c>
      <c r="B1174" s="1300">
        <v>45497</v>
      </c>
      <c r="C1174" s="187">
        <f t="shared" si="20"/>
        <v>30</v>
      </c>
      <c r="D1174" s="73" t="s">
        <v>4609</v>
      </c>
      <c r="E1174" s="73" t="s">
        <v>3495</v>
      </c>
      <c r="H1174" s="1661"/>
      <c r="I1174" s="5207"/>
      <c r="J1174" s="5207"/>
      <c r="K1174" s="2005"/>
      <c r="L1174" s="199"/>
      <c r="M1174" s="48" t="s">
        <v>30</v>
      </c>
      <c r="N1174" s="21" t="s">
        <v>109</v>
      </c>
      <c r="O1174" s="21" t="s">
        <v>110</v>
      </c>
      <c r="P1174" s="21" t="s">
        <v>4102</v>
      </c>
      <c r="Q1174" s="1918"/>
      <c r="R1174" s="659"/>
      <c r="S1174" s="22"/>
      <c r="T1174" s="49"/>
      <c r="U1174" s="1357" t="s">
        <v>5077</v>
      </c>
      <c r="V1174" s="1922"/>
      <c r="W1174"/>
    </row>
    <row r="1175" spans="1:23" ht="79.5" customHeight="1" thickBot="1">
      <c r="A1175" s="76" t="s">
        <v>85</v>
      </c>
      <c r="B1175" s="1300">
        <v>45497</v>
      </c>
      <c r="C1175" s="187">
        <f t="shared" si="20"/>
        <v>30</v>
      </c>
      <c r="D1175" s="73" t="s">
        <v>98</v>
      </c>
      <c r="E1175" s="73" t="s">
        <v>463</v>
      </c>
      <c r="H1175" s="2016"/>
      <c r="I1175" s="5202"/>
      <c r="J1175" s="2016"/>
      <c r="K1175" s="484" t="s">
        <v>29</v>
      </c>
      <c r="L1175" s="199"/>
      <c r="M1175" s="48" t="s">
        <v>30</v>
      </c>
      <c r="N1175" s="21" t="s">
        <v>109</v>
      </c>
      <c r="O1175" s="21" t="s">
        <v>1109</v>
      </c>
      <c r="P1175" s="21" t="s">
        <v>4102</v>
      </c>
      <c r="Q1175" s="1928">
        <v>5</v>
      </c>
      <c r="R1175" s="52"/>
      <c r="S1175" s="1912"/>
      <c r="T1175" s="49"/>
      <c r="U1175" s="1933" t="s">
        <v>5078</v>
      </c>
      <c r="V1175" s="3065"/>
      <c r="W1175"/>
    </row>
    <row r="1176" spans="1:23" ht="27" customHeight="1" thickBot="1">
      <c r="A1176" s="76" t="s">
        <v>85</v>
      </c>
      <c r="B1176" s="1300">
        <v>45497</v>
      </c>
      <c r="C1176" s="187">
        <f t="shared" si="20"/>
        <v>30</v>
      </c>
      <c r="D1176" s="722" t="s">
        <v>4635</v>
      </c>
      <c r="E1176" s="722" t="s">
        <v>3983</v>
      </c>
      <c r="H1176" s="49"/>
      <c r="I1176" s="49"/>
      <c r="J1176" s="49"/>
      <c r="K1176"/>
      <c r="L1176" s="1919" t="s">
        <v>30</v>
      </c>
      <c r="M1176" s="175"/>
      <c r="N1176" s="111"/>
      <c r="O1176" s="111"/>
      <c r="P1176" s="111"/>
      <c r="R1176" s="22"/>
      <c r="S1176" s="1912"/>
      <c r="T1176" s="49"/>
      <c r="U1176" s="1904"/>
      <c r="V1176" s="3065"/>
      <c r="W1176"/>
    </row>
    <row r="1177" spans="1:23" ht="27" customHeight="1" thickBot="1">
      <c r="A1177" s="76" t="s">
        <v>85</v>
      </c>
      <c r="B1177" s="1300">
        <v>45497</v>
      </c>
      <c r="C1177" s="187">
        <f t="shared" ref="C1177:C1199" si="21">_xlfn.ISOWEEKNUM(B1177)</f>
        <v>30</v>
      </c>
      <c r="D1177" s="1897" t="s">
        <v>43</v>
      </c>
      <c r="E1177" s="1897" t="s">
        <v>584</v>
      </c>
      <c r="H1177" s="49"/>
      <c r="I1177" s="49"/>
      <c r="J1177" s="49"/>
      <c r="K1177"/>
      <c r="L1177" s="48" t="s">
        <v>30</v>
      </c>
      <c r="M1177" s="48"/>
      <c r="N1177" s="49"/>
      <c r="O1177" s="49"/>
      <c r="P1177" s="49"/>
      <c r="Q1177" s="49"/>
      <c r="R1177" s="111"/>
      <c r="S1177" s="22"/>
      <c r="T1177" s="49"/>
      <c r="U1177" s="1357"/>
      <c r="V1177" s="1922"/>
      <c r="W1177"/>
    </row>
    <row r="1178" spans="1:23" ht="27" customHeight="1" thickBot="1">
      <c r="A1178" s="76" t="s">
        <v>85</v>
      </c>
      <c r="B1178" s="1300">
        <v>45497</v>
      </c>
      <c r="C1178" s="187">
        <f t="shared" si="21"/>
        <v>30</v>
      </c>
      <c r="D1178" s="1897" t="s">
        <v>1219</v>
      </c>
      <c r="E1178" s="1897" t="s">
        <v>830</v>
      </c>
      <c r="H1178" s="3250"/>
      <c r="I1178" s="5252"/>
      <c r="J1178" s="5242"/>
      <c r="K1178" s="5231" t="s">
        <v>4206</v>
      </c>
      <c r="L1178" s="48" t="s">
        <v>30</v>
      </c>
      <c r="M1178" s="48"/>
      <c r="N1178" s="49"/>
      <c r="O1178" s="49"/>
      <c r="P1178" s="49"/>
      <c r="Q1178" s="49"/>
      <c r="R1178" s="49"/>
      <c r="S1178" s="22"/>
      <c r="T1178" s="49"/>
      <c r="U1178" s="1357"/>
      <c r="V1178" s="1922"/>
      <c r="W1178"/>
    </row>
    <row r="1179" spans="1:23" ht="53.25" customHeight="1" thickBot="1">
      <c r="A1179" s="76" t="s">
        <v>85</v>
      </c>
      <c r="B1179" s="1300">
        <v>45497</v>
      </c>
      <c r="C1179" s="187">
        <f t="shared" si="21"/>
        <v>30</v>
      </c>
      <c r="D1179" s="76" t="s">
        <v>1239</v>
      </c>
      <c r="E1179" s="76" t="s">
        <v>5028</v>
      </c>
      <c r="H1179" s="49"/>
      <c r="I1179" s="49"/>
      <c r="J1179" s="49"/>
      <c r="K1179"/>
      <c r="L1179" s="48" t="s">
        <v>30</v>
      </c>
      <c r="M1179" s="48"/>
      <c r="N1179" s="49"/>
      <c r="O1179" s="49"/>
      <c r="P1179" s="49"/>
      <c r="Q1179" s="49"/>
      <c r="R1179" s="49"/>
      <c r="S1179" s="22"/>
      <c r="T1179" s="49"/>
      <c r="U1179" s="1904" t="s">
        <v>5079</v>
      </c>
      <c r="V1179" s="3065"/>
      <c r="W1179"/>
    </row>
    <row r="1180" spans="1:23" ht="53.25" customHeight="1" thickBot="1">
      <c r="A1180" s="76" t="s">
        <v>85</v>
      </c>
      <c r="B1180" s="1300">
        <v>45497</v>
      </c>
      <c r="C1180" s="187">
        <f t="shared" si="21"/>
        <v>30</v>
      </c>
      <c r="D1180" s="76" t="s">
        <v>1698</v>
      </c>
      <c r="E1180" s="76" t="s">
        <v>4254</v>
      </c>
      <c r="H1180" s="57"/>
      <c r="I1180" s="57"/>
      <c r="J1180" s="57"/>
      <c r="K1180"/>
      <c r="L1180" s="178"/>
      <c r="M1180" s="1907" t="s">
        <v>37</v>
      </c>
      <c r="N1180" s="21" t="s">
        <v>0</v>
      </c>
      <c r="O1180" s="21" t="s">
        <v>31</v>
      </c>
      <c r="P1180" s="21" t="s">
        <v>4082</v>
      </c>
      <c r="Q1180" s="57"/>
      <c r="R1180" s="57"/>
      <c r="S1180" s="88"/>
      <c r="T1180" s="57"/>
      <c r="U1180" s="1923" t="s">
        <v>5080</v>
      </c>
      <c r="V1180" s="3065"/>
      <c r="W1180"/>
    </row>
    <row r="1181" spans="1:23" ht="27" customHeight="1" thickBot="1">
      <c r="A1181" s="710" t="s">
        <v>85</v>
      </c>
      <c r="B1181" s="1312">
        <v>45497</v>
      </c>
      <c r="C1181" s="187">
        <f t="shared" si="21"/>
        <v>30</v>
      </c>
      <c r="D1181" s="710" t="s">
        <v>442</v>
      </c>
      <c r="E1181" s="710" t="s">
        <v>392</v>
      </c>
      <c r="H1181" s="5206"/>
      <c r="I1181" s="5213"/>
      <c r="J1181" s="5206"/>
      <c r="K1181" s="484" t="s">
        <v>29</v>
      </c>
      <c r="L1181" s="1931"/>
      <c r="M1181" s="1931"/>
      <c r="N1181" s="111"/>
      <c r="O1181" s="111"/>
      <c r="P1181" s="111"/>
      <c r="Q1181" s="1906">
        <v>3</v>
      </c>
      <c r="R1181" s="1906">
        <v>3</v>
      </c>
      <c r="S1181" s="182"/>
      <c r="T1181" s="111"/>
      <c r="U1181" s="162" t="s">
        <v>5075</v>
      </c>
      <c r="V1181" s="3066"/>
      <c r="W1181"/>
    </row>
    <row r="1182" spans="1:23" ht="27" thickBot="1">
      <c r="A1182" s="76" t="s">
        <v>105</v>
      </c>
      <c r="B1182" s="1301">
        <v>45498</v>
      </c>
      <c r="C1182" s="187">
        <f t="shared" si="21"/>
        <v>30</v>
      </c>
      <c r="D1182" s="73" t="s">
        <v>204</v>
      </c>
      <c r="E1182" s="73" t="s">
        <v>4558</v>
      </c>
      <c r="H1182" s="5193">
        <v>706</v>
      </c>
      <c r="I1182" s="1908"/>
      <c r="J1182" s="1443"/>
      <c r="K1182" s="2005"/>
      <c r="L1182" s="48" t="s">
        <v>30</v>
      </c>
      <c r="M1182" s="48"/>
      <c r="N1182" s="20"/>
      <c r="O1182" s="20"/>
      <c r="P1182" s="20"/>
      <c r="Q1182" s="1910"/>
      <c r="R1182" s="1903">
        <v>5</v>
      </c>
      <c r="S1182" s="22"/>
      <c r="T1182" s="49"/>
      <c r="U1182" s="1904"/>
      <c r="V1182" s="3065"/>
      <c r="W1182"/>
    </row>
    <row r="1183" spans="1:23" ht="27" customHeight="1" thickBot="1">
      <c r="A1183" s="162" t="s">
        <v>105</v>
      </c>
      <c r="B1183" s="1301">
        <v>45498</v>
      </c>
      <c r="C1183" s="187">
        <f t="shared" si="21"/>
        <v>30</v>
      </c>
      <c r="D1183" s="122" t="s">
        <v>5081</v>
      </c>
      <c r="E1183" s="122" t="s">
        <v>5082</v>
      </c>
      <c r="H1183" s="49"/>
      <c r="I1183" s="49"/>
      <c r="J1183" s="49"/>
      <c r="K1183"/>
      <c r="L1183" s="1932"/>
      <c r="M1183" s="1932"/>
      <c r="N1183" s="49"/>
      <c r="O1183" s="49"/>
      <c r="P1183" s="49"/>
      <c r="Q1183" s="48"/>
      <c r="R1183" s="57"/>
      <c r="S1183" s="22"/>
      <c r="T1183" s="49"/>
      <c r="U1183" s="1357" t="s">
        <v>5083</v>
      </c>
      <c r="V1183" s="1922"/>
      <c r="W1183"/>
    </row>
    <row r="1184" spans="1:23" ht="27" customHeight="1" thickBot="1">
      <c r="A1184" s="76" t="s">
        <v>105</v>
      </c>
      <c r="B1184" s="1300">
        <v>45498</v>
      </c>
      <c r="C1184" s="187">
        <f t="shared" si="21"/>
        <v>30</v>
      </c>
      <c r="D1184" s="76" t="s">
        <v>1698</v>
      </c>
      <c r="E1184" s="76" t="s">
        <v>4253</v>
      </c>
      <c r="H1184" s="49"/>
      <c r="I1184" s="49"/>
      <c r="J1184" s="49"/>
      <c r="K1184"/>
      <c r="L1184" s="48" t="s">
        <v>30</v>
      </c>
      <c r="M1184" s="48"/>
      <c r="N1184" s="49"/>
      <c r="O1184" s="49"/>
      <c r="P1184" s="49"/>
      <c r="Q1184" s="1900"/>
      <c r="R1184" s="1900"/>
      <c r="S1184" s="22"/>
      <c r="T1184" s="49"/>
      <c r="U1184" s="1904" t="s">
        <v>5084</v>
      </c>
      <c r="V1184" s="3065"/>
      <c r="W1184"/>
    </row>
    <row r="1185" spans="1:23" ht="53.25" customHeight="1" thickBot="1">
      <c r="A1185" s="76" t="s">
        <v>105</v>
      </c>
      <c r="B1185" s="1300">
        <v>45498</v>
      </c>
      <c r="C1185" s="187">
        <f t="shared" si="21"/>
        <v>30</v>
      </c>
      <c r="D1185" s="81" t="s">
        <v>3922</v>
      </c>
      <c r="E1185" s="81" t="s">
        <v>2461</v>
      </c>
      <c r="H1185" s="49"/>
      <c r="I1185" s="49"/>
      <c r="J1185" s="49"/>
      <c r="K1185"/>
      <c r="L1185" s="48"/>
      <c r="M1185" s="48" t="s">
        <v>30</v>
      </c>
      <c r="N1185" s="590" t="s">
        <v>109</v>
      </c>
      <c r="O1185" s="590" t="s">
        <v>1109</v>
      </c>
      <c r="P1185" s="20" t="s">
        <v>4082</v>
      </c>
      <c r="Q1185" s="1902">
        <v>2</v>
      </c>
      <c r="R1185" s="49"/>
      <c r="S1185" s="22"/>
      <c r="T1185" s="49"/>
      <c r="U1185" s="1357" t="s">
        <v>5085</v>
      </c>
      <c r="V1185" s="1922"/>
      <c r="W1185"/>
    </row>
    <row r="1186" spans="1:23" ht="53.25" customHeight="1" thickBot="1">
      <c r="A1186" s="76" t="s">
        <v>105</v>
      </c>
      <c r="B1186" s="1300">
        <v>45498</v>
      </c>
      <c r="C1186" s="187">
        <f t="shared" si="21"/>
        <v>30</v>
      </c>
      <c r="D1186" s="851" t="s">
        <v>442</v>
      </c>
      <c r="E1186" s="851" t="s">
        <v>5086</v>
      </c>
      <c r="H1186" s="49"/>
      <c r="I1186" s="49"/>
      <c r="J1186" s="49"/>
      <c r="K1186"/>
      <c r="L1186" s="48"/>
      <c r="M1186" s="48" t="s">
        <v>37</v>
      </c>
      <c r="N1186" s="21" t="s">
        <v>109</v>
      </c>
      <c r="O1186" s="21" t="s">
        <v>300</v>
      </c>
      <c r="P1186" s="21" t="s">
        <v>4080</v>
      </c>
      <c r="Q1186" s="49"/>
      <c r="R1186" s="49"/>
      <c r="S1186" s="22"/>
      <c r="T1186" s="49"/>
      <c r="U1186" s="1934" t="s">
        <v>5087</v>
      </c>
      <c r="V1186" s="1934"/>
      <c r="W1186"/>
    </row>
    <row r="1187" spans="1:23" ht="53.25" customHeight="1" thickBot="1">
      <c r="A1187" s="76" t="s">
        <v>105</v>
      </c>
      <c r="B1187" s="1300">
        <v>45498</v>
      </c>
      <c r="C1187" s="187">
        <f t="shared" si="21"/>
        <v>30</v>
      </c>
      <c r="D1187" s="851" t="s">
        <v>5028</v>
      </c>
      <c r="E1187" s="851" t="s">
        <v>5088</v>
      </c>
      <c r="H1187" s="2016"/>
      <c r="I1187" s="5207"/>
      <c r="J1187" s="5207"/>
      <c r="K1187" s="2005"/>
      <c r="L1187" s="48"/>
      <c r="M1187" s="48" t="s">
        <v>30</v>
      </c>
      <c r="N1187" s="590" t="s">
        <v>109</v>
      </c>
      <c r="O1187" s="590" t="s">
        <v>110</v>
      </c>
      <c r="P1187" s="20" t="s">
        <v>4080</v>
      </c>
      <c r="Q1187" s="49"/>
      <c r="R1187" s="49"/>
      <c r="S1187" s="22"/>
      <c r="T1187" s="49"/>
      <c r="U1187" s="1904" t="s">
        <v>5089</v>
      </c>
      <c r="V1187" s="3065"/>
      <c r="W1187"/>
    </row>
    <row r="1188" spans="1:23" ht="27" customHeight="1" thickBot="1">
      <c r="A1188" s="76" t="s">
        <v>105</v>
      </c>
      <c r="B1188" s="1300">
        <v>45498</v>
      </c>
      <c r="C1188" s="187">
        <f t="shared" si="21"/>
        <v>30</v>
      </c>
      <c r="D1188" s="722" t="s">
        <v>3985</v>
      </c>
      <c r="E1188" s="722" t="s">
        <v>5090</v>
      </c>
      <c r="H1188" s="2016"/>
      <c r="I1188" s="5202"/>
      <c r="J1188" s="2016"/>
      <c r="K1188" s="484" t="s">
        <v>29</v>
      </c>
      <c r="L1188" s="48" t="s">
        <v>30</v>
      </c>
      <c r="M1188" s="48"/>
      <c r="N1188" s="49"/>
      <c r="O1188" s="49"/>
      <c r="P1188" s="49"/>
      <c r="Q1188" s="49"/>
      <c r="R1188" s="49"/>
      <c r="S1188" s="22"/>
      <c r="T1188" s="49"/>
      <c r="U1188" s="1357"/>
      <c r="V1188" s="1922"/>
      <c r="W1188"/>
    </row>
    <row r="1189" spans="1:23" ht="53.25" customHeight="1" thickBot="1">
      <c r="A1189" s="76" t="s">
        <v>105</v>
      </c>
      <c r="B1189" s="1300">
        <v>45498</v>
      </c>
      <c r="C1189" s="187">
        <f t="shared" si="21"/>
        <v>30</v>
      </c>
      <c r="D1189" s="895" t="s">
        <v>148</v>
      </c>
      <c r="E1189" s="895" t="s">
        <v>1516</v>
      </c>
      <c r="H1189" s="2016"/>
      <c r="I1189" s="5202"/>
      <c r="J1189" s="2016"/>
      <c r="K1189" s="484" t="s">
        <v>29</v>
      </c>
      <c r="L1189" s="48"/>
      <c r="M1189" s="48" t="s">
        <v>30</v>
      </c>
      <c r="N1189" s="590" t="s">
        <v>122</v>
      </c>
      <c r="O1189" s="590" t="s">
        <v>123</v>
      </c>
      <c r="P1189" s="20" t="s">
        <v>4080</v>
      </c>
      <c r="Q1189" s="49"/>
      <c r="R1189" s="49"/>
      <c r="S1189" s="22"/>
      <c r="T1189" s="49"/>
      <c r="U1189" s="1357" t="s">
        <v>5091</v>
      </c>
      <c r="V1189" s="1922"/>
      <c r="W1189"/>
    </row>
    <row r="1190" spans="1:23" ht="27" customHeight="1" thickBot="1">
      <c r="A1190" s="76" t="s">
        <v>105</v>
      </c>
      <c r="B1190" s="1300">
        <v>45498</v>
      </c>
      <c r="C1190" s="187">
        <f t="shared" si="21"/>
        <v>30</v>
      </c>
      <c r="D1190" s="835" t="s">
        <v>442</v>
      </c>
      <c r="E1190" s="835" t="s">
        <v>659</v>
      </c>
      <c r="H1190" s="57"/>
      <c r="I1190" s="57"/>
      <c r="J1190" s="57"/>
      <c r="K1190"/>
      <c r="L1190" s="178" t="s">
        <v>30</v>
      </c>
      <c r="M1190" s="178"/>
      <c r="N1190" s="57"/>
      <c r="O1190" s="57"/>
      <c r="P1190" s="57"/>
      <c r="Q1190" s="57"/>
      <c r="R1190" s="57"/>
      <c r="S1190" s="88"/>
      <c r="T1190" s="57"/>
      <c r="U1190" s="1907"/>
      <c r="V1190" s="1922"/>
      <c r="W1190"/>
    </row>
    <row r="1191" spans="1:23" ht="27" customHeight="1" thickBot="1">
      <c r="A1191" s="710" t="s">
        <v>105</v>
      </c>
      <c r="B1191" s="1312">
        <v>45498</v>
      </c>
      <c r="C1191" s="187">
        <f t="shared" si="21"/>
        <v>30</v>
      </c>
      <c r="D1191" s="1898" t="s">
        <v>5092</v>
      </c>
      <c r="E1191" s="1898" t="s">
        <v>56</v>
      </c>
      <c r="H1191"/>
      <c r="K1191"/>
      <c r="L1191" s="175" t="s">
        <v>30</v>
      </c>
      <c r="M1191" s="175"/>
      <c r="N1191" s="111"/>
      <c r="O1191" s="111"/>
      <c r="P1191" s="111"/>
      <c r="Q1191" s="111"/>
      <c r="R1191" s="111"/>
      <c r="S1191" s="182"/>
      <c r="T1191" s="111"/>
      <c r="U1191" s="1891"/>
      <c r="V1191" s="1922"/>
      <c r="W1191"/>
    </row>
    <row r="1192" spans="1:23" ht="53.25" customHeight="1" thickBot="1">
      <c r="A1192" s="162" t="s">
        <v>132</v>
      </c>
      <c r="B1192" s="1301">
        <v>45499</v>
      </c>
      <c r="C1192" s="187">
        <f t="shared" si="21"/>
        <v>30</v>
      </c>
      <c r="D1192" s="1911" t="s">
        <v>1516</v>
      </c>
      <c r="E1192" s="1911" t="s">
        <v>514</v>
      </c>
      <c r="H1192" s="5206"/>
      <c r="I1192" s="5207"/>
      <c r="J1192" s="5207"/>
      <c r="K1192" s="484" t="s">
        <v>29</v>
      </c>
      <c r="L1192" s="175"/>
      <c r="M1192" s="175" t="s">
        <v>30</v>
      </c>
      <c r="N1192" s="590" t="s">
        <v>122</v>
      </c>
      <c r="O1192" s="590" t="s">
        <v>123</v>
      </c>
      <c r="P1192" s="20" t="s">
        <v>4108</v>
      </c>
      <c r="Q1192" s="190"/>
      <c r="R1192" s="190"/>
      <c r="S1192" s="182"/>
      <c r="T1192" s="111"/>
      <c r="U1192" s="1891"/>
      <c r="V1192" s="1922"/>
      <c r="W1192"/>
    </row>
    <row r="1193" spans="1:23" ht="27" customHeight="1" thickBot="1">
      <c r="A1193" s="162" t="s">
        <v>132</v>
      </c>
      <c r="B1193" s="1301">
        <v>45499</v>
      </c>
      <c r="C1193" s="187">
        <f t="shared" si="21"/>
        <v>30</v>
      </c>
      <c r="D1193" s="1905" t="s">
        <v>2616</v>
      </c>
      <c r="E1193" s="1905" t="s">
        <v>3548</v>
      </c>
      <c r="H1193" s="2016"/>
      <c r="I1193" s="5213"/>
      <c r="J1193" s="5206"/>
      <c r="K1193" s="484" t="s">
        <v>29</v>
      </c>
      <c r="L1193" s="175" t="s">
        <v>30</v>
      </c>
      <c r="M1193" s="175"/>
      <c r="N1193" s="49"/>
      <c r="O1193" s="49"/>
      <c r="P1193" s="51"/>
      <c r="Q1193" s="51"/>
      <c r="R1193" s="51"/>
      <c r="S1193" s="22"/>
      <c r="T1193" s="49"/>
      <c r="U1193" s="1891"/>
      <c r="V1193" s="1922"/>
      <c r="W1193"/>
    </row>
    <row r="1194" spans="1:23" ht="27" customHeight="1" thickBot="1">
      <c r="A1194" s="76" t="s">
        <v>132</v>
      </c>
      <c r="B1194" s="1356">
        <v>45499</v>
      </c>
      <c r="C1194" s="187">
        <f t="shared" si="21"/>
        <v>30</v>
      </c>
      <c r="D1194" s="72" t="s">
        <v>79</v>
      </c>
      <c r="E1194" s="72" t="s">
        <v>5093</v>
      </c>
      <c r="H1194" s="3250"/>
      <c r="I1194" s="5316"/>
      <c r="J1194" s="5316"/>
      <c r="K1194" s="5231" t="s">
        <v>4206</v>
      </c>
      <c r="L1194" s="175" t="s">
        <v>30</v>
      </c>
      <c r="M1194" s="175"/>
      <c r="N1194" s="49"/>
      <c r="O1194" s="49"/>
      <c r="P1194" s="49"/>
      <c r="Q1194" s="49"/>
      <c r="R1194" s="49"/>
      <c r="S1194" s="22"/>
      <c r="T1194" s="49"/>
      <c r="U1194" s="1891"/>
      <c r="V1194" s="1922"/>
      <c r="W1194"/>
    </row>
    <row r="1195" spans="1:23" ht="27" customHeight="1" thickBot="1">
      <c r="A1195" s="76" t="s">
        <v>132</v>
      </c>
      <c r="B1195" s="1356">
        <v>45499</v>
      </c>
      <c r="C1195" s="187">
        <f t="shared" si="21"/>
        <v>30</v>
      </c>
      <c r="D1195" s="72" t="s">
        <v>5094</v>
      </c>
      <c r="E1195" s="72" t="s">
        <v>2387</v>
      </c>
      <c r="H1195" s="3250"/>
      <c r="I1195" s="5242"/>
      <c r="J1195" s="5242"/>
      <c r="K1195" s="5231" t="s">
        <v>4206</v>
      </c>
      <c r="L1195" s="48" t="s">
        <v>30</v>
      </c>
      <c r="M1195" s="48"/>
      <c r="N1195" s="49"/>
      <c r="O1195" s="49"/>
      <c r="P1195" s="49"/>
      <c r="Q1195" s="111"/>
      <c r="R1195" s="111"/>
      <c r="S1195" s="79" t="s">
        <v>37</v>
      </c>
      <c r="T1195" s="49"/>
      <c r="U1195" s="1357" t="s">
        <v>5095</v>
      </c>
      <c r="V1195" s="1922"/>
      <c r="W1195"/>
    </row>
    <row r="1196" spans="1:23" ht="27" customHeight="1" thickBot="1">
      <c r="A1196" s="76" t="s">
        <v>132</v>
      </c>
      <c r="B1196" s="1356">
        <v>45499</v>
      </c>
      <c r="C1196" s="187">
        <f t="shared" si="21"/>
        <v>30</v>
      </c>
      <c r="D1196" s="835" t="s">
        <v>450</v>
      </c>
      <c r="E1196" s="835" t="s">
        <v>5096</v>
      </c>
      <c r="H1196" s="3250">
        <v>706</v>
      </c>
      <c r="I1196" s="2007"/>
      <c r="J1196" s="1525"/>
      <c r="K1196" s="1058" t="s">
        <v>4804</v>
      </c>
      <c r="L1196" s="174" t="s">
        <v>30</v>
      </c>
      <c r="M1196" s="174"/>
      <c r="N1196" s="49"/>
      <c r="O1196" s="49"/>
      <c r="P1196" s="49"/>
      <c r="Q1196" s="111"/>
      <c r="R1196" s="111"/>
      <c r="S1196" s="22"/>
      <c r="T1196" s="49"/>
      <c r="U1196" s="1921"/>
      <c r="V1196" s="1922"/>
      <c r="W1196"/>
    </row>
    <row r="1197" spans="1:23" ht="27" customHeight="1" thickBot="1">
      <c r="A1197" s="76" t="s">
        <v>132</v>
      </c>
      <c r="B1197" s="1356">
        <v>45499</v>
      </c>
      <c r="C1197" s="187">
        <f t="shared" si="21"/>
        <v>30</v>
      </c>
      <c r="D1197" s="76" t="s">
        <v>599</v>
      </c>
      <c r="E1197" s="76" t="s">
        <v>1239</v>
      </c>
      <c r="H1197" s="49"/>
      <c r="I1197" s="51"/>
      <c r="J1197" s="51"/>
      <c r="K1197"/>
      <c r="L1197" s="174" t="s">
        <v>30</v>
      </c>
      <c r="M1197" s="174"/>
      <c r="N1197" s="49"/>
      <c r="O1197" s="49"/>
      <c r="P1197" s="49"/>
      <c r="Q1197" s="49"/>
      <c r="R1197" s="49"/>
      <c r="S1197" s="22"/>
      <c r="T1197" s="49"/>
      <c r="U1197" s="1922"/>
      <c r="V1197" s="1922"/>
      <c r="W1197"/>
    </row>
    <row r="1198" spans="1:23" ht="27" customHeight="1" thickBot="1">
      <c r="A1198" s="118" t="s">
        <v>132</v>
      </c>
      <c r="B1198" s="1390">
        <v>45499</v>
      </c>
      <c r="C1198" s="187">
        <f t="shared" si="21"/>
        <v>30</v>
      </c>
      <c r="D1198" s="118" t="s">
        <v>442</v>
      </c>
      <c r="E1198" s="118" t="s">
        <v>258</v>
      </c>
      <c r="H1198" s="3269"/>
      <c r="I1198" s="5241"/>
      <c r="J1198" s="5270"/>
      <c r="K1198" s="5231" t="s">
        <v>4206</v>
      </c>
      <c r="L1198" s="174" t="s">
        <v>30</v>
      </c>
      <c r="M1198" s="174"/>
      <c r="N1198" s="51"/>
      <c r="O1198" s="51"/>
      <c r="P1198" s="51"/>
      <c r="Q1198" s="51"/>
      <c r="R1198" s="51" t="s">
        <v>30</v>
      </c>
      <c r="S1198" s="52"/>
      <c r="T1198" s="51"/>
      <c r="U1198" s="1924" t="s">
        <v>5097</v>
      </c>
      <c r="V1198" s="3065"/>
      <c r="W1198"/>
    </row>
    <row r="1199" spans="1:23" ht="27" customHeight="1" thickBot="1">
      <c r="A1199" s="710" t="s">
        <v>132</v>
      </c>
      <c r="B1199" s="1894">
        <v>45499</v>
      </c>
      <c r="C1199" s="187">
        <f t="shared" si="21"/>
        <v>30</v>
      </c>
      <c r="D1199" s="710" t="s">
        <v>169</v>
      </c>
      <c r="E1199" s="710" t="s">
        <v>106</v>
      </c>
      <c r="F1199" s="1926"/>
      <c r="G1199" s="1925"/>
      <c r="H1199" s="1927"/>
      <c r="I1199" s="1926"/>
      <c r="J1199" s="1899"/>
      <c r="K1199" s="1925"/>
      <c r="L1199" s="1920" t="s">
        <v>30</v>
      </c>
      <c r="M1199" s="1920"/>
      <c r="N1199" s="1927"/>
      <c r="O1199" s="1927"/>
      <c r="P1199" s="1927"/>
      <c r="Q1199" s="1927"/>
      <c r="R1199" s="1927"/>
      <c r="S1199" s="1927"/>
      <c r="T1199" s="1927"/>
      <c r="U1199" s="1927"/>
      <c r="V1199" s="3067"/>
      <c r="W1199" s="1926"/>
    </row>
    <row r="1200" spans="1:23" ht="27" customHeight="1">
      <c r="A1200" s="1935" t="s">
        <v>25</v>
      </c>
      <c r="B1200" s="1936">
        <v>45502</v>
      </c>
      <c r="C1200" s="468">
        <f t="shared" ref="C1200:C1225" si="22">_xlfn.ISOWEEKNUM(B1200)</f>
        <v>31</v>
      </c>
      <c r="D1200" s="1943" t="s">
        <v>1254</v>
      </c>
      <c r="E1200" s="1944" t="s">
        <v>304</v>
      </c>
      <c r="H1200" s="49"/>
      <c r="K1200"/>
      <c r="L1200" s="1357" t="s">
        <v>37</v>
      </c>
      <c r="M1200" s="1357"/>
      <c r="N1200" s="1357"/>
      <c r="O1200" s="1357"/>
      <c r="P1200" s="1357"/>
      <c r="Q1200" s="49"/>
      <c r="R1200" s="22"/>
      <c r="S1200" s="22"/>
      <c r="T1200" s="49"/>
      <c r="U1200" s="1357"/>
      <c r="V1200" s="1922"/>
      <c r="W1200"/>
    </row>
    <row r="1201" spans="1:23" ht="27" customHeight="1" thickBot="1">
      <c r="A1201" s="1937" t="s">
        <v>25</v>
      </c>
      <c r="B1201" s="1390">
        <v>45502</v>
      </c>
      <c r="C1201" s="468">
        <f t="shared" si="22"/>
        <v>31</v>
      </c>
      <c r="D1201" s="118" t="s">
        <v>5028</v>
      </c>
      <c r="E1201" s="1945" t="s">
        <v>3034</v>
      </c>
      <c r="H1201" s="49"/>
      <c r="K1201"/>
      <c r="L1201" s="1357" t="s">
        <v>37</v>
      </c>
      <c r="M1201" s="1357"/>
      <c r="N1201" s="1357"/>
      <c r="O1201" s="1357"/>
      <c r="P1201" s="1357"/>
      <c r="Q1201" s="49"/>
      <c r="R1201" s="22"/>
      <c r="S1201" s="22"/>
      <c r="T1201" s="49"/>
      <c r="U1201" s="1357"/>
      <c r="V1201" s="1922"/>
      <c r="W1201"/>
    </row>
    <row r="1202" spans="1:23" ht="105.75" customHeight="1" thickBot="1">
      <c r="A1202" s="1937" t="s">
        <v>25</v>
      </c>
      <c r="B1202" s="1390">
        <v>45502</v>
      </c>
      <c r="C1202" s="468">
        <f t="shared" si="22"/>
        <v>31</v>
      </c>
      <c r="D1202" s="1946" t="s">
        <v>4609</v>
      </c>
      <c r="E1202" s="1947" t="s">
        <v>5098</v>
      </c>
      <c r="H1202" s="49"/>
      <c r="K1202"/>
      <c r="L1202" s="1357"/>
      <c r="M1202" s="1357" t="s">
        <v>37</v>
      </c>
      <c r="N1202" s="590" t="s">
        <v>0</v>
      </c>
      <c r="O1202" s="590" t="s">
        <v>126</v>
      </c>
      <c r="P1202" s="20" t="s">
        <v>4102</v>
      </c>
      <c r="Q1202" s="49"/>
      <c r="R1202" s="22"/>
      <c r="S1202" s="22"/>
      <c r="T1202" s="49"/>
      <c r="U1202" s="1904" t="s">
        <v>5099</v>
      </c>
      <c r="V1202" s="3065"/>
      <c r="W1202"/>
    </row>
    <row r="1203" spans="1:23" ht="27" customHeight="1" thickBot="1">
      <c r="A1203" s="1938" t="s">
        <v>25</v>
      </c>
      <c r="B1203" s="1312">
        <v>45502</v>
      </c>
      <c r="C1203" s="468">
        <f t="shared" si="22"/>
        <v>31</v>
      </c>
      <c r="D1203" s="710" t="s">
        <v>258</v>
      </c>
      <c r="E1203" s="1948" t="s">
        <v>392</v>
      </c>
      <c r="H1203" s="57"/>
      <c r="K1203"/>
      <c r="L1203" s="1907" t="s">
        <v>37</v>
      </c>
      <c r="M1203" s="1907"/>
      <c r="N1203" s="1907"/>
      <c r="O1203" s="1907"/>
      <c r="P1203" s="1907"/>
      <c r="Q1203" s="57"/>
      <c r="R1203" s="88"/>
      <c r="S1203" s="88"/>
      <c r="T1203" s="57"/>
      <c r="U1203" s="1907"/>
      <c r="V1203" s="1922"/>
      <c r="W1203"/>
    </row>
    <row r="1204" spans="1:23" ht="53.25" customHeight="1" thickBot="1">
      <c r="A1204" s="1939" t="s">
        <v>67</v>
      </c>
      <c r="B1204" s="1940">
        <v>45503</v>
      </c>
      <c r="C1204" s="468">
        <f t="shared" si="22"/>
        <v>31</v>
      </c>
      <c r="D1204" s="1949" t="s">
        <v>1399</v>
      </c>
      <c r="E1204" s="1950" t="s">
        <v>463</v>
      </c>
      <c r="H1204" s="111"/>
      <c r="K1204"/>
      <c r="L1204" s="1891"/>
      <c r="M1204" s="1891" t="s">
        <v>37</v>
      </c>
      <c r="N1204" s="590" t="s">
        <v>109</v>
      </c>
      <c r="O1204" s="590" t="s">
        <v>1847</v>
      </c>
      <c r="P1204" s="20" t="s">
        <v>4102</v>
      </c>
      <c r="Q1204" s="1961">
        <v>1</v>
      </c>
      <c r="R1204" s="182"/>
      <c r="S1204" s="182"/>
      <c r="T1204" s="111"/>
      <c r="U1204" s="1891" t="s">
        <v>5100</v>
      </c>
      <c r="V1204" s="1922"/>
      <c r="W1204"/>
    </row>
    <row r="1205" spans="1:23" ht="79.5" customHeight="1" thickBot="1">
      <c r="A1205" s="1938" t="s">
        <v>67</v>
      </c>
      <c r="B1205" s="1312">
        <v>45503</v>
      </c>
      <c r="C1205" s="468">
        <f t="shared" si="22"/>
        <v>31</v>
      </c>
      <c r="D1205" s="188" t="s">
        <v>1698</v>
      </c>
      <c r="E1205" s="1951" t="s">
        <v>5101</v>
      </c>
      <c r="H1205" s="57"/>
      <c r="K1205"/>
      <c r="L1205" s="1907"/>
      <c r="M1205" s="1907" t="s">
        <v>37</v>
      </c>
      <c r="N1205" s="590" t="s">
        <v>109</v>
      </c>
      <c r="O1205" s="590" t="s">
        <v>1109</v>
      </c>
      <c r="P1205" s="20" t="s">
        <v>4082</v>
      </c>
      <c r="Q1205" s="57"/>
      <c r="R1205" s="88"/>
      <c r="S1205" s="88"/>
      <c r="T1205" s="57"/>
      <c r="U1205" s="1923" t="s">
        <v>5102</v>
      </c>
      <c r="V1205" s="3065"/>
      <c r="W1205"/>
    </row>
    <row r="1206" spans="1:23" ht="158.25" customHeight="1" thickBot="1">
      <c r="A1206" s="1942" t="s">
        <v>85</v>
      </c>
      <c r="B1206" s="1301">
        <v>45504</v>
      </c>
      <c r="C1206" s="468">
        <f t="shared" si="22"/>
        <v>31</v>
      </c>
      <c r="D1206" s="183" t="s">
        <v>442</v>
      </c>
      <c r="E1206" s="1960" t="s">
        <v>5103</v>
      </c>
      <c r="H1206" s="111"/>
      <c r="K1206"/>
      <c r="L1206" s="1891"/>
      <c r="M1206" s="1891" t="s">
        <v>37</v>
      </c>
      <c r="N1206" s="590" t="s">
        <v>231</v>
      </c>
      <c r="O1206" s="590" t="s">
        <v>231</v>
      </c>
      <c r="P1206" s="20" t="s">
        <v>4082</v>
      </c>
      <c r="Q1206" s="111"/>
      <c r="R1206" s="182"/>
      <c r="S1206" s="182"/>
      <c r="T1206" s="111"/>
      <c r="U1206" s="1933" t="s">
        <v>5104</v>
      </c>
      <c r="V1206" s="3065"/>
      <c r="W1206"/>
    </row>
    <row r="1207" spans="1:23" ht="27" customHeight="1">
      <c r="A1207" s="1941" t="s">
        <v>85</v>
      </c>
      <c r="B1207" s="1300">
        <v>45504</v>
      </c>
      <c r="C1207" s="468">
        <f t="shared" si="22"/>
        <v>31</v>
      </c>
      <c r="D1207" s="68" t="s">
        <v>442</v>
      </c>
      <c r="E1207" s="163" t="s">
        <v>1654</v>
      </c>
      <c r="H1207" s="49"/>
      <c r="K1207"/>
      <c r="L1207" s="1357" t="s">
        <v>37</v>
      </c>
      <c r="M1207" s="1357"/>
      <c r="N1207" s="1357"/>
      <c r="O1207" s="1357"/>
      <c r="P1207" s="1357"/>
      <c r="Q1207" s="49"/>
      <c r="R1207" s="22"/>
      <c r="S1207" s="22"/>
      <c r="T1207" s="49"/>
      <c r="U1207" s="1357"/>
      <c r="V1207" s="1922"/>
      <c r="W1207"/>
    </row>
    <row r="1208" spans="1:23" ht="27" customHeight="1">
      <c r="A1208" s="1941" t="s">
        <v>85</v>
      </c>
      <c r="B1208" s="1300">
        <v>45504</v>
      </c>
      <c r="C1208" s="468">
        <f t="shared" si="22"/>
        <v>31</v>
      </c>
      <c r="D1208" s="72" t="s">
        <v>1011</v>
      </c>
      <c r="E1208" s="1952" t="s">
        <v>275</v>
      </c>
      <c r="H1208" s="49"/>
      <c r="K1208"/>
      <c r="L1208" s="1357" t="s">
        <v>37</v>
      </c>
      <c r="M1208" s="1357"/>
      <c r="N1208" s="1357"/>
      <c r="O1208" s="1357"/>
      <c r="P1208" s="1357"/>
      <c r="Q1208" s="49"/>
      <c r="R1208" s="22"/>
      <c r="S1208" s="22"/>
      <c r="T1208" s="49"/>
      <c r="U1208" s="1357"/>
      <c r="V1208" s="1922"/>
      <c r="W1208"/>
    </row>
    <row r="1209" spans="1:23" ht="27" customHeight="1">
      <c r="A1209" s="1941" t="s">
        <v>85</v>
      </c>
      <c r="B1209" s="1300">
        <v>45504</v>
      </c>
      <c r="C1209" s="468">
        <f t="shared" si="22"/>
        <v>31</v>
      </c>
      <c r="D1209" s="171" t="s">
        <v>63</v>
      </c>
      <c r="E1209" s="1953" t="s">
        <v>5105</v>
      </c>
      <c r="H1209" s="49"/>
      <c r="K1209"/>
      <c r="L1209" s="1357" t="s">
        <v>37</v>
      </c>
      <c r="M1209" s="1357"/>
      <c r="N1209" s="1357"/>
      <c r="O1209" s="1357"/>
      <c r="P1209" s="1357"/>
      <c r="Q1209" s="49"/>
      <c r="R1209" s="22"/>
      <c r="S1209" s="22"/>
      <c r="T1209" s="49"/>
      <c r="U1209" s="1357"/>
      <c r="V1209" s="1922"/>
      <c r="W1209"/>
    </row>
    <row r="1210" spans="1:23" ht="27" customHeight="1">
      <c r="A1210" s="1941" t="s">
        <v>85</v>
      </c>
      <c r="B1210" s="1300">
        <v>45504</v>
      </c>
      <c r="C1210" s="468">
        <f t="shared" si="22"/>
        <v>31</v>
      </c>
      <c r="D1210" s="171" t="s">
        <v>5105</v>
      </c>
      <c r="E1210" s="1953" t="s">
        <v>63</v>
      </c>
      <c r="H1210" s="49"/>
      <c r="K1210"/>
      <c r="L1210" s="1357" t="s">
        <v>37</v>
      </c>
      <c r="M1210" s="1357"/>
      <c r="N1210" s="1357"/>
      <c r="O1210" s="1357"/>
      <c r="P1210" s="1357"/>
      <c r="Q1210" s="49"/>
      <c r="R1210" s="22"/>
      <c r="S1210" s="22"/>
      <c r="T1210" s="49"/>
      <c r="U1210" s="1357"/>
      <c r="V1210" s="1922"/>
      <c r="W1210"/>
    </row>
    <row r="1211" spans="1:23" ht="27" customHeight="1">
      <c r="A1211" s="1941" t="s">
        <v>85</v>
      </c>
      <c r="B1211" s="1300">
        <v>45504</v>
      </c>
      <c r="C1211" s="468">
        <f t="shared" si="22"/>
        <v>31</v>
      </c>
      <c r="D1211" s="171" t="s">
        <v>63</v>
      </c>
      <c r="E1211" s="1953" t="s">
        <v>5105</v>
      </c>
      <c r="H1211" s="49"/>
      <c r="K1211"/>
      <c r="L1211" s="1357" t="s">
        <v>37</v>
      </c>
      <c r="M1211" s="1357"/>
      <c r="N1211" s="1357"/>
      <c r="O1211" s="1357"/>
      <c r="P1211" s="1357"/>
      <c r="Q1211" s="49"/>
      <c r="R1211" s="22"/>
      <c r="S1211" s="22"/>
      <c r="T1211" s="49"/>
      <c r="U1211" s="1357"/>
      <c r="V1211" s="1922"/>
      <c r="W1211"/>
    </row>
    <row r="1212" spans="1:23" ht="27" customHeight="1" thickBot="1">
      <c r="A1212" s="1937" t="s">
        <v>85</v>
      </c>
      <c r="B1212" s="1390">
        <v>45504</v>
      </c>
      <c r="C1212" s="468">
        <f t="shared" si="22"/>
        <v>31</v>
      </c>
      <c r="D1212" s="1954" t="s">
        <v>5105</v>
      </c>
      <c r="E1212" s="1955" t="s">
        <v>63</v>
      </c>
      <c r="H1212" s="49"/>
      <c r="K1212"/>
      <c r="L1212" s="1921" t="s">
        <v>37</v>
      </c>
      <c r="M1212" s="1921"/>
      <c r="N1212" s="1921"/>
      <c r="O1212" s="1921"/>
      <c r="P1212" s="1921"/>
      <c r="Q1212" s="49"/>
      <c r="R1212" s="22"/>
      <c r="S1212" s="22"/>
      <c r="T1212" s="49"/>
      <c r="U1212" s="1357"/>
      <c r="V1212" s="1922"/>
      <c r="W1212"/>
    </row>
    <row r="1213" spans="1:23" ht="79.5" customHeight="1" thickBot="1">
      <c r="A1213" s="1938" t="s">
        <v>85</v>
      </c>
      <c r="B1213" s="1312">
        <v>45504</v>
      </c>
      <c r="C1213" s="468">
        <f t="shared" si="22"/>
        <v>31</v>
      </c>
      <c r="D1213" s="108" t="s">
        <v>4335</v>
      </c>
      <c r="E1213" s="1956" t="s">
        <v>4376</v>
      </c>
      <c r="H1213" s="5327"/>
      <c r="I1213" s="5319"/>
      <c r="J1213" s="5236"/>
      <c r="K1213" s="5231" t="s">
        <v>4206</v>
      </c>
      <c r="L1213" s="1907"/>
      <c r="M1213" s="1907" t="s">
        <v>37</v>
      </c>
      <c r="N1213" s="590" t="s">
        <v>0</v>
      </c>
      <c r="O1213" s="590" t="s">
        <v>343</v>
      </c>
      <c r="P1213" s="20" t="s">
        <v>4082</v>
      </c>
      <c r="Q1213" s="57"/>
      <c r="R1213" s="88"/>
      <c r="S1213" s="1966" t="s">
        <v>37</v>
      </c>
      <c r="T1213" s="57"/>
      <c r="U1213" s="1907" t="s">
        <v>5106</v>
      </c>
      <c r="V1213" s="1922"/>
      <c r="W1213"/>
    </row>
    <row r="1214" spans="1:23" ht="79.5" customHeight="1" thickBot="1">
      <c r="A1214" s="1942" t="s">
        <v>105</v>
      </c>
      <c r="B1214" s="1301">
        <v>45505</v>
      </c>
      <c r="C1214" s="468">
        <f t="shared" si="22"/>
        <v>31</v>
      </c>
      <c r="D1214" s="113" t="s">
        <v>282</v>
      </c>
      <c r="E1214" s="1957" t="s">
        <v>4678</v>
      </c>
      <c r="H1214" s="111"/>
      <c r="K1214"/>
      <c r="L1214" s="1891"/>
      <c r="M1214" s="1891"/>
      <c r="N1214" s="590" t="s">
        <v>71</v>
      </c>
      <c r="O1214" s="590" t="s">
        <v>720</v>
      </c>
      <c r="P1214" s="20" t="s">
        <v>4082</v>
      </c>
      <c r="Q1214" s="111"/>
      <c r="R1214" s="182"/>
      <c r="S1214" s="182"/>
      <c r="T1214" s="111"/>
      <c r="U1214" s="1904" t="s">
        <v>5107</v>
      </c>
      <c r="V1214" s="3065"/>
      <c r="W1214"/>
    </row>
    <row r="1215" spans="1:23" ht="51" customHeight="1" thickBot="1">
      <c r="A1215" s="1941" t="s">
        <v>105</v>
      </c>
      <c r="B1215" s="1300">
        <v>45505</v>
      </c>
      <c r="C1215" s="468">
        <f t="shared" si="22"/>
        <v>31</v>
      </c>
      <c r="D1215" s="177" t="s">
        <v>5081</v>
      </c>
      <c r="E1215" s="1958" t="s">
        <v>5108</v>
      </c>
      <c r="H1215" s="5225"/>
      <c r="I1215" s="5201"/>
      <c r="K1215" s="484" t="s">
        <v>29</v>
      </c>
      <c r="L1215" s="1357"/>
      <c r="M1215" s="1357" t="s">
        <v>37</v>
      </c>
      <c r="N1215" s="590" t="s">
        <v>109</v>
      </c>
      <c r="O1215" s="590" t="s">
        <v>300</v>
      </c>
      <c r="P1215" s="20" t="s">
        <v>4082</v>
      </c>
      <c r="Q1215" s="49"/>
      <c r="R1215" s="22"/>
      <c r="S1215" s="22"/>
      <c r="T1215" s="49"/>
      <c r="U1215" s="1357" t="s">
        <v>5109</v>
      </c>
      <c r="V1215" s="1922"/>
      <c r="W1215"/>
    </row>
    <row r="1216" spans="1:23" ht="210.75" thickBot="1">
      <c r="A1216" s="1941" t="s">
        <v>105</v>
      </c>
      <c r="B1216" s="1300">
        <v>45505</v>
      </c>
      <c r="C1216" s="468">
        <f t="shared" si="22"/>
        <v>31</v>
      </c>
      <c r="D1216" s="68" t="s">
        <v>1421</v>
      </c>
      <c r="E1216" s="163" t="s">
        <v>2267</v>
      </c>
      <c r="H1216" s="5193">
        <v>706</v>
      </c>
      <c r="I1216" s="5201"/>
      <c r="K1216"/>
      <c r="L1216" s="1357"/>
      <c r="M1216" s="1357" t="s">
        <v>37</v>
      </c>
      <c r="N1216" s="590" t="s">
        <v>109</v>
      </c>
      <c r="O1216" s="590" t="s">
        <v>110</v>
      </c>
      <c r="P1216" s="20" t="s">
        <v>4102</v>
      </c>
      <c r="Q1216" s="49"/>
      <c r="R1216" s="1961">
        <v>1</v>
      </c>
      <c r="S1216" s="22"/>
      <c r="T1216" s="49"/>
      <c r="U1216" s="1904" t="s">
        <v>5110</v>
      </c>
      <c r="V1216" s="3065"/>
      <c r="W1216"/>
    </row>
    <row r="1217" spans="1:23">
      <c r="A1217" s="1941" t="s">
        <v>105</v>
      </c>
      <c r="B1217" s="1300">
        <v>45505</v>
      </c>
      <c r="C1217" s="468">
        <f t="shared" si="22"/>
        <v>31</v>
      </c>
      <c r="D1217" s="76" t="s">
        <v>392</v>
      </c>
      <c r="E1217" s="1959" t="s">
        <v>586</v>
      </c>
      <c r="H1217" s="49"/>
      <c r="K1217"/>
      <c r="L1217" s="1357" t="s">
        <v>30</v>
      </c>
      <c r="M1217" s="1357"/>
      <c r="Q1217" s="49"/>
      <c r="R1217" s="22"/>
      <c r="S1217" s="22"/>
      <c r="T1217" s="49"/>
      <c r="U1217"/>
      <c r="V1217"/>
      <c r="W1217"/>
    </row>
    <row r="1218" spans="1:23">
      <c r="A1218" s="1941" t="s">
        <v>105</v>
      </c>
      <c r="B1218" s="1300">
        <v>45505</v>
      </c>
      <c r="C1218" s="468">
        <f t="shared" si="22"/>
        <v>31</v>
      </c>
      <c r="D1218" s="76" t="s">
        <v>586</v>
      </c>
      <c r="E1218" s="1959" t="s">
        <v>1469</v>
      </c>
      <c r="H1218" s="49"/>
      <c r="K1218"/>
      <c r="L1218" s="1357" t="s">
        <v>37</v>
      </c>
      <c r="M1218" s="1357"/>
      <c r="N1218" s="1357"/>
      <c r="O1218" s="1357"/>
      <c r="P1218" s="1357"/>
      <c r="Q1218" s="49"/>
      <c r="R1218" s="22"/>
      <c r="S1218" s="22"/>
      <c r="T1218" s="49"/>
      <c r="U1218" s="1357"/>
      <c r="V1218" s="1922"/>
      <c r="W1218"/>
    </row>
    <row r="1219" spans="1:23">
      <c r="A1219" s="1941" t="s">
        <v>105</v>
      </c>
      <c r="B1219" s="1300">
        <v>45505</v>
      </c>
      <c r="C1219" s="468">
        <f t="shared" si="22"/>
        <v>31</v>
      </c>
      <c r="D1219" s="76" t="s">
        <v>258</v>
      </c>
      <c r="E1219" s="1959" t="s">
        <v>586</v>
      </c>
      <c r="H1219" s="49"/>
      <c r="K1219"/>
      <c r="L1219" s="1357" t="s">
        <v>37</v>
      </c>
      <c r="M1219" s="1357"/>
      <c r="N1219" s="1357"/>
      <c r="O1219" s="1357"/>
      <c r="P1219" s="1357"/>
      <c r="Q1219" s="49"/>
      <c r="R1219" s="22"/>
      <c r="S1219" s="22"/>
      <c r="T1219" s="49"/>
      <c r="U1219" s="1357"/>
      <c r="V1219" s="1922"/>
      <c r="W1219"/>
    </row>
    <row r="1220" spans="1:23">
      <c r="A1220" s="1941" t="s">
        <v>105</v>
      </c>
      <c r="B1220" s="1300">
        <v>45505</v>
      </c>
      <c r="C1220" s="468">
        <f t="shared" si="22"/>
        <v>31</v>
      </c>
      <c r="D1220" s="76" t="s">
        <v>586</v>
      </c>
      <c r="E1220" s="1959" t="s">
        <v>258</v>
      </c>
      <c r="H1220" s="49"/>
      <c r="K1220"/>
      <c r="L1220" s="1357" t="s">
        <v>37</v>
      </c>
      <c r="M1220" s="1357"/>
      <c r="N1220" s="1357"/>
      <c r="O1220" s="1357"/>
      <c r="P1220" s="1357"/>
      <c r="Q1220" s="49"/>
      <c r="R1220" s="22"/>
      <c r="S1220" s="22"/>
      <c r="T1220" s="49"/>
      <c r="U1220" s="1357"/>
      <c r="V1220" s="1922"/>
      <c r="W1220"/>
    </row>
    <row r="1221" spans="1:23">
      <c r="A1221" s="1941" t="s">
        <v>105</v>
      </c>
      <c r="B1221" s="1300">
        <v>45505</v>
      </c>
      <c r="C1221" s="468">
        <f t="shared" si="22"/>
        <v>31</v>
      </c>
      <c r="D1221" s="76" t="s">
        <v>258</v>
      </c>
      <c r="E1221" s="1959" t="s">
        <v>586</v>
      </c>
      <c r="H1221" s="49"/>
      <c r="K1221"/>
      <c r="L1221" s="1921" t="s">
        <v>37</v>
      </c>
      <c r="M1221" s="1921"/>
      <c r="N1221" s="1921"/>
      <c r="O1221" s="1921"/>
      <c r="P1221" s="1921"/>
      <c r="Q1221" s="49"/>
      <c r="R1221" s="22"/>
      <c r="S1221" s="22"/>
      <c r="T1221" s="49"/>
      <c r="U1221" s="1964"/>
      <c r="V1221" s="3068"/>
      <c r="W1221"/>
    </row>
    <row r="1222" spans="1:23" ht="27" thickBot="1">
      <c r="A1222" s="1938" t="s">
        <v>105</v>
      </c>
      <c r="B1222" s="1312">
        <v>45505</v>
      </c>
      <c r="C1222" s="468">
        <f t="shared" si="22"/>
        <v>31</v>
      </c>
      <c r="D1222" s="710" t="s">
        <v>586</v>
      </c>
      <c r="E1222" s="1948" t="s">
        <v>392</v>
      </c>
      <c r="H1222" s="57"/>
      <c r="K1222"/>
      <c r="L1222" s="1907" t="s">
        <v>37</v>
      </c>
      <c r="M1222" s="1907"/>
      <c r="N1222" s="1907"/>
      <c r="O1222" s="1907"/>
      <c r="P1222" s="1907"/>
      <c r="Q1222" s="57"/>
      <c r="R1222" s="88"/>
      <c r="S1222" s="88"/>
      <c r="T1222" s="57"/>
      <c r="U1222" s="1965"/>
      <c r="V1222" s="3068"/>
      <c r="W1222"/>
    </row>
    <row r="1223" spans="1:23">
      <c r="A1223" s="1942" t="s">
        <v>132</v>
      </c>
      <c r="B1223" s="1301">
        <v>45506</v>
      </c>
      <c r="C1223" s="468">
        <f t="shared" si="22"/>
        <v>31</v>
      </c>
      <c r="D1223" s="183" t="s">
        <v>3985</v>
      </c>
      <c r="E1223" s="1960" t="s">
        <v>5111</v>
      </c>
      <c r="H1223" s="111"/>
      <c r="K1223"/>
      <c r="L1223" s="1891" t="s">
        <v>30</v>
      </c>
      <c r="M1223" s="1891"/>
      <c r="N1223" s="1891"/>
      <c r="O1223" s="1891"/>
      <c r="P1223" s="1891"/>
      <c r="Q1223" s="111"/>
      <c r="R1223" s="182"/>
      <c r="S1223" s="182"/>
      <c r="T1223" s="111"/>
      <c r="U1223" s="1967" t="s">
        <v>5112</v>
      </c>
      <c r="W1223"/>
    </row>
    <row r="1224" spans="1:23">
      <c r="A1224" s="1941" t="s">
        <v>132</v>
      </c>
      <c r="B1224" s="1300">
        <v>45506</v>
      </c>
      <c r="C1224" s="468">
        <f t="shared" si="22"/>
        <v>31</v>
      </c>
      <c r="D1224" s="76" t="s">
        <v>80</v>
      </c>
      <c r="E1224" s="1959" t="s">
        <v>1052</v>
      </c>
      <c r="H1224" s="49"/>
      <c r="K1224"/>
      <c r="L1224" s="1921" t="s">
        <v>37</v>
      </c>
      <c r="M1224" s="1921"/>
      <c r="N1224" s="1921"/>
      <c r="O1224" s="1921"/>
      <c r="P1224" s="1921"/>
      <c r="Q1224" s="49"/>
      <c r="R1224" s="22"/>
      <c r="S1224" s="22"/>
      <c r="T1224" s="49"/>
      <c r="U1224" s="1964"/>
      <c r="V1224" s="3068"/>
      <c r="W1224"/>
    </row>
    <row r="1225" spans="1:23" ht="27" thickBot="1">
      <c r="A1225" s="1962" t="s">
        <v>132</v>
      </c>
      <c r="B1225" s="1312">
        <v>45506</v>
      </c>
      <c r="C1225" s="468">
        <f t="shared" si="22"/>
        <v>31</v>
      </c>
      <c r="D1225" s="710" t="s">
        <v>258</v>
      </c>
      <c r="E1225" s="1948" t="s">
        <v>61</v>
      </c>
      <c r="H1225" s="57"/>
      <c r="K1225"/>
      <c r="L1225" s="1907" t="s">
        <v>37</v>
      </c>
      <c r="M1225" s="1963"/>
      <c r="N1225" s="1907"/>
      <c r="O1225" s="1907"/>
      <c r="P1225" s="1907"/>
      <c r="Q1225" s="57"/>
      <c r="R1225" s="88"/>
      <c r="S1225" s="88"/>
      <c r="T1225" s="57"/>
      <c r="U1225" s="1965"/>
      <c r="V1225" s="3068"/>
      <c r="W1225"/>
    </row>
    <row r="1226" spans="1:23">
      <c r="A1226" s="76" t="s">
        <v>25</v>
      </c>
      <c r="B1226" s="1300">
        <v>45509</v>
      </c>
      <c r="C1226" s="468">
        <f t="shared" ref="C1226:C1241" si="23">_xlfn.ISOWEEKNUM(B1226)</f>
        <v>32</v>
      </c>
      <c r="D1226" s="839" t="s">
        <v>5113</v>
      </c>
      <c r="E1226" s="839" t="s">
        <v>850</v>
      </c>
      <c r="F1226" s="1973" t="s">
        <v>1199</v>
      </c>
      <c r="G1226" s="1973" t="s">
        <v>1199</v>
      </c>
      <c r="H1226" s="76">
        <v>706</v>
      </c>
      <c r="I1226" s="1053" t="s">
        <v>451</v>
      </c>
      <c r="J1226" s="2016"/>
      <c r="K1226" s="2016"/>
      <c r="L1226" s="1357" t="s">
        <v>37</v>
      </c>
      <c r="M1226" s="1357"/>
      <c r="N1226" s="1357"/>
      <c r="O1226" s="1357"/>
      <c r="P1226" s="1357"/>
      <c r="Q1226" s="1357"/>
      <c r="R1226" s="1357"/>
      <c r="S1226" s="1357"/>
      <c r="T1226" s="1357"/>
      <c r="U1226" s="1904"/>
      <c r="V1226" s="3065"/>
      <c r="W1226"/>
    </row>
    <row r="1227" spans="1:23">
      <c r="A1227" s="76" t="s">
        <v>25</v>
      </c>
      <c r="B1227" s="1300">
        <v>45509</v>
      </c>
      <c r="C1227" s="468">
        <f t="shared" si="23"/>
        <v>32</v>
      </c>
      <c r="D1227" s="177" t="s">
        <v>392</v>
      </c>
      <c r="E1227" s="177" t="s">
        <v>1052</v>
      </c>
      <c r="F1227" s="1974" t="s">
        <v>1199</v>
      </c>
      <c r="G1227" s="1974" t="s">
        <v>1199</v>
      </c>
      <c r="H1227" s="76">
        <v>702</v>
      </c>
      <c r="I1227" s="1053">
        <v>1378</v>
      </c>
      <c r="J1227" s="1763"/>
      <c r="K1227" s="1763"/>
      <c r="L1227" s="1357" t="s">
        <v>37</v>
      </c>
      <c r="M1227" s="1357"/>
      <c r="N1227" s="1357"/>
      <c r="O1227" s="1357"/>
      <c r="P1227" s="1357"/>
      <c r="Q1227" s="1357"/>
      <c r="R1227" s="1357"/>
      <c r="S1227" s="1357"/>
      <c r="T1227" s="1357"/>
      <c r="U1227" s="1904"/>
      <c r="V1227" s="3065"/>
      <c r="W1227"/>
    </row>
    <row r="1228" spans="1:23" ht="27" thickBot="1">
      <c r="A1228" s="118" t="s">
        <v>4897</v>
      </c>
      <c r="B1228" s="1390">
        <v>45509</v>
      </c>
      <c r="C1228" s="471">
        <f t="shared" si="23"/>
        <v>32</v>
      </c>
      <c r="D1228" s="1975" t="s">
        <v>258</v>
      </c>
      <c r="E1228" s="1975" t="s">
        <v>4678</v>
      </c>
      <c r="F1228" s="1976" t="s">
        <v>1199</v>
      </c>
      <c r="G1228" s="1976" t="s">
        <v>1199</v>
      </c>
      <c r="H1228" s="118">
        <v>702</v>
      </c>
      <c r="I1228" s="1977">
        <v>1378</v>
      </c>
      <c r="J1228" s="1796"/>
      <c r="K1228" s="1796"/>
      <c r="L1228" s="1921" t="s">
        <v>37</v>
      </c>
      <c r="M1228" s="1921"/>
      <c r="N1228" s="1921"/>
      <c r="O1228" s="1921"/>
      <c r="P1228" s="1921"/>
      <c r="Q1228" s="1921"/>
      <c r="R1228" s="1921"/>
      <c r="S1228" s="1921"/>
      <c r="T1228" s="1921"/>
      <c r="U1228" s="1924"/>
      <c r="V1228" s="3065"/>
      <c r="W1228"/>
    </row>
    <row r="1229" spans="1:23" ht="27" thickBot="1">
      <c r="A1229" s="1935" t="s">
        <v>67</v>
      </c>
      <c r="B1229" s="1936">
        <v>45510</v>
      </c>
      <c r="C1229" s="465">
        <f t="shared" si="23"/>
        <v>32</v>
      </c>
      <c r="D1229" s="847" t="s">
        <v>68</v>
      </c>
      <c r="E1229" s="848" t="s">
        <v>4045</v>
      </c>
      <c r="F1229" s="2043" t="s">
        <v>1199</v>
      </c>
      <c r="G1229" s="2039" t="s">
        <v>1199</v>
      </c>
      <c r="H1229" s="1935">
        <v>706</v>
      </c>
      <c r="I1229" s="2023" t="s">
        <v>451</v>
      </c>
      <c r="J1229" s="2047"/>
      <c r="K1229" s="2041" t="s">
        <v>1199</v>
      </c>
      <c r="L1229" s="2025" t="s">
        <v>37</v>
      </c>
      <c r="M1229" s="1979"/>
      <c r="N1229" s="1979"/>
      <c r="O1229" s="1979"/>
      <c r="P1229" s="1979"/>
      <c r="Q1229" s="1979"/>
      <c r="R1229" s="1979"/>
      <c r="S1229" s="1979"/>
      <c r="T1229" s="1979"/>
      <c r="U1229" s="1980"/>
      <c r="V1229" s="3065"/>
      <c r="W1229"/>
    </row>
    <row r="1230" spans="1:23" ht="132" thickBot="1">
      <c r="A1230" s="1941" t="s">
        <v>67</v>
      </c>
      <c r="B1230" s="1300">
        <v>45510</v>
      </c>
      <c r="C1230" s="468">
        <f t="shared" si="23"/>
        <v>32</v>
      </c>
      <c r="D1230" s="156" t="s">
        <v>4293</v>
      </c>
      <c r="E1230" s="877" t="s">
        <v>3450</v>
      </c>
      <c r="F1230" s="2045" t="s">
        <v>1199</v>
      </c>
      <c r="G1230" s="2040" t="s">
        <v>1199</v>
      </c>
      <c r="H1230" s="1941">
        <v>706</v>
      </c>
      <c r="I1230" s="2037" t="s">
        <v>99</v>
      </c>
      <c r="J1230" s="2034"/>
      <c r="K1230" s="2030" t="s">
        <v>1199</v>
      </c>
      <c r="L1230" s="2038"/>
      <c r="M1230" s="1357" t="s">
        <v>30</v>
      </c>
      <c r="N1230" s="590" t="s">
        <v>109</v>
      </c>
      <c r="O1230" s="590" t="s">
        <v>1971</v>
      </c>
      <c r="P1230" s="20" t="s">
        <v>4102</v>
      </c>
      <c r="Q1230" s="1357"/>
      <c r="R1230" s="1357"/>
      <c r="S1230" s="1357"/>
      <c r="T1230" s="1357"/>
      <c r="U1230" s="1981" t="s">
        <v>5116</v>
      </c>
      <c r="V1230" s="3065"/>
      <c r="W1230"/>
    </row>
    <row r="1231" spans="1:23" ht="27" thickBot="1">
      <c r="A1231" s="1938" t="s">
        <v>67</v>
      </c>
      <c r="B1231" s="1312">
        <v>45510</v>
      </c>
      <c r="C1231" s="480">
        <f t="shared" si="23"/>
        <v>32</v>
      </c>
      <c r="D1231" s="1982" t="s">
        <v>1153</v>
      </c>
      <c r="E1231" s="2049" t="s">
        <v>1224</v>
      </c>
      <c r="F1231" s="2046" t="s">
        <v>1199</v>
      </c>
      <c r="G1231" s="204" t="s">
        <v>1199</v>
      </c>
      <c r="H1231" s="1938">
        <v>706</v>
      </c>
      <c r="I1231" s="2024" t="s">
        <v>99</v>
      </c>
      <c r="J1231" s="2048"/>
      <c r="K1231" s="2042" t="s">
        <v>1199</v>
      </c>
      <c r="L1231" s="2026" t="s">
        <v>37</v>
      </c>
      <c r="M1231" s="1907"/>
      <c r="N1231" s="1907"/>
      <c r="O1231" s="1907"/>
      <c r="P1231" s="1907"/>
      <c r="Q1231" s="1907"/>
      <c r="R1231" s="1907"/>
      <c r="S1231" s="1907"/>
      <c r="T1231" s="1907"/>
      <c r="U1231" s="1984" t="s">
        <v>5117</v>
      </c>
      <c r="V1231" s="3065"/>
      <c r="W1231"/>
    </row>
    <row r="1232" spans="1:23" ht="27" thickBot="1">
      <c r="A1232" s="1935" t="s">
        <v>85</v>
      </c>
      <c r="B1232" s="1936">
        <v>45511</v>
      </c>
      <c r="C1232" s="465">
        <f t="shared" si="23"/>
        <v>32</v>
      </c>
      <c r="D1232" s="131" t="s">
        <v>5118</v>
      </c>
      <c r="E1232" s="132" t="s">
        <v>56</v>
      </c>
      <c r="F1232" s="2031" t="s">
        <v>1199</v>
      </c>
      <c r="G1232" s="2027" t="s">
        <v>1199</v>
      </c>
      <c r="H1232" s="1935">
        <v>701</v>
      </c>
      <c r="I1232" s="2023" t="s">
        <v>600</v>
      </c>
      <c r="J1232" s="1784"/>
      <c r="K1232" s="2027"/>
      <c r="L1232" s="2025" t="s">
        <v>30</v>
      </c>
      <c r="M1232" s="1979"/>
      <c r="N1232" s="590"/>
      <c r="O1232" s="590"/>
      <c r="P1232" s="20"/>
      <c r="Q1232" s="1979"/>
      <c r="R1232" s="1979"/>
      <c r="S1232" s="1979"/>
      <c r="T1232" s="1979"/>
      <c r="U1232" s="1980"/>
      <c r="V1232" s="3065"/>
      <c r="W1232"/>
    </row>
    <row r="1233" spans="1:23" ht="27" thickBot="1">
      <c r="A1233" s="1941" t="s">
        <v>85</v>
      </c>
      <c r="B1233" s="1300">
        <v>45511</v>
      </c>
      <c r="C1233" s="468">
        <f t="shared" si="23"/>
        <v>32</v>
      </c>
      <c r="D1233" s="105" t="s">
        <v>5114</v>
      </c>
      <c r="E1233" s="2035" t="s">
        <v>4324</v>
      </c>
      <c r="F1233" s="2032" t="s">
        <v>1199</v>
      </c>
      <c r="G1233" s="2028" t="s">
        <v>1199</v>
      </c>
      <c r="H1233" s="1941">
        <v>702</v>
      </c>
      <c r="I1233" s="2037" t="s">
        <v>5115</v>
      </c>
      <c r="J1233" s="2034"/>
      <c r="K1233" s="2010"/>
      <c r="L1233" s="2038" t="s">
        <v>37</v>
      </c>
      <c r="M1233" s="1357"/>
      <c r="N1233" s="1357"/>
      <c r="O1233" s="1357"/>
      <c r="P1233" s="1357"/>
      <c r="Q1233" s="1357"/>
      <c r="R1233" s="1357"/>
      <c r="S1233" s="1357"/>
      <c r="T1233" s="1357"/>
      <c r="U1233" s="1981"/>
      <c r="V1233" s="3065"/>
      <c r="W1233"/>
    </row>
    <row r="1234" spans="1:23" ht="237" thickBot="1">
      <c r="A1234" s="1941" t="s">
        <v>85</v>
      </c>
      <c r="B1234" s="1300">
        <v>45511</v>
      </c>
      <c r="C1234" s="468">
        <f t="shared" si="23"/>
        <v>32</v>
      </c>
      <c r="D1234" s="76" t="s">
        <v>3290</v>
      </c>
      <c r="E1234" s="137" t="s">
        <v>4376</v>
      </c>
      <c r="F1234" s="2032" t="s">
        <v>1199</v>
      </c>
      <c r="G1234" s="2028" t="s">
        <v>1199</v>
      </c>
      <c r="H1234" s="1941">
        <v>702</v>
      </c>
      <c r="I1234" s="2037">
        <v>1544</v>
      </c>
      <c r="J1234" s="2034"/>
      <c r="K1234" s="2010"/>
      <c r="L1234" s="2038"/>
      <c r="M1234" s="1357" t="s">
        <v>37</v>
      </c>
      <c r="N1234" s="590" t="s">
        <v>0</v>
      </c>
      <c r="O1234" s="590" t="s">
        <v>31</v>
      </c>
      <c r="P1234" s="20" t="s">
        <v>4082</v>
      </c>
      <c r="Q1234" s="1986">
        <v>1</v>
      </c>
      <c r="R1234" s="1357"/>
      <c r="S1234" s="1357"/>
      <c r="T1234" s="1357"/>
      <c r="U1234" s="1981" t="s">
        <v>5119</v>
      </c>
      <c r="V1234" s="3065"/>
      <c r="W1234"/>
    </row>
    <row r="1235" spans="1:23" ht="53.25" thickBot="1">
      <c r="A1235" s="1938" t="s">
        <v>85</v>
      </c>
      <c r="B1235" s="1312">
        <v>45511</v>
      </c>
      <c r="C1235" s="480">
        <f t="shared" si="23"/>
        <v>32</v>
      </c>
      <c r="D1235" s="1987" t="s">
        <v>5120</v>
      </c>
      <c r="E1235" s="2036" t="s">
        <v>3985</v>
      </c>
      <c r="F1235" s="2033" t="s">
        <v>1199</v>
      </c>
      <c r="G1235" s="2029" t="s">
        <v>1206</v>
      </c>
      <c r="H1235" s="1938">
        <v>702</v>
      </c>
      <c r="I1235" s="2024">
        <v>2102</v>
      </c>
      <c r="J1235" s="5175"/>
      <c r="K1235" s="5176"/>
      <c r="L1235" s="2026" t="s">
        <v>37</v>
      </c>
      <c r="M1235" s="1907"/>
      <c r="N1235" s="1907"/>
      <c r="O1235" s="1907"/>
      <c r="P1235" s="1907"/>
      <c r="Q1235" s="1907"/>
      <c r="R1235" s="1907"/>
      <c r="S1235" s="1907"/>
      <c r="T1235" s="1907"/>
      <c r="U1235" s="1984" t="s">
        <v>5121</v>
      </c>
      <c r="V1235" s="3065"/>
      <c r="W1235"/>
    </row>
    <row r="1236" spans="1:23">
      <c r="A1236" s="1942" t="s">
        <v>105</v>
      </c>
      <c r="B1236" s="1301">
        <v>45512</v>
      </c>
      <c r="C1236" s="179">
        <f t="shared" si="23"/>
        <v>32</v>
      </c>
      <c r="D1236" s="123" t="s">
        <v>79</v>
      </c>
      <c r="E1236" s="123" t="s">
        <v>4324</v>
      </c>
      <c r="F1236" s="1988" t="s">
        <v>1199</v>
      </c>
      <c r="G1236" s="1989" t="s">
        <v>1199</v>
      </c>
      <c r="H1236" s="162">
        <v>701</v>
      </c>
      <c r="I1236" s="1047" t="s">
        <v>600</v>
      </c>
      <c r="J1236" s="1978"/>
      <c r="K1236" s="1978"/>
      <c r="L1236" s="1891" t="s">
        <v>37</v>
      </c>
      <c r="M1236" s="1891"/>
      <c r="N1236" s="1891"/>
      <c r="O1236" s="1891"/>
      <c r="P1236" s="1891"/>
      <c r="Q1236" s="1891"/>
      <c r="R1236" s="1891"/>
      <c r="S1236" s="1891"/>
      <c r="T1236" s="1891"/>
      <c r="U1236" s="1985"/>
      <c r="V1236" s="3065"/>
      <c r="W1236"/>
    </row>
    <row r="1237" spans="1:23" ht="27" thickBot="1">
      <c r="A1237" s="1941" t="s">
        <v>105</v>
      </c>
      <c r="B1237" s="1300">
        <v>45512</v>
      </c>
      <c r="C1237" s="468">
        <f t="shared" si="23"/>
        <v>32</v>
      </c>
      <c r="D1237" s="76" t="s">
        <v>4639</v>
      </c>
      <c r="E1237" s="76" t="s">
        <v>5122</v>
      </c>
      <c r="F1237" s="1990" t="s">
        <v>1199</v>
      </c>
      <c r="G1237" s="1990" t="s">
        <v>1199</v>
      </c>
      <c r="H1237" s="76">
        <v>702</v>
      </c>
      <c r="I1237" s="1053">
        <v>2102</v>
      </c>
      <c r="J1237" s="5177"/>
      <c r="K1237" s="5177"/>
      <c r="L1237" s="1891" t="s">
        <v>37</v>
      </c>
      <c r="M1237" s="1891"/>
      <c r="N1237" s="1891"/>
      <c r="O1237" s="1891"/>
      <c r="P1237" s="1891"/>
      <c r="Q1237" s="1891"/>
      <c r="R1237" s="1991"/>
      <c r="S1237" s="1891"/>
      <c r="T1237" s="1891"/>
      <c r="U1237" s="1985"/>
      <c r="V1237" s="3065"/>
      <c r="W1237"/>
    </row>
    <row r="1238" spans="1:23" ht="27" thickBot="1">
      <c r="A1238" s="1941" t="s">
        <v>105</v>
      </c>
      <c r="B1238" s="1300">
        <v>45512</v>
      </c>
      <c r="C1238" s="468">
        <f t="shared" si="23"/>
        <v>32</v>
      </c>
      <c r="D1238" s="76" t="s">
        <v>3290</v>
      </c>
      <c r="E1238" s="76" t="s">
        <v>4376</v>
      </c>
      <c r="F1238" s="1990" t="s">
        <v>1199</v>
      </c>
      <c r="G1238" s="1990" t="s">
        <v>1199</v>
      </c>
      <c r="H1238" s="76">
        <v>702</v>
      </c>
      <c r="I1238" s="1053">
        <v>1544</v>
      </c>
      <c r="J1238" s="1758"/>
      <c r="K1238" s="1983" t="s">
        <v>1199</v>
      </c>
      <c r="L1238" s="1891" t="s">
        <v>37</v>
      </c>
      <c r="M1238" s="1891"/>
      <c r="N1238" s="1891"/>
      <c r="O1238" s="1891"/>
      <c r="P1238" s="1891"/>
      <c r="Q1238" s="1891"/>
      <c r="R1238" s="1961">
        <v>1</v>
      </c>
      <c r="S1238" s="1891"/>
      <c r="T1238" s="1891"/>
      <c r="U1238" s="1985"/>
      <c r="V1238" s="3065"/>
      <c r="W1238"/>
    </row>
    <row r="1239" spans="1:23" ht="27" thickBot="1">
      <c r="A1239" s="1937" t="s">
        <v>105</v>
      </c>
      <c r="B1239" s="1390">
        <v>45512</v>
      </c>
      <c r="C1239" s="471">
        <f t="shared" si="23"/>
        <v>32</v>
      </c>
      <c r="D1239" s="118" t="s">
        <v>5123</v>
      </c>
      <c r="E1239" s="118" t="s">
        <v>1293</v>
      </c>
      <c r="F1239" s="1983" t="s">
        <v>1199</v>
      </c>
      <c r="G1239" s="1983" t="s">
        <v>1199</v>
      </c>
      <c r="H1239" s="118">
        <v>701</v>
      </c>
      <c r="I1239" s="1977" t="s">
        <v>2502</v>
      </c>
      <c r="J1239" s="1768"/>
      <c r="K1239" s="1983" t="s">
        <v>1199</v>
      </c>
      <c r="L1239" s="1921" t="s">
        <v>37</v>
      </c>
      <c r="M1239" s="1921"/>
      <c r="N1239" s="1921"/>
      <c r="O1239" s="1921"/>
      <c r="P1239" s="1921"/>
      <c r="Q1239" s="1921"/>
      <c r="R1239" s="1921"/>
      <c r="S1239" s="1921"/>
      <c r="T1239" s="1921"/>
      <c r="U1239" s="2021"/>
      <c r="V1239" s="3065"/>
      <c r="W1239"/>
    </row>
    <row r="1240" spans="1:23" ht="27" thickBot="1">
      <c r="A1240" s="1935" t="s">
        <v>4659</v>
      </c>
      <c r="B1240" s="1936">
        <v>45513</v>
      </c>
      <c r="C1240" s="465">
        <f t="shared" si="23"/>
        <v>32</v>
      </c>
      <c r="D1240" s="1992" t="s">
        <v>4486</v>
      </c>
      <c r="E1240" s="2022" t="s">
        <v>5124</v>
      </c>
      <c r="F1240" s="2019" t="s">
        <v>1199</v>
      </c>
      <c r="G1240" s="2017" t="s">
        <v>1199</v>
      </c>
      <c r="H1240" s="1935">
        <v>701</v>
      </c>
      <c r="I1240" s="2023">
        <v>2102</v>
      </c>
      <c r="J1240" s="5175"/>
      <c r="K1240" s="5176"/>
      <c r="L1240" s="2025" t="s">
        <v>37</v>
      </c>
      <c r="M1240" s="1979"/>
      <c r="N1240" s="1979"/>
      <c r="O1240" s="1979"/>
      <c r="P1240" s="1979"/>
      <c r="Q1240" s="1979"/>
      <c r="R1240" s="1979"/>
      <c r="S1240" s="1979"/>
      <c r="T1240" s="1979"/>
      <c r="U1240" s="1980"/>
      <c r="V1240" s="3065"/>
      <c r="W1240"/>
    </row>
    <row r="1241" spans="1:23" ht="27" thickBot="1">
      <c r="A1241" s="1938" t="s">
        <v>4659</v>
      </c>
      <c r="B1241" s="1312">
        <v>45513</v>
      </c>
      <c r="C1241" s="480">
        <f t="shared" si="23"/>
        <v>32</v>
      </c>
      <c r="D1241" s="710" t="s">
        <v>5125</v>
      </c>
      <c r="E1241" s="711" t="s">
        <v>4223</v>
      </c>
      <c r="F1241" s="2020" t="s">
        <v>1199</v>
      </c>
      <c r="G1241" s="2018" t="s">
        <v>1199</v>
      </c>
      <c r="H1241" s="1938">
        <v>702</v>
      </c>
      <c r="I1241" s="2024" t="s">
        <v>5126</v>
      </c>
      <c r="J1241" s="218"/>
      <c r="K1241" s="228"/>
      <c r="L1241" s="2026" t="s">
        <v>37</v>
      </c>
      <c r="M1241" s="57"/>
      <c r="N1241" s="57"/>
      <c r="O1241" s="57"/>
      <c r="P1241" s="57"/>
      <c r="Q1241" s="57"/>
      <c r="R1241" s="57"/>
      <c r="S1241" s="1993" t="s">
        <v>30</v>
      </c>
      <c r="T1241" s="57"/>
      <c r="U1241" s="99"/>
      <c r="V1241"/>
      <c r="W1241"/>
    </row>
    <row r="1242" spans="1:23" ht="27" thickBot="1">
      <c r="A1242" s="1942" t="s">
        <v>25</v>
      </c>
      <c r="B1242" s="1301">
        <v>45516</v>
      </c>
      <c r="C1242" s="480">
        <f t="shared" ref="C1242:C1305" si="24">_xlfn.ISOWEEKNUM(B1242)</f>
        <v>33</v>
      </c>
      <c r="D1242" s="162" t="s">
        <v>273</v>
      </c>
      <c r="E1242" s="162" t="s">
        <v>5127</v>
      </c>
      <c r="F1242" s="2050" t="s">
        <v>1764</v>
      </c>
      <c r="G1242" s="2051" t="s">
        <v>1206</v>
      </c>
      <c r="H1242" s="76">
        <v>703</v>
      </c>
      <c r="I1242" s="1053" t="s">
        <v>5128</v>
      </c>
      <c r="J1242" s="1763"/>
      <c r="K1242" s="1763"/>
      <c r="L1242" s="1357" t="s">
        <v>37</v>
      </c>
      <c r="M1242" s="1357"/>
      <c r="N1242" s="1357"/>
      <c r="O1242" s="1357"/>
      <c r="P1242" s="1357"/>
      <c r="Q1242" s="1357"/>
      <c r="R1242" s="1357"/>
      <c r="S1242" s="1357"/>
      <c r="T1242" s="1357"/>
      <c r="U1242" s="1981"/>
      <c r="V1242" s="3065"/>
      <c r="W1242"/>
    </row>
    <row r="1243" spans="1:23" ht="27" thickBot="1">
      <c r="A1243" s="1937" t="s">
        <v>25</v>
      </c>
      <c r="B1243" s="1390">
        <v>45516</v>
      </c>
      <c r="C1243" s="480">
        <f t="shared" si="24"/>
        <v>33</v>
      </c>
      <c r="D1243" s="2052" t="s">
        <v>5123</v>
      </c>
      <c r="E1243" s="2052" t="s">
        <v>389</v>
      </c>
      <c r="F1243" s="2053" t="s">
        <v>1764</v>
      </c>
      <c r="G1243" s="2054" t="s">
        <v>1206</v>
      </c>
      <c r="H1243" s="118">
        <v>703</v>
      </c>
      <c r="I1243" s="1977" t="s">
        <v>5128</v>
      </c>
      <c r="J1243" s="1796"/>
      <c r="K1243" s="1796"/>
      <c r="L1243" s="1921" t="s">
        <v>37</v>
      </c>
      <c r="M1243" s="1921"/>
      <c r="N1243" s="1921"/>
      <c r="O1243" s="1921"/>
      <c r="P1243" s="1921"/>
      <c r="Q1243" s="1921"/>
      <c r="R1243" s="1921"/>
      <c r="S1243" s="1921"/>
      <c r="T1243" s="1921"/>
      <c r="U1243" s="2021"/>
      <c r="V1243" s="3065"/>
      <c r="W1243"/>
    </row>
    <row r="1244" spans="1:23" ht="27" thickBot="1">
      <c r="A1244" s="1935" t="s">
        <v>67</v>
      </c>
      <c r="B1244" s="1936">
        <v>45517</v>
      </c>
      <c r="C1244" s="480">
        <f t="shared" si="24"/>
        <v>33</v>
      </c>
      <c r="D1244" s="1943" t="s">
        <v>1091</v>
      </c>
      <c r="E1244" s="1943" t="s">
        <v>5129</v>
      </c>
      <c r="F1244" s="2055" t="s">
        <v>1764</v>
      </c>
      <c r="G1244" s="2056" t="s">
        <v>1206</v>
      </c>
      <c r="H1244" s="1943">
        <v>702</v>
      </c>
      <c r="I1244" s="2057">
        <v>1118</v>
      </c>
      <c r="J1244" s="2058"/>
      <c r="K1244" s="2059" t="s">
        <v>1199</v>
      </c>
      <c r="L1244" s="1979"/>
      <c r="M1244" s="1979"/>
      <c r="N1244" s="1979"/>
      <c r="O1244" s="1979"/>
      <c r="P1244" s="1979"/>
      <c r="Q1244" s="1979"/>
      <c r="R1244" s="1979"/>
      <c r="S1244" s="1979"/>
      <c r="T1244" s="1979"/>
      <c r="U1244" s="1980"/>
      <c r="V1244" s="3065"/>
      <c r="W1244"/>
    </row>
    <row r="1245" spans="1:23" ht="53.25" thickBot="1">
      <c r="A1245" s="76" t="s">
        <v>67</v>
      </c>
      <c r="B1245" s="1300">
        <v>45517</v>
      </c>
      <c r="C1245" s="480">
        <f t="shared" si="24"/>
        <v>33</v>
      </c>
      <c r="D1245" s="76" t="s">
        <v>63</v>
      </c>
      <c r="E1245" s="76" t="s">
        <v>1175</v>
      </c>
      <c r="F1245" s="2060" t="s">
        <v>1764</v>
      </c>
      <c r="G1245" s="2060" t="s">
        <v>1199</v>
      </c>
      <c r="H1245" s="76">
        <v>706</v>
      </c>
      <c r="I1245" s="1053" t="s">
        <v>1141</v>
      </c>
      <c r="J1245" s="5178" t="s">
        <v>84</v>
      </c>
      <c r="K1245" s="5178"/>
      <c r="L1245" s="1979"/>
      <c r="M1245" s="1979" t="s">
        <v>37</v>
      </c>
      <c r="N1245" s="20" t="s">
        <v>0</v>
      </c>
      <c r="O1245" s="20" t="s">
        <v>31</v>
      </c>
      <c r="P1245" s="20" t="s">
        <v>4102</v>
      </c>
      <c r="Q1245" s="2067">
        <v>1</v>
      </c>
      <c r="R1245" s="1979"/>
      <c r="S1245" s="1979"/>
      <c r="T1245" s="1979"/>
      <c r="U1245" s="1980" t="s">
        <v>5130</v>
      </c>
      <c r="V1245" s="3065"/>
      <c r="W1245"/>
    </row>
    <row r="1246" spans="1:23" ht="27" thickBot="1">
      <c r="A1246" s="1941" t="s">
        <v>67</v>
      </c>
      <c r="B1246" s="1300">
        <v>45517</v>
      </c>
      <c r="C1246" s="480">
        <f t="shared" si="24"/>
        <v>33</v>
      </c>
      <c r="D1246" s="76" t="s">
        <v>5131</v>
      </c>
      <c r="E1246" s="76" t="s">
        <v>49</v>
      </c>
      <c r="F1246" s="2061" t="s">
        <v>1764</v>
      </c>
      <c r="G1246" s="2061" t="s">
        <v>1199</v>
      </c>
      <c r="H1246" s="76">
        <v>702</v>
      </c>
      <c r="I1246" s="1053">
        <v>1118</v>
      </c>
      <c r="J1246" s="2062"/>
      <c r="K1246" s="2063" t="s">
        <v>1199</v>
      </c>
      <c r="L1246" s="1357" t="s">
        <v>37</v>
      </c>
      <c r="M1246" s="1357"/>
      <c r="N1246" s="1357"/>
      <c r="O1246" s="1357"/>
      <c r="P1246" s="1357"/>
      <c r="Q1246" s="1357"/>
      <c r="R1246" s="1357"/>
      <c r="S1246" s="1357"/>
      <c r="T1246" s="1357"/>
      <c r="U1246" s="1981"/>
      <c r="V1246" s="3065"/>
      <c r="W1246"/>
    </row>
    <row r="1247" spans="1:23" ht="132" thickBot="1">
      <c r="A1247" s="1941" t="s">
        <v>67</v>
      </c>
      <c r="B1247" s="1300">
        <v>45517</v>
      </c>
      <c r="C1247" s="480">
        <f t="shared" si="24"/>
        <v>33</v>
      </c>
      <c r="D1247" s="76" t="s">
        <v>2549</v>
      </c>
      <c r="E1247" s="76" t="s">
        <v>169</v>
      </c>
      <c r="F1247" s="2061" t="s">
        <v>1764</v>
      </c>
      <c r="G1247" s="2061" t="s">
        <v>1199</v>
      </c>
      <c r="H1247" s="76">
        <v>702</v>
      </c>
      <c r="I1247" s="1053" t="s">
        <v>5132</v>
      </c>
      <c r="J1247" s="2062"/>
      <c r="K1247" s="2063" t="s">
        <v>1199</v>
      </c>
      <c r="L1247" s="1357"/>
      <c r="M1247" s="1357" t="s">
        <v>37</v>
      </c>
      <c r="N1247" s="20" t="s">
        <v>0</v>
      </c>
      <c r="O1247" s="20" t="s">
        <v>343</v>
      </c>
      <c r="P1247" s="20" t="s">
        <v>4082</v>
      </c>
      <c r="Q1247" s="1357"/>
      <c r="R1247" s="1357"/>
      <c r="S1247" s="1357"/>
      <c r="T1247" s="1357"/>
      <c r="U1247" s="1981" t="s">
        <v>5133</v>
      </c>
      <c r="V1247" s="3065"/>
      <c r="W1247"/>
    </row>
    <row r="1248" spans="1:23" ht="27" thickBot="1">
      <c r="A1248" s="1941" t="s">
        <v>67</v>
      </c>
      <c r="B1248" s="1300">
        <v>45517</v>
      </c>
      <c r="C1248" s="480">
        <f t="shared" si="24"/>
        <v>33</v>
      </c>
      <c r="D1248" s="76" t="s">
        <v>5134</v>
      </c>
      <c r="E1248" s="76" t="s">
        <v>5135</v>
      </c>
      <c r="F1248" s="80" t="s">
        <v>1764</v>
      </c>
      <c r="G1248" s="2060" t="s">
        <v>1206</v>
      </c>
      <c r="H1248" s="76">
        <v>701</v>
      </c>
      <c r="I1248" s="1053">
        <v>60072</v>
      </c>
      <c r="J1248" s="2062"/>
      <c r="K1248" s="2063" t="s">
        <v>1199</v>
      </c>
      <c r="L1248" s="1357" t="s">
        <v>37</v>
      </c>
      <c r="M1248" s="1357"/>
      <c r="N1248" s="1357"/>
      <c r="O1248" s="1357"/>
      <c r="P1248" s="1357"/>
      <c r="Q1248" s="1357"/>
      <c r="R1248" s="1357"/>
      <c r="S1248" s="1357"/>
      <c r="T1248" s="1357"/>
      <c r="U1248" s="1981" t="s">
        <v>5136</v>
      </c>
      <c r="V1248" s="3065"/>
      <c r="W1248"/>
    </row>
    <row r="1249" spans="1:23" ht="27" thickBot="1">
      <c r="A1249" s="1941" t="s">
        <v>67</v>
      </c>
      <c r="B1249" s="1300">
        <v>45517</v>
      </c>
      <c r="C1249" s="480">
        <f t="shared" si="24"/>
        <v>33</v>
      </c>
      <c r="D1249" s="1959" t="s">
        <v>3290</v>
      </c>
      <c r="E1249" s="710" t="s">
        <v>3290</v>
      </c>
      <c r="F1249" s="84" t="s">
        <v>1764</v>
      </c>
      <c r="G1249" s="2064" t="s">
        <v>1206</v>
      </c>
      <c r="H1249" s="710">
        <v>702</v>
      </c>
      <c r="I1249" s="2065">
        <v>1516</v>
      </c>
      <c r="J1249" s="5179" t="s">
        <v>174</v>
      </c>
      <c r="K1249" s="5179"/>
      <c r="L1249" s="1357" t="s">
        <v>37</v>
      </c>
      <c r="M1249" s="1357"/>
      <c r="N1249" s="1357"/>
      <c r="O1249" s="1357"/>
      <c r="P1249" s="1357"/>
      <c r="Q1249" s="1357"/>
      <c r="R1249" s="1357"/>
      <c r="S1249" s="1357"/>
      <c r="T1249" s="1357"/>
      <c r="U1249" s="1981"/>
      <c r="V1249" s="3065"/>
      <c r="W1249"/>
    </row>
    <row r="1250" spans="1:23" ht="158.25" thickBot="1">
      <c r="A1250" s="1935" t="s">
        <v>85</v>
      </c>
      <c r="B1250" s="1936">
        <v>45518</v>
      </c>
      <c r="C1250" s="480">
        <f t="shared" si="24"/>
        <v>33</v>
      </c>
      <c r="D1250" s="1943" t="s">
        <v>1187</v>
      </c>
      <c r="E1250" s="162" t="s">
        <v>49</v>
      </c>
      <c r="F1250" s="2066" t="s">
        <v>1764</v>
      </c>
      <c r="G1250" s="2066" t="s">
        <v>1764</v>
      </c>
      <c r="H1250" s="162">
        <v>701</v>
      </c>
      <c r="I1250" s="2057">
        <v>60072</v>
      </c>
      <c r="J1250" s="5180" t="s">
        <v>84</v>
      </c>
      <c r="K1250" s="5180"/>
      <c r="L1250" s="1979"/>
      <c r="M1250" s="1979" t="s">
        <v>37</v>
      </c>
      <c r="N1250" s="20" t="s">
        <v>0</v>
      </c>
      <c r="O1250" s="20" t="s">
        <v>31</v>
      </c>
      <c r="P1250" s="20" t="s">
        <v>4080</v>
      </c>
      <c r="Q1250" s="2067">
        <v>2</v>
      </c>
      <c r="R1250" s="1979"/>
      <c r="S1250" s="1979"/>
      <c r="T1250" s="1979"/>
      <c r="U1250" s="1980" t="s">
        <v>5137</v>
      </c>
      <c r="V1250" s="3065"/>
      <c r="W1250"/>
    </row>
    <row r="1251" spans="1:23" ht="27" thickBot="1">
      <c r="A1251" s="1941" t="s">
        <v>85</v>
      </c>
      <c r="B1251" s="1300">
        <v>45518</v>
      </c>
      <c r="C1251" s="480">
        <f t="shared" si="24"/>
        <v>33</v>
      </c>
      <c r="D1251" s="76" t="s">
        <v>169</v>
      </c>
      <c r="E1251" s="76" t="s">
        <v>530</v>
      </c>
      <c r="F1251" s="80" t="s">
        <v>1764</v>
      </c>
      <c r="G1251" s="2060" t="s">
        <v>1206</v>
      </c>
      <c r="H1251" s="76">
        <v>702</v>
      </c>
      <c r="I1251" s="1053" t="s">
        <v>5138</v>
      </c>
      <c r="J1251" s="1763"/>
      <c r="K1251" s="1204" t="s">
        <v>1199</v>
      </c>
      <c r="L1251" s="1357"/>
      <c r="M1251" s="1357"/>
      <c r="N1251" s="1357"/>
      <c r="O1251" s="1357"/>
      <c r="P1251" s="1357"/>
      <c r="Q1251" s="1357"/>
      <c r="R1251" s="1357"/>
      <c r="S1251" s="1357"/>
      <c r="T1251" s="1357"/>
      <c r="U1251" s="1981"/>
      <c r="V1251" s="3065"/>
      <c r="W1251"/>
    </row>
    <row r="1252" spans="1:23" ht="27" thickBot="1">
      <c r="A1252" s="1937" t="s">
        <v>85</v>
      </c>
      <c r="B1252" s="1390">
        <v>45518</v>
      </c>
      <c r="C1252" s="471">
        <f t="shared" si="24"/>
        <v>33</v>
      </c>
      <c r="D1252" s="118" t="s">
        <v>1780</v>
      </c>
      <c r="E1252" s="118" t="s">
        <v>209</v>
      </c>
      <c r="F1252" s="80" t="s">
        <v>1764</v>
      </c>
      <c r="G1252" s="2060" t="s">
        <v>1206</v>
      </c>
      <c r="H1252" s="118">
        <v>706</v>
      </c>
      <c r="I1252" s="1977" t="s">
        <v>5139</v>
      </c>
      <c r="J1252" s="1796"/>
      <c r="K1252" s="1204" t="s">
        <v>1199</v>
      </c>
      <c r="L1252" s="1921"/>
      <c r="M1252" s="1921"/>
      <c r="N1252" s="1921"/>
      <c r="O1252" s="1921"/>
      <c r="P1252" s="1921"/>
      <c r="Q1252" s="1921"/>
      <c r="R1252" s="1921"/>
      <c r="S1252" s="1921"/>
      <c r="T1252" s="1921"/>
      <c r="U1252" s="2021"/>
      <c r="V1252" s="3065"/>
      <c r="W1252"/>
    </row>
    <row r="1253" spans="1:23" ht="132" thickBot="1">
      <c r="A1253" s="2070" t="s">
        <v>132</v>
      </c>
      <c r="B1253" s="2068">
        <v>45520</v>
      </c>
      <c r="C1253" s="486">
        <f t="shared" si="24"/>
        <v>33</v>
      </c>
      <c r="D1253" s="2069" t="s">
        <v>169</v>
      </c>
      <c r="E1253" s="2075" t="s">
        <v>5140</v>
      </c>
      <c r="F1253" s="2072" t="s">
        <v>1764</v>
      </c>
      <c r="G1253" s="2071" t="s">
        <v>1764</v>
      </c>
      <c r="H1253" s="1935">
        <v>706</v>
      </c>
      <c r="I1253" s="2057" t="s">
        <v>5139</v>
      </c>
      <c r="J1253" s="2076"/>
      <c r="K1253" s="2073"/>
      <c r="L1253" s="2025"/>
      <c r="M1253" s="1979" t="s">
        <v>37</v>
      </c>
      <c r="N1253" s="120" t="s">
        <v>0</v>
      </c>
      <c r="O1253" s="120" t="s">
        <v>126</v>
      </c>
      <c r="P1253" s="120" t="s">
        <v>4102</v>
      </c>
      <c r="Q1253" s="1979"/>
      <c r="R1253" s="1979"/>
      <c r="S1253" s="1979"/>
      <c r="T1253" s="1979"/>
      <c r="U1253" s="1980" t="s">
        <v>5141</v>
      </c>
      <c r="V1253" s="3065"/>
      <c r="W1253"/>
    </row>
    <row r="1254" spans="1:23" ht="27" thickBot="1">
      <c r="A1254" s="1937" t="s">
        <v>132</v>
      </c>
      <c r="B1254" s="1390">
        <v>45520</v>
      </c>
      <c r="C1254" s="471">
        <f t="shared" si="24"/>
        <v>33</v>
      </c>
      <c r="D1254" s="118" t="s">
        <v>2757</v>
      </c>
      <c r="E1254" s="2079" t="s">
        <v>5142</v>
      </c>
      <c r="F1254" s="2046" t="s">
        <v>1764</v>
      </c>
      <c r="G1254" s="204" t="s">
        <v>1199</v>
      </c>
      <c r="H1254" s="1937">
        <v>706</v>
      </c>
      <c r="I1254" s="1977" t="s">
        <v>5139</v>
      </c>
      <c r="J1254" s="2080"/>
      <c r="K1254" s="2074"/>
      <c r="L1254" s="2081"/>
      <c r="M1254" s="1921"/>
      <c r="N1254" s="1921"/>
      <c r="O1254" s="1921"/>
      <c r="P1254" s="1921"/>
      <c r="Q1254" s="1921"/>
      <c r="R1254" s="1921"/>
      <c r="S1254" s="1921"/>
      <c r="T1254" s="1921"/>
      <c r="U1254" s="2021"/>
      <c r="V1254" s="3065"/>
      <c r="W1254"/>
    </row>
    <row r="1255" spans="1:23" ht="27" thickBot="1">
      <c r="A1255" s="2082" t="s">
        <v>143</v>
      </c>
      <c r="B1255" s="1395">
        <v>45521</v>
      </c>
      <c r="C1255" s="486">
        <f t="shared" si="24"/>
        <v>33</v>
      </c>
      <c r="D1255" s="2083" t="s">
        <v>3493</v>
      </c>
      <c r="E1255" s="2084" t="s">
        <v>49</v>
      </c>
      <c r="F1255" s="2077" t="s">
        <v>1764</v>
      </c>
      <c r="G1255" s="2029" t="s">
        <v>1199</v>
      </c>
      <c r="H1255" s="2082">
        <v>701</v>
      </c>
      <c r="I1255" s="2085">
        <v>60072</v>
      </c>
      <c r="J1255" s="2086"/>
      <c r="K1255" s="2078" t="s">
        <v>84</v>
      </c>
      <c r="L1255" s="2087"/>
      <c r="M1255" s="2088"/>
      <c r="N1255" s="2088"/>
      <c r="O1255" s="2088"/>
      <c r="P1255" s="2088"/>
      <c r="Q1255" s="2088"/>
      <c r="R1255" s="2089">
        <v>2</v>
      </c>
      <c r="S1255" s="2088"/>
      <c r="T1255" s="2088"/>
      <c r="U1255" s="2090"/>
      <c r="V1255" s="3065"/>
      <c r="W1255"/>
    </row>
    <row r="1256" spans="1:23" ht="27" thickBot="1">
      <c r="A1256" s="1935" t="s">
        <v>4897</v>
      </c>
      <c r="B1256" s="1936">
        <v>45523</v>
      </c>
      <c r="C1256" s="486">
        <f t="shared" si="24"/>
        <v>34</v>
      </c>
      <c r="D1256" s="637" t="s">
        <v>4223</v>
      </c>
      <c r="E1256" s="637" t="s">
        <v>5143</v>
      </c>
      <c r="F1256" s="2055" t="s">
        <v>1764</v>
      </c>
      <c r="G1256" s="2092" t="s">
        <v>1199</v>
      </c>
      <c r="H1256" s="1943">
        <v>705</v>
      </c>
      <c r="I1256" s="1943" t="s">
        <v>5144</v>
      </c>
      <c r="J1256" s="55"/>
      <c r="K1256" s="2092" t="s">
        <v>1199</v>
      </c>
      <c r="L1256" s="34" t="s">
        <v>37</v>
      </c>
      <c r="M1256" s="55"/>
      <c r="N1256" s="55"/>
      <c r="O1256" s="55"/>
      <c r="P1256" s="55"/>
      <c r="Q1256" s="55"/>
      <c r="R1256" s="55"/>
      <c r="S1256" s="55"/>
      <c r="T1256" s="55"/>
      <c r="U1256" s="56"/>
      <c r="V1256"/>
      <c r="W1256"/>
    </row>
    <row r="1257" spans="1:23" ht="27" thickBot="1">
      <c r="A1257" s="1941" t="s">
        <v>4897</v>
      </c>
      <c r="B1257" s="1300">
        <v>45523</v>
      </c>
      <c r="C1257" s="486">
        <f t="shared" si="24"/>
        <v>34</v>
      </c>
      <c r="D1257" s="839" t="s">
        <v>4486</v>
      </c>
      <c r="E1257" s="839" t="s">
        <v>1161</v>
      </c>
      <c r="F1257" s="80" t="s">
        <v>1764</v>
      </c>
      <c r="G1257" s="2093" t="s">
        <v>1199</v>
      </c>
      <c r="H1257" s="76">
        <v>706</v>
      </c>
      <c r="I1257" s="76" t="s">
        <v>5145</v>
      </c>
      <c r="J1257" s="49"/>
      <c r="K1257" s="1443" t="s">
        <v>84</v>
      </c>
      <c r="L1257" s="21" t="s">
        <v>37</v>
      </c>
      <c r="M1257" s="49"/>
      <c r="N1257" s="49"/>
      <c r="O1257" s="49"/>
      <c r="P1257" s="49"/>
      <c r="Q1257" s="49"/>
      <c r="R1257" s="49"/>
      <c r="S1257" s="49"/>
      <c r="T1257" s="49"/>
      <c r="U1257" s="50"/>
      <c r="V1257"/>
      <c r="W1257"/>
    </row>
    <row r="1258" spans="1:23" ht="27" thickBot="1">
      <c r="A1258" s="1937" t="s">
        <v>1280</v>
      </c>
      <c r="B1258" s="1390">
        <v>45523</v>
      </c>
      <c r="C1258" s="508">
        <f t="shared" si="24"/>
        <v>34</v>
      </c>
      <c r="D1258" s="2113" t="s">
        <v>3964</v>
      </c>
      <c r="E1258" s="2113" t="s">
        <v>1185</v>
      </c>
      <c r="F1258" s="1983" t="s">
        <v>1199</v>
      </c>
      <c r="G1258" s="1983" t="s">
        <v>1199</v>
      </c>
      <c r="H1258" s="118"/>
      <c r="I1258" s="118"/>
      <c r="J1258" s="57"/>
      <c r="K1258" s="1969" t="s">
        <v>84</v>
      </c>
      <c r="L1258" s="24" t="s">
        <v>37</v>
      </c>
      <c r="M1258" s="51"/>
      <c r="N1258" s="51"/>
      <c r="O1258" s="51"/>
      <c r="P1258" s="51"/>
      <c r="Q1258" s="51"/>
      <c r="R1258" s="51"/>
      <c r="S1258" s="51"/>
      <c r="T1258" s="51"/>
      <c r="U1258" s="53"/>
      <c r="V1258"/>
      <c r="W1258"/>
    </row>
    <row r="1259" spans="1:23">
      <c r="A1259" s="1935" t="s">
        <v>5146</v>
      </c>
      <c r="B1259" s="1936">
        <v>45524</v>
      </c>
      <c r="C1259" s="465">
        <f t="shared" si="24"/>
        <v>34</v>
      </c>
      <c r="D1259" s="637" t="s">
        <v>1145</v>
      </c>
      <c r="E1259" s="2114" t="s">
        <v>5147</v>
      </c>
      <c r="F1259" s="2110" t="s">
        <v>1764</v>
      </c>
      <c r="G1259" s="2107" t="s">
        <v>1764</v>
      </c>
      <c r="H1259" s="1935">
        <v>705</v>
      </c>
      <c r="I1259" s="2116" t="s">
        <v>5144</v>
      </c>
      <c r="J1259" s="328"/>
      <c r="K1259" s="2117" t="s">
        <v>37</v>
      </c>
      <c r="L1259" s="34" t="s">
        <v>37</v>
      </c>
      <c r="M1259" s="55"/>
      <c r="N1259" s="55"/>
      <c r="O1259" s="55"/>
      <c r="P1259" s="55"/>
      <c r="Q1259" s="55"/>
      <c r="R1259" s="55"/>
      <c r="S1259" s="55"/>
      <c r="T1259" s="55"/>
      <c r="U1259" s="56"/>
      <c r="V1259"/>
      <c r="W1259"/>
    </row>
    <row r="1260" spans="1:23">
      <c r="A1260" s="1941" t="s">
        <v>5146</v>
      </c>
      <c r="B1260" s="1300">
        <v>45524</v>
      </c>
      <c r="C1260" s="468">
        <f t="shared" si="24"/>
        <v>34</v>
      </c>
      <c r="D1260" s="839" t="s">
        <v>4391</v>
      </c>
      <c r="E1260" s="840" t="s">
        <v>1198</v>
      </c>
      <c r="F1260" s="2111" t="s">
        <v>1199</v>
      </c>
      <c r="G1260" s="2108" t="s">
        <v>1199</v>
      </c>
      <c r="H1260" s="1941">
        <v>706</v>
      </c>
      <c r="I1260" s="137" t="s">
        <v>5148</v>
      </c>
      <c r="J1260" s="354"/>
      <c r="K1260" s="2118" t="s">
        <v>84</v>
      </c>
      <c r="L1260" s="21" t="s">
        <v>37</v>
      </c>
      <c r="M1260" s="49"/>
      <c r="N1260" s="49"/>
      <c r="O1260" s="49"/>
      <c r="P1260" s="49"/>
      <c r="Q1260" s="49"/>
      <c r="R1260" s="49"/>
      <c r="S1260" s="49"/>
      <c r="T1260" s="49"/>
      <c r="U1260" s="50"/>
      <c r="V1260"/>
      <c r="W1260"/>
    </row>
    <row r="1261" spans="1:23" ht="30">
      <c r="A1261" s="1941" t="s">
        <v>5146</v>
      </c>
      <c r="B1261" s="1300">
        <v>45524</v>
      </c>
      <c r="C1261" s="468">
        <f t="shared" si="24"/>
        <v>34</v>
      </c>
      <c r="D1261" s="92" t="s">
        <v>273</v>
      </c>
      <c r="E1261" s="702" t="s">
        <v>5149</v>
      </c>
      <c r="F1261" s="2111" t="s">
        <v>1199</v>
      </c>
      <c r="G1261" s="2108" t="s">
        <v>1199</v>
      </c>
      <c r="H1261" s="1941">
        <v>706</v>
      </c>
      <c r="I1261" s="137" t="s">
        <v>1895</v>
      </c>
      <c r="J1261" s="354"/>
      <c r="K1261" s="2118" t="s">
        <v>84</v>
      </c>
      <c r="L1261" s="21" t="s">
        <v>37</v>
      </c>
      <c r="M1261" s="49"/>
      <c r="N1261" s="49"/>
      <c r="O1261" s="49"/>
      <c r="P1261" s="49"/>
      <c r="Q1261" s="49"/>
      <c r="R1261" s="49"/>
      <c r="S1261" s="49"/>
      <c r="T1261" s="49"/>
      <c r="U1261" s="66" t="s">
        <v>5150</v>
      </c>
      <c r="V1261" s="2564"/>
      <c r="W1261"/>
    </row>
    <row r="1262" spans="1:23">
      <c r="A1262" s="1941" t="s">
        <v>5146</v>
      </c>
      <c r="B1262" s="1300">
        <v>45524</v>
      </c>
      <c r="C1262" s="468">
        <f t="shared" si="24"/>
        <v>34</v>
      </c>
      <c r="D1262" s="92" t="s">
        <v>5151</v>
      </c>
      <c r="E1262" s="702" t="s">
        <v>5152</v>
      </c>
      <c r="F1262" s="2111" t="s">
        <v>1199</v>
      </c>
      <c r="G1262" s="2108" t="s">
        <v>1199</v>
      </c>
      <c r="H1262" s="1941">
        <v>706</v>
      </c>
      <c r="I1262" s="137" t="s">
        <v>1895</v>
      </c>
      <c r="J1262" s="354"/>
      <c r="K1262" s="2119" t="s">
        <v>37</v>
      </c>
      <c r="L1262" s="21" t="s">
        <v>37</v>
      </c>
      <c r="M1262" s="49"/>
      <c r="N1262" s="49"/>
      <c r="O1262" s="49"/>
      <c r="P1262" s="49"/>
      <c r="Q1262" s="49"/>
      <c r="R1262" s="49"/>
      <c r="S1262" s="49"/>
      <c r="T1262" s="49"/>
      <c r="U1262" s="50"/>
      <c r="V1262"/>
      <c r="W1262"/>
    </row>
    <row r="1263" spans="1:23">
      <c r="A1263" s="1941" t="s">
        <v>5146</v>
      </c>
      <c r="B1263" s="1300">
        <v>45524</v>
      </c>
      <c r="C1263" s="468">
        <f t="shared" si="24"/>
        <v>34</v>
      </c>
      <c r="D1263" s="92" t="s">
        <v>1239</v>
      </c>
      <c r="E1263" s="702" t="s">
        <v>5153</v>
      </c>
      <c r="F1263" s="2111" t="s">
        <v>1199</v>
      </c>
      <c r="G1263" s="2108" t="s">
        <v>1199</v>
      </c>
      <c r="H1263" s="1941">
        <v>706</v>
      </c>
      <c r="I1263" s="137" t="s">
        <v>5154</v>
      </c>
      <c r="J1263" s="354"/>
      <c r="K1263" s="2119"/>
      <c r="L1263" s="21" t="s">
        <v>37</v>
      </c>
      <c r="M1263" s="49"/>
      <c r="N1263" s="49"/>
      <c r="O1263" s="49"/>
      <c r="P1263" s="49"/>
      <c r="Q1263" s="49"/>
      <c r="R1263" s="49"/>
      <c r="S1263" s="49"/>
      <c r="T1263" s="49"/>
      <c r="U1263" s="50"/>
      <c r="V1263"/>
      <c r="W1263"/>
    </row>
    <row r="1264" spans="1:23" ht="28.5">
      <c r="A1264" s="1941" t="s">
        <v>5146</v>
      </c>
      <c r="B1264" s="1300">
        <v>45524</v>
      </c>
      <c r="C1264" s="468">
        <f t="shared" si="24"/>
        <v>34</v>
      </c>
      <c r="D1264" s="901" t="s">
        <v>1512</v>
      </c>
      <c r="E1264" s="2115" t="s">
        <v>5155</v>
      </c>
      <c r="F1264" s="2111" t="s">
        <v>1764</v>
      </c>
      <c r="G1264" s="2095" t="s">
        <v>1199</v>
      </c>
      <c r="H1264" s="1941">
        <v>701</v>
      </c>
      <c r="I1264" s="137" t="s">
        <v>5156</v>
      </c>
      <c r="J1264" s="354"/>
      <c r="K1264" s="2120" t="s">
        <v>37</v>
      </c>
      <c r="L1264" s="21" t="s">
        <v>37</v>
      </c>
      <c r="M1264" s="49"/>
      <c r="N1264" s="49"/>
      <c r="O1264" s="49"/>
      <c r="P1264" s="49"/>
      <c r="Q1264" s="49"/>
      <c r="R1264" s="49"/>
      <c r="S1264" s="49"/>
      <c r="T1264" s="49"/>
      <c r="U1264" s="50" t="s">
        <v>5157</v>
      </c>
      <c r="V1264"/>
      <c r="W1264"/>
    </row>
    <row r="1265" spans="1:23" ht="27" thickBot="1">
      <c r="A1265" s="1937" t="s">
        <v>5146</v>
      </c>
      <c r="B1265" s="1390">
        <v>45524</v>
      </c>
      <c r="C1265" s="471">
        <f t="shared" si="24"/>
        <v>34</v>
      </c>
      <c r="D1265" s="2113" t="s">
        <v>4486</v>
      </c>
      <c r="E1265" s="2124" t="s">
        <v>5158</v>
      </c>
      <c r="F1265" s="2112" t="s">
        <v>1199</v>
      </c>
      <c r="G1265" s="2109" t="s">
        <v>1199</v>
      </c>
      <c r="H1265" s="1937"/>
      <c r="I1265" s="2079">
        <v>60020</v>
      </c>
      <c r="J1265" s="356"/>
      <c r="K1265" s="2125" t="s">
        <v>84</v>
      </c>
      <c r="L1265" s="24" t="s">
        <v>37</v>
      </c>
      <c r="M1265" s="51"/>
      <c r="N1265" s="51"/>
      <c r="O1265" s="51"/>
      <c r="P1265" s="51"/>
      <c r="Q1265" s="51"/>
      <c r="R1265" s="51"/>
      <c r="S1265" s="51"/>
      <c r="T1265" s="51"/>
      <c r="U1265" s="53"/>
      <c r="V1265"/>
      <c r="W1265"/>
    </row>
    <row r="1266" spans="1:23">
      <c r="A1266" s="1935" t="s">
        <v>3802</v>
      </c>
      <c r="B1266" s="1936">
        <v>45525</v>
      </c>
      <c r="C1266" s="465">
        <f t="shared" si="24"/>
        <v>34</v>
      </c>
      <c r="D1266" s="637" t="s">
        <v>4486</v>
      </c>
      <c r="E1266" s="2114" t="s">
        <v>5159</v>
      </c>
      <c r="F1266" s="2123" t="s">
        <v>1199</v>
      </c>
      <c r="G1266" s="2122" t="s">
        <v>1199</v>
      </c>
      <c r="H1266" s="1935">
        <v>705</v>
      </c>
      <c r="I1266" s="2116" t="s">
        <v>5144</v>
      </c>
      <c r="J1266" s="352"/>
      <c r="K1266" s="230"/>
      <c r="L1266" s="67" t="s">
        <v>37</v>
      </c>
      <c r="M1266" s="55"/>
      <c r="N1266" s="55"/>
      <c r="O1266" s="55"/>
      <c r="P1266" s="55"/>
      <c r="Q1266" s="55"/>
      <c r="R1266" s="55"/>
      <c r="S1266" s="55"/>
      <c r="T1266" s="55"/>
      <c r="U1266" s="56"/>
      <c r="V1266"/>
      <c r="W1266"/>
    </row>
    <row r="1267" spans="1:23">
      <c r="A1267" s="1941" t="s">
        <v>3802</v>
      </c>
      <c r="B1267" s="1300">
        <v>45525</v>
      </c>
      <c r="C1267" s="468">
        <f t="shared" si="24"/>
        <v>34</v>
      </c>
      <c r="D1267" s="92" t="s">
        <v>3538</v>
      </c>
      <c r="E1267" s="702" t="s">
        <v>4486</v>
      </c>
      <c r="F1267" s="2111" t="s">
        <v>1764</v>
      </c>
      <c r="G1267" s="2108" t="s">
        <v>1199</v>
      </c>
      <c r="H1267" s="1941">
        <v>706</v>
      </c>
      <c r="I1267" s="137" t="s">
        <v>5154</v>
      </c>
      <c r="K1267" s="231"/>
      <c r="L1267" s="22" t="s">
        <v>37</v>
      </c>
      <c r="M1267" s="49"/>
      <c r="N1267" s="49"/>
      <c r="O1267" s="49"/>
      <c r="P1267" s="49"/>
      <c r="Q1267" s="49"/>
      <c r="R1267" s="49"/>
      <c r="S1267" s="49"/>
      <c r="T1267" s="49"/>
      <c r="U1267" s="50"/>
      <c r="V1267"/>
      <c r="W1267"/>
    </row>
    <row r="1268" spans="1:23" ht="27" thickBot="1">
      <c r="A1268" s="1938" t="s">
        <v>3802</v>
      </c>
      <c r="B1268" s="1312">
        <v>45525</v>
      </c>
      <c r="C1268" s="480">
        <f t="shared" si="24"/>
        <v>34</v>
      </c>
      <c r="D1268" s="103" t="s">
        <v>3373</v>
      </c>
      <c r="E1268" s="2126" t="s">
        <v>5160</v>
      </c>
      <c r="F1268" s="2111" t="s">
        <v>1199</v>
      </c>
      <c r="G1268" s="2108" t="s">
        <v>1764</v>
      </c>
      <c r="H1268" s="1938">
        <v>701</v>
      </c>
      <c r="I1268" s="711" t="s">
        <v>5161</v>
      </c>
      <c r="J1268" s="354"/>
      <c r="K1268" s="2121" t="s">
        <v>133</v>
      </c>
      <c r="L1268" s="88" t="s">
        <v>37</v>
      </c>
      <c r="M1268" s="57"/>
      <c r="N1268" s="57"/>
      <c r="O1268" s="57"/>
      <c r="P1268" s="57"/>
      <c r="Q1268" s="57"/>
      <c r="R1268" s="57"/>
      <c r="S1268" s="57"/>
      <c r="T1268" s="57"/>
      <c r="U1268" s="99"/>
      <c r="V1268"/>
      <c r="W1268"/>
    </row>
    <row r="1269" spans="1:23" ht="27" thickBot="1">
      <c r="A1269" s="1942" t="s">
        <v>4144</v>
      </c>
      <c r="B1269" s="1301">
        <v>45526</v>
      </c>
      <c r="C1269" s="520">
        <f t="shared" si="24"/>
        <v>34</v>
      </c>
      <c r="D1269" s="170" t="s">
        <v>491</v>
      </c>
      <c r="E1269" s="170" t="s">
        <v>220</v>
      </c>
      <c r="F1269" s="2055" t="s">
        <v>1764</v>
      </c>
      <c r="G1269" s="2055" t="s">
        <v>1764</v>
      </c>
      <c r="H1269" s="162">
        <v>701</v>
      </c>
      <c r="I1269" s="162" t="s">
        <v>5161</v>
      </c>
      <c r="J1269" s="55"/>
      <c r="K1269" s="1442" t="s">
        <v>133</v>
      </c>
      <c r="L1269" s="182" t="s">
        <v>37</v>
      </c>
      <c r="M1269" s="111"/>
      <c r="N1269" s="111"/>
      <c r="O1269" s="111"/>
      <c r="P1269" s="111"/>
      <c r="Q1269" s="111"/>
      <c r="R1269" s="111"/>
      <c r="S1269" s="111"/>
      <c r="T1269" s="111"/>
      <c r="U1269" s="112"/>
      <c r="V1269"/>
      <c r="W1269"/>
    </row>
    <row r="1270" spans="1:23" ht="27" thickBot="1">
      <c r="A1270" s="1941" t="s">
        <v>4144</v>
      </c>
      <c r="B1270" s="1300">
        <v>45526</v>
      </c>
      <c r="C1270" s="486">
        <f t="shared" si="24"/>
        <v>34</v>
      </c>
      <c r="D1270" s="2096" t="s">
        <v>4486</v>
      </c>
      <c r="E1270" s="2096" t="s">
        <v>5162</v>
      </c>
      <c r="F1270" s="80" t="s">
        <v>1199</v>
      </c>
      <c r="G1270" s="80" t="s">
        <v>1199</v>
      </c>
      <c r="H1270" s="76">
        <v>706</v>
      </c>
      <c r="I1270" s="76" t="s">
        <v>1517</v>
      </c>
      <c r="J1270" s="49"/>
      <c r="K1270" s="1443" t="s">
        <v>4784</v>
      </c>
      <c r="L1270" s="22" t="s">
        <v>37</v>
      </c>
      <c r="M1270" s="49"/>
      <c r="N1270" s="49"/>
      <c r="O1270" s="49"/>
      <c r="P1270" s="49"/>
      <c r="Q1270" s="49"/>
      <c r="R1270" s="49"/>
      <c r="S1270" s="49"/>
      <c r="T1270" s="49"/>
      <c r="U1270" s="50"/>
      <c r="V1270"/>
      <c r="W1270"/>
    </row>
    <row r="1271" spans="1:23" ht="27" thickBot="1">
      <c r="A1271" s="1941" t="s">
        <v>4144</v>
      </c>
      <c r="B1271" s="1300">
        <v>45526</v>
      </c>
      <c r="C1271" s="486">
        <f t="shared" si="24"/>
        <v>34</v>
      </c>
      <c r="D1271" s="2096" t="s">
        <v>5163</v>
      </c>
      <c r="E1271" s="2096" t="s">
        <v>4486</v>
      </c>
      <c r="F1271" s="80" t="s">
        <v>1199</v>
      </c>
      <c r="G1271" s="80" t="s">
        <v>1199</v>
      </c>
      <c r="H1271" s="76">
        <v>706</v>
      </c>
      <c r="I1271" s="76" t="s">
        <v>5164</v>
      </c>
      <c r="J1271" s="49"/>
      <c r="K1271" s="1443" t="s">
        <v>4784</v>
      </c>
      <c r="L1271" s="22" t="s">
        <v>37</v>
      </c>
      <c r="M1271" s="49"/>
      <c r="N1271" s="49"/>
      <c r="O1271" s="49"/>
      <c r="P1271" s="49"/>
      <c r="Q1271" s="49"/>
      <c r="R1271" s="49"/>
      <c r="S1271" s="49"/>
      <c r="T1271" s="49"/>
      <c r="U1271" s="50"/>
      <c r="V1271"/>
      <c r="W1271"/>
    </row>
    <row r="1272" spans="1:23" ht="29.25" thickBot="1">
      <c r="A1272" s="1941" t="s">
        <v>4144</v>
      </c>
      <c r="B1272" s="1300">
        <v>45526</v>
      </c>
      <c r="C1272" s="486">
        <f t="shared" si="24"/>
        <v>34</v>
      </c>
      <c r="D1272" s="2097" t="s">
        <v>4538</v>
      </c>
      <c r="E1272" s="2097" t="s">
        <v>5165</v>
      </c>
      <c r="F1272" s="78" t="s">
        <v>1199</v>
      </c>
      <c r="G1272" s="78" t="s">
        <v>1199</v>
      </c>
      <c r="H1272" s="76">
        <v>706</v>
      </c>
      <c r="I1272" s="1909" t="s">
        <v>5166</v>
      </c>
      <c r="J1272" s="49"/>
      <c r="K1272" s="1443" t="s">
        <v>4784</v>
      </c>
      <c r="L1272" s="22" t="s">
        <v>37</v>
      </c>
      <c r="M1272" s="49"/>
      <c r="N1272" s="49"/>
      <c r="O1272" s="49"/>
      <c r="P1272" s="49"/>
      <c r="Q1272" s="49"/>
      <c r="R1272" s="49"/>
      <c r="S1272" s="49"/>
      <c r="T1272" s="49"/>
      <c r="U1272" s="50"/>
      <c r="V1272"/>
      <c r="W1272"/>
    </row>
    <row r="1273" spans="1:23" ht="27" thickBot="1">
      <c r="A1273" s="1941" t="s">
        <v>4144</v>
      </c>
      <c r="B1273" s="1300">
        <v>45526</v>
      </c>
      <c r="C1273" s="486">
        <f t="shared" si="24"/>
        <v>34</v>
      </c>
      <c r="D1273" s="839" t="s">
        <v>4955</v>
      </c>
      <c r="E1273" s="839" t="s">
        <v>5167</v>
      </c>
      <c r="F1273" s="80" t="s">
        <v>1199</v>
      </c>
      <c r="G1273" s="80" t="s">
        <v>1199</v>
      </c>
      <c r="H1273" s="76">
        <v>706</v>
      </c>
      <c r="I1273" s="118" t="s">
        <v>5148</v>
      </c>
      <c r="J1273" s="49"/>
      <c r="K1273" s="1443" t="s">
        <v>3582</v>
      </c>
      <c r="L1273" s="22" t="s">
        <v>37</v>
      </c>
      <c r="M1273" s="49"/>
      <c r="N1273" s="49"/>
      <c r="O1273" s="49"/>
      <c r="P1273" s="49"/>
      <c r="Q1273" s="49"/>
      <c r="R1273" s="49"/>
      <c r="S1273" s="49"/>
      <c r="T1273" s="49"/>
      <c r="U1273" s="50" t="s">
        <v>5168</v>
      </c>
      <c r="V1273"/>
      <c r="W1273"/>
    </row>
    <row r="1274" spans="1:23" ht="27" thickBot="1">
      <c r="A1274" s="1941" t="s">
        <v>4144</v>
      </c>
      <c r="B1274" s="1300">
        <v>45526</v>
      </c>
      <c r="C1274" s="486">
        <f t="shared" si="24"/>
        <v>34</v>
      </c>
      <c r="D1274" s="2098" t="s">
        <v>4378</v>
      </c>
      <c r="E1274" s="2098" t="s">
        <v>183</v>
      </c>
      <c r="F1274" s="2099" t="s">
        <v>1199</v>
      </c>
      <c r="G1274" s="2099" t="s">
        <v>1199</v>
      </c>
      <c r="H1274" s="76">
        <v>706</v>
      </c>
      <c r="I1274" s="118" t="s">
        <v>430</v>
      </c>
      <c r="J1274" s="49"/>
      <c r="K1274" s="1596"/>
      <c r="L1274" s="22" t="s">
        <v>37</v>
      </c>
      <c r="M1274" s="49"/>
      <c r="N1274" s="49"/>
      <c r="O1274" s="49"/>
      <c r="P1274" s="49"/>
      <c r="Q1274" s="49"/>
      <c r="R1274" s="49"/>
      <c r="S1274" s="82" t="s">
        <v>37</v>
      </c>
      <c r="T1274" s="49"/>
      <c r="U1274" s="50"/>
      <c r="V1274"/>
      <c r="W1274"/>
    </row>
    <row r="1275" spans="1:23" ht="27" thickBot="1">
      <c r="A1275" s="1941" t="s">
        <v>4144</v>
      </c>
      <c r="B1275" s="1300">
        <v>45526</v>
      </c>
      <c r="C1275" s="486">
        <f t="shared" si="24"/>
        <v>34</v>
      </c>
      <c r="D1275" s="2098" t="s">
        <v>1145</v>
      </c>
      <c r="E1275" s="2098" t="s">
        <v>5169</v>
      </c>
      <c r="F1275" s="1974" t="s">
        <v>1199</v>
      </c>
      <c r="G1275" s="2099" t="s">
        <v>1199</v>
      </c>
      <c r="H1275" s="76">
        <v>706</v>
      </c>
      <c r="I1275" s="118" t="s">
        <v>5170</v>
      </c>
      <c r="J1275" s="49"/>
      <c r="K1275" s="1596"/>
      <c r="L1275" s="22" t="s">
        <v>37</v>
      </c>
      <c r="M1275" s="49"/>
      <c r="N1275" s="49"/>
      <c r="O1275" s="49"/>
      <c r="P1275" s="49"/>
      <c r="Q1275" s="49"/>
      <c r="R1275" s="49"/>
      <c r="S1275" s="82" t="s">
        <v>37</v>
      </c>
      <c r="T1275" s="49"/>
      <c r="U1275" s="50"/>
      <c r="V1275"/>
      <c r="W1275"/>
    </row>
    <row r="1276" spans="1:23" ht="27" thickBot="1">
      <c r="A1276" s="1941" t="s">
        <v>4144</v>
      </c>
      <c r="B1276" s="1300">
        <v>45526</v>
      </c>
      <c r="C1276" s="486">
        <f t="shared" si="24"/>
        <v>34</v>
      </c>
      <c r="D1276" s="2100" t="s">
        <v>5171</v>
      </c>
      <c r="E1276" s="2100" t="s">
        <v>5172</v>
      </c>
      <c r="F1276" s="80" t="s">
        <v>1764</v>
      </c>
      <c r="G1276" s="80" t="s">
        <v>1764</v>
      </c>
      <c r="H1276" s="76">
        <v>706</v>
      </c>
      <c r="I1276" s="76">
        <v>60020</v>
      </c>
      <c r="J1276" s="49"/>
      <c r="K1276" s="1443" t="s">
        <v>84</v>
      </c>
      <c r="L1276" s="21" t="s">
        <v>37</v>
      </c>
      <c r="M1276" s="49"/>
      <c r="N1276" s="49"/>
      <c r="O1276" s="49"/>
      <c r="P1276" s="49"/>
      <c r="Q1276" s="49"/>
      <c r="R1276" s="49"/>
      <c r="S1276" s="49"/>
      <c r="T1276" s="49"/>
      <c r="U1276" s="50" t="s">
        <v>5173</v>
      </c>
      <c r="V1276"/>
      <c r="W1276"/>
    </row>
    <row r="1277" spans="1:23" ht="29.25" thickBot="1">
      <c r="A1277" s="1941" t="s">
        <v>4144</v>
      </c>
      <c r="B1277" s="1300">
        <v>45526</v>
      </c>
      <c r="C1277" s="486">
        <f t="shared" si="24"/>
        <v>34</v>
      </c>
      <c r="D1277" s="76" t="s">
        <v>4155</v>
      </c>
      <c r="E1277" s="76" t="s">
        <v>3620</v>
      </c>
      <c r="F1277" s="80" t="s">
        <v>1764</v>
      </c>
      <c r="G1277" s="2101" t="s">
        <v>1199</v>
      </c>
      <c r="H1277" s="76">
        <v>702</v>
      </c>
      <c r="I1277" s="76" t="s">
        <v>5174</v>
      </c>
      <c r="J1277" s="49"/>
      <c r="K1277" s="49"/>
      <c r="L1277" s="22" t="s">
        <v>37</v>
      </c>
      <c r="M1277" s="49"/>
      <c r="N1277" s="49"/>
      <c r="O1277" s="49"/>
      <c r="P1277" s="49"/>
      <c r="Q1277" s="49"/>
      <c r="R1277" s="49"/>
      <c r="S1277" s="49"/>
      <c r="T1277" s="49"/>
      <c r="U1277" s="50"/>
      <c r="V1277"/>
      <c r="W1277"/>
    </row>
    <row r="1278" spans="1:23" ht="32.25" thickBot="1">
      <c r="A1278" s="1938" t="s">
        <v>4144</v>
      </c>
      <c r="B1278" s="1312">
        <v>45525</v>
      </c>
      <c r="C1278" s="486">
        <f t="shared" si="24"/>
        <v>34</v>
      </c>
      <c r="D1278" s="710" t="s">
        <v>3620</v>
      </c>
      <c r="E1278" s="710" t="s">
        <v>4155</v>
      </c>
      <c r="F1278" s="2102" t="s">
        <v>1764</v>
      </c>
      <c r="G1278" s="2103" t="s">
        <v>1199</v>
      </c>
      <c r="H1278" s="710">
        <v>702</v>
      </c>
      <c r="I1278" s="710" t="s">
        <v>5174</v>
      </c>
      <c r="J1278" s="57"/>
      <c r="K1278" s="57"/>
      <c r="L1278" s="88" t="s">
        <v>37</v>
      </c>
      <c r="M1278" s="57"/>
      <c r="N1278" s="57"/>
      <c r="O1278" s="57"/>
      <c r="P1278" s="57"/>
      <c r="Q1278" s="57"/>
      <c r="R1278" s="57"/>
      <c r="S1278" s="57"/>
      <c r="T1278" s="57"/>
      <c r="U1278" s="99"/>
      <c r="V1278"/>
      <c r="W1278"/>
    </row>
    <row r="1279" spans="1:23" ht="53.25" thickBot="1">
      <c r="A1279" s="1939" t="s">
        <v>5175</v>
      </c>
      <c r="B1279" s="1940">
        <v>45527</v>
      </c>
      <c r="C1279" s="486">
        <f t="shared" si="24"/>
        <v>34</v>
      </c>
      <c r="D1279" s="2104" t="s">
        <v>1145</v>
      </c>
      <c r="E1279" s="2104" t="s">
        <v>5142</v>
      </c>
      <c r="F1279" s="2105" t="s">
        <v>2994</v>
      </c>
      <c r="G1279" s="2105" t="s">
        <v>2994</v>
      </c>
      <c r="H1279" s="2106">
        <v>701</v>
      </c>
      <c r="I1279" s="2106" t="s">
        <v>5176</v>
      </c>
      <c r="J1279" s="190"/>
      <c r="K1279" s="190"/>
      <c r="L1279" s="190"/>
      <c r="M1279" s="190" t="s">
        <v>37</v>
      </c>
      <c r="N1279" s="20" t="s">
        <v>0</v>
      </c>
      <c r="O1279" s="20" t="s">
        <v>187</v>
      </c>
      <c r="P1279" s="20" t="s">
        <v>4080</v>
      </c>
      <c r="Q1279" s="190"/>
      <c r="R1279" s="190"/>
      <c r="S1279" s="190"/>
      <c r="T1279" s="190"/>
      <c r="U1279" s="195" t="s">
        <v>5177</v>
      </c>
      <c r="V1279"/>
      <c r="W1279"/>
    </row>
    <row r="1280" spans="1:23" ht="27" thickBot="1">
      <c r="A1280" s="1938" t="s">
        <v>1857</v>
      </c>
      <c r="B1280" s="1312">
        <v>45527</v>
      </c>
      <c r="C1280" s="486">
        <f t="shared" si="24"/>
        <v>34</v>
      </c>
      <c r="D1280" s="2094" t="s">
        <v>4664</v>
      </c>
      <c r="E1280" s="2094" t="s">
        <v>5178</v>
      </c>
      <c r="F1280" s="84" t="s">
        <v>1199</v>
      </c>
      <c r="G1280" s="84" t="s">
        <v>1199</v>
      </c>
      <c r="H1280" s="710">
        <v>706</v>
      </c>
      <c r="I1280" s="710">
        <v>60020</v>
      </c>
      <c r="J1280" s="710"/>
      <c r="K1280" s="710"/>
      <c r="L1280" s="710" t="s">
        <v>37</v>
      </c>
      <c r="M1280" s="57"/>
      <c r="N1280" s="57"/>
      <c r="O1280" s="57"/>
      <c r="P1280" s="57"/>
      <c r="Q1280" s="57"/>
      <c r="R1280" s="57"/>
      <c r="S1280" s="57"/>
      <c r="T1280" s="57"/>
      <c r="U1280" s="99"/>
      <c r="V1280"/>
      <c r="W1280"/>
    </row>
    <row r="1281" spans="1:23" ht="27" thickBot="1">
      <c r="A1281" s="162" t="s">
        <v>4897</v>
      </c>
      <c r="B1281" s="1301">
        <v>45530</v>
      </c>
      <c r="C1281" s="486">
        <f t="shared" si="24"/>
        <v>35</v>
      </c>
      <c r="D1281" s="2127" t="s">
        <v>3054</v>
      </c>
      <c r="E1281" s="2127" t="s">
        <v>450</v>
      </c>
      <c r="F1281" s="1200" t="s">
        <v>1199</v>
      </c>
      <c r="G1281" s="1200" t="s">
        <v>1199</v>
      </c>
      <c r="H1281" s="1009">
        <v>705</v>
      </c>
      <c r="I1281" s="1009" t="s">
        <v>5179</v>
      </c>
      <c r="J1281" s="1009"/>
      <c r="K1281" s="1442" t="s">
        <v>84</v>
      </c>
      <c r="L1281" s="1009" t="s">
        <v>37</v>
      </c>
      <c r="M1281" s="97"/>
      <c r="N1281" s="97"/>
      <c r="O1281" s="97"/>
      <c r="P1281" s="97"/>
      <c r="Q1281" s="97"/>
      <c r="R1281" s="97"/>
      <c r="S1281" s="97"/>
      <c r="T1281" s="97"/>
      <c r="U1281" s="97"/>
      <c r="V1281" s="2464"/>
      <c r="W1281"/>
    </row>
    <row r="1282" spans="1:23" ht="27" thickBot="1">
      <c r="A1282" s="76" t="s">
        <v>4897</v>
      </c>
      <c r="B1282" s="1300">
        <v>45530</v>
      </c>
      <c r="C1282" s="486">
        <f t="shared" si="24"/>
        <v>35</v>
      </c>
      <c r="D1282" s="439" t="s">
        <v>4091</v>
      </c>
      <c r="E1282" s="439" t="s">
        <v>1145</v>
      </c>
      <c r="F1282" s="927" t="s">
        <v>1199</v>
      </c>
      <c r="G1282" s="927" t="s">
        <v>1199</v>
      </c>
      <c r="H1282" s="923">
        <v>706</v>
      </c>
      <c r="I1282" s="923" t="s">
        <v>1517</v>
      </c>
      <c r="J1282" s="923"/>
      <c r="K1282" s="1443" t="s">
        <v>84</v>
      </c>
      <c r="L1282" s="923" t="s">
        <v>37</v>
      </c>
      <c r="M1282" s="71"/>
      <c r="N1282" s="71"/>
      <c r="O1282" s="71"/>
      <c r="P1282" s="71"/>
      <c r="Q1282" s="71"/>
      <c r="R1282" s="71"/>
      <c r="S1282" s="71"/>
      <c r="T1282" s="71"/>
      <c r="U1282" s="71"/>
      <c r="V1282" s="2464"/>
      <c r="W1282"/>
    </row>
    <row r="1283" spans="1:23" ht="27" thickBot="1">
      <c r="A1283" s="76" t="s">
        <v>4897</v>
      </c>
      <c r="B1283" s="1300">
        <v>45530</v>
      </c>
      <c r="C1283" s="486">
        <f t="shared" si="24"/>
        <v>35</v>
      </c>
      <c r="D1283" s="835" t="s">
        <v>80</v>
      </c>
      <c r="E1283" s="835" t="s">
        <v>3786</v>
      </c>
      <c r="F1283" s="80" t="s">
        <v>1199</v>
      </c>
      <c r="G1283" s="927" t="s">
        <v>1199</v>
      </c>
      <c r="H1283" s="76">
        <v>701</v>
      </c>
      <c r="I1283" s="76" t="s">
        <v>5180</v>
      </c>
      <c r="J1283" s="49"/>
      <c r="K1283" s="1973"/>
      <c r="L1283" s="2128" t="s">
        <v>37</v>
      </c>
      <c r="M1283" s="49"/>
      <c r="N1283" s="49"/>
      <c r="O1283" s="49"/>
      <c r="P1283" s="49"/>
      <c r="Q1283" s="49"/>
      <c r="R1283" s="49"/>
      <c r="S1283" s="49"/>
      <c r="T1283" s="49"/>
      <c r="U1283" s="49"/>
      <c r="V1283"/>
      <c r="W1283"/>
    </row>
    <row r="1284" spans="1:23" ht="27" thickBot="1">
      <c r="A1284" s="76" t="s">
        <v>4897</v>
      </c>
      <c r="B1284" s="1300">
        <v>45530</v>
      </c>
      <c r="C1284" s="486">
        <f t="shared" si="24"/>
        <v>35</v>
      </c>
      <c r="D1284" s="835" t="s">
        <v>5181</v>
      </c>
      <c r="E1284" s="835" t="s">
        <v>939</v>
      </c>
      <c r="F1284" s="1974" t="s">
        <v>1199</v>
      </c>
      <c r="G1284" s="1974" t="s">
        <v>1199</v>
      </c>
      <c r="H1284" s="76"/>
      <c r="I1284" s="76" t="s">
        <v>5180</v>
      </c>
      <c r="J1284" s="49"/>
      <c r="K1284" s="1443" t="s">
        <v>84</v>
      </c>
      <c r="L1284" s="21" t="s">
        <v>37</v>
      </c>
      <c r="M1284" s="49"/>
      <c r="N1284" s="49"/>
      <c r="O1284" s="49"/>
      <c r="P1284" s="49"/>
      <c r="Q1284" s="49"/>
      <c r="R1284" s="49"/>
      <c r="S1284" s="49"/>
      <c r="T1284" s="49"/>
      <c r="U1284" s="49"/>
      <c r="V1284"/>
      <c r="W1284"/>
    </row>
    <row r="1285" spans="1:23" ht="27" thickBot="1">
      <c r="A1285" s="76" t="s">
        <v>4897</v>
      </c>
      <c r="B1285" s="1300">
        <v>45530</v>
      </c>
      <c r="C1285" s="486">
        <f t="shared" si="24"/>
        <v>35</v>
      </c>
      <c r="D1285" s="2129" t="s">
        <v>1698</v>
      </c>
      <c r="E1285" s="2129" t="s">
        <v>840</v>
      </c>
      <c r="F1285" s="80" t="s">
        <v>1199</v>
      </c>
      <c r="G1285" s="1974" t="s">
        <v>1199</v>
      </c>
      <c r="H1285" s="76">
        <v>702</v>
      </c>
      <c r="I1285" s="76" t="s">
        <v>5182</v>
      </c>
      <c r="J1285" s="49"/>
      <c r="K1285" s="1973"/>
      <c r="L1285" s="21" t="s">
        <v>37</v>
      </c>
      <c r="M1285" s="49"/>
      <c r="N1285" s="49"/>
      <c r="O1285" s="49"/>
      <c r="P1285" s="49"/>
      <c r="Q1285" s="49"/>
      <c r="R1285" s="49"/>
      <c r="S1285" s="49"/>
      <c r="T1285" s="49"/>
      <c r="U1285" s="49"/>
      <c r="V1285"/>
      <c r="W1285"/>
    </row>
    <row r="1286" spans="1:23" ht="53.25" thickBot="1">
      <c r="A1286" s="1937" t="s">
        <v>4897</v>
      </c>
      <c r="B1286" s="1390">
        <v>45530</v>
      </c>
      <c r="C1286" s="486">
        <f t="shared" si="24"/>
        <v>35</v>
      </c>
      <c r="D1286" s="115" t="s">
        <v>5183</v>
      </c>
      <c r="E1286" s="115" t="s">
        <v>3046</v>
      </c>
      <c r="F1286" s="2053" t="s">
        <v>1199</v>
      </c>
      <c r="G1286" s="1976" t="s">
        <v>1199</v>
      </c>
      <c r="H1286" s="118">
        <v>705</v>
      </c>
      <c r="I1286" s="2130" t="s">
        <v>5184</v>
      </c>
      <c r="J1286" s="51"/>
      <c r="K1286" s="1525"/>
      <c r="L1286" s="24" t="s">
        <v>37</v>
      </c>
      <c r="M1286" s="51"/>
      <c r="N1286" s="360" t="s">
        <v>0</v>
      </c>
      <c r="O1286" s="360" t="s">
        <v>126</v>
      </c>
      <c r="P1286" s="360" t="s">
        <v>4082</v>
      </c>
      <c r="Q1286" s="51"/>
      <c r="R1286" s="51"/>
      <c r="S1286" s="51"/>
      <c r="T1286" s="51"/>
      <c r="U1286" s="2157" t="s">
        <v>5185</v>
      </c>
      <c r="V1286" s="3069"/>
      <c r="W1286"/>
    </row>
    <row r="1287" spans="1:23" ht="27" thickBot="1">
      <c r="A1287" s="1935" t="s">
        <v>67</v>
      </c>
      <c r="B1287" s="1936">
        <v>45531</v>
      </c>
      <c r="C1287" s="486">
        <f t="shared" si="24"/>
        <v>35</v>
      </c>
      <c r="D1287" s="167" t="s">
        <v>499</v>
      </c>
      <c r="E1287" s="167" t="s">
        <v>5186</v>
      </c>
      <c r="F1287" s="2131" t="s">
        <v>1206</v>
      </c>
      <c r="G1287" s="2131" t="s">
        <v>1206</v>
      </c>
      <c r="H1287" s="1943">
        <v>705</v>
      </c>
      <c r="I1287" s="1943" t="s">
        <v>5187</v>
      </c>
      <c r="J1287" s="55"/>
      <c r="K1287" s="2092"/>
      <c r="L1287" s="34" t="s">
        <v>37</v>
      </c>
      <c r="M1287" s="55"/>
      <c r="N1287" s="55"/>
      <c r="O1287" s="55"/>
      <c r="P1287" s="55"/>
      <c r="Q1287" s="55"/>
      <c r="R1287" s="55"/>
      <c r="S1287" s="55"/>
      <c r="T1287" s="55"/>
      <c r="U1287" s="56"/>
      <c r="V1287"/>
      <c r="W1287"/>
    </row>
    <row r="1288" spans="1:23" ht="53.25" thickBot="1">
      <c r="A1288" s="1941" t="s">
        <v>4300</v>
      </c>
      <c r="B1288" s="2132">
        <v>45531</v>
      </c>
      <c r="C1288" s="486">
        <f t="shared" si="24"/>
        <v>35</v>
      </c>
      <c r="D1288" s="162" t="s">
        <v>1527</v>
      </c>
      <c r="E1288" s="162" t="s">
        <v>5188</v>
      </c>
      <c r="F1288" s="2133" t="s">
        <v>5189</v>
      </c>
      <c r="G1288" s="2133" t="s">
        <v>5190</v>
      </c>
      <c r="H1288" s="2134">
        <v>701</v>
      </c>
      <c r="I1288" s="2156" t="s">
        <v>5191</v>
      </c>
      <c r="J1288" s="49"/>
      <c r="K1288" s="1973"/>
      <c r="L1288" s="119"/>
      <c r="M1288" s="21" t="s">
        <v>37</v>
      </c>
      <c r="N1288" s="21" t="s">
        <v>0</v>
      </c>
      <c r="O1288" s="21" t="s">
        <v>187</v>
      </c>
      <c r="P1288" s="21" t="s">
        <v>4339</v>
      </c>
      <c r="Q1288" s="111"/>
      <c r="R1288" s="111"/>
      <c r="S1288" s="111"/>
      <c r="T1288" s="111"/>
      <c r="U1288" s="2135" t="s">
        <v>350</v>
      </c>
      <c r="V1288" s="3070"/>
      <c r="W1288"/>
    </row>
    <row r="1289" spans="1:23" ht="53.25" thickBot="1">
      <c r="A1289" s="1941" t="s">
        <v>4300</v>
      </c>
      <c r="B1289" s="2132">
        <v>45531</v>
      </c>
      <c r="C1289" s="486">
        <f t="shared" si="24"/>
        <v>35</v>
      </c>
      <c r="D1289" s="162" t="s">
        <v>5188</v>
      </c>
      <c r="E1289" s="162" t="s">
        <v>5192</v>
      </c>
      <c r="F1289" s="2133" t="s">
        <v>5189</v>
      </c>
      <c r="G1289" s="2133" t="s">
        <v>5190</v>
      </c>
      <c r="H1289" s="2134">
        <v>701</v>
      </c>
      <c r="I1289" s="162" t="s">
        <v>1485</v>
      </c>
      <c r="J1289" s="49"/>
      <c r="K1289" s="1973"/>
      <c r="L1289" s="119"/>
      <c r="M1289" s="21" t="s">
        <v>37</v>
      </c>
      <c r="N1289" s="21" t="s">
        <v>0</v>
      </c>
      <c r="O1289" s="21" t="s">
        <v>187</v>
      </c>
      <c r="P1289" s="21" t="s">
        <v>4339</v>
      </c>
      <c r="Q1289" s="111"/>
      <c r="R1289" s="111"/>
      <c r="S1289" s="111"/>
      <c r="T1289" s="111"/>
      <c r="U1289" s="2135" t="s">
        <v>350</v>
      </c>
      <c r="V1289" s="3070"/>
      <c r="W1289"/>
    </row>
    <row r="1290" spans="1:23" ht="53.25" thickBot="1">
      <c r="A1290" s="1942" t="s">
        <v>4300</v>
      </c>
      <c r="B1290" s="1301">
        <v>45531</v>
      </c>
      <c r="C1290" s="486">
        <f t="shared" si="24"/>
        <v>35</v>
      </c>
      <c r="D1290" s="162" t="s">
        <v>2430</v>
      </c>
      <c r="E1290" s="162" t="s">
        <v>5193</v>
      </c>
      <c r="F1290" s="2133" t="s">
        <v>5189</v>
      </c>
      <c r="G1290" s="2133" t="s">
        <v>5190</v>
      </c>
      <c r="H1290" s="162">
        <v>701</v>
      </c>
      <c r="I1290" s="162">
        <v>60015</v>
      </c>
      <c r="J1290" s="111"/>
      <c r="K1290" s="2136"/>
      <c r="L1290" s="119"/>
      <c r="M1290" s="21" t="s">
        <v>37</v>
      </c>
      <c r="N1290" s="21" t="s">
        <v>0</v>
      </c>
      <c r="O1290" s="21" t="s">
        <v>187</v>
      </c>
      <c r="P1290" s="21" t="s">
        <v>4339</v>
      </c>
      <c r="Q1290" s="111"/>
      <c r="R1290" s="111"/>
      <c r="S1290" s="111"/>
      <c r="T1290" s="111"/>
      <c r="U1290" s="2135" t="s">
        <v>350</v>
      </c>
      <c r="V1290" s="3070"/>
      <c r="W1290"/>
    </row>
    <row r="1291" spans="1:23" ht="27" thickBot="1">
      <c r="A1291" s="1941" t="s">
        <v>4300</v>
      </c>
      <c r="B1291" s="1300">
        <v>45531</v>
      </c>
      <c r="C1291" s="486">
        <f t="shared" si="24"/>
        <v>35</v>
      </c>
      <c r="D1291" s="171" t="s">
        <v>450</v>
      </c>
      <c r="E1291" s="171" t="s">
        <v>207</v>
      </c>
      <c r="F1291" s="2133" t="s">
        <v>1764</v>
      </c>
      <c r="G1291" s="2133" t="s">
        <v>1764</v>
      </c>
      <c r="H1291" s="76">
        <v>705</v>
      </c>
      <c r="I1291" s="1909" t="s">
        <v>5179</v>
      </c>
      <c r="J1291" s="49"/>
      <c r="K1291" s="1443" t="s">
        <v>84</v>
      </c>
      <c r="L1291" s="21" t="s">
        <v>37</v>
      </c>
      <c r="M1291" s="49"/>
      <c r="N1291" s="49"/>
      <c r="O1291" s="49"/>
      <c r="P1291" s="49"/>
      <c r="Q1291" s="49"/>
      <c r="R1291" s="49"/>
      <c r="S1291" s="49"/>
      <c r="T1291" s="49"/>
      <c r="U1291" s="50"/>
      <c r="V1291"/>
      <c r="W1291"/>
    </row>
    <row r="1292" spans="1:23" ht="27" thickBot="1">
      <c r="A1292" s="1941" t="s">
        <v>4300</v>
      </c>
      <c r="B1292" s="1300">
        <v>45531</v>
      </c>
      <c r="C1292" s="486">
        <f t="shared" si="24"/>
        <v>35</v>
      </c>
      <c r="D1292" s="72" t="s">
        <v>3046</v>
      </c>
      <c r="E1292" s="72" t="s">
        <v>5194</v>
      </c>
      <c r="F1292" s="80" t="s">
        <v>1199</v>
      </c>
      <c r="G1292" s="1974" t="s">
        <v>1199</v>
      </c>
      <c r="H1292" s="76">
        <v>705</v>
      </c>
      <c r="I1292" s="1909" t="s">
        <v>5184</v>
      </c>
      <c r="J1292" s="49"/>
      <c r="K1292" s="1973"/>
      <c r="L1292" s="21" t="s">
        <v>37</v>
      </c>
      <c r="M1292" s="49"/>
      <c r="N1292" s="49"/>
      <c r="O1292" s="49"/>
      <c r="P1292" s="49"/>
      <c r="Q1292" s="49"/>
      <c r="R1292" s="49"/>
      <c r="S1292" s="49"/>
      <c r="T1292" s="49"/>
      <c r="U1292" s="50"/>
      <c r="V1292"/>
      <c r="W1292"/>
    </row>
    <row r="1293" spans="1:23" ht="27" thickBot="1">
      <c r="A1293" s="1938" t="s">
        <v>67</v>
      </c>
      <c r="B1293" s="1312">
        <v>45531</v>
      </c>
      <c r="C1293" s="486">
        <f t="shared" si="24"/>
        <v>35</v>
      </c>
      <c r="D1293" s="2137" t="s">
        <v>840</v>
      </c>
      <c r="E1293" s="2137" t="s">
        <v>5195</v>
      </c>
      <c r="F1293" s="84" t="s">
        <v>1199</v>
      </c>
      <c r="G1293" s="84" t="s">
        <v>1199</v>
      </c>
      <c r="H1293" s="710">
        <v>702</v>
      </c>
      <c r="I1293" s="710" t="s">
        <v>5182</v>
      </c>
      <c r="J1293" s="57"/>
      <c r="K1293" s="1983"/>
      <c r="L1293" s="35" t="s">
        <v>37</v>
      </c>
      <c r="M1293" s="57"/>
      <c r="N1293" s="57"/>
      <c r="O1293" s="57"/>
      <c r="P1293" s="57"/>
      <c r="Q1293" s="57"/>
      <c r="R1293" s="57"/>
      <c r="S1293" s="57"/>
      <c r="T1293" s="57"/>
      <c r="U1293" s="99"/>
      <c r="V1293"/>
      <c r="W1293"/>
    </row>
    <row r="1294" spans="1:23" ht="27" thickBot="1">
      <c r="A1294" s="1942" t="s">
        <v>85</v>
      </c>
      <c r="B1294" s="1940">
        <v>45532</v>
      </c>
      <c r="C1294" s="486">
        <f t="shared" si="24"/>
        <v>35</v>
      </c>
      <c r="D1294" s="2138" t="s">
        <v>106</v>
      </c>
      <c r="E1294" s="2138" t="s">
        <v>5196</v>
      </c>
      <c r="F1294" s="2050" t="s">
        <v>1199</v>
      </c>
      <c r="G1294" s="2136" t="s">
        <v>1199</v>
      </c>
      <c r="H1294" s="162">
        <v>705</v>
      </c>
      <c r="I1294" s="2052" t="s">
        <v>5187</v>
      </c>
      <c r="J1294" s="111"/>
      <c r="K1294" s="2139" t="s">
        <v>1199</v>
      </c>
      <c r="L1294" s="34" t="s">
        <v>37</v>
      </c>
      <c r="M1294" s="111"/>
      <c r="N1294" s="111"/>
      <c r="O1294" s="111"/>
      <c r="P1294" s="111"/>
      <c r="Q1294" s="111"/>
      <c r="R1294" s="111"/>
      <c r="S1294" s="111"/>
      <c r="T1294" s="111"/>
      <c r="U1294" s="112"/>
      <c r="V1294"/>
      <c r="W1294"/>
    </row>
    <row r="1295" spans="1:23" ht="27" thickBot="1">
      <c r="A1295" s="1941" t="s">
        <v>85</v>
      </c>
      <c r="B1295" s="1300">
        <v>45532</v>
      </c>
      <c r="C1295" s="486">
        <f t="shared" si="24"/>
        <v>35</v>
      </c>
      <c r="D1295" s="72" t="s">
        <v>5197</v>
      </c>
      <c r="E1295" s="72" t="s">
        <v>5198</v>
      </c>
      <c r="F1295" s="80" t="s">
        <v>1199</v>
      </c>
      <c r="G1295" s="1974" t="s">
        <v>1199</v>
      </c>
      <c r="H1295" s="76">
        <v>705</v>
      </c>
      <c r="I1295" s="1909" t="s">
        <v>5184</v>
      </c>
      <c r="J1295" s="49"/>
      <c r="K1295" s="1974" t="s">
        <v>1199</v>
      </c>
      <c r="L1295" s="34" t="s">
        <v>37</v>
      </c>
      <c r="M1295" s="49"/>
      <c r="N1295" s="49"/>
      <c r="O1295" s="49"/>
      <c r="P1295" s="49"/>
      <c r="Q1295" s="49"/>
      <c r="R1295" s="49"/>
      <c r="S1295" s="49"/>
      <c r="T1295" s="49"/>
      <c r="U1295" s="50"/>
      <c r="V1295"/>
      <c r="W1295"/>
    </row>
    <row r="1296" spans="1:23" ht="27" thickBot="1">
      <c r="A1296" s="1941" t="s">
        <v>85</v>
      </c>
      <c r="B1296" s="1300">
        <v>45532</v>
      </c>
      <c r="C1296" s="486">
        <f t="shared" si="24"/>
        <v>35</v>
      </c>
      <c r="D1296" s="72" t="s">
        <v>5199</v>
      </c>
      <c r="E1296" s="72" t="s">
        <v>5200</v>
      </c>
      <c r="F1296" s="80" t="s">
        <v>1199</v>
      </c>
      <c r="G1296" s="1974" t="s">
        <v>1199</v>
      </c>
      <c r="H1296" s="76">
        <v>705</v>
      </c>
      <c r="I1296" s="76">
        <v>60020</v>
      </c>
      <c r="J1296" s="49"/>
      <c r="K1296" s="1974" t="s">
        <v>1199</v>
      </c>
      <c r="L1296" s="21" t="s">
        <v>37</v>
      </c>
      <c r="M1296" s="49"/>
      <c r="N1296" s="49"/>
      <c r="O1296" s="49"/>
      <c r="P1296" s="49"/>
      <c r="Q1296" s="49"/>
      <c r="R1296" s="49"/>
      <c r="S1296" s="49"/>
      <c r="T1296" s="49"/>
      <c r="U1296" s="50"/>
      <c r="V1296"/>
      <c r="W1296"/>
    </row>
    <row r="1297" spans="1:23" ht="27" thickBot="1">
      <c r="A1297" s="2140" t="s">
        <v>85</v>
      </c>
      <c r="B1297" s="2141">
        <v>45532</v>
      </c>
      <c r="C1297" s="486">
        <f t="shared" si="24"/>
        <v>35</v>
      </c>
      <c r="D1297" s="166" t="s">
        <v>1806</v>
      </c>
      <c r="E1297" s="166" t="s">
        <v>1698</v>
      </c>
      <c r="F1297" s="2142" t="s">
        <v>1199</v>
      </c>
      <c r="G1297" s="2143" t="s">
        <v>1199</v>
      </c>
      <c r="H1297" s="2144">
        <v>705</v>
      </c>
      <c r="I1297" s="2144" t="s">
        <v>5201</v>
      </c>
      <c r="J1297" s="181"/>
      <c r="K1297" s="2145" t="s">
        <v>84</v>
      </c>
      <c r="L1297" s="59" t="s">
        <v>37</v>
      </c>
      <c r="M1297" s="181"/>
      <c r="N1297" s="181"/>
      <c r="O1297" s="181"/>
      <c r="P1297" s="181"/>
      <c r="Q1297" s="181"/>
      <c r="R1297" s="181"/>
      <c r="S1297" s="181"/>
      <c r="T1297" s="181"/>
      <c r="U1297" s="1738"/>
      <c r="V1297"/>
      <c r="W1297"/>
    </row>
    <row r="1298" spans="1:23" ht="53.25" thickBot="1">
      <c r="A1298" s="1942" t="s">
        <v>105</v>
      </c>
      <c r="B1298" s="1301">
        <v>45533</v>
      </c>
      <c r="C1298" s="486">
        <f t="shared" si="24"/>
        <v>35</v>
      </c>
      <c r="D1298" s="122" t="s">
        <v>169</v>
      </c>
      <c r="E1298" s="122" t="s">
        <v>5202</v>
      </c>
      <c r="F1298" s="2050" t="s">
        <v>1199</v>
      </c>
      <c r="G1298" s="2050" t="s">
        <v>1199</v>
      </c>
      <c r="H1298" s="162">
        <v>705</v>
      </c>
      <c r="I1298" s="162" t="s">
        <v>5187</v>
      </c>
      <c r="J1298" s="111"/>
      <c r="K1298" s="2139" t="s">
        <v>1199</v>
      </c>
      <c r="L1298" s="119"/>
      <c r="M1298" s="832" t="s">
        <v>37</v>
      </c>
      <c r="N1298" s="20" t="s">
        <v>109</v>
      </c>
      <c r="O1298" s="20" t="s">
        <v>1109</v>
      </c>
      <c r="P1298" s="20" t="s">
        <v>4330</v>
      </c>
      <c r="Q1298" s="111"/>
      <c r="R1298" s="111"/>
      <c r="S1298" s="111"/>
      <c r="T1298" s="111"/>
      <c r="U1298" s="2158" t="s">
        <v>5203</v>
      </c>
      <c r="V1298" s="3069"/>
      <c r="W1298"/>
    </row>
    <row r="1299" spans="1:23" ht="27" thickBot="1">
      <c r="A1299" s="1941" t="s">
        <v>105</v>
      </c>
      <c r="B1299" s="1300">
        <v>45533</v>
      </c>
      <c r="C1299" s="486">
        <f t="shared" si="24"/>
        <v>35</v>
      </c>
      <c r="D1299" s="162" t="s">
        <v>304</v>
      </c>
      <c r="E1299" s="162" t="s">
        <v>282</v>
      </c>
      <c r="F1299" s="2051" t="s">
        <v>1199</v>
      </c>
      <c r="G1299" s="2051" t="s">
        <v>1199</v>
      </c>
      <c r="H1299" s="162">
        <v>702</v>
      </c>
      <c r="I1299" s="162">
        <v>1124</v>
      </c>
      <c r="J1299" s="111"/>
      <c r="K1299" s="1970" t="s">
        <v>320</v>
      </c>
      <c r="L1299" s="119" t="s">
        <v>37</v>
      </c>
      <c r="M1299" s="111"/>
      <c r="N1299" s="49"/>
      <c r="O1299" s="49"/>
      <c r="P1299" s="49"/>
      <c r="Q1299" s="111"/>
      <c r="R1299" s="111"/>
      <c r="S1299" s="111"/>
      <c r="T1299" s="111"/>
      <c r="U1299" s="112"/>
      <c r="V1299"/>
      <c r="W1299"/>
    </row>
    <row r="1300" spans="1:23" ht="27" thickBot="1">
      <c r="A1300" s="1941" t="s">
        <v>105</v>
      </c>
      <c r="B1300" s="1300">
        <v>45533</v>
      </c>
      <c r="C1300" s="486">
        <f t="shared" si="24"/>
        <v>35</v>
      </c>
      <c r="D1300" s="674" t="s">
        <v>1698</v>
      </c>
      <c r="E1300" s="674" t="s">
        <v>879</v>
      </c>
      <c r="F1300" s="2051" t="s">
        <v>1199</v>
      </c>
      <c r="G1300" s="2051" t="s">
        <v>1199</v>
      </c>
      <c r="H1300" s="76">
        <v>701</v>
      </c>
      <c r="I1300" s="76">
        <v>60072</v>
      </c>
      <c r="J1300" s="49"/>
      <c r="K1300" s="1974" t="s">
        <v>1199</v>
      </c>
      <c r="L1300" s="21" t="s">
        <v>37</v>
      </c>
      <c r="M1300" s="49"/>
      <c r="N1300" s="49"/>
      <c r="O1300" s="49"/>
      <c r="P1300" s="49"/>
      <c r="Q1300" s="49"/>
      <c r="R1300" s="49"/>
      <c r="S1300" s="49"/>
      <c r="T1300" s="49"/>
      <c r="U1300" s="50"/>
      <c r="V1300"/>
      <c r="W1300"/>
    </row>
    <row r="1301" spans="1:23" ht="27" thickBot="1">
      <c r="A1301" s="1941" t="s">
        <v>105</v>
      </c>
      <c r="B1301" s="1300">
        <v>45533</v>
      </c>
      <c r="C1301" s="486">
        <f t="shared" si="24"/>
        <v>35</v>
      </c>
      <c r="D1301" s="168" t="s">
        <v>3290</v>
      </c>
      <c r="E1301" s="168" t="s">
        <v>5013</v>
      </c>
      <c r="F1301" s="80" t="s">
        <v>1199</v>
      </c>
      <c r="G1301" s="80" t="s">
        <v>1199</v>
      </c>
      <c r="H1301" s="118">
        <v>702</v>
      </c>
      <c r="I1301" s="118" t="s">
        <v>186</v>
      </c>
      <c r="J1301" s="227"/>
      <c r="K1301" s="1974" t="s">
        <v>1199</v>
      </c>
      <c r="L1301" s="32" t="s">
        <v>37</v>
      </c>
      <c r="M1301" s="51"/>
      <c r="N1301" s="51"/>
      <c r="O1301" s="51"/>
      <c r="P1301" s="51"/>
      <c r="Q1301" s="51"/>
      <c r="R1301" s="51"/>
      <c r="S1301" s="51"/>
      <c r="T1301" s="51"/>
      <c r="U1301" s="53"/>
      <c r="V1301"/>
      <c r="W1301"/>
    </row>
    <row r="1302" spans="1:23" ht="27" thickBot="1">
      <c r="A1302" s="1941" t="s">
        <v>105</v>
      </c>
      <c r="B1302" s="1300">
        <v>45533</v>
      </c>
      <c r="C1302" s="486">
        <f t="shared" si="24"/>
        <v>35</v>
      </c>
      <c r="D1302" s="168" t="s">
        <v>5013</v>
      </c>
      <c r="E1302" s="168" t="s">
        <v>3290</v>
      </c>
      <c r="F1302" s="80" t="s">
        <v>1199</v>
      </c>
      <c r="G1302" s="80" t="s">
        <v>1199</v>
      </c>
      <c r="H1302" s="118">
        <v>702</v>
      </c>
      <c r="I1302" s="118" t="s">
        <v>186</v>
      </c>
      <c r="J1302" s="227"/>
      <c r="K1302" s="1974" t="s">
        <v>1199</v>
      </c>
      <c r="L1302" s="32" t="s">
        <v>37</v>
      </c>
      <c r="M1302" s="51"/>
      <c r="N1302" s="51"/>
      <c r="O1302" s="51"/>
      <c r="P1302" s="51"/>
      <c r="Q1302" s="51"/>
      <c r="R1302" s="51"/>
      <c r="S1302" s="51"/>
      <c r="T1302" s="51"/>
      <c r="U1302" s="53"/>
      <c r="V1302"/>
      <c r="W1302"/>
    </row>
    <row r="1303" spans="1:23" ht="27" thickBot="1">
      <c r="A1303" s="1941" t="s">
        <v>105</v>
      </c>
      <c r="B1303" s="1390">
        <v>45533</v>
      </c>
      <c r="C1303" s="486">
        <f t="shared" si="24"/>
        <v>35</v>
      </c>
      <c r="D1303" s="2146" t="s">
        <v>1165</v>
      </c>
      <c r="E1303" s="2146" t="s">
        <v>4791</v>
      </c>
      <c r="F1303" s="80" t="s">
        <v>1199</v>
      </c>
      <c r="G1303" s="80" t="s">
        <v>1199</v>
      </c>
      <c r="H1303" s="118">
        <v>706</v>
      </c>
      <c r="I1303" s="118" t="s">
        <v>5204</v>
      </c>
      <c r="J1303" s="227"/>
      <c r="K1303" s="1443" t="s">
        <v>5205</v>
      </c>
      <c r="L1303" s="32" t="s">
        <v>37</v>
      </c>
      <c r="M1303" s="51"/>
      <c r="N1303" s="51"/>
      <c r="O1303" s="51"/>
      <c r="P1303" s="51"/>
      <c r="Q1303" s="51"/>
      <c r="R1303" s="51"/>
      <c r="S1303" s="51"/>
      <c r="T1303" s="51"/>
      <c r="U1303" s="53"/>
      <c r="V1303"/>
      <c r="W1303"/>
    </row>
    <row r="1304" spans="1:23" ht="27" thickBot="1">
      <c r="A1304" s="1941" t="s">
        <v>105</v>
      </c>
      <c r="B1304" s="1390">
        <v>45533</v>
      </c>
      <c r="C1304" s="486">
        <f t="shared" si="24"/>
        <v>35</v>
      </c>
      <c r="D1304" s="2146" t="s">
        <v>4723</v>
      </c>
      <c r="E1304" s="2146" t="s">
        <v>5206</v>
      </c>
      <c r="F1304" s="80" t="s">
        <v>1199</v>
      </c>
      <c r="G1304" s="80" t="s">
        <v>1199</v>
      </c>
      <c r="H1304" s="118">
        <v>706</v>
      </c>
      <c r="I1304" s="118">
        <v>60020</v>
      </c>
      <c r="J1304" s="227"/>
      <c r="K1304" s="1443" t="s">
        <v>4206</v>
      </c>
      <c r="L1304" s="32" t="s">
        <v>37</v>
      </c>
      <c r="M1304" s="51"/>
      <c r="N1304" s="51"/>
      <c r="O1304" s="51"/>
      <c r="P1304" s="51"/>
      <c r="Q1304" s="51"/>
      <c r="R1304" s="51"/>
      <c r="S1304" s="51"/>
      <c r="T1304" s="51"/>
      <c r="U1304" s="53"/>
      <c r="V1304"/>
      <c r="W1304"/>
    </row>
    <row r="1305" spans="1:23" ht="27" thickBot="1">
      <c r="A1305" s="1937" t="s">
        <v>105</v>
      </c>
      <c r="B1305" s="1390">
        <v>45533</v>
      </c>
      <c r="C1305" s="486">
        <f t="shared" si="24"/>
        <v>35</v>
      </c>
      <c r="D1305" s="889" t="s">
        <v>2744</v>
      </c>
      <c r="E1305" s="889" t="s">
        <v>204</v>
      </c>
      <c r="F1305" s="2053" t="s">
        <v>1199</v>
      </c>
      <c r="G1305" s="1976" t="s">
        <v>1199</v>
      </c>
      <c r="H1305" s="118">
        <v>706</v>
      </c>
      <c r="I1305" s="118" t="s">
        <v>495</v>
      </c>
      <c r="J1305" s="51"/>
      <c r="K1305" s="2091" t="s">
        <v>29</v>
      </c>
      <c r="L1305" s="24" t="s">
        <v>37</v>
      </c>
      <c r="M1305" s="51"/>
      <c r="N1305" s="51"/>
      <c r="O1305" s="51"/>
      <c r="P1305" s="51"/>
      <c r="Q1305" s="51"/>
      <c r="R1305" s="51"/>
      <c r="S1305" s="51"/>
      <c r="T1305" s="51"/>
      <c r="U1305" s="53"/>
      <c r="V1305"/>
      <c r="W1305"/>
    </row>
    <row r="1306" spans="1:23" ht="27" thickBot="1">
      <c r="A1306" s="2070" t="s">
        <v>132</v>
      </c>
      <c r="B1306" s="2068">
        <v>45534</v>
      </c>
      <c r="C1306" s="486">
        <f t="shared" ref="C1306:C1313" si="25">_xlfn.ISOWEEKNUM(B1306)</f>
        <v>35</v>
      </c>
      <c r="D1306" s="2147" t="s">
        <v>1153</v>
      </c>
      <c r="E1306" s="2147" t="s">
        <v>5207</v>
      </c>
      <c r="F1306" s="2148" t="s">
        <v>1199</v>
      </c>
      <c r="G1306" s="2149" t="s">
        <v>1199</v>
      </c>
      <c r="H1306" s="2069">
        <v>706</v>
      </c>
      <c r="I1306" s="2069" t="s">
        <v>5208</v>
      </c>
      <c r="J1306" s="192"/>
      <c r="K1306" s="2150"/>
      <c r="L1306" s="58" t="s">
        <v>37</v>
      </c>
      <c r="M1306" s="192"/>
      <c r="N1306" s="192"/>
      <c r="O1306" s="192"/>
      <c r="P1306" s="192"/>
      <c r="Q1306" s="192"/>
      <c r="R1306" s="192"/>
      <c r="S1306" s="192"/>
      <c r="T1306" s="192"/>
      <c r="U1306" s="906"/>
      <c r="V1306"/>
      <c r="W1306"/>
    </row>
    <row r="1307" spans="1:23" ht="27" thickBot="1">
      <c r="A1307" s="1941" t="s">
        <v>132</v>
      </c>
      <c r="B1307" s="2151">
        <v>45534</v>
      </c>
      <c r="C1307" s="486">
        <f t="shared" si="25"/>
        <v>35</v>
      </c>
      <c r="D1307" s="2152" t="s">
        <v>1217</v>
      </c>
      <c r="E1307" s="2153" t="s">
        <v>4484</v>
      </c>
      <c r="F1307" s="80" t="s">
        <v>1199</v>
      </c>
      <c r="G1307" s="80" t="s">
        <v>1199</v>
      </c>
      <c r="H1307" s="76">
        <v>706</v>
      </c>
      <c r="I1307" s="76" t="s">
        <v>5208</v>
      </c>
      <c r="J1307" s="49"/>
      <c r="K1307" s="1596"/>
      <c r="L1307" s="21" t="s">
        <v>37</v>
      </c>
      <c r="M1307" s="49"/>
      <c r="N1307" s="49"/>
      <c r="O1307" s="49"/>
      <c r="P1307" s="49"/>
      <c r="Q1307" s="49"/>
      <c r="R1307" s="49"/>
      <c r="S1307" s="49"/>
      <c r="T1307" s="49"/>
      <c r="U1307" s="195"/>
      <c r="V1307"/>
      <c r="W1307"/>
    </row>
    <row r="1308" spans="1:23" ht="27" thickBot="1">
      <c r="A1308" s="1941" t="s">
        <v>132</v>
      </c>
      <c r="B1308" s="1300">
        <v>45534</v>
      </c>
      <c r="C1308" s="486">
        <f t="shared" si="25"/>
        <v>35</v>
      </c>
      <c r="D1308" s="76" t="s">
        <v>169</v>
      </c>
      <c r="E1308" s="76" t="s">
        <v>3317</v>
      </c>
      <c r="F1308" s="2050" t="s">
        <v>1199</v>
      </c>
      <c r="G1308" s="80" t="s">
        <v>1199</v>
      </c>
      <c r="H1308" s="76">
        <v>701</v>
      </c>
      <c r="I1308" s="76" t="s">
        <v>5209</v>
      </c>
      <c r="J1308" s="49"/>
      <c r="K1308" s="1596"/>
      <c r="L1308" s="21" t="s">
        <v>37</v>
      </c>
      <c r="M1308" s="49"/>
      <c r="N1308" s="49"/>
      <c r="O1308" s="49"/>
      <c r="P1308" s="49"/>
      <c r="Q1308" s="49"/>
      <c r="R1308" s="49"/>
      <c r="S1308" s="49"/>
      <c r="T1308" s="49"/>
      <c r="U1308" s="2154"/>
      <c r="V1308" s="3071"/>
      <c r="W1308"/>
    </row>
    <row r="1309" spans="1:23" ht="27" thickBot="1">
      <c r="A1309" s="1941" t="s">
        <v>132</v>
      </c>
      <c r="B1309" s="1300">
        <v>45534</v>
      </c>
      <c r="C1309" s="486">
        <f t="shared" si="25"/>
        <v>35</v>
      </c>
      <c r="D1309" s="30" t="s">
        <v>5210</v>
      </c>
      <c r="E1309" s="30" t="s">
        <v>4155</v>
      </c>
      <c r="F1309" s="80" t="s">
        <v>5211</v>
      </c>
      <c r="G1309" s="2053" t="s">
        <v>5212</v>
      </c>
      <c r="H1309" s="118">
        <v>702</v>
      </c>
      <c r="I1309" s="118" t="s">
        <v>5213</v>
      </c>
      <c r="J1309" s="49"/>
      <c r="K1309" s="1596"/>
      <c r="L1309" s="21" t="s">
        <v>37</v>
      </c>
      <c r="M1309" s="49"/>
      <c r="N1309" s="49"/>
      <c r="O1309" s="49"/>
      <c r="P1309" s="49"/>
      <c r="Q1309" s="49"/>
      <c r="R1309" s="49"/>
      <c r="S1309" s="49"/>
      <c r="T1309" s="49"/>
      <c r="U1309" s="2154"/>
      <c r="V1309" s="3071"/>
      <c r="W1309"/>
    </row>
    <row r="1310" spans="1:23" ht="27" thickBot="1">
      <c r="A1310" s="1941" t="s">
        <v>132</v>
      </c>
      <c r="B1310" s="1300">
        <v>45534</v>
      </c>
      <c r="C1310" s="486">
        <f t="shared" si="25"/>
        <v>35</v>
      </c>
      <c r="D1310" s="105" t="s">
        <v>879</v>
      </c>
      <c r="E1310" s="105" t="s">
        <v>80</v>
      </c>
      <c r="F1310" s="80" t="s">
        <v>1199</v>
      </c>
      <c r="G1310" s="80" t="s">
        <v>1199</v>
      </c>
      <c r="H1310" s="76">
        <v>701</v>
      </c>
      <c r="I1310" s="76" t="s">
        <v>5214</v>
      </c>
      <c r="J1310" s="49"/>
      <c r="K1310" s="1596"/>
      <c r="L1310" s="21" t="s">
        <v>37</v>
      </c>
      <c r="M1310" s="49"/>
      <c r="N1310" s="49"/>
      <c r="O1310" s="49"/>
      <c r="P1310" s="49"/>
      <c r="Q1310" s="49"/>
      <c r="R1310" s="49"/>
      <c r="S1310" s="49"/>
      <c r="T1310" s="49"/>
      <c r="U1310" s="50"/>
      <c r="V1310"/>
      <c r="W1310"/>
    </row>
    <row r="1311" spans="1:23" ht="27" thickBot="1">
      <c r="A1311" s="1941" t="s">
        <v>132</v>
      </c>
      <c r="B1311" s="1300">
        <v>45534</v>
      </c>
      <c r="C1311" s="486">
        <f t="shared" si="25"/>
        <v>35</v>
      </c>
      <c r="D1311" s="105" t="s">
        <v>2430</v>
      </c>
      <c r="E1311" s="105" t="s">
        <v>879</v>
      </c>
      <c r="F1311" s="80" t="s">
        <v>1199</v>
      </c>
      <c r="G1311" s="80" t="s">
        <v>1199</v>
      </c>
      <c r="H1311" s="76">
        <v>706</v>
      </c>
      <c r="I1311" s="76">
        <v>60015</v>
      </c>
      <c r="J1311" s="49"/>
      <c r="K1311" s="1596"/>
      <c r="L1311" s="21" t="s">
        <v>37</v>
      </c>
      <c r="M1311" s="49"/>
      <c r="N1311" s="49"/>
      <c r="O1311" s="49"/>
      <c r="P1311" s="49"/>
      <c r="Q1311" s="49"/>
      <c r="R1311" s="49"/>
      <c r="S1311" s="49"/>
      <c r="T1311" s="49"/>
      <c r="U1311" s="50"/>
      <c r="V1311"/>
      <c r="W1311"/>
    </row>
    <row r="1312" spans="1:23" ht="27" thickBot="1">
      <c r="A1312" s="1941" t="s">
        <v>132</v>
      </c>
      <c r="B1312" s="1300">
        <v>45534</v>
      </c>
      <c r="C1312" s="486">
        <f t="shared" si="25"/>
        <v>35</v>
      </c>
      <c r="D1312" s="92" t="s">
        <v>282</v>
      </c>
      <c r="E1312" s="92" t="s">
        <v>1698</v>
      </c>
      <c r="F1312" s="2060" t="s">
        <v>1199</v>
      </c>
      <c r="G1312" s="2060" t="s">
        <v>1199</v>
      </c>
      <c r="H1312" s="76">
        <v>702</v>
      </c>
      <c r="I1312" s="76" t="s">
        <v>226</v>
      </c>
      <c r="J1312" s="49"/>
      <c r="K1312" s="1443" t="s">
        <v>320</v>
      </c>
      <c r="L1312" s="21" t="s">
        <v>37</v>
      </c>
      <c r="M1312" s="49"/>
      <c r="N1312" s="49"/>
      <c r="O1312" s="49"/>
      <c r="P1312" s="49"/>
      <c r="Q1312" s="49"/>
      <c r="R1312" s="49"/>
      <c r="S1312" s="49"/>
      <c r="T1312" s="49"/>
      <c r="U1312" s="50"/>
      <c r="V1312"/>
      <c r="W1312"/>
    </row>
    <row r="1313" spans="1:23" ht="53.25" thickBot="1">
      <c r="A1313" s="2140" t="s">
        <v>132</v>
      </c>
      <c r="B1313" s="2141">
        <v>45534</v>
      </c>
      <c r="C1313" s="486">
        <f t="shared" si="25"/>
        <v>35</v>
      </c>
      <c r="D1313" s="2155" t="s">
        <v>204</v>
      </c>
      <c r="E1313" s="2155" t="s">
        <v>1116</v>
      </c>
      <c r="F1313" s="84" t="s">
        <v>1199</v>
      </c>
      <c r="G1313" s="84" t="s">
        <v>1199</v>
      </c>
      <c r="H1313" s="2144">
        <v>706</v>
      </c>
      <c r="I1313" s="2144" t="s">
        <v>495</v>
      </c>
      <c r="J1313" s="181"/>
      <c r="K1313" s="2145" t="s">
        <v>5215</v>
      </c>
      <c r="L1313" s="35"/>
      <c r="M1313" s="35" t="s">
        <v>37</v>
      </c>
      <c r="N1313" s="2159" t="s">
        <v>122</v>
      </c>
      <c r="O1313" s="2159" t="s">
        <v>123</v>
      </c>
      <c r="P1313" s="2159" t="s">
        <v>4102</v>
      </c>
      <c r="Q1313" s="57"/>
      <c r="R1313" s="57"/>
      <c r="S1313" s="181"/>
      <c r="T1313" s="181"/>
      <c r="U1313" s="2160" t="s">
        <v>5216</v>
      </c>
      <c r="V1313" s="3069"/>
      <c r="W1313"/>
    </row>
    <row r="1314" spans="1:23" ht="27" thickBot="1">
      <c r="A1314" s="162" t="s">
        <v>4897</v>
      </c>
      <c r="B1314" s="1301">
        <v>45537</v>
      </c>
      <c r="C1314" s="486">
        <f t="shared" ref="C1314:C1377" si="26">_xlfn.ISOWEEKNUM(B1314)</f>
        <v>36</v>
      </c>
      <c r="D1314" s="1301" t="s">
        <v>1905</v>
      </c>
      <c r="E1314" s="1301" t="s">
        <v>339</v>
      </c>
      <c r="F1314" s="2161" t="s">
        <v>1199</v>
      </c>
      <c r="G1314" s="1592" t="s">
        <v>1199</v>
      </c>
      <c r="H1314" s="2162">
        <v>702</v>
      </c>
      <c r="I1314" s="2162" t="s">
        <v>5217</v>
      </c>
      <c r="J1314" s="1009"/>
      <c r="K1314" s="1009"/>
      <c r="L1314" s="1009" t="s">
        <v>37</v>
      </c>
      <c r="M1314" s="97"/>
      <c r="N1314" s="97"/>
      <c r="O1314" s="97"/>
      <c r="P1314" s="97"/>
      <c r="Q1314" s="97"/>
      <c r="R1314" s="97"/>
      <c r="S1314" s="97"/>
      <c r="T1314" s="97"/>
      <c r="U1314" s="97"/>
      <c r="V1314" s="2464"/>
      <c r="W1314"/>
    </row>
    <row r="1315" spans="1:23" ht="79.5" thickBot="1">
      <c r="A1315" s="76" t="s">
        <v>4897</v>
      </c>
      <c r="B1315" s="1300">
        <v>45537</v>
      </c>
      <c r="C1315" s="486">
        <f t="shared" si="26"/>
        <v>36</v>
      </c>
      <c r="D1315" s="2163" t="s">
        <v>3290</v>
      </c>
      <c r="E1315" s="2163" t="s">
        <v>2930</v>
      </c>
      <c r="F1315" s="935" t="s">
        <v>1199</v>
      </c>
      <c r="G1315" s="979" t="s">
        <v>1199</v>
      </c>
      <c r="H1315" s="1070">
        <v>702</v>
      </c>
      <c r="I1315" s="1070" t="s">
        <v>5218</v>
      </c>
      <c r="J1315" s="923"/>
      <c r="K1315" s="1443" t="s">
        <v>84</v>
      </c>
      <c r="L1315" s="1009"/>
      <c r="M1315" s="1009" t="s">
        <v>37</v>
      </c>
      <c r="N1315" s="590" t="s">
        <v>231</v>
      </c>
      <c r="O1315" s="590" t="s">
        <v>1048</v>
      </c>
      <c r="P1315" s="20" t="s">
        <v>4080</v>
      </c>
      <c r="Q1315" s="2164">
        <v>1</v>
      </c>
      <c r="R1315" s="71"/>
      <c r="S1315" s="71"/>
      <c r="T1315" s="71"/>
      <c r="U1315" s="71" t="s">
        <v>5219</v>
      </c>
      <c r="V1315" s="2464"/>
      <c r="W1315"/>
    </row>
    <row r="1316" spans="1:23" ht="27" thickBot="1">
      <c r="A1316" s="76" t="s">
        <v>4897</v>
      </c>
      <c r="B1316" s="1300">
        <v>45537</v>
      </c>
      <c r="C1316" s="486">
        <f t="shared" si="26"/>
        <v>36</v>
      </c>
      <c r="D1316" s="2165" t="s">
        <v>2728</v>
      </c>
      <c r="E1316" s="2165" t="s">
        <v>5220</v>
      </c>
      <c r="F1316" s="80" t="s">
        <v>1764</v>
      </c>
      <c r="G1316" s="80" t="s">
        <v>1764</v>
      </c>
      <c r="H1316" s="1688">
        <v>702</v>
      </c>
      <c r="I1316" s="1688" t="s">
        <v>2824</v>
      </c>
      <c r="J1316" s="80"/>
      <c r="K1316" s="1443" t="s">
        <v>627</v>
      </c>
      <c r="L1316" s="1009" t="s">
        <v>37</v>
      </c>
      <c r="M1316" s="1009"/>
      <c r="N1316" s="49"/>
      <c r="O1316" s="49"/>
      <c r="P1316" s="49"/>
      <c r="Q1316" s="49"/>
      <c r="R1316" s="49"/>
      <c r="S1316" s="49"/>
      <c r="T1316" s="49"/>
      <c r="U1316" s="49"/>
      <c r="V1316"/>
      <c r="W1316"/>
    </row>
    <row r="1317" spans="1:23" ht="146.85" customHeight="1" thickBot="1">
      <c r="A1317" s="76" t="s">
        <v>4897</v>
      </c>
      <c r="B1317" s="1300">
        <v>45537</v>
      </c>
      <c r="C1317" s="486">
        <f t="shared" si="26"/>
        <v>36</v>
      </c>
      <c r="D1317" s="1058" t="s">
        <v>1116</v>
      </c>
      <c r="E1317" s="1058" t="s">
        <v>5221</v>
      </c>
      <c r="F1317" s="80" t="s">
        <v>1764</v>
      </c>
      <c r="G1317" s="2060" t="s">
        <v>1199</v>
      </c>
      <c r="H1317" s="1688">
        <v>706</v>
      </c>
      <c r="I1317" s="1688" t="s">
        <v>495</v>
      </c>
      <c r="J1317" s="76"/>
      <c r="K1317" s="1443" t="s">
        <v>5205</v>
      </c>
      <c r="L1317" s="1009"/>
      <c r="M1317" s="1009" t="s">
        <v>37</v>
      </c>
      <c r="N1317" s="20" t="s">
        <v>122</v>
      </c>
      <c r="O1317" s="20" t="s">
        <v>123</v>
      </c>
      <c r="P1317" s="20" t="s">
        <v>4102</v>
      </c>
      <c r="Q1317" s="49"/>
      <c r="R1317" s="49"/>
      <c r="S1317" s="49"/>
      <c r="T1317" s="49"/>
      <c r="U1317" s="71" t="s">
        <v>5222</v>
      </c>
      <c r="V1317" s="2464"/>
      <c r="W1317"/>
    </row>
    <row r="1318" spans="1:23" ht="27" thickBot="1">
      <c r="A1318" s="710" t="s">
        <v>4897</v>
      </c>
      <c r="B1318" s="1312">
        <v>45537</v>
      </c>
      <c r="C1318" s="486">
        <f t="shared" si="26"/>
        <v>36</v>
      </c>
      <c r="D1318" s="2166" t="s">
        <v>258</v>
      </c>
      <c r="E1318" s="1149" t="s">
        <v>1064</v>
      </c>
      <c r="F1318" s="1976" t="s">
        <v>1199</v>
      </c>
      <c r="G1318" s="2123" t="s">
        <v>1199</v>
      </c>
      <c r="H1318" s="1714">
        <v>706</v>
      </c>
      <c r="I1318" s="1714" t="s">
        <v>5223</v>
      </c>
      <c r="J1318" s="51"/>
      <c r="K1318" s="2167"/>
      <c r="L1318" s="1593" t="s">
        <v>37</v>
      </c>
      <c r="M1318" s="1593"/>
      <c r="N1318" s="51"/>
      <c r="O1318" s="51"/>
      <c r="P1318" s="51"/>
      <c r="Q1318" s="51"/>
      <c r="R1318" s="51"/>
      <c r="S1318" s="51"/>
      <c r="T1318" s="51"/>
      <c r="U1318" s="51"/>
      <c r="V1318"/>
      <c r="W1318"/>
    </row>
    <row r="1319" spans="1:23" ht="27" thickBot="1">
      <c r="A1319" s="1942" t="s">
        <v>67</v>
      </c>
      <c r="B1319" s="1301">
        <v>45538</v>
      </c>
      <c r="C1319" s="486">
        <f t="shared" si="26"/>
        <v>36</v>
      </c>
      <c r="D1319" s="2168" t="s">
        <v>5224</v>
      </c>
      <c r="E1319" s="2169" t="s">
        <v>2255</v>
      </c>
      <c r="F1319" s="2170" t="s">
        <v>1199</v>
      </c>
      <c r="G1319" s="2171" t="s">
        <v>1199</v>
      </c>
      <c r="H1319" s="2172">
        <v>702</v>
      </c>
      <c r="I1319" s="2172" t="s">
        <v>5225</v>
      </c>
      <c r="J1319" s="55"/>
      <c r="K1319" s="1447" t="s">
        <v>627</v>
      </c>
      <c r="L1319" s="918" t="s">
        <v>37</v>
      </c>
      <c r="M1319" s="918"/>
      <c r="N1319" s="55"/>
      <c r="O1319" s="55"/>
      <c r="P1319" s="55"/>
      <c r="Q1319" s="55"/>
      <c r="R1319" s="55"/>
      <c r="S1319" s="55"/>
      <c r="T1319" s="55"/>
      <c r="U1319" s="56"/>
      <c r="V1319"/>
      <c r="W1319"/>
    </row>
    <row r="1320" spans="1:23" ht="27" thickBot="1">
      <c r="A1320" s="76" t="s">
        <v>4300</v>
      </c>
      <c r="B1320" s="1300">
        <v>45538</v>
      </c>
      <c r="C1320" s="486">
        <f t="shared" si="26"/>
        <v>36</v>
      </c>
      <c r="D1320" s="2173" t="s">
        <v>89</v>
      </c>
      <c r="E1320" s="1960" t="s">
        <v>850</v>
      </c>
      <c r="F1320" s="2174" t="s">
        <v>1199</v>
      </c>
      <c r="G1320" s="2175" t="s">
        <v>1199</v>
      </c>
      <c r="H1320" s="1688">
        <v>706</v>
      </c>
      <c r="I1320" s="1712" t="s">
        <v>340</v>
      </c>
      <c r="J1320" s="49"/>
      <c r="K1320" s="1973"/>
      <c r="L1320" s="1009" t="s">
        <v>30</v>
      </c>
      <c r="M1320" s="1009"/>
      <c r="N1320" s="111"/>
      <c r="O1320" s="111"/>
      <c r="P1320" s="111"/>
      <c r="Q1320" s="111"/>
      <c r="R1320" s="111"/>
      <c r="S1320" s="111"/>
      <c r="T1320" s="111"/>
      <c r="U1320" s="112"/>
      <c r="V1320"/>
      <c r="W1320"/>
    </row>
    <row r="1321" spans="1:23" ht="27" thickBot="1">
      <c r="A1321" s="76" t="s">
        <v>4300</v>
      </c>
      <c r="B1321" s="1300">
        <v>45538</v>
      </c>
      <c r="C1321" s="486">
        <f t="shared" si="26"/>
        <v>36</v>
      </c>
      <c r="D1321" s="2176" t="s">
        <v>258</v>
      </c>
      <c r="E1321" s="68" t="s">
        <v>1698</v>
      </c>
      <c r="F1321" s="2177" t="s">
        <v>1199</v>
      </c>
      <c r="G1321" s="2060" t="s">
        <v>1199</v>
      </c>
      <c r="H1321" s="1688">
        <v>702</v>
      </c>
      <c r="I1321" s="1688">
        <v>60020</v>
      </c>
      <c r="J1321" s="49"/>
      <c r="K1321" s="1443" t="s">
        <v>84</v>
      </c>
      <c r="L1321" s="1009" t="s">
        <v>37</v>
      </c>
      <c r="M1321" s="1009"/>
      <c r="N1321" s="111"/>
      <c r="O1321" s="111"/>
      <c r="P1321" s="111"/>
      <c r="Q1321" s="49"/>
      <c r="R1321" s="49"/>
      <c r="S1321" s="49"/>
      <c r="T1321" s="49"/>
      <c r="U1321" s="50"/>
      <c r="V1321"/>
      <c r="W1321"/>
    </row>
    <row r="1322" spans="1:23" ht="27" thickBot="1">
      <c r="A1322" s="76" t="s">
        <v>4300</v>
      </c>
      <c r="B1322" s="1300">
        <v>45538</v>
      </c>
      <c r="C1322" s="486">
        <f t="shared" si="26"/>
        <v>36</v>
      </c>
      <c r="D1322" s="2178" t="s">
        <v>4155</v>
      </c>
      <c r="E1322" s="107" t="s">
        <v>2930</v>
      </c>
      <c r="F1322" s="2050" t="s">
        <v>1199</v>
      </c>
      <c r="G1322" s="2050" t="s">
        <v>1199</v>
      </c>
      <c r="H1322" s="1712">
        <v>702</v>
      </c>
      <c r="I1322" s="1712" t="s">
        <v>5226</v>
      </c>
      <c r="J1322" s="111"/>
      <c r="K1322" s="2009"/>
      <c r="L1322" s="1009" t="s">
        <v>37</v>
      </c>
      <c r="M1322" s="1009"/>
      <c r="N1322" s="190"/>
      <c r="O1322" s="190"/>
      <c r="P1322" s="190"/>
      <c r="Q1322" s="111"/>
      <c r="R1322" s="2179">
        <v>1</v>
      </c>
      <c r="S1322" s="111"/>
      <c r="T1322" s="111"/>
      <c r="U1322" s="112"/>
      <c r="V1322"/>
      <c r="W1322"/>
    </row>
    <row r="1323" spans="1:23" ht="53.25" thickBot="1">
      <c r="A1323" s="1942" t="s">
        <v>4300</v>
      </c>
      <c r="B1323" s="1301">
        <v>45538</v>
      </c>
      <c r="C1323" s="486">
        <f t="shared" si="26"/>
        <v>36</v>
      </c>
      <c r="D1323" s="2178" t="s">
        <v>2930</v>
      </c>
      <c r="E1323" s="107" t="s">
        <v>1698</v>
      </c>
      <c r="F1323" s="2180" t="s">
        <v>1199</v>
      </c>
      <c r="G1323" s="2180" t="s">
        <v>1199</v>
      </c>
      <c r="H1323" s="1712">
        <v>702</v>
      </c>
      <c r="I1323" s="1712" t="s">
        <v>5227</v>
      </c>
      <c r="J1323" s="111"/>
      <c r="K1323" s="2136"/>
      <c r="L1323" s="1009"/>
      <c r="M1323" s="1044" t="s">
        <v>30</v>
      </c>
      <c r="N1323" s="21" t="s">
        <v>0</v>
      </c>
      <c r="O1323" s="21" t="s">
        <v>126</v>
      </c>
      <c r="P1323" s="21" t="s">
        <v>4082</v>
      </c>
      <c r="Q1323" s="2181">
        <v>2</v>
      </c>
      <c r="R1323" s="111"/>
      <c r="S1323" s="111"/>
      <c r="T1323" s="111"/>
      <c r="U1323" s="93" t="s">
        <v>5228</v>
      </c>
      <c r="V1323" s="2464"/>
      <c r="W1323"/>
    </row>
    <row r="1324" spans="1:23" ht="53.25" thickBot="1">
      <c r="A1324" s="1937" t="s">
        <v>4300</v>
      </c>
      <c r="B1324" s="1390">
        <v>45538</v>
      </c>
      <c r="C1324" s="486">
        <f t="shared" si="26"/>
        <v>36</v>
      </c>
      <c r="D1324" s="2182" t="s">
        <v>1905</v>
      </c>
      <c r="E1324" s="2183" t="s">
        <v>671</v>
      </c>
      <c r="F1324" s="2053" t="s">
        <v>1199</v>
      </c>
      <c r="G1324" s="2053" t="s">
        <v>1199</v>
      </c>
      <c r="H1324" s="1714">
        <v>702</v>
      </c>
      <c r="I1324" s="24" t="s">
        <v>5229</v>
      </c>
      <c r="J1324" s="2130"/>
      <c r="K1324" s="2130"/>
      <c r="L1324" s="1593"/>
      <c r="M1324" s="1593" t="s">
        <v>37</v>
      </c>
      <c r="N1324" s="20" t="s">
        <v>109</v>
      </c>
      <c r="O1324" s="20" t="s">
        <v>1268</v>
      </c>
      <c r="P1324" s="20" t="s">
        <v>4082</v>
      </c>
      <c r="Q1324" s="51"/>
      <c r="R1324" s="51"/>
      <c r="S1324" s="51"/>
      <c r="T1324" s="51"/>
      <c r="U1324" s="1429" t="s">
        <v>5230</v>
      </c>
      <c r="V1324" s="2464"/>
      <c r="W1324"/>
    </row>
    <row r="1325" spans="1:23" ht="27" thickBot="1">
      <c r="A1325" s="1935" t="s">
        <v>85</v>
      </c>
      <c r="B1325" s="2068">
        <v>45539</v>
      </c>
      <c r="C1325" s="486">
        <f t="shared" si="26"/>
        <v>36</v>
      </c>
      <c r="D1325" s="2184" t="s">
        <v>4180</v>
      </c>
      <c r="E1325" s="2185" t="s">
        <v>1145</v>
      </c>
      <c r="F1325" s="2186" t="s">
        <v>1199</v>
      </c>
      <c r="G1325" s="172" t="s">
        <v>1199</v>
      </c>
      <c r="H1325" s="2172">
        <v>702</v>
      </c>
      <c r="I1325" s="2172" t="s">
        <v>5225</v>
      </c>
      <c r="J1325" s="55"/>
      <c r="K1325" s="1447" t="s">
        <v>5231</v>
      </c>
      <c r="L1325" s="34" t="s">
        <v>37</v>
      </c>
      <c r="M1325" s="55"/>
      <c r="N1325" s="55"/>
      <c r="O1325" s="55"/>
      <c r="P1325" s="55"/>
      <c r="Q1325" s="55"/>
      <c r="R1325" s="55"/>
      <c r="S1325" s="55"/>
      <c r="T1325" s="55"/>
      <c r="U1325" s="56"/>
      <c r="V1325"/>
      <c r="W1325"/>
    </row>
    <row r="1326" spans="1:23" ht="27" thickBot="1">
      <c r="A1326" s="1941" t="s">
        <v>85</v>
      </c>
      <c r="B1326" s="1300">
        <v>45539</v>
      </c>
      <c r="C1326" s="486">
        <f t="shared" si="26"/>
        <v>36</v>
      </c>
      <c r="D1326" s="2187" t="s">
        <v>68</v>
      </c>
      <c r="E1326" s="177" t="s">
        <v>3403</v>
      </c>
      <c r="F1326" s="2188" t="s">
        <v>1199</v>
      </c>
      <c r="G1326" s="2060" t="s">
        <v>1199</v>
      </c>
      <c r="H1326" s="1688">
        <v>706</v>
      </c>
      <c r="I1326" s="1712" t="s">
        <v>340</v>
      </c>
      <c r="J1326" s="49"/>
      <c r="K1326" s="1974"/>
      <c r="L1326" s="21" t="s">
        <v>37</v>
      </c>
      <c r="M1326" s="51"/>
      <c r="N1326" s="51"/>
      <c r="O1326" s="51"/>
      <c r="P1326" s="51"/>
      <c r="Q1326" s="51"/>
      <c r="R1326" s="51"/>
      <c r="S1326" s="51"/>
      <c r="T1326" s="51"/>
      <c r="U1326" s="50"/>
      <c r="V1326"/>
      <c r="W1326"/>
    </row>
    <row r="1327" spans="1:23" ht="27" thickBot="1">
      <c r="A1327" s="1939" t="s">
        <v>85</v>
      </c>
      <c r="B1327" s="1300">
        <v>45539</v>
      </c>
      <c r="C1327" s="486">
        <f t="shared" si="26"/>
        <v>36</v>
      </c>
      <c r="D1327" s="2176" t="s">
        <v>258</v>
      </c>
      <c r="E1327" s="68" t="s">
        <v>1698</v>
      </c>
      <c r="F1327" s="2189" t="s">
        <v>1199</v>
      </c>
      <c r="G1327" s="2190" t="s">
        <v>1199</v>
      </c>
      <c r="H1327" s="1712">
        <v>702</v>
      </c>
      <c r="I1327" s="1712" t="s">
        <v>5232</v>
      </c>
      <c r="J1327" s="49"/>
      <c r="K1327" s="1974"/>
      <c r="L1327" s="252" t="s">
        <v>37</v>
      </c>
      <c r="M1327" s="49"/>
      <c r="N1327" s="49"/>
      <c r="O1327" s="49"/>
      <c r="P1327" s="49"/>
      <c r="Q1327" s="49"/>
      <c r="R1327" s="2191">
        <v>2</v>
      </c>
      <c r="S1327" s="49"/>
      <c r="T1327" s="49"/>
      <c r="U1327" s="195"/>
      <c r="V1327"/>
      <c r="W1327"/>
    </row>
    <row r="1328" spans="1:23" ht="27" thickBot="1">
      <c r="A1328" s="1939" t="s">
        <v>85</v>
      </c>
      <c r="B1328" s="1300">
        <v>45539</v>
      </c>
      <c r="C1328" s="486">
        <f t="shared" si="26"/>
        <v>36</v>
      </c>
      <c r="D1328" s="2192" t="s">
        <v>273</v>
      </c>
      <c r="E1328" s="2193" t="s">
        <v>584</v>
      </c>
      <c r="F1328" s="80" t="s">
        <v>1199</v>
      </c>
      <c r="G1328" s="2060" t="s">
        <v>1199</v>
      </c>
      <c r="H1328" s="1688">
        <v>703</v>
      </c>
      <c r="I1328" s="1688" t="s">
        <v>639</v>
      </c>
      <c r="J1328" s="76"/>
      <c r="K1328" s="76"/>
      <c r="L1328" s="1959" t="s">
        <v>37</v>
      </c>
      <c r="M1328" s="76"/>
      <c r="N1328" s="76"/>
      <c r="O1328" s="76"/>
      <c r="P1328" s="76"/>
      <c r="Q1328" s="76"/>
      <c r="R1328" s="49"/>
      <c r="S1328" s="49"/>
      <c r="T1328" s="49"/>
      <c r="U1328" s="195"/>
      <c r="V1328"/>
      <c r="W1328"/>
    </row>
    <row r="1329" spans="1:23" ht="27" thickBot="1">
      <c r="A1329" s="1941" t="s">
        <v>85</v>
      </c>
      <c r="B1329" s="1300">
        <v>45539</v>
      </c>
      <c r="C1329" s="486">
        <f t="shared" si="26"/>
        <v>36</v>
      </c>
      <c r="D1329" s="2194" t="s">
        <v>586</v>
      </c>
      <c r="E1329" s="72" t="s">
        <v>389</v>
      </c>
      <c r="F1329" s="80" t="s">
        <v>1199</v>
      </c>
      <c r="G1329" s="2060" t="s">
        <v>1199</v>
      </c>
      <c r="H1329" s="1688">
        <v>703</v>
      </c>
      <c r="I1329" s="1688" t="s">
        <v>639</v>
      </c>
      <c r="J1329" s="76"/>
      <c r="K1329" s="76"/>
      <c r="L1329" s="76" t="s">
        <v>37</v>
      </c>
      <c r="M1329" s="162"/>
      <c r="N1329" s="162"/>
      <c r="O1329" s="162"/>
      <c r="P1329" s="162"/>
      <c r="Q1329" s="162"/>
      <c r="R1329" s="111"/>
      <c r="S1329" s="111"/>
      <c r="T1329" s="111"/>
      <c r="U1329" s="93"/>
      <c r="V1329" s="2464"/>
      <c r="W1329"/>
    </row>
    <row r="1330" spans="1:23" ht="105.75" thickBot="1">
      <c r="A1330" s="1941" t="s">
        <v>85</v>
      </c>
      <c r="B1330" s="1300">
        <v>45539</v>
      </c>
      <c r="C1330" s="486">
        <f t="shared" si="26"/>
        <v>36</v>
      </c>
      <c r="D1330" s="1941" t="s">
        <v>339</v>
      </c>
      <c r="E1330" s="76" t="s">
        <v>671</v>
      </c>
      <c r="F1330" s="2189" t="s">
        <v>1199</v>
      </c>
      <c r="G1330" s="2190" t="s">
        <v>1199</v>
      </c>
      <c r="H1330" s="1688">
        <v>702</v>
      </c>
      <c r="I1330" s="1688" t="s">
        <v>5233</v>
      </c>
      <c r="J1330" s="76"/>
      <c r="K1330" s="76"/>
      <c r="L1330" s="76"/>
      <c r="M1330" s="76" t="s">
        <v>37</v>
      </c>
      <c r="N1330" s="20" t="s">
        <v>0</v>
      </c>
      <c r="O1330" s="20" t="s">
        <v>31</v>
      </c>
      <c r="P1330" s="20" t="s">
        <v>4082</v>
      </c>
      <c r="Q1330" s="2195">
        <v>3</v>
      </c>
      <c r="R1330" s="49"/>
      <c r="S1330" s="49"/>
      <c r="T1330" s="49"/>
      <c r="U1330" s="93" t="s">
        <v>5234</v>
      </c>
      <c r="V1330" s="2464"/>
      <c r="W1330"/>
    </row>
    <row r="1331" spans="1:23" ht="27" thickBot="1">
      <c r="A1331" s="1942" t="s">
        <v>85</v>
      </c>
      <c r="B1331" s="1300">
        <v>45539</v>
      </c>
      <c r="C1331" s="486">
        <f t="shared" si="26"/>
        <v>36</v>
      </c>
      <c r="D1331" s="2196" t="s">
        <v>68</v>
      </c>
      <c r="E1331" s="2197" t="s">
        <v>2384</v>
      </c>
      <c r="F1331" s="2177" t="s">
        <v>1199</v>
      </c>
      <c r="G1331" s="2060" t="s">
        <v>1199</v>
      </c>
      <c r="H1331" s="1688">
        <v>706</v>
      </c>
      <c r="I1331" s="1712" t="s">
        <v>5235</v>
      </c>
      <c r="J1331" s="111"/>
      <c r="K1331" s="1443" t="s">
        <v>84</v>
      </c>
      <c r="L1331" s="119" t="s">
        <v>37</v>
      </c>
      <c r="M1331" s="111"/>
      <c r="N1331" s="111"/>
      <c r="O1331" s="111"/>
      <c r="P1331" s="111"/>
      <c r="Q1331" s="111"/>
      <c r="R1331" s="111"/>
      <c r="S1331" s="111"/>
      <c r="T1331" s="111"/>
      <c r="U1331" s="112"/>
      <c r="V1331"/>
      <c r="W1331"/>
    </row>
    <row r="1332" spans="1:23" ht="27" thickBot="1">
      <c r="A1332" s="1941" t="s">
        <v>85</v>
      </c>
      <c r="B1332" s="1300">
        <v>45539</v>
      </c>
      <c r="C1332" s="486">
        <f t="shared" si="26"/>
        <v>36</v>
      </c>
      <c r="D1332" s="2198" t="s">
        <v>5236</v>
      </c>
      <c r="E1332" s="168" t="s">
        <v>2769</v>
      </c>
      <c r="F1332" s="165" t="s">
        <v>1199</v>
      </c>
      <c r="G1332" s="2199" t="s">
        <v>1199</v>
      </c>
      <c r="H1332" s="1688">
        <v>701</v>
      </c>
      <c r="I1332" s="1688" t="s">
        <v>1704</v>
      </c>
      <c r="J1332" s="80"/>
      <c r="K1332" s="1443" t="s">
        <v>29</v>
      </c>
      <c r="L1332" s="80" t="s">
        <v>37</v>
      </c>
      <c r="M1332" s="80"/>
      <c r="N1332" s="80"/>
      <c r="O1332" s="80"/>
      <c r="P1332" s="80"/>
      <c r="Q1332" s="80"/>
      <c r="R1332" s="80"/>
      <c r="S1332" s="80"/>
      <c r="T1332" s="80"/>
      <c r="U1332" s="2200"/>
      <c r="V1332" s="3072"/>
      <c r="W1332"/>
    </row>
    <row r="1333" spans="1:23" ht="27" thickBot="1">
      <c r="A1333" s="1938" t="s">
        <v>85</v>
      </c>
      <c r="B1333" s="1312">
        <v>45539</v>
      </c>
      <c r="C1333" s="486">
        <f t="shared" si="26"/>
        <v>36</v>
      </c>
      <c r="D1333" s="2201" t="s">
        <v>1905</v>
      </c>
      <c r="E1333" s="108" t="s">
        <v>79</v>
      </c>
      <c r="F1333" s="2202" t="s">
        <v>1199</v>
      </c>
      <c r="G1333" s="2202" t="s">
        <v>1199</v>
      </c>
      <c r="H1333" s="1733">
        <v>702</v>
      </c>
      <c r="I1333" s="1733" t="s">
        <v>5237</v>
      </c>
      <c r="J1333" s="84"/>
      <c r="K1333" s="84"/>
      <c r="L1333" s="84" t="s">
        <v>37</v>
      </c>
      <c r="M1333" s="84"/>
      <c r="N1333" s="84"/>
      <c r="O1333" s="84"/>
      <c r="P1333" s="84"/>
      <c r="Q1333" s="84"/>
      <c r="R1333" s="84"/>
      <c r="S1333" s="84"/>
      <c r="T1333" s="84"/>
      <c r="U1333" s="2203"/>
      <c r="V1333" s="3072"/>
      <c r="W1333"/>
    </row>
    <row r="1334" spans="1:23" ht="27" thickBot="1">
      <c r="A1334" s="1935" t="s">
        <v>105</v>
      </c>
      <c r="B1334" s="1936">
        <v>45540</v>
      </c>
      <c r="C1334" s="486">
        <f t="shared" si="26"/>
        <v>36</v>
      </c>
      <c r="D1334" s="2204" t="s">
        <v>68</v>
      </c>
      <c r="E1334" s="2204" t="s">
        <v>220</v>
      </c>
      <c r="F1334" s="2205" t="s">
        <v>1199</v>
      </c>
      <c r="G1334" s="2205" t="s">
        <v>1199</v>
      </c>
      <c r="H1334" s="2172">
        <v>701</v>
      </c>
      <c r="I1334" s="2172" t="s">
        <v>1704</v>
      </c>
      <c r="J1334" s="2055"/>
      <c r="K1334" s="1447" t="s">
        <v>29</v>
      </c>
      <c r="L1334" s="2055" t="s">
        <v>37</v>
      </c>
      <c r="M1334" s="2055"/>
      <c r="N1334" s="2055"/>
      <c r="O1334" s="2055"/>
      <c r="P1334" s="2055"/>
      <c r="Q1334" s="2055"/>
      <c r="R1334" s="2055"/>
      <c r="S1334" s="2055"/>
      <c r="T1334" s="2055"/>
      <c r="U1334" s="2206"/>
      <c r="V1334" s="3072"/>
      <c r="W1334"/>
    </row>
    <row r="1335" spans="1:23" ht="27" thickBot="1">
      <c r="A1335" s="1941" t="s">
        <v>105</v>
      </c>
      <c r="B1335" s="1300">
        <v>45540</v>
      </c>
      <c r="C1335" s="486">
        <f t="shared" si="26"/>
        <v>36</v>
      </c>
      <c r="D1335" s="68" t="s">
        <v>169</v>
      </c>
      <c r="E1335" s="68" t="s">
        <v>1698</v>
      </c>
      <c r="F1335" s="165" t="s">
        <v>1199</v>
      </c>
      <c r="G1335" s="2199" t="s">
        <v>1199</v>
      </c>
      <c r="H1335" s="1688">
        <v>702</v>
      </c>
      <c r="I1335" s="1712" t="s">
        <v>5225</v>
      </c>
      <c r="J1335" s="76"/>
      <c r="K1335" s="76"/>
      <c r="L1335" s="76" t="s">
        <v>37</v>
      </c>
      <c r="M1335" s="49"/>
      <c r="N1335" s="49"/>
      <c r="O1335" s="49"/>
      <c r="P1335" s="2229"/>
      <c r="Q1335" s="49"/>
      <c r="R1335" s="49"/>
      <c r="S1335" s="49"/>
      <c r="T1335" s="49"/>
      <c r="U1335" s="50" t="s">
        <v>5238</v>
      </c>
      <c r="V1335"/>
      <c r="W1335"/>
    </row>
    <row r="1336" spans="1:23" ht="27" thickBot="1">
      <c r="A1336" s="1941" t="s">
        <v>105</v>
      </c>
      <c r="B1336" s="1300">
        <v>45540</v>
      </c>
      <c r="C1336" s="486">
        <f t="shared" si="26"/>
        <v>36</v>
      </c>
      <c r="D1336" s="2207" t="s">
        <v>1698</v>
      </c>
      <c r="E1336" s="2207" t="s">
        <v>5239</v>
      </c>
      <c r="F1336" s="1974" t="s">
        <v>1199</v>
      </c>
      <c r="G1336" s="1974" t="s">
        <v>1199</v>
      </c>
      <c r="H1336" s="1688">
        <v>702</v>
      </c>
      <c r="I1336" s="1688" t="s">
        <v>329</v>
      </c>
      <c r="J1336" s="76"/>
      <c r="K1336" s="76"/>
      <c r="L1336" s="76" t="s">
        <v>37</v>
      </c>
      <c r="M1336" s="49"/>
      <c r="N1336" s="49"/>
      <c r="O1336" s="49"/>
      <c r="P1336" s="49"/>
      <c r="Q1336" s="49"/>
      <c r="R1336" s="49"/>
      <c r="S1336" s="49"/>
      <c r="T1336" s="49"/>
      <c r="U1336" s="50"/>
      <c r="V1336"/>
      <c r="W1336"/>
    </row>
    <row r="1337" spans="1:23" ht="27" thickBot="1">
      <c r="A1337" s="1941" t="s">
        <v>105</v>
      </c>
      <c r="B1337" s="1300">
        <v>45540</v>
      </c>
      <c r="C1337" s="486">
        <f t="shared" si="26"/>
        <v>36</v>
      </c>
      <c r="D1337" s="2207" t="s">
        <v>273</v>
      </c>
      <c r="E1337" s="2207" t="s">
        <v>2461</v>
      </c>
      <c r="F1337" s="2199" t="s">
        <v>1199</v>
      </c>
      <c r="G1337" s="2199" t="s">
        <v>1199</v>
      </c>
      <c r="H1337" s="1688">
        <v>702</v>
      </c>
      <c r="I1337" s="1712" t="s">
        <v>5225</v>
      </c>
      <c r="J1337" s="76"/>
      <c r="K1337" s="76"/>
      <c r="L1337" s="76" t="s">
        <v>37</v>
      </c>
      <c r="M1337" s="49"/>
      <c r="N1337" s="49"/>
      <c r="O1337" s="49"/>
      <c r="P1337" s="49"/>
      <c r="Q1337" s="49"/>
      <c r="R1337" s="49"/>
      <c r="S1337" s="76" t="s">
        <v>30</v>
      </c>
      <c r="T1337" s="49"/>
      <c r="U1337" s="50"/>
      <c r="V1337"/>
      <c r="W1337"/>
    </row>
    <row r="1338" spans="1:23" ht="53.25" thickBot="1">
      <c r="A1338" s="1941" t="s">
        <v>105</v>
      </c>
      <c r="B1338" s="1300">
        <v>45540</v>
      </c>
      <c r="C1338" s="486">
        <f t="shared" si="26"/>
        <v>36</v>
      </c>
      <c r="D1338" s="68" t="s">
        <v>939</v>
      </c>
      <c r="E1338" s="68" t="s">
        <v>1698</v>
      </c>
      <c r="F1338" s="2208" t="s">
        <v>3358</v>
      </c>
      <c r="G1338" s="2209" t="s">
        <v>4587</v>
      </c>
      <c r="H1338" s="1688">
        <v>702</v>
      </c>
      <c r="I1338" s="1688" t="s">
        <v>329</v>
      </c>
      <c r="J1338" s="76"/>
      <c r="K1338" s="76"/>
      <c r="L1338" s="76"/>
      <c r="M1338" s="76" t="s">
        <v>37</v>
      </c>
      <c r="N1338" s="21" t="s">
        <v>109</v>
      </c>
      <c r="O1338" s="21" t="s">
        <v>1268</v>
      </c>
      <c r="P1338" s="21" t="s">
        <v>4080</v>
      </c>
      <c r="Q1338" s="2230">
        <v>6</v>
      </c>
      <c r="R1338" s="49"/>
      <c r="S1338" s="76" t="s">
        <v>30</v>
      </c>
      <c r="T1338" s="49"/>
      <c r="U1338" s="2210" t="s">
        <v>5240</v>
      </c>
      <c r="V1338" s="3073"/>
      <c r="W1338"/>
    </row>
    <row r="1339" spans="1:23" ht="27" thickBot="1">
      <c r="A1339" s="1941" t="s">
        <v>105</v>
      </c>
      <c r="B1339" s="1300">
        <v>45540</v>
      </c>
      <c r="C1339" s="486">
        <f t="shared" si="26"/>
        <v>36</v>
      </c>
      <c r="D1339" s="2211" t="s">
        <v>4155</v>
      </c>
      <c r="E1339" s="2211" t="s">
        <v>1145</v>
      </c>
      <c r="F1339" s="1974" t="s">
        <v>1199</v>
      </c>
      <c r="G1339" s="1974" t="s">
        <v>1199</v>
      </c>
      <c r="H1339" s="1688">
        <v>702</v>
      </c>
      <c r="I1339" s="1688" t="s">
        <v>5241</v>
      </c>
      <c r="J1339" s="162"/>
      <c r="K1339" s="162"/>
      <c r="L1339" s="162" t="s">
        <v>37</v>
      </c>
      <c r="M1339" s="111"/>
      <c r="N1339" s="111"/>
      <c r="O1339" s="111"/>
      <c r="P1339" s="111"/>
      <c r="Q1339" s="111"/>
      <c r="R1339" s="111"/>
      <c r="S1339" s="76" t="s">
        <v>30</v>
      </c>
      <c r="T1339" s="111"/>
      <c r="U1339" s="112"/>
      <c r="V1339"/>
      <c r="W1339"/>
    </row>
    <row r="1340" spans="1:23" ht="53.25" thickBot="1">
      <c r="A1340" s="1941" t="s">
        <v>105</v>
      </c>
      <c r="B1340" s="1300">
        <v>45540</v>
      </c>
      <c r="C1340" s="486">
        <f t="shared" si="26"/>
        <v>36</v>
      </c>
      <c r="D1340" s="2211" t="s">
        <v>1145</v>
      </c>
      <c r="E1340" s="2211" t="s">
        <v>5242</v>
      </c>
      <c r="F1340" s="1974" t="s">
        <v>1199</v>
      </c>
      <c r="G1340" s="1974" t="s">
        <v>1199</v>
      </c>
      <c r="H1340" s="1688">
        <v>702</v>
      </c>
      <c r="I1340" s="1688" t="s">
        <v>5241</v>
      </c>
      <c r="J1340" s="162"/>
      <c r="K1340" s="162"/>
      <c r="L1340" s="162"/>
      <c r="M1340" s="162" t="s">
        <v>37</v>
      </c>
      <c r="N1340" s="21" t="s">
        <v>0</v>
      </c>
      <c r="O1340" s="21" t="s">
        <v>126</v>
      </c>
      <c r="P1340" s="21" t="s">
        <v>4082</v>
      </c>
      <c r="Q1340" s="2212">
        <v>5</v>
      </c>
      <c r="R1340" s="111"/>
      <c r="S1340" s="76"/>
      <c r="T1340" s="111"/>
      <c r="U1340" s="2213" t="s">
        <v>5243</v>
      </c>
      <c r="V1340" s="3068"/>
      <c r="W1340"/>
    </row>
    <row r="1341" spans="1:23" ht="53.25" thickBot="1">
      <c r="A1341" s="1942" t="s">
        <v>105</v>
      </c>
      <c r="B1341" s="1301">
        <v>45540</v>
      </c>
      <c r="C1341" s="486">
        <f t="shared" si="26"/>
        <v>36</v>
      </c>
      <c r="D1341" s="2214" t="s">
        <v>1011</v>
      </c>
      <c r="E1341" s="2214" t="s">
        <v>275</v>
      </c>
      <c r="F1341" s="2215" t="s">
        <v>2994</v>
      </c>
      <c r="G1341" s="2215" t="s">
        <v>2994</v>
      </c>
      <c r="H1341" s="1712">
        <v>706</v>
      </c>
      <c r="I1341" s="1712" t="s">
        <v>356</v>
      </c>
      <c r="J1341" s="111"/>
      <c r="K1341" s="2136"/>
      <c r="L1341" s="119"/>
      <c r="M1341" s="162" t="s">
        <v>37</v>
      </c>
      <c r="N1341" s="21" t="s">
        <v>0</v>
      </c>
      <c r="O1341" s="21" t="s">
        <v>187</v>
      </c>
      <c r="P1341" s="21" t="s">
        <v>4102</v>
      </c>
      <c r="Q1341" s="111"/>
      <c r="R1341" s="111"/>
      <c r="S1341" s="111"/>
      <c r="T1341" s="111"/>
      <c r="U1341" s="2213" t="s">
        <v>5244</v>
      </c>
      <c r="V1341" s="3068"/>
      <c r="W1341"/>
    </row>
    <row r="1342" spans="1:23" ht="53.25" thickBot="1">
      <c r="A1342" s="1937" t="s">
        <v>105</v>
      </c>
      <c r="B1342" s="1390">
        <v>45540</v>
      </c>
      <c r="C1342" s="486">
        <f t="shared" si="26"/>
        <v>36</v>
      </c>
      <c r="D1342" s="30" t="s">
        <v>148</v>
      </c>
      <c r="E1342" s="30" t="s">
        <v>857</v>
      </c>
      <c r="F1342" s="2216" t="s">
        <v>1764</v>
      </c>
      <c r="G1342" s="2217" t="s">
        <v>1199</v>
      </c>
      <c r="H1342" s="1714">
        <v>701</v>
      </c>
      <c r="I1342" s="24" t="s">
        <v>2071</v>
      </c>
      <c r="J1342" s="2130"/>
      <c r="K1342" s="1969" t="s">
        <v>4632</v>
      </c>
      <c r="L1342" s="2130"/>
      <c r="M1342" s="2218" t="s">
        <v>37</v>
      </c>
      <c r="N1342" s="21" t="s">
        <v>231</v>
      </c>
      <c r="O1342" s="21" t="s">
        <v>232</v>
      </c>
      <c r="P1342" s="21" t="s">
        <v>4080</v>
      </c>
      <c r="Q1342" s="2218">
        <v>4</v>
      </c>
      <c r="R1342" s="51"/>
      <c r="S1342" s="51"/>
      <c r="T1342" s="51"/>
      <c r="U1342" s="2213" t="s">
        <v>5245</v>
      </c>
      <c r="V1342" s="3068"/>
      <c r="W1342"/>
    </row>
    <row r="1343" spans="1:23" ht="27" thickBot="1">
      <c r="A1343" s="1938" t="s">
        <v>105</v>
      </c>
      <c r="B1343" s="1312">
        <v>45540</v>
      </c>
      <c r="C1343" s="486">
        <f t="shared" si="26"/>
        <v>36</v>
      </c>
      <c r="D1343" s="2219" t="s">
        <v>1905</v>
      </c>
      <c r="E1343" s="2219" t="s">
        <v>497</v>
      </c>
      <c r="F1343" s="2220" t="s">
        <v>1199</v>
      </c>
      <c r="G1343" s="2220" t="s">
        <v>1199</v>
      </c>
      <c r="H1343" s="1733">
        <v>701</v>
      </c>
      <c r="I1343" s="35" t="s">
        <v>5246</v>
      </c>
      <c r="J1343" s="2221"/>
      <c r="K1343" s="2221"/>
      <c r="L1343" s="2221" t="s">
        <v>37</v>
      </c>
      <c r="M1343" s="2221"/>
      <c r="N1343" s="2221"/>
      <c r="O1343" s="2221"/>
      <c r="P1343" s="2221"/>
      <c r="Q1343" s="57"/>
      <c r="R1343" s="57"/>
      <c r="S1343" s="57"/>
      <c r="T1343" s="57"/>
      <c r="U1343" s="99"/>
      <c r="V1343"/>
      <c r="W1343"/>
    </row>
    <row r="1344" spans="1:23" ht="27" thickBot="1">
      <c r="A1344" s="1935" t="s">
        <v>132</v>
      </c>
      <c r="B1344" s="1936">
        <v>45541</v>
      </c>
      <c r="C1344" s="486">
        <f t="shared" si="26"/>
        <v>36</v>
      </c>
      <c r="D1344" s="2222" t="s">
        <v>4254</v>
      </c>
      <c r="E1344" s="2222" t="s">
        <v>3403</v>
      </c>
      <c r="F1344" s="2223" t="s">
        <v>1199</v>
      </c>
      <c r="G1344" s="2223" t="s">
        <v>1199</v>
      </c>
      <c r="H1344" s="2172">
        <v>706</v>
      </c>
      <c r="I1344" s="2172" t="s">
        <v>5247</v>
      </c>
      <c r="J1344" s="55"/>
      <c r="K1344" s="1447" t="s">
        <v>1481</v>
      </c>
      <c r="L1344" s="34" t="s">
        <v>37</v>
      </c>
      <c r="M1344" s="55"/>
      <c r="N1344" s="55"/>
      <c r="O1344" s="55"/>
      <c r="P1344" s="55"/>
      <c r="Q1344" s="55"/>
      <c r="R1344" s="55"/>
      <c r="S1344" s="55"/>
      <c r="T1344" s="55"/>
      <c r="U1344" s="56"/>
      <c r="V1344"/>
      <c r="W1344"/>
    </row>
    <row r="1345" spans="1:23" ht="27" thickBot="1">
      <c r="A1345" s="1937" t="s">
        <v>132</v>
      </c>
      <c r="B1345" s="1390">
        <v>45541</v>
      </c>
      <c r="C1345" s="486">
        <f t="shared" si="26"/>
        <v>36</v>
      </c>
      <c r="D1345" s="30" t="s">
        <v>148</v>
      </c>
      <c r="E1345" s="30" t="s">
        <v>857</v>
      </c>
      <c r="F1345" s="2174" t="s">
        <v>1764</v>
      </c>
      <c r="G1345" s="2174" t="s">
        <v>1764</v>
      </c>
      <c r="H1345" s="1714">
        <v>701</v>
      </c>
      <c r="I1345" s="24" t="s">
        <v>2071</v>
      </c>
      <c r="J1345" s="2130"/>
      <c r="K1345" s="1969" t="s">
        <v>4632</v>
      </c>
      <c r="L1345" s="2130" t="s">
        <v>37</v>
      </c>
      <c r="M1345" s="51"/>
      <c r="N1345" s="51"/>
      <c r="O1345" s="51"/>
      <c r="P1345" s="51"/>
      <c r="Q1345" s="51"/>
      <c r="R1345" s="2218">
        <v>4</v>
      </c>
      <c r="S1345" s="51"/>
      <c r="T1345" s="51"/>
      <c r="U1345" s="53"/>
      <c r="V1345"/>
      <c r="W1345"/>
    </row>
    <row r="1346" spans="1:23" ht="27" thickBot="1">
      <c r="A1346" s="1937" t="s">
        <v>132</v>
      </c>
      <c r="B1346" s="1390">
        <v>45541</v>
      </c>
      <c r="C1346" s="486">
        <f t="shared" si="26"/>
        <v>36</v>
      </c>
      <c r="D1346" s="168" t="s">
        <v>169</v>
      </c>
      <c r="E1346" s="168" t="s">
        <v>1949</v>
      </c>
      <c r="F1346" s="2174" t="s">
        <v>1764</v>
      </c>
      <c r="G1346" s="2174" t="s">
        <v>1764</v>
      </c>
      <c r="H1346" s="1688">
        <v>701</v>
      </c>
      <c r="I1346" s="1688" t="s">
        <v>1704</v>
      </c>
      <c r="J1346" s="51"/>
      <c r="K1346" s="2224"/>
      <c r="L1346" s="24" t="s">
        <v>37</v>
      </c>
      <c r="M1346" s="51"/>
      <c r="N1346" s="51"/>
      <c r="O1346" s="51"/>
      <c r="P1346" s="51"/>
      <c r="Q1346" s="51"/>
      <c r="R1346" s="51"/>
      <c r="S1346" s="51"/>
      <c r="T1346" s="51"/>
      <c r="U1346" s="2225"/>
      <c r="V1346" s="3071"/>
      <c r="W1346"/>
    </row>
    <row r="1347" spans="1:23" ht="53.25" thickBot="1">
      <c r="A1347" s="1941" t="s">
        <v>132</v>
      </c>
      <c r="B1347" s="1300">
        <v>45541</v>
      </c>
      <c r="C1347" s="486">
        <f t="shared" si="26"/>
        <v>36</v>
      </c>
      <c r="D1347" s="74" t="s">
        <v>282</v>
      </c>
      <c r="E1347" s="74" t="s">
        <v>2411</v>
      </c>
      <c r="F1347" s="2215" t="s">
        <v>2994</v>
      </c>
      <c r="G1347" s="2215" t="s">
        <v>2994</v>
      </c>
      <c r="H1347" s="1712">
        <v>706</v>
      </c>
      <c r="I1347" s="1712" t="s">
        <v>356</v>
      </c>
      <c r="J1347" s="111"/>
      <c r="K1347" s="1973"/>
      <c r="L1347" s="21"/>
      <c r="M1347" s="49" t="s">
        <v>37</v>
      </c>
      <c r="N1347" s="21" t="s">
        <v>0</v>
      </c>
      <c r="O1347" s="21" t="s">
        <v>187</v>
      </c>
      <c r="P1347" s="21" t="s">
        <v>4102</v>
      </c>
      <c r="Q1347" s="49"/>
      <c r="R1347" s="49"/>
      <c r="S1347" s="49"/>
      <c r="T1347" s="49"/>
      <c r="U1347" s="2226" t="s">
        <v>5248</v>
      </c>
      <c r="V1347" s="3068"/>
      <c r="W1347"/>
    </row>
    <row r="1348" spans="1:23" ht="27" thickBot="1">
      <c r="A1348" s="1941" t="s">
        <v>132</v>
      </c>
      <c r="B1348" s="1300">
        <v>45541</v>
      </c>
      <c r="C1348" s="486">
        <f t="shared" si="26"/>
        <v>36</v>
      </c>
      <c r="D1348" s="901" t="s">
        <v>491</v>
      </c>
      <c r="E1348" s="901" t="s">
        <v>5249</v>
      </c>
      <c r="F1348" s="2174" t="s">
        <v>1199</v>
      </c>
      <c r="G1348" s="2188" t="s">
        <v>1199</v>
      </c>
      <c r="H1348" s="1714">
        <v>701</v>
      </c>
      <c r="I1348" s="24" t="s">
        <v>5246</v>
      </c>
      <c r="J1348" s="1909"/>
      <c r="K1348" s="1909"/>
      <c r="L1348" s="1909" t="s">
        <v>37</v>
      </c>
      <c r="M1348" s="1909"/>
      <c r="N1348" s="1909"/>
      <c r="O1348" s="1909"/>
      <c r="P1348" s="1909"/>
      <c r="Q1348" s="49"/>
      <c r="R1348" s="49"/>
      <c r="S1348" s="49"/>
      <c r="T1348" s="49"/>
      <c r="U1348" s="50"/>
      <c r="V1348"/>
      <c r="W1348"/>
    </row>
    <row r="1349" spans="1:23" ht="27" thickBot="1">
      <c r="A1349" s="1941" t="s">
        <v>132</v>
      </c>
      <c r="B1349" s="1300">
        <v>45541</v>
      </c>
      <c r="C1349" s="486">
        <f t="shared" si="26"/>
        <v>36</v>
      </c>
      <c r="D1349" s="68" t="s">
        <v>1905</v>
      </c>
      <c r="E1349" s="68" t="s">
        <v>1005</v>
      </c>
      <c r="F1349" s="2174" t="s">
        <v>1199</v>
      </c>
      <c r="G1349" s="2174" t="s">
        <v>1199</v>
      </c>
      <c r="H1349" s="1712">
        <v>701</v>
      </c>
      <c r="I1349" s="119" t="s">
        <v>600</v>
      </c>
      <c r="J1349" s="1909"/>
      <c r="K1349" s="1909"/>
      <c r="L1349" s="1909" t="s">
        <v>37</v>
      </c>
      <c r="M1349" s="49"/>
      <c r="N1349" s="49"/>
      <c r="O1349" s="49"/>
      <c r="P1349" s="49"/>
      <c r="Q1349" s="49"/>
      <c r="R1349" s="49"/>
      <c r="S1349" s="49"/>
      <c r="T1349" s="49"/>
      <c r="U1349" s="50"/>
      <c r="V1349"/>
      <c r="W1349"/>
    </row>
    <row r="1350" spans="1:23" ht="27" thickBot="1">
      <c r="A1350" s="1941" t="s">
        <v>132</v>
      </c>
      <c r="B1350" s="1300">
        <v>45541</v>
      </c>
      <c r="C1350" s="486">
        <f t="shared" si="26"/>
        <v>36</v>
      </c>
      <c r="D1350" s="901" t="s">
        <v>939</v>
      </c>
      <c r="E1350" s="2227" t="s">
        <v>5242</v>
      </c>
      <c r="F1350" s="2189" t="s">
        <v>1199</v>
      </c>
      <c r="G1350" s="2189" t="s">
        <v>1199</v>
      </c>
      <c r="H1350" s="1712">
        <v>702</v>
      </c>
      <c r="I1350" s="1688" t="s">
        <v>5241</v>
      </c>
      <c r="J1350" s="1909"/>
      <c r="K1350" s="1909"/>
      <c r="L1350" s="1909" t="s">
        <v>37</v>
      </c>
      <c r="M1350" s="49"/>
      <c r="N1350" s="49"/>
      <c r="O1350" s="49"/>
      <c r="P1350" s="49"/>
      <c r="Q1350" s="49"/>
      <c r="R1350" s="49"/>
      <c r="S1350" s="49"/>
      <c r="T1350" s="49"/>
      <c r="U1350" s="50"/>
      <c r="V1350"/>
      <c r="W1350"/>
    </row>
    <row r="1351" spans="1:23" ht="27" thickBot="1">
      <c r="A1351" s="1941" t="s">
        <v>132</v>
      </c>
      <c r="B1351" s="1300">
        <v>45541</v>
      </c>
      <c r="C1351" s="486">
        <f t="shared" si="26"/>
        <v>36</v>
      </c>
      <c r="D1351" s="68" t="s">
        <v>939</v>
      </c>
      <c r="E1351" s="68" t="s">
        <v>1698</v>
      </c>
      <c r="F1351" s="2189" t="s">
        <v>1199</v>
      </c>
      <c r="G1351" s="2189" t="s">
        <v>1199</v>
      </c>
      <c r="H1351" s="1712">
        <v>701</v>
      </c>
      <c r="I1351" s="1688" t="s">
        <v>329</v>
      </c>
      <c r="J1351" s="1909"/>
      <c r="K1351" s="1909"/>
      <c r="L1351" s="1909" t="s">
        <v>37</v>
      </c>
      <c r="M1351" s="49"/>
      <c r="N1351" s="49"/>
      <c r="O1351" s="49"/>
      <c r="P1351" s="49"/>
      <c r="Q1351" s="49"/>
      <c r="R1351" s="49"/>
      <c r="S1351" s="49"/>
      <c r="T1351" s="49"/>
      <c r="U1351" s="50"/>
      <c r="V1351"/>
      <c r="W1351"/>
    </row>
    <row r="1352" spans="1:23" ht="27" thickBot="1">
      <c r="A1352" s="1941" t="s">
        <v>132</v>
      </c>
      <c r="B1352" s="1300">
        <v>45541</v>
      </c>
      <c r="C1352" s="486">
        <f t="shared" si="26"/>
        <v>36</v>
      </c>
      <c r="D1352" s="68" t="s">
        <v>169</v>
      </c>
      <c r="E1352" s="68" t="s">
        <v>79</v>
      </c>
      <c r="F1352" s="2174" t="s">
        <v>1199</v>
      </c>
      <c r="G1352" s="2174" t="s">
        <v>1199</v>
      </c>
      <c r="H1352" s="1688">
        <v>702</v>
      </c>
      <c r="I1352" s="21" t="s">
        <v>5250</v>
      </c>
      <c r="J1352" s="1909"/>
      <c r="K1352" s="1443" t="s">
        <v>84</v>
      </c>
      <c r="L1352" s="1909" t="s">
        <v>37</v>
      </c>
      <c r="M1352" s="49"/>
      <c r="N1352" s="49"/>
      <c r="O1352" s="49"/>
      <c r="P1352" s="49"/>
      <c r="Q1352" s="49"/>
      <c r="R1352" s="49"/>
      <c r="S1352" s="49"/>
      <c r="T1352" s="49"/>
      <c r="U1352" s="50"/>
      <c r="V1352"/>
      <c r="W1352"/>
    </row>
    <row r="1353" spans="1:23" ht="27" thickBot="1">
      <c r="A1353" s="1941" t="s">
        <v>132</v>
      </c>
      <c r="B1353" s="1300">
        <v>45541</v>
      </c>
      <c r="C1353" s="486">
        <f t="shared" si="26"/>
        <v>36</v>
      </c>
      <c r="D1353" s="68" t="s">
        <v>273</v>
      </c>
      <c r="E1353" s="68" t="s">
        <v>1905</v>
      </c>
      <c r="F1353" s="2174" t="s">
        <v>1199</v>
      </c>
      <c r="G1353" s="2188" t="s">
        <v>1199</v>
      </c>
      <c r="H1353" s="1688">
        <v>702</v>
      </c>
      <c r="I1353" s="21" t="s">
        <v>639</v>
      </c>
      <c r="J1353" s="1909"/>
      <c r="K1353" s="1909"/>
      <c r="L1353" s="1909" t="s">
        <v>37</v>
      </c>
      <c r="M1353" s="49"/>
      <c r="N1353" s="49"/>
      <c r="O1353" s="49"/>
      <c r="P1353" s="49"/>
      <c r="Q1353" s="49"/>
      <c r="R1353" s="49"/>
      <c r="S1353" s="49"/>
      <c r="T1353" s="49"/>
      <c r="U1353" s="50"/>
      <c r="V1353"/>
      <c r="W1353"/>
    </row>
    <row r="1354" spans="1:23" ht="27" thickBot="1">
      <c r="A1354" s="1937" t="s">
        <v>132</v>
      </c>
      <c r="B1354" s="1390">
        <v>45541</v>
      </c>
      <c r="C1354" s="486">
        <f t="shared" si="26"/>
        <v>36</v>
      </c>
      <c r="D1354" s="30" t="s">
        <v>1527</v>
      </c>
      <c r="E1354" s="30" t="s">
        <v>1905</v>
      </c>
      <c r="F1354" s="2174" t="s">
        <v>1199</v>
      </c>
      <c r="G1354" s="2174" t="s">
        <v>1199</v>
      </c>
      <c r="H1354" s="1714">
        <v>701</v>
      </c>
      <c r="I1354" s="24" t="s">
        <v>5251</v>
      </c>
      <c r="J1354" s="2130"/>
      <c r="K1354" s="2130"/>
      <c r="L1354" s="1909" t="s">
        <v>37</v>
      </c>
      <c r="M1354" s="51"/>
      <c r="N1354" s="51"/>
      <c r="O1354" s="51"/>
      <c r="P1354" s="51"/>
      <c r="Q1354" s="51"/>
      <c r="R1354" s="51"/>
      <c r="S1354" s="51"/>
      <c r="T1354" s="51"/>
      <c r="U1354" s="53"/>
      <c r="V1354"/>
      <c r="W1354"/>
    </row>
    <row r="1355" spans="1:23" s="355" customFormat="1" ht="27" thickBot="1">
      <c r="A1355" s="1941" t="s">
        <v>132</v>
      </c>
      <c r="B1355" s="1300">
        <v>45541</v>
      </c>
      <c r="C1355" s="465">
        <f t="shared" si="26"/>
        <v>36</v>
      </c>
      <c r="D1355" s="68" t="s">
        <v>79</v>
      </c>
      <c r="E1355" s="68" t="s">
        <v>1905</v>
      </c>
      <c r="F1355" s="2228" t="s">
        <v>1199</v>
      </c>
      <c r="G1355" s="2228" t="s">
        <v>1199</v>
      </c>
      <c r="H1355" s="1688">
        <v>702</v>
      </c>
      <c r="I1355" s="21" t="s">
        <v>5252</v>
      </c>
      <c r="J1355" s="1909"/>
      <c r="K1355" s="1443" t="s">
        <v>84</v>
      </c>
      <c r="L1355" s="1909" t="s">
        <v>37</v>
      </c>
      <c r="M1355" s="49"/>
      <c r="N1355" s="49"/>
      <c r="O1355" s="49"/>
      <c r="P1355" s="49"/>
      <c r="Q1355" s="49"/>
      <c r="R1355" s="49"/>
      <c r="S1355" s="49"/>
      <c r="T1355" s="49"/>
      <c r="U1355" s="50"/>
    </row>
    <row r="1356" spans="1:23">
      <c r="A1356" s="1942" t="s">
        <v>25</v>
      </c>
      <c r="B1356" s="1301">
        <v>45544</v>
      </c>
      <c r="C1356" s="179">
        <f t="shared" si="26"/>
        <v>37</v>
      </c>
      <c r="D1356" s="1301" t="s">
        <v>304</v>
      </c>
      <c r="E1356" s="1343" t="s">
        <v>282</v>
      </c>
      <c r="F1356" s="2239" t="s">
        <v>1199</v>
      </c>
      <c r="G1356" s="2236" t="s">
        <v>1199</v>
      </c>
      <c r="H1356" s="2251">
        <v>701</v>
      </c>
      <c r="I1356" s="2252" t="s">
        <v>318</v>
      </c>
      <c r="J1356" s="2244"/>
      <c r="K1356" s="2466" t="s">
        <v>5231</v>
      </c>
      <c r="L1356" s="1009" t="s">
        <v>37</v>
      </c>
      <c r="M1356" s="97"/>
      <c r="N1356" s="97"/>
      <c r="O1356" s="97"/>
      <c r="P1356" s="97"/>
      <c r="Q1356" s="97"/>
      <c r="R1356" s="97"/>
      <c r="S1356" s="97"/>
      <c r="T1356" s="97"/>
      <c r="U1356" s="98"/>
      <c r="V1356" s="2464"/>
      <c r="W1356"/>
    </row>
    <row r="1357" spans="1:23">
      <c r="A1357" s="1941" t="s">
        <v>25</v>
      </c>
      <c r="B1357" s="1300">
        <v>45544</v>
      </c>
      <c r="C1357" s="468">
        <f t="shared" si="26"/>
        <v>37</v>
      </c>
      <c r="D1357" s="2260" t="s">
        <v>2728</v>
      </c>
      <c r="E1357" s="2269" t="s">
        <v>5253</v>
      </c>
      <c r="F1357" s="2239" t="s">
        <v>1199</v>
      </c>
      <c r="G1357" s="2236" t="s">
        <v>1199</v>
      </c>
      <c r="H1357" s="2274">
        <v>702</v>
      </c>
      <c r="I1357" s="2275" t="s">
        <v>5254</v>
      </c>
      <c r="J1357" s="2244"/>
      <c r="K1357" s="2277"/>
      <c r="L1357" s="923" t="s">
        <v>37</v>
      </c>
      <c r="M1357" s="71"/>
      <c r="N1357" s="71"/>
      <c r="O1357" s="71"/>
      <c r="P1357" s="71"/>
      <c r="Q1357" s="71"/>
      <c r="R1357" s="71"/>
      <c r="S1357" s="71"/>
      <c r="T1357" s="71"/>
      <c r="U1357" s="93"/>
      <c r="V1357" s="2464"/>
      <c r="W1357"/>
    </row>
    <row r="1358" spans="1:23" ht="52.5">
      <c r="A1358" s="1941" t="s">
        <v>25</v>
      </c>
      <c r="B1358" s="1300">
        <v>45544</v>
      </c>
      <c r="C1358" s="468">
        <f t="shared" si="26"/>
        <v>37</v>
      </c>
      <c r="D1358" s="2260" t="s">
        <v>5255</v>
      </c>
      <c r="E1358" s="2269" t="s">
        <v>4709</v>
      </c>
      <c r="F1358" s="2239" t="s">
        <v>1199</v>
      </c>
      <c r="G1358" s="2236" t="s">
        <v>1199</v>
      </c>
      <c r="H1358" s="2274">
        <v>702</v>
      </c>
      <c r="I1358" s="2275" t="s">
        <v>5256</v>
      </c>
      <c r="J1358" s="2244"/>
      <c r="K1358" s="2277"/>
      <c r="L1358" s="923"/>
      <c r="M1358" s="71" t="s">
        <v>37</v>
      </c>
      <c r="N1358" s="20" t="s">
        <v>0</v>
      </c>
      <c r="O1358" s="20" t="s">
        <v>126</v>
      </c>
      <c r="P1358" s="20" t="s">
        <v>4082</v>
      </c>
      <c r="Q1358" s="2265">
        <v>2</v>
      </c>
      <c r="R1358" s="71"/>
      <c r="S1358" s="71"/>
      <c r="T1358" s="71"/>
      <c r="U1358" s="93" t="s">
        <v>5257</v>
      </c>
      <c r="V1358" s="2464"/>
      <c r="W1358"/>
    </row>
    <row r="1359" spans="1:23">
      <c r="A1359" s="1941" t="s">
        <v>25</v>
      </c>
      <c r="B1359" s="1300">
        <v>45544</v>
      </c>
      <c r="C1359" s="468">
        <f t="shared" si="26"/>
        <v>37</v>
      </c>
      <c r="D1359" s="2262" t="s">
        <v>939</v>
      </c>
      <c r="E1359" s="2271" t="s">
        <v>5258</v>
      </c>
      <c r="F1359" s="2240" t="s">
        <v>1199</v>
      </c>
      <c r="G1359" s="1350" t="s">
        <v>1199</v>
      </c>
      <c r="H1359" s="2274">
        <v>706</v>
      </c>
      <c r="I1359" s="2275" t="s">
        <v>5259</v>
      </c>
      <c r="J1359" s="2244"/>
      <c r="K1359" s="2257" t="s">
        <v>84</v>
      </c>
      <c r="L1359" s="923" t="s">
        <v>37</v>
      </c>
      <c r="M1359" s="71"/>
      <c r="N1359" s="71"/>
      <c r="O1359" s="71"/>
      <c r="P1359" s="71"/>
      <c r="Q1359" s="71"/>
      <c r="R1359" s="71"/>
      <c r="S1359" s="71"/>
      <c r="T1359" s="71"/>
      <c r="U1359" s="93"/>
      <c r="V1359" s="2464"/>
      <c r="W1359"/>
    </row>
    <row r="1360" spans="1:23">
      <c r="A1360" s="1941" t="s">
        <v>25</v>
      </c>
      <c r="B1360" s="1300">
        <v>45544</v>
      </c>
      <c r="C1360" s="468">
        <f t="shared" si="26"/>
        <v>37</v>
      </c>
      <c r="D1360" s="2302" t="s">
        <v>1698</v>
      </c>
      <c r="E1360" s="2304" t="s">
        <v>4926</v>
      </c>
      <c r="F1360" s="2241" t="s">
        <v>1199</v>
      </c>
      <c r="G1360" s="1350" t="s">
        <v>1199</v>
      </c>
      <c r="H1360" s="2274">
        <v>702</v>
      </c>
      <c r="I1360" s="2275" t="s">
        <v>5260</v>
      </c>
      <c r="J1360" s="2244"/>
      <c r="K1360" s="2257" t="s">
        <v>174</v>
      </c>
      <c r="L1360" s="923" t="s">
        <v>37</v>
      </c>
      <c r="M1360" s="71"/>
      <c r="N1360" s="71"/>
      <c r="O1360" s="71"/>
      <c r="P1360" s="71"/>
      <c r="Q1360" s="71"/>
      <c r="R1360" s="71"/>
      <c r="S1360" s="71"/>
      <c r="T1360" s="71"/>
      <c r="U1360" s="93"/>
      <c r="V1360" s="2464"/>
      <c r="W1360"/>
    </row>
    <row r="1361" spans="1:23">
      <c r="A1361" s="1941" t="s">
        <v>25</v>
      </c>
      <c r="B1361" s="1300">
        <v>45544</v>
      </c>
      <c r="C1361" s="468">
        <f t="shared" si="26"/>
        <v>37</v>
      </c>
      <c r="D1361" s="2302" t="s">
        <v>4927</v>
      </c>
      <c r="E1361" s="2304" t="s">
        <v>2461</v>
      </c>
      <c r="F1361" s="2241" t="s">
        <v>1199</v>
      </c>
      <c r="G1361" s="1350" t="s">
        <v>1199</v>
      </c>
      <c r="H1361" s="2274">
        <v>702</v>
      </c>
      <c r="I1361" s="2275" t="s">
        <v>5260</v>
      </c>
      <c r="J1361" s="2244"/>
      <c r="K1361" s="2257" t="s">
        <v>174</v>
      </c>
      <c r="L1361" s="923" t="s">
        <v>37</v>
      </c>
      <c r="M1361" s="71"/>
      <c r="N1361" s="71"/>
      <c r="O1361" s="71"/>
      <c r="P1361" s="71"/>
      <c r="Q1361" s="71"/>
      <c r="R1361" s="71"/>
      <c r="S1361" s="71"/>
      <c r="T1361" s="71"/>
      <c r="U1361" s="93"/>
      <c r="V1361" s="2464"/>
      <c r="W1361"/>
    </row>
    <row r="1362" spans="1:23" ht="52.5">
      <c r="A1362" s="1941" t="s">
        <v>25</v>
      </c>
      <c r="B1362" s="1300">
        <v>45544</v>
      </c>
      <c r="C1362" s="468">
        <f t="shared" si="26"/>
        <v>37</v>
      </c>
      <c r="D1362" s="1300" t="s">
        <v>675</v>
      </c>
      <c r="E1362" s="1328" t="s">
        <v>79</v>
      </c>
      <c r="F1362" s="2241" t="s">
        <v>1199</v>
      </c>
      <c r="G1362" s="2237" t="s">
        <v>1199</v>
      </c>
      <c r="H1362" s="2274">
        <v>702</v>
      </c>
      <c r="I1362" s="2275" t="s">
        <v>1758</v>
      </c>
      <c r="J1362" s="2244"/>
      <c r="K1362" s="2277"/>
      <c r="L1362" s="923"/>
      <c r="M1362" s="71" t="s">
        <v>37</v>
      </c>
      <c r="N1362" s="20" t="s">
        <v>0</v>
      </c>
      <c r="O1362" s="20" t="s">
        <v>31</v>
      </c>
      <c r="P1362" s="20" t="s">
        <v>4082</v>
      </c>
      <c r="Q1362" s="632">
        <v>1</v>
      </c>
      <c r="R1362" s="71"/>
      <c r="S1362" s="71"/>
      <c r="T1362" s="71"/>
      <c r="U1362" s="93" t="s">
        <v>5261</v>
      </c>
      <c r="V1362" s="2464"/>
      <c r="W1362"/>
    </row>
    <row r="1363" spans="1:23">
      <c r="A1363" s="1941" t="s">
        <v>25</v>
      </c>
      <c r="B1363" s="1300">
        <v>45544</v>
      </c>
      <c r="C1363" s="468">
        <f t="shared" si="26"/>
        <v>37</v>
      </c>
      <c r="D1363" s="2263" t="s">
        <v>5262</v>
      </c>
      <c r="E1363" s="2272" t="s">
        <v>1074</v>
      </c>
      <c r="F1363" s="2239" t="s">
        <v>1199</v>
      </c>
      <c r="G1363" s="2236" t="s">
        <v>1199</v>
      </c>
      <c r="H1363" s="2274">
        <v>706</v>
      </c>
      <c r="I1363" s="2275" t="s">
        <v>377</v>
      </c>
      <c r="J1363" s="2244"/>
      <c r="K1363" s="2277"/>
      <c r="L1363" s="923" t="s">
        <v>37</v>
      </c>
      <c r="M1363" s="71"/>
      <c r="N1363" s="71"/>
      <c r="O1363" s="71"/>
      <c r="P1363" s="71"/>
      <c r="Q1363" s="71"/>
      <c r="R1363" s="71"/>
      <c r="S1363" s="71"/>
      <c r="T1363" s="71"/>
      <c r="U1363" s="93"/>
      <c r="V1363" s="2464"/>
      <c r="W1363"/>
    </row>
    <row r="1364" spans="1:23" ht="131.25">
      <c r="A1364" s="1941" t="s">
        <v>25</v>
      </c>
      <c r="B1364" s="1300">
        <v>45544</v>
      </c>
      <c r="C1364" s="468">
        <f t="shared" si="26"/>
        <v>37</v>
      </c>
      <c r="D1364" s="2303" t="s">
        <v>4671</v>
      </c>
      <c r="E1364" s="2305" t="s">
        <v>1052</v>
      </c>
      <c r="F1364" s="2242" t="s">
        <v>1199</v>
      </c>
      <c r="G1364" s="1500" t="s">
        <v>1199</v>
      </c>
      <c r="H1364" s="2274">
        <v>701</v>
      </c>
      <c r="I1364" s="2275">
        <v>60015</v>
      </c>
      <c r="J1364" s="2128"/>
      <c r="K1364" s="2277"/>
      <c r="L1364" s="923" t="s">
        <v>37</v>
      </c>
      <c r="M1364" s="71"/>
      <c r="N1364" s="71"/>
      <c r="O1364" s="71"/>
      <c r="P1364" s="71"/>
      <c r="Q1364" s="71"/>
      <c r="R1364" s="71"/>
      <c r="S1364" s="71"/>
      <c r="T1364" s="71"/>
      <c r="U1364" s="93" t="s">
        <v>5263</v>
      </c>
      <c r="V1364" s="2464"/>
      <c r="W1364"/>
    </row>
    <row r="1365" spans="1:23" ht="27" thickBot="1">
      <c r="A1365" s="1938" t="s">
        <v>25</v>
      </c>
      <c r="B1365" s="1312">
        <v>45544</v>
      </c>
      <c r="C1365" s="480">
        <f t="shared" si="26"/>
        <v>37</v>
      </c>
      <c r="D1365" s="2233" t="s">
        <v>258</v>
      </c>
      <c r="E1365" s="2248" t="s">
        <v>61</v>
      </c>
      <c r="F1365" s="2243" t="s">
        <v>1199</v>
      </c>
      <c r="G1365" s="2238" t="s">
        <v>1199</v>
      </c>
      <c r="H1365" s="2253">
        <v>701</v>
      </c>
      <c r="I1365" s="2254">
        <v>60015</v>
      </c>
      <c r="J1365" s="2245"/>
      <c r="K1365" s="2121" t="s">
        <v>84</v>
      </c>
      <c r="L1365" s="957" t="s">
        <v>37</v>
      </c>
      <c r="M1365" s="91"/>
      <c r="N1365" s="91"/>
      <c r="O1365" s="91"/>
      <c r="P1365" s="91"/>
      <c r="Q1365" s="91"/>
      <c r="R1365" s="91"/>
      <c r="S1365" s="91"/>
      <c r="T1365" s="91"/>
      <c r="U1365" s="116"/>
      <c r="V1365" s="2464"/>
      <c r="W1365"/>
    </row>
    <row r="1366" spans="1:23" ht="52.5">
      <c r="A1366" s="1942" t="s">
        <v>67</v>
      </c>
      <c r="B1366" s="1301">
        <v>45545</v>
      </c>
      <c r="C1366" s="179">
        <f t="shared" si="26"/>
        <v>37</v>
      </c>
      <c r="D1366" s="2232" t="s">
        <v>2728</v>
      </c>
      <c r="E1366" s="2247" t="s">
        <v>5264</v>
      </c>
      <c r="F1366" s="1455" t="s">
        <v>4481</v>
      </c>
      <c r="G1366" s="1448" t="s">
        <v>4481</v>
      </c>
      <c r="H1366" s="2251">
        <v>702</v>
      </c>
      <c r="I1366" s="2252" t="s">
        <v>5256</v>
      </c>
      <c r="J1366" s="2244"/>
      <c r="K1366" s="2256"/>
      <c r="L1366" s="1009"/>
      <c r="M1366" s="97" t="s">
        <v>37</v>
      </c>
      <c r="N1366" s="20" t="s">
        <v>0</v>
      </c>
      <c r="O1366" s="20" t="s">
        <v>126</v>
      </c>
      <c r="P1366" s="20" t="s">
        <v>4082</v>
      </c>
      <c r="Q1366" s="97"/>
      <c r="R1366" s="97"/>
      <c r="S1366" s="97"/>
      <c r="T1366" s="97"/>
      <c r="U1366" s="98" t="s">
        <v>5265</v>
      </c>
      <c r="V1366" s="2464"/>
      <c r="W1366"/>
    </row>
    <row r="1367" spans="1:23">
      <c r="A1367" s="1941" t="s">
        <v>67</v>
      </c>
      <c r="B1367" s="1300">
        <v>45545</v>
      </c>
      <c r="C1367" s="468">
        <f t="shared" si="26"/>
        <v>37</v>
      </c>
      <c r="D1367" s="2260" t="s">
        <v>5255</v>
      </c>
      <c r="E1367" s="2269" t="s">
        <v>4709</v>
      </c>
      <c r="F1367" s="2267" t="s">
        <v>1206</v>
      </c>
      <c r="G1367" s="1483" t="s">
        <v>1206</v>
      </c>
      <c r="H1367" s="2274">
        <v>702</v>
      </c>
      <c r="I1367" s="2275" t="s">
        <v>5256</v>
      </c>
      <c r="J1367" s="2244"/>
      <c r="K1367" s="2277"/>
      <c r="L1367" s="923" t="s">
        <v>37</v>
      </c>
      <c r="M1367" s="71"/>
      <c r="N1367" s="71"/>
      <c r="O1367" s="71"/>
      <c r="P1367" s="71"/>
      <c r="Q1367" s="71"/>
      <c r="R1367" s="2265">
        <v>2</v>
      </c>
      <c r="S1367" s="71"/>
      <c r="T1367" s="71"/>
      <c r="U1367" s="93"/>
      <c r="V1367" s="2464"/>
      <c r="W1367"/>
    </row>
    <row r="1368" spans="1:23" ht="52.5">
      <c r="A1368" s="1941" t="s">
        <v>67</v>
      </c>
      <c r="B1368" s="1300">
        <v>45545</v>
      </c>
      <c r="C1368" s="468">
        <f t="shared" si="26"/>
        <v>37</v>
      </c>
      <c r="D1368" s="2261" t="s">
        <v>5266</v>
      </c>
      <c r="E1368" s="2270" t="s">
        <v>77</v>
      </c>
      <c r="F1368" s="1455" t="s">
        <v>1206</v>
      </c>
      <c r="G1368" s="1448" t="s">
        <v>1206</v>
      </c>
      <c r="H1368" s="2274">
        <v>702</v>
      </c>
      <c r="I1368" s="2275" t="s">
        <v>5267</v>
      </c>
      <c r="J1368" s="2244"/>
      <c r="K1368" s="2277"/>
      <c r="L1368" s="923" t="s">
        <v>37</v>
      </c>
      <c r="M1368" s="71"/>
      <c r="N1368" s="71"/>
      <c r="O1368" s="71"/>
      <c r="P1368" s="71"/>
      <c r="Q1368" s="71"/>
      <c r="R1368" s="632">
        <v>1</v>
      </c>
      <c r="S1368" s="71"/>
      <c r="T1368" s="71"/>
      <c r="U1368" s="93" t="s">
        <v>5268</v>
      </c>
      <c r="V1368" s="2464"/>
      <c r="W1368"/>
    </row>
    <row r="1369" spans="1:23">
      <c r="A1369" s="1941" t="s">
        <v>67</v>
      </c>
      <c r="B1369" s="1300">
        <v>45545</v>
      </c>
      <c r="C1369" s="468">
        <f t="shared" si="26"/>
        <v>37</v>
      </c>
      <c r="D1369" s="2262" t="s">
        <v>450</v>
      </c>
      <c r="E1369" s="2271" t="s">
        <v>5269</v>
      </c>
      <c r="F1369" s="2240" t="s">
        <v>1199</v>
      </c>
      <c r="G1369" s="1350" t="s">
        <v>1199</v>
      </c>
      <c r="H1369" s="2274">
        <v>706</v>
      </c>
      <c r="I1369" s="2275" t="s">
        <v>5270</v>
      </c>
      <c r="J1369" s="2244"/>
      <c r="K1369" s="2257" t="s">
        <v>5231</v>
      </c>
      <c r="L1369" s="923" t="s">
        <v>37</v>
      </c>
      <c r="M1369" s="71"/>
      <c r="N1369" s="71"/>
      <c r="O1369" s="71"/>
      <c r="P1369" s="71"/>
      <c r="Q1369" s="71"/>
      <c r="R1369" s="71"/>
      <c r="S1369" s="71"/>
      <c r="T1369" s="71"/>
      <c r="U1369" s="93"/>
      <c r="V1369" s="2464"/>
      <c r="W1369"/>
    </row>
    <row r="1370" spans="1:23">
      <c r="A1370" s="1941" t="s">
        <v>67</v>
      </c>
      <c r="B1370" s="1300">
        <v>45545</v>
      </c>
      <c r="C1370" s="468">
        <f t="shared" si="26"/>
        <v>37</v>
      </c>
      <c r="D1370" s="2262" t="s">
        <v>89</v>
      </c>
      <c r="E1370" s="2271" t="s">
        <v>5271</v>
      </c>
      <c r="F1370" s="2240" t="s">
        <v>1199</v>
      </c>
      <c r="G1370" s="1350" t="s">
        <v>1199</v>
      </c>
      <c r="H1370" s="2274">
        <v>706</v>
      </c>
      <c r="I1370" s="2275" t="s">
        <v>5272</v>
      </c>
      <c r="J1370" s="2244"/>
      <c r="K1370" s="2257" t="s">
        <v>5231</v>
      </c>
      <c r="L1370" s="923" t="s">
        <v>37</v>
      </c>
      <c r="M1370" s="71"/>
      <c r="N1370" s="71"/>
      <c r="O1370" s="71"/>
      <c r="P1370" s="71"/>
      <c r="Q1370" s="71"/>
      <c r="R1370" s="71"/>
      <c r="S1370" s="71"/>
      <c r="T1370" s="71"/>
      <c r="U1370" s="93"/>
      <c r="V1370" s="2464"/>
      <c r="W1370"/>
    </row>
    <row r="1371" spans="1:23">
      <c r="A1371" s="1941" t="s">
        <v>67</v>
      </c>
      <c r="B1371" s="1300">
        <v>45545</v>
      </c>
      <c r="C1371" s="468">
        <f t="shared" si="26"/>
        <v>37</v>
      </c>
      <c r="D1371" s="2263" t="s">
        <v>204</v>
      </c>
      <c r="E1371" s="2272" t="s">
        <v>2411</v>
      </c>
      <c r="F1371" s="2240" t="s">
        <v>1199</v>
      </c>
      <c r="G1371" s="1574" t="s">
        <v>1199</v>
      </c>
      <c r="H1371" s="2274">
        <v>706</v>
      </c>
      <c r="I1371" s="2275" t="s">
        <v>377</v>
      </c>
      <c r="J1371" s="2244"/>
      <c r="K1371" s="2257" t="s">
        <v>627</v>
      </c>
      <c r="L1371" s="923" t="s">
        <v>37</v>
      </c>
      <c r="M1371" s="71"/>
      <c r="N1371" s="71"/>
      <c r="O1371" s="71"/>
      <c r="P1371" s="71"/>
      <c r="Q1371" s="71"/>
      <c r="R1371" s="71"/>
      <c r="S1371" s="71"/>
      <c r="T1371" s="71"/>
      <c r="U1371" s="93"/>
      <c r="V1371" s="2464"/>
      <c r="W1371"/>
    </row>
    <row r="1372" spans="1:23" ht="131.25">
      <c r="A1372" s="1941" t="s">
        <v>67</v>
      </c>
      <c r="B1372" s="1300">
        <v>45545</v>
      </c>
      <c r="C1372" s="468">
        <f t="shared" si="26"/>
        <v>37</v>
      </c>
      <c r="D1372" s="2264" t="s">
        <v>5221</v>
      </c>
      <c r="E1372" s="2273" t="s">
        <v>5273</v>
      </c>
      <c r="F1372" s="2240" t="s">
        <v>1199</v>
      </c>
      <c r="G1372" s="1350" t="s">
        <v>1199</v>
      </c>
      <c r="H1372" s="2274">
        <v>706</v>
      </c>
      <c r="I1372" s="2275" t="s">
        <v>274</v>
      </c>
      <c r="J1372" s="2244"/>
      <c r="K1372" s="2277"/>
      <c r="L1372" s="923"/>
      <c r="M1372" s="71" t="s">
        <v>37</v>
      </c>
      <c r="N1372" s="20" t="s">
        <v>109</v>
      </c>
      <c r="O1372" s="20" t="s">
        <v>610</v>
      </c>
      <c r="P1372" s="20" t="s">
        <v>4102</v>
      </c>
      <c r="Q1372" s="71"/>
      <c r="R1372" s="71"/>
      <c r="S1372" s="71"/>
      <c r="T1372" s="71"/>
      <c r="U1372" s="93" t="s">
        <v>5274</v>
      </c>
      <c r="V1372" s="2464"/>
      <c r="W1372"/>
    </row>
    <row r="1373" spans="1:23">
      <c r="A1373" s="1941" t="s">
        <v>67</v>
      </c>
      <c r="B1373" s="1300">
        <v>45545</v>
      </c>
      <c r="C1373" s="468">
        <f t="shared" si="26"/>
        <v>37</v>
      </c>
      <c r="D1373" s="2264" t="s">
        <v>1435</v>
      </c>
      <c r="E1373" s="2273" t="s">
        <v>238</v>
      </c>
      <c r="F1373" s="2240" t="s">
        <v>1199</v>
      </c>
      <c r="G1373" s="1574" t="s">
        <v>1199</v>
      </c>
      <c r="H1373" s="2274">
        <v>706</v>
      </c>
      <c r="I1373" s="2275" t="s">
        <v>274</v>
      </c>
      <c r="J1373" s="2244"/>
      <c r="K1373" s="2257" t="s">
        <v>1630</v>
      </c>
      <c r="L1373" s="923" t="s">
        <v>37</v>
      </c>
      <c r="M1373" s="71"/>
      <c r="N1373" s="71"/>
      <c r="O1373" s="71"/>
      <c r="P1373" s="71"/>
      <c r="Q1373" s="71"/>
      <c r="R1373" s="71"/>
      <c r="S1373" s="71"/>
      <c r="T1373" s="71"/>
      <c r="U1373" s="93"/>
      <c r="V1373" s="2464"/>
      <c r="W1373"/>
    </row>
    <row r="1374" spans="1:23" ht="27" thickBot="1">
      <c r="A1374" s="1937" t="s">
        <v>67</v>
      </c>
      <c r="B1374" s="1390">
        <v>45545</v>
      </c>
      <c r="C1374" s="471">
        <f t="shared" si="26"/>
        <v>37</v>
      </c>
      <c r="D1374" s="1390" t="s">
        <v>79</v>
      </c>
      <c r="E1374" s="1391" t="s">
        <v>671</v>
      </c>
      <c r="F1374" s="2268" t="s">
        <v>4481</v>
      </c>
      <c r="G1374" s="2266" t="s">
        <v>4481</v>
      </c>
      <c r="H1374" s="2258">
        <v>702</v>
      </c>
      <c r="I1374" s="2259" t="s">
        <v>5275</v>
      </c>
      <c r="J1374" s="2245"/>
      <c r="K1374" s="2284"/>
      <c r="L1374" s="1001"/>
      <c r="M1374" s="33"/>
      <c r="N1374" s="33"/>
      <c r="O1374" s="33"/>
      <c r="P1374" s="33"/>
      <c r="Q1374" s="33"/>
      <c r="R1374" s="33"/>
      <c r="S1374" s="33"/>
      <c r="T1374" s="33"/>
      <c r="U1374" s="1429" t="s">
        <v>5276</v>
      </c>
      <c r="V1374" s="2464"/>
      <c r="W1374"/>
    </row>
    <row r="1375" spans="1:23">
      <c r="A1375" s="1935" t="s">
        <v>85</v>
      </c>
      <c r="B1375" s="1936">
        <v>45546</v>
      </c>
      <c r="C1375" s="465">
        <f t="shared" si="26"/>
        <v>37</v>
      </c>
      <c r="D1375" s="2234" t="s">
        <v>450</v>
      </c>
      <c r="E1375" s="2285" t="s">
        <v>5277</v>
      </c>
      <c r="F1375" s="2280" t="s">
        <v>1199</v>
      </c>
      <c r="G1375" s="2278" t="s">
        <v>1199</v>
      </c>
      <c r="H1375" s="2249">
        <v>706</v>
      </c>
      <c r="I1375" s="2250" t="s">
        <v>5272</v>
      </c>
      <c r="J1375" s="2283"/>
      <c r="K1375" s="2255" t="s">
        <v>5231</v>
      </c>
      <c r="L1375" s="918" t="s">
        <v>37</v>
      </c>
      <c r="M1375" s="64"/>
      <c r="N1375" s="64"/>
      <c r="O1375" s="64"/>
      <c r="P1375" s="64"/>
      <c r="Q1375" s="64"/>
      <c r="R1375" s="64"/>
      <c r="S1375" s="64"/>
      <c r="T1375" s="64"/>
      <c r="U1375" s="1515"/>
      <c r="V1375" s="2464"/>
      <c r="W1375"/>
    </row>
    <row r="1376" spans="1:23">
      <c r="A1376" s="1941" t="s">
        <v>85</v>
      </c>
      <c r="B1376" s="1300">
        <v>45545</v>
      </c>
      <c r="C1376" s="468">
        <f t="shared" si="26"/>
        <v>37</v>
      </c>
      <c r="D1376" s="2260" t="s">
        <v>2728</v>
      </c>
      <c r="E1376" s="2269" t="s">
        <v>5264</v>
      </c>
      <c r="F1376" s="2240" t="s">
        <v>1199</v>
      </c>
      <c r="G1376" s="1574" t="s">
        <v>1199</v>
      </c>
      <c r="H1376" s="2274">
        <v>702</v>
      </c>
      <c r="I1376" s="2275" t="s">
        <v>5256</v>
      </c>
      <c r="J1376" s="2244"/>
      <c r="K1376" s="2257" t="s">
        <v>1274</v>
      </c>
      <c r="L1376" s="923" t="s">
        <v>37</v>
      </c>
      <c r="M1376" s="71"/>
      <c r="N1376" s="71"/>
      <c r="O1376" s="71"/>
      <c r="P1376" s="71"/>
      <c r="Q1376" s="71"/>
      <c r="R1376" s="71"/>
      <c r="S1376" s="71"/>
      <c r="T1376" s="71"/>
      <c r="U1376" s="93"/>
      <c r="V1376" s="2464"/>
      <c r="W1376"/>
    </row>
    <row r="1377" spans="1:23">
      <c r="A1377" s="1941" t="s">
        <v>85</v>
      </c>
      <c r="B1377" s="1300">
        <v>45546</v>
      </c>
      <c r="C1377" s="468">
        <f t="shared" si="26"/>
        <v>37</v>
      </c>
      <c r="D1377" s="1300" t="s">
        <v>80</v>
      </c>
      <c r="E1377" s="1328" t="s">
        <v>1091</v>
      </c>
      <c r="F1377" s="2240" t="s">
        <v>1199</v>
      </c>
      <c r="G1377" s="1350" t="s">
        <v>1199</v>
      </c>
      <c r="H1377" s="2274">
        <v>702</v>
      </c>
      <c r="I1377" s="2275">
        <v>60072</v>
      </c>
      <c r="J1377" s="2244"/>
      <c r="K1377" s="2277"/>
      <c r="L1377" s="923" t="s">
        <v>37</v>
      </c>
      <c r="M1377" s="71"/>
      <c r="N1377" s="71"/>
      <c r="O1377" s="71"/>
      <c r="P1377" s="71"/>
      <c r="Q1377" s="71"/>
      <c r="R1377" s="71"/>
      <c r="S1377" s="71"/>
      <c r="T1377" s="71"/>
      <c r="U1377" s="93"/>
      <c r="V1377" s="2464"/>
      <c r="W1377"/>
    </row>
    <row r="1378" spans="1:23">
      <c r="A1378" s="1941" t="s">
        <v>85</v>
      </c>
      <c r="B1378" s="1300">
        <v>45546</v>
      </c>
      <c r="C1378" s="468">
        <f t="shared" ref="C1378:C1399" si="27">_xlfn.ISOWEEKNUM(B1378)</f>
        <v>37</v>
      </c>
      <c r="D1378" s="2261" t="s">
        <v>79</v>
      </c>
      <c r="E1378" s="2270" t="s">
        <v>671</v>
      </c>
      <c r="F1378" s="2281" t="s">
        <v>1199</v>
      </c>
      <c r="G1378" s="1533" t="s">
        <v>1199</v>
      </c>
      <c r="H1378" s="2274">
        <v>702</v>
      </c>
      <c r="I1378" s="2275" t="s">
        <v>5278</v>
      </c>
      <c r="J1378" s="2128"/>
      <c r="K1378" s="2277"/>
      <c r="L1378" s="923" t="s">
        <v>37</v>
      </c>
      <c r="M1378" s="71"/>
      <c r="N1378" s="71"/>
      <c r="O1378" s="71"/>
      <c r="P1378" s="71"/>
      <c r="Q1378" s="71"/>
      <c r="R1378" s="71"/>
      <c r="S1378" s="71"/>
      <c r="T1378" s="71"/>
      <c r="U1378" s="93"/>
      <c r="V1378" s="2464"/>
      <c r="W1378"/>
    </row>
    <row r="1379" spans="1:23" ht="27" thickBot="1">
      <c r="A1379" s="1937" t="s">
        <v>85</v>
      </c>
      <c r="B1379" s="1390">
        <v>45546</v>
      </c>
      <c r="C1379" s="471">
        <f t="shared" si="27"/>
        <v>37</v>
      </c>
      <c r="D1379" s="2288" t="s">
        <v>5279</v>
      </c>
      <c r="E1379" s="2289" t="s">
        <v>5280</v>
      </c>
      <c r="F1379" s="2282" t="s">
        <v>1199</v>
      </c>
      <c r="G1379" s="2279" t="s">
        <v>1199</v>
      </c>
      <c r="H1379" s="2258">
        <v>702</v>
      </c>
      <c r="I1379" s="2259" t="s">
        <v>5281</v>
      </c>
      <c r="J1379" s="2245"/>
      <c r="K1379" s="2125" t="s">
        <v>5231</v>
      </c>
      <c r="L1379" s="957" t="s">
        <v>37</v>
      </c>
      <c r="M1379" s="91"/>
      <c r="N1379" s="91"/>
      <c r="O1379" s="91"/>
      <c r="P1379" s="91"/>
      <c r="Q1379" s="91"/>
      <c r="R1379" s="33"/>
      <c r="S1379" s="33"/>
      <c r="T1379" s="33"/>
      <c r="U1379" s="1429"/>
      <c r="V1379" s="2464"/>
      <c r="W1379"/>
    </row>
    <row r="1380" spans="1:23" ht="52.5">
      <c r="A1380" s="1935" t="s">
        <v>105</v>
      </c>
      <c r="B1380" s="1936">
        <v>45547</v>
      </c>
      <c r="C1380" s="465">
        <f t="shared" si="27"/>
        <v>37</v>
      </c>
      <c r="D1380" s="2234" t="s">
        <v>1811</v>
      </c>
      <c r="E1380" s="2285" t="s">
        <v>5282</v>
      </c>
      <c r="F1380" s="2287" t="s">
        <v>1199</v>
      </c>
      <c r="G1380" s="1318" t="s">
        <v>1199</v>
      </c>
      <c r="H1380" s="2249">
        <v>706</v>
      </c>
      <c r="I1380" s="2250" t="s">
        <v>5272</v>
      </c>
      <c r="J1380" s="2283"/>
      <c r="K1380" s="2276"/>
      <c r="L1380" s="1009"/>
      <c r="M1380" s="97" t="s">
        <v>37</v>
      </c>
      <c r="N1380" s="20" t="s">
        <v>0</v>
      </c>
      <c r="O1380" s="20"/>
      <c r="P1380" s="20" t="s">
        <v>4102</v>
      </c>
      <c r="Q1380" s="97">
        <v>3</v>
      </c>
      <c r="R1380" s="64"/>
      <c r="S1380" s="64"/>
      <c r="T1380" s="64"/>
      <c r="U1380" s="1515" t="s">
        <v>5283</v>
      </c>
      <c r="V1380" s="2464"/>
      <c r="W1380"/>
    </row>
    <row r="1381" spans="1:23">
      <c r="A1381" s="1941" t="s">
        <v>105</v>
      </c>
      <c r="B1381" s="1300">
        <v>45547</v>
      </c>
      <c r="C1381" s="468">
        <f t="shared" si="27"/>
        <v>37</v>
      </c>
      <c r="D1381" s="2231" t="s">
        <v>1733</v>
      </c>
      <c r="E1381" s="2292" t="s">
        <v>518</v>
      </c>
      <c r="F1381" s="2267" t="s">
        <v>1199</v>
      </c>
      <c r="G1381" s="1483" t="s">
        <v>1199</v>
      </c>
      <c r="H1381" s="2274">
        <v>702</v>
      </c>
      <c r="I1381" s="2275" t="s">
        <v>5281</v>
      </c>
      <c r="J1381" s="2244"/>
      <c r="K1381" s="2257" t="s">
        <v>5231</v>
      </c>
      <c r="L1381" s="923" t="s">
        <v>37</v>
      </c>
      <c r="M1381" s="71"/>
      <c r="N1381" s="71"/>
      <c r="O1381" s="71"/>
      <c r="P1381" s="71"/>
      <c r="Q1381" s="71"/>
      <c r="R1381" s="71"/>
      <c r="S1381" s="71"/>
      <c r="T1381" s="71"/>
      <c r="U1381" s="93"/>
      <c r="V1381" s="2464"/>
      <c r="W1381"/>
    </row>
    <row r="1382" spans="1:23">
      <c r="A1382" s="1941" t="s">
        <v>105</v>
      </c>
      <c r="B1382" s="1300">
        <v>45547</v>
      </c>
      <c r="C1382" s="468">
        <f t="shared" si="27"/>
        <v>37</v>
      </c>
      <c r="D1382" s="1476" t="s">
        <v>204</v>
      </c>
      <c r="E1382" s="1506" t="s">
        <v>3540</v>
      </c>
      <c r="F1382" s="2240" t="s">
        <v>1199</v>
      </c>
      <c r="G1382" s="2286" t="s">
        <v>1199</v>
      </c>
      <c r="H1382" s="2274">
        <v>706</v>
      </c>
      <c r="I1382" s="2275" t="s">
        <v>379</v>
      </c>
      <c r="J1382" s="2244"/>
      <c r="K1382" s="2257" t="s">
        <v>5231</v>
      </c>
      <c r="L1382" s="923" t="s">
        <v>37</v>
      </c>
      <c r="M1382" s="71"/>
      <c r="N1382" s="71"/>
      <c r="O1382" s="71"/>
      <c r="P1382" s="71"/>
      <c r="Q1382" s="71"/>
      <c r="R1382" s="71"/>
      <c r="S1382" s="71"/>
      <c r="T1382" s="71"/>
      <c r="U1382" s="93"/>
      <c r="V1382" s="2464"/>
      <c r="W1382"/>
    </row>
    <row r="1383" spans="1:23">
      <c r="A1383" s="1941" t="s">
        <v>105</v>
      </c>
      <c r="B1383" s="1300">
        <v>45547</v>
      </c>
      <c r="C1383" s="468">
        <f t="shared" si="27"/>
        <v>37</v>
      </c>
      <c r="D1383" s="1300" t="s">
        <v>675</v>
      </c>
      <c r="E1383" s="1328" t="s">
        <v>1698</v>
      </c>
      <c r="F1383" s="2240" t="s">
        <v>1199</v>
      </c>
      <c r="G1383" s="1574" t="s">
        <v>1199</v>
      </c>
      <c r="H1383" s="2274">
        <v>702</v>
      </c>
      <c r="I1383" s="2275" t="s">
        <v>5284</v>
      </c>
      <c r="J1383" s="2244"/>
      <c r="K1383" s="2277"/>
      <c r="L1383" s="923" t="s">
        <v>37</v>
      </c>
      <c r="M1383" s="71"/>
      <c r="N1383" s="71"/>
      <c r="O1383" s="71"/>
      <c r="P1383" s="71"/>
      <c r="Q1383" s="71"/>
      <c r="R1383" s="71"/>
      <c r="S1383" s="71"/>
      <c r="T1383" s="71"/>
      <c r="U1383" s="93"/>
      <c r="V1383" s="2464"/>
      <c r="W1383"/>
    </row>
    <row r="1384" spans="1:23">
      <c r="A1384" s="1941" t="s">
        <v>105</v>
      </c>
      <c r="B1384" s="1300">
        <v>45547</v>
      </c>
      <c r="C1384" s="468">
        <f t="shared" si="27"/>
        <v>37</v>
      </c>
      <c r="D1384" s="1493" t="s">
        <v>80</v>
      </c>
      <c r="E1384" s="1496" t="s">
        <v>275</v>
      </c>
      <c r="F1384" s="2240" t="s">
        <v>1199</v>
      </c>
      <c r="G1384" s="1574" t="s">
        <v>1199</v>
      </c>
      <c r="H1384" s="2274">
        <v>701</v>
      </c>
      <c r="I1384" s="2275">
        <v>60015</v>
      </c>
      <c r="J1384" s="2244"/>
      <c r="K1384" s="2277"/>
      <c r="L1384" s="923" t="s">
        <v>37</v>
      </c>
      <c r="M1384" s="71"/>
      <c r="N1384" s="71"/>
      <c r="O1384" s="71"/>
      <c r="P1384" s="71"/>
      <c r="Q1384" s="71"/>
      <c r="R1384" s="71"/>
      <c r="S1384" s="71"/>
      <c r="T1384" s="71"/>
      <c r="U1384" s="93"/>
      <c r="V1384" s="2464"/>
      <c r="W1384"/>
    </row>
    <row r="1385" spans="1:23">
      <c r="A1385" s="1941" t="s">
        <v>105</v>
      </c>
      <c r="B1385" s="1300">
        <v>45547</v>
      </c>
      <c r="C1385" s="468">
        <f t="shared" si="27"/>
        <v>37</v>
      </c>
      <c r="D1385" s="2291" t="s">
        <v>1698</v>
      </c>
      <c r="E1385" s="2293" t="s">
        <v>183</v>
      </c>
      <c r="F1385" s="2240" t="s">
        <v>1768</v>
      </c>
      <c r="G1385" s="1574" t="s">
        <v>1768</v>
      </c>
      <c r="H1385" s="2274">
        <v>702</v>
      </c>
      <c r="I1385" s="2275" t="s">
        <v>5285</v>
      </c>
      <c r="J1385" s="2244"/>
      <c r="K1385" s="2277"/>
      <c r="L1385" s="923" t="s">
        <v>37</v>
      </c>
      <c r="M1385" s="71"/>
      <c r="N1385" s="71"/>
      <c r="O1385" s="71"/>
      <c r="P1385" s="71"/>
      <c r="Q1385" s="71"/>
      <c r="R1385" s="71"/>
      <c r="S1385" s="71"/>
      <c r="T1385" s="71"/>
      <c r="U1385" s="93"/>
      <c r="V1385" s="2464"/>
      <c r="W1385"/>
    </row>
    <row r="1386" spans="1:23">
      <c r="A1386" s="1941" t="s">
        <v>105</v>
      </c>
      <c r="B1386" s="1300">
        <v>45547</v>
      </c>
      <c r="C1386" s="468">
        <f t="shared" si="27"/>
        <v>37</v>
      </c>
      <c r="D1386" s="2264" t="s">
        <v>499</v>
      </c>
      <c r="E1386" s="2273" t="s">
        <v>2535</v>
      </c>
      <c r="F1386" s="2240" t="s">
        <v>1199</v>
      </c>
      <c r="G1386" s="2237" t="s">
        <v>1199</v>
      </c>
      <c r="H1386" s="2274">
        <v>701</v>
      </c>
      <c r="I1386" s="2275" t="s">
        <v>1095</v>
      </c>
      <c r="J1386" s="2244"/>
      <c r="K1386" s="2277"/>
      <c r="L1386" s="923" t="s">
        <v>37</v>
      </c>
      <c r="M1386" s="71"/>
      <c r="N1386" s="71"/>
      <c r="O1386" s="71"/>
      <c r="P1386" s="71"/>
      <c r="Q1386" s="71"/>
      <c r="R1386" s="71"/>
      <c r="S1386" s="71"/>
      <c r="T1386" s="71"/>
      <c r="U1386" s="93"/>
      <c r="V1386" s="2464"/>
      <c r="W1386"/>
    </row>
    <row r="1387" spans="1:23" ht="27" thickBot="1">
      <c r="A1387" s="1937" t="s">
        <v>105</v>
      </c>
      <c r="B1387" s="1390">
        <v>45547</v>
      </c>
      <c r="C1387" s="471">
        <f t="shared" si="27"/>
        <v>37</v>
      </c>
      <c r="D1387" s="1390" t="s">
        <v>5286</v>
      </c>
      <c r="E1387" s="1391" t="s">
        <v>3402</v>
      </c>
      <c r="F1387" s="2282" t="s">
        <v>1199</v>
      </c>
      <c r="G1387" s="2279" t="s">
        <v>1199</v>
      </c>
      <c r="H1387" s="2258">
        <v>705</v>
      </c>
      <c r="I1387" s="2259" t="s">
        <v>1245</v>
      </c>
      <c r="J1387" s="2245"/>
      <c r="K1387" s="2125" t="s">
        <v>1630</v>
      </c>
      <c r="L1387" s="1001" t="s">
        <v>37</v>
      </c>
      <c r="M1387" s="33"/>
      <c r="N1387" s="33"/>
      <c r="O1387" s="33"/>
      <c r="P1387" s="33"/>
      <c r="Q1387" s="33"/>
      <c r="R1387" s="33"/>
      <c r="S1387" s="33"/>
      <c r="T1387" s="33"/>
      <c r="U1387" s="1429"/>
      <c r="V1387" s="2464"/>
      <c r="W1387"/>
    </row>
    <row r="1388" spans="1:23">
      <c r="A1388" s="1935" t="s">
        <v>132</v>
      </c>
      <c r="B1388" s="1936">
        <v>45548</v>
      </c>
      <c r="C1388" s="465">
        <f t="shared" si="27"/>
        <v>37</v>
      </c>
      <c r="D1388" s="2235" t="s">
        <v>148</v>
      </c>
      <c r="E1388" s="2300" t="s">
        <v>5033</v>
      </c>
      <c r="F1388" s="2240" t="s">
        <v>1199</v>
      </c>
      <c r="G1388" s="1512" t="s">
        <v>1199</v>
      </c>
      <c r="H1388" s="2249">
        <v>702</v>
      </c>
      <c r="I1388" s="2250" t="s">
        <v>5281</v>
      </c>
      <c r="J1388" s="2244"/>
      <c r="K1388" s="2255" t="s">
        <v>5231</v>
      </c>
      <c r="L1388" s="918" t="s">
        <v>37</v>
      </c>
      <c r="M1388" s="64"/>
      <c r="N1388" s="64"/>
      <c r="O1388" s="64"/>
      <c r="P1388" s="64"/>
      <c r="Q1388" s="64"/>
      <c r="R1388" s="64"/>
      <c r="S1388" s="64"/>
      <c r="T1388" s="64"/>
      <c r="U1388" s="1515" t="s">
        <v>5287</v>
      </c>
      <c r="V1388" s="2464"/>
      <c r="W1388"/>
    </row>
    <row r="1389" spans="1:23" ht="131.25">
      <c r="A1389" s="1941" t="s">
        <v>132</v>
      </c>
      <c r="B1389" s="1300">
        <v>45548</v>
      </c>
      <c r="C1389" s="468">
        <f t="shared" si="27"/>
        <v>37</v>
      </c>
      <c r="D1389" s="2294" t="s">
        <v>724</v>
      </c>
      <c r="E1389" s="2301" t="s">
        <v>1342</v>
      </c>
      <c r="F1389" s="2240" t="s">
        <v>1764</v>
      </c>
      <c r="G1389" s="1574" t="s">
        <v>1764</v>
      </c>
      <c r="H1389" s="2274">
        <v>701</v>
      </c>
      <c r="I1389" s="2275" t="s">
        <v>5288</v>
      </c>
      <c r="J1389" s="2244"/>
      <c r="K1389" s="2277"/>
      <c r="L1389" s="923"/>
      <c r="M1389" s="923" t="s">
        <v>37</v>
      </c>
      <c r="N1389" s="20" t="s">
        <v>109</v>
      </c>
      <c r="O1389" s="20" t="s">
        <v>109</v>
      </c>
      <c r="P1389" s="20" t="s">
        <v>4080</v>
      </c>
      <c r="Q1389" s="71"/>
      <c r="R1389" s="71"/>
      <c r="S1389" s="71"/>
      <c r="T1389" s="71"/>
      <c r="U1389" s="93" t="s">
        <v>5289</v>
      </c>
      <c r="V1389" s="2464"/>
      <c r="W1389"/>
    </row>
    <row r="1390" spans="1:23" ht="52.5">
      <c r="A1390" s="1941" t="s">
        <v>132</v>
      </c>
      <c r="B1390" s="1300">
        <v>45548</v>
      </c>
      <c r="C1390" s="468">
        <f t="shared" si="27"/>
        <v>37</v>
      </c>
      <c r="D1390" s="1356" t="s">
        <v>1512</v>
      </c>
      <c r="E1390" s="1360" t="s">
        <v>4155</v>
      </c>
      <c r="F1390" s="2298" t="s">
        <v>1199</v>
      </c>
      <c r="G1390" s="2295" t="s">
        <v>1199</v>
      </c>
      <c r="H1390" s="2274">
        <v>702</v>
      </c>
      <c r="I1390" s="2275">
        <v>60086</v>
      </c>
      <c r="J1390" s="2244"/>
      <c r="K1390" s="2257" t="s">
        <v>84</v>
      </c>
      <c r="L1390" s="923"/>
      <c r="M1390" s="923" t="s">
        <v>37</v>
      </c>
      <c r="N1390" s="20" t="s">
        <v>109</v>
      </c>
      <c r="O1390" s="20" t="s">
        <v>109</v>
      </c>
      <c r="P1390" s="20" t="s">
        <v>4080</v>
      </c>
      <c r="Q1390" s="71"/>
      <c r="R1390" s="71"/>
      <c r="S1390" s="71" t="s">
        <v>37</v>
      </c>
      <c r="T1390" s="71"/>
      <c r="U1390" s="93"/>
      <c r="V1390" s="2464"/>
      <c r="W1390"/>
    </row>
    <row r="1391" spans="1:23">
      <c r="A1391" s="1941" t="s">
        <v>132</v>
      </c>
      <c r="B1391" s="1300">
        <v>45548</v>
      </c>
      <c r="C1391" s="468">
        <f t="shared" si="27"/>
        <v>37</v>
      </c>
      <c r="D1391" s="2264" t="s">
        <v>106</v>
      </c>
      <c r="E1391" s="2273" t="s">
        <v>613</v>
      </c>
      <c r="F1391" s="2298" t="s">
        <v>1199</v>
      </c>
      <c r="G1391" s="2296" t="s">
        <v>1199</v>
      </c>
      <c r="H1391" s="2274">
        <v>701</v>
      </c>
      <c r="I1391" s="2275" t="s">
        <v>1095</v>
      </c>
      <c r="J1391" s="2244"/>
      <c r="K1391" s="2277"/>
      <c r="L1391" s="923" t="s">
        <v>37</v>
      </c>
      <c r="M1391" s="71"/>
      <c r="N1391" s="71"/>
      <c r="O1391" s="71"/>
      <c r="P1391" s="71"/>
      <c r="Q1391" s="71"/>
      <c r="R1391" s="71"/>
      <c r="S1391" s="71"/>
      <c r="T1391" s="71"/>
      <c r="U1391" s="93"/>
      <c r="V1391" s="2464"/>
      <c r="W1391"/>
    </row>
    <row r="1392" spans="1:23">
      <c r="A1392" s="1941" t="s">
        <v>132</v>
      </c>
      <c r="B1392" s="1300">
        <v>45548</v>
      </c>
      <c r="C1392" s="468">
        <f t="shared" si="27"/>
        <v>37</v>
      </c>
      <c r="D1392" s="1476" t="s">
        <v>1811</v>
      </c>
      <c r="E1392" s="1506" t="s">
        <v>5290</v>
      </c>
      <c r="F1392" s="2240" t="s">
        <v>1199</v>
      </c>
      <c r="G1392" s="1574" t="s">
        <v>1199</v>
      </c>
      <c r="H1392" s="2274">
        <v>706</v>
      </c>
      <c r="I1392" s="2275" t="s">
        <v>379</v>
      </c>
      <c r="J1392" s="2244"/>
      <c r="K1392" s="2277"/>
      <c r="L1392" s="923" t="s">
        <v>37</v>
      </c>
      <c r="M1392" s="71"/>
      <c r="N1392" s="71"/>
      <c r="O1392" s="71"/>
      <c r="P1392" s="71"/>
      <c r="Q1392" s="71"/>
      <c r="R1392" s="71"/>
      <c r="S1392" s="71"/>
      <c r="T1392" s="71"/>
      <c r="U1392" s="93"/>
      <c r="V1392" s="2464"/>
      <c r="W1392"/>
    </row>
    <row r="1393" spans="1:23">
      <c r="A1393" s="1941" t="s">
        <v>132</v>
      </c>
      <c r="B1393" s="1300">
        <v>45548</v>
      </c>
      <c r="C1393" s="468">
        <f t="shared" si="27"/>
        <v>37</v>
      </c>
      <c r="D1393" s="1300" t="s">
        <v>5291</v>
      </c>
      <c r="E1393" s="1328" t="s">
        <v>169</v>
      </c>
      <c r="F1393" s="2240" t="s">
        <v>1199</v>
      </c>
      <c r="G1393" s="1574" t="s">
        <v>1199</v>
      </c>
      <c r="H1393" s="2274">
        <v>701</v>
      </c>
      <c r="I1393" s="2275" t="s">
        <v>406</v>
      </c>
      <c r="J1393" s="2244"/>
      <c r="K1393" s="2277"/>
      <c r="L1393" s="923"/>
      <c r="M1393" s="71"/>
      <c r="N1393" s="71"/>
      <c r="O1393" s="71"/>
      <c r="P1393" s="71"/>
      <c r="Q1393" s="71"/>
      <c r="R1393" s="71"/>
      <c r="S1393" s="71"/>
      <c r="T1393" s="71"/>
      <c r="U1393" s="93"/>
      <c r="V1393" s="2464"/>
      <c r="W1393"/>
    </row>
    <row r="1394" spans="1:23">
      <c r="A1394" s="1941" t="s">
        <v>132</v>
      </c>
      <c r="B1394" s="1300">
        <v>45548</v>
      </c>
      <c r="C1394" s="468">
        <f t="shared" si="27"/>
        <v>37</v>
      </c>
      <c r="D1394" s="1369" t="s">
        <v>1997</v>
      </c>
      <c r="E1394" s="1370" t="s">
        <v>3540</v>
      </c>
      <c r="F1394" s="2240" t="s">
        <v>1199</v>
      </c>
      <c r="G1394" s="1574" t="s">
        <v>1199</v>
      </c>
      <c r="H1394" s="2274">
        <v>706</v>
      </c>
      <c r="I1394" s="2275" t="s">
        <v>121</v>
      </c>
      <c r="J1394" s="2244"/>
      <c r="K1394" s="2257" t="s">
        <v>4804</v>
      </c>
      <c r="L1394" s="923" t="s">
        <v>37</v>
      </c>
      <c r="M1394" s="71"/>
      <c r="N1394" s="71"/>
      <c r="O1394" s="71"/>
      <c r="P1394" s="71"/>
      <c r="Q1394" s="71"/>
      <c r="R1394" s="71"/>
      <c r="S1394" s="71"/>
      <c r="T1394" s="71"/>
      <c r="U1394" s="93"/>
      <c r="V1394" s="2464"/>
      <c r="W1394"/>
    </row>
    <row r="1395" spans="1:23" ht="52.5">
      <c r="A1395" s="1941" t="s">
        <v>132</v>
      </c>
      <c r="B1395" s="1300">
        <v>45548</v>
      </c>
      <c r="C1395" s="468">
        <f t="shared" si="27"/>
        <v>37</v>
      </c>
      <c r="D1395" s="1369" t="s">
        <v>1811</v>
      </c>
      <c r="E1395" s="1370" t="s">
        <v>3462</v>
      </c>
      <c r="F1395" s="2299" t="s">
        <v>5292</v>
      </c>
      <c r="G1395" s="2297"/>
      <c r="H1395" s="2274">
        <v>706</v>
      </c>
      <c r="I1395" s="2275" t="s">
        <v>121</v>
      </c>
      <c r="J1395" s="2244"/>
      <c r="K1395" s="2257" t="s">
        <v>84</v>
      </c>
      <c r="L1395" s="923"/>
      <c r="M1395" s="71" t="s">
        <v>30</v>
      </c>
      <c r="N1395" s="20" t="s">
        <v>0</v>
      </c>
      <c r="O1395" s="20" t="s">
        <v>31</v>
      </c>
      <c r="P1395" s="20" t="s">
        <v>4102</v>
      </c>
      <c r="Q1395" s="71"/>
      <c r="R1395" s="71"/>
      <c r="S1395" s="71"/>
      <c r="T1395" s="71"/>
      <c r="U1395" s="93" t="s">
        <v>5293</v>
      </c>
      <c r="V1395" s="2464"/>
      <c r="W1395"/>
    </row>
    <row r="1396" spans="1:23">
      <c r="A1396" s="1941" t="s">
        <v>132</v>
      </c>
      <c r="B1396" s="1300">
        <v>45548</v>
      </c>
      <c r="C1396" s="468">
        <f t="shared" si="27"/>
        <v>37</v>
      </c>
      <c r="D1396" s="1300" t="s">
        <v>77</v>
      </c>
      <c r="E1396" s="1328" t="s">
        <v>1698</v>
      </c>
      <c r="F1396" s="2267" t="s">
        <v>1199</v>
      </c>
      <c r="G1396" s="1483" t="s">
        <v>1199</v>
      </c>
      <c r="H1396" s="2274">
        <v>702</v>
      </c>
      <c r="I1396" s="2275">
        <v>1128</v>
      </c>
      <c r="J1396" s="2244"/>
      <c r="K1396" s="2277"/>
      <c r="L1396" s="923" t="s">
        <v>37</v>
      </c>
      <c r="M1396" s="71"/>
      <c r="N1396" s="71"/>
      <c r="O1396" s="71"/>
      <c r="P1396" s="71"/>
      <c r="Q1396" s="71"/>
      <c r="R1396" s="71"/>
      <c r="S1396" s="71" t="s">
        <v>37</v>
      </c>
      <c r="T1396" s="71"/>
      <c r="U1396" s="93"/>
      <c r="V1396" s="2464"/>
      <c r="W1396"/>
    </row>
    <row r="1397" spans="1:23">
      <c r="A1397" s="1941" t="s">
        <v>132</v>
      </c>
      <c r="B1397" s="1300">
        <v>45548</v>
      </c>
      <c r="C1397" s="468">
        <f t="shared" si="27"/>
        <v>37</v>
      </c>
      <c r="D1397" s="1300" t="s">
        <v>4155</v>
      </c>
      <c r="E1397" s="1328" t="s">
        <v>1146</v>
      </c>
      <c r="F1397" s="2267"/>
      <c r="G1397" s="1483"/>
      <c r="H1397" s="2274">
        <v>704</v>
      </c>
      <c r="I1397" s="2275" t="s">
        <v>5294</v>
      </c>
      <c r="J1397" s="2244"/>
      <c r="K1397" s="2277"/>
      <c r="L1397" s="923" t="s">
        <v>37</v>
      </c>
      <c r="M1397" s="71"/>
      <c r="N1397" s="71"/>
      <c r="O1397" s="71"/>
      <c r="P1397" s="71"/>
      <c r="Q1397" s="71"/>
      <c r="R1397" s="71"/>
      <c r="S1397" s="71" t="s">
        <v>37</v>
      </c>
      <c r="T1397" s="71"/>
      <c r="U1397" s="93"/>
      <c r="V1397" s="2464"/>
      <c r="W1397"/>
    </row>
    <row r="1398" spans="1:23" ht="52.5">
      <c r="A1398" s="1941" t="s">
        <v>132</v>
      </c>
      <c r="B1398" s="1300">
        <v>45548</v>
      </c>
      <c r="C1398" s="468">
        <f t="shared" si="27"/>
        <v>37</v>
      </c>
      <c r="D1398" s="1300" t="s">
        <v>169</v>
      </c>
      <c r="E1398" s="1328" t="s">
        <v>5295</v>
      </c>
      <c r="F1398" s="2240" t="s">
        <v>1768</v>
      </c>
      <c r="G1398" s="1574" t="s">
        <v>1768</v>
      </c>
      <c r="H1398" s="2306">
        <v>706</v>
      </c>
      <c r="I1398" s="2275" t="s">
        <v>2383</v>
      </c>
      <c r="J1398" s="2244"/>
      <c r="K1398" s="2257" t="s">
        <v>174</v>
      </c>
      <c r="L1398" s="923"/>
      <c r="M1398" s="71" t="s">
        <v>37</v>
      </c>
      <c r="N1398" s="20" t="s">
        <v>0</v>
      </c>
      <c r="O1398" s="20" t="s">
        <v>187</v>
      </c>
      <c r="P1398" s="2307"/>
      <c r="Q1398" s="71"/>
      <c r="R1398" s="71"/>
      <c r="S1398" s="71"/>
      <c r="T1398" s="71"/>
      <c r="U1398" s="93" t="s">
        <v>5296</v>
      </c>
      <c r="V1398" s="2464"/>
      <c r="W1398"/>
    </row>
    <row r="1399" spans="1:23" ht="53.25" thickBot="1">
      <c r="A1399" s="1937" t="s">
        <v>132</v>
      </c>
      <c r="B1399" s="1390">
        <v>45548</v>
      </c>
      <c r="C1399" s="471">
        <f t="shared" si="27"/>
        <v>37</v>
      </c>
      <c r="D1399" s="1390" t="s">
        <v>1571</v>
      </c>
      <c r="E1399" s="1391" t="s">
        <v>488</v>
      </c>
      <c r="F1399" s="2240" t="s">
        <v>1768</v>
      </c>
      <c r="G1399" s="1574" t="s">
        <v>1768</v>
      </c>
      <c r="H1399" s="2351">
        <v>706</v>
      </c>
      <c r="I1399" s="2259" t="s">
        <v>2383</v>
      </c>
      <c r="J1399" s="2244"/>
      <c r="K1399" s="2125" t="s">
        <v>174</v>
      </c>
      <c r="L1399" s="1001"/>
      <c r="M1399" s="33" t="s">
        <v>37</v>
      </c>
      <c r="N1399" s="20" t="s">
        <v>0</v>
      </c>
      <c r="O1399" s="20" t="s">
        <v>187</v>
      </c>
      <c r="P1399" s="2307"/>
      <c r="Q1399" s="33"/>
      <c r="R1399" s="33"/>
      <c r="S1399" s="33"/>
      <c r="T1399" s="33"/>
      <c r="U1399" s="1429" t="s">
        <v>5296</v>
      </c>
      <c r="V1399" s="2464"/>
      <c r="W1399"/>
    </row>
    <row r="1400" spans="1:23">
      <c r="A1400" s="1935" t="s">
        <v>25</v>
      </c>
      <c r="B1400" s="1936">
        <v>45551</v>
      </c>
      <c r="C1400" s="465">
        <f t="shared" ref="C1400:C1431" si="28">_xlfn.ISOWEEKNUM(B1400)</f>
        <v>38</v>
      </c>
      <c r="D1400" s="2357" t="s">
        <v>1698</v>
      </c>
      <c r="E1400" s="2358" t="s">
        <v>5297</v>
      </c>
      <c r="F1400" s="2348" t="s">
        <v>1199</v>
      </c>
      <c r="G1400" s="2308" t="s">
        <v>1206</v>
      </c>
      <c r="H1400" s="2362">
        <v>701</v>
      </c>
      <c r="I1400" s="2363" t="s">
        <v>5298</v>
      </c>
      <c r="J1400" s="1578"/>
      <c r="K1400" s="2249"/>
      <c r="L1400" s="2319" t="s">
        <v>37</v>
      </c>
      <c r="M1400" s="2319"/>
      <c r="N1400" s="2319"/>
      <c r="O1400" s="2319"/>
      <c r="P1400" s="2319"/>
      <c r="Q1400" s="2319"/>
      <c r="R1400" s="2319"/>
      <c r="S1400" s="2319"/>
      <c r="T1400" s="2319"/>
      <c r="U1400" s="2250"/>
      <c r="V1400" s="3074"/>
      <c r="W1400"/>
    </row>
    <row r="1401" spans="1:23">
      <c r="A1401" s="1941" t="s">
        <v>25</v>
      </c>
      <c r="B1401" s="1300">
        <v>45551</v>
      </c>
      <c r="C1401" s="468">
        <f t="shared" si="28"/>
        <v>38</v>
      </c>
      <c r="D1401" s="1477" t="s">
        <v>5297</v>
      </c>
      <c r="E1401" s="1479" t="s">
        <v>1698</v>
      </c>
      <c r="F1401" s="2044" t="s">
        <v>1199</v>
      </c>
      <c r="G1401" s="2309" t="s">
        <v>1199</v>
      </c>
      <c r="H1401" s="2364">
        <v>701</v>
      </c>
      <c r="I1401" s="2365" t="s">
        <v>994</v>
      </c>
      <c r="J1401" s="1578"/>
      <c r="K1401" s="2257" t="s">
        <v>84</v>
      </c>
      <c r="L1401" s="1070" t="s">
        <v>37</v>
      </c>
      <c r="M1401" s="1070"/>
      <c r="N1401" s="1070"/>
      <c r="O1401" s="1070"/>
      <c r="P1401" s="1070"/>
      <c r="Q1401" s="1070"/>
      <c r="R1401" s="1070"/>
      <c r="S1401" s="1070"/>
      <c r="T1401" s="1070"/>
      <c r="U1401" s="2275"/>
      <c r="V1401" s="3074"/>
      <c r="W1401"/>
    </row>
    <row r="1402" spans="1:23" ht="131.25">
      <c r="A1402" s="1941" t="s">
        <v>25</v>
      </c>
      <c r="B1402" s="1300">
        <v>45551</v>
      </c>
      <c r="C1402" s="468">
        <f t="shared" si="28"/>
        <v>38</v>
      </c>
      <c r="D1402" s="1300" t="s">
        <v>4955</v>
      </c>
      <c r="E1402" s="1328" t="s">
        <v>5299</v>
      </c>
      <c r="F1402" s="2349" t="s">
        <v>2994</v>
      </c>
      <c r="G1402" s="2352" t="s">
        <v>2994</v>
      </c>
      <c r="H1402" s="2364">
        <v>706</v>
      </c>
      <c r="I1402" s="2365" t="s">
        <v>5300</v>
      </c>
      <c r="J1402" s="1578"/>
      <c r="K1402" s="2257" t="s">
        <v>4512</v>
      </c>
      <c r="L1402" s="1070"/>
      <c r="M1402" s="1070" t="s">
        <v>37</v>
      </c>
      <c r="N1402" s="20" t="s">
        <v>122</v>
      </c>
      <c r="O1402" s="20" t="s">
        <v>123</v>
      </c>
      <c r="P1402" s="20" t="s">
        <v>4102</v>
      </c>
      <c r="Q1402" s="2355">
        <v>1</v>
      </c>
      <c r="R1402" s="1070"/>
      <c r="S1402" s="1070"/>
      <c r="T1402" s="1070"/>
      <c r="U1402" s="2275" t="s">
        <v>5301</v>
      </c>
      <c r="V1402" s="3074"/>
      <c r="W1402"/>
    </row>
    <row r="1403" spans="1:23">
      <c r="A1403" s="1941" t="s">
        <v>25</v>
      </c>
      <c r="B1403" s="1300">
        <v>45551</v>
      </c>
      <c r="C1403" s="468">
        <f t="shared" si="28"/>
        <v>38</v>
      </c>
      <c r="D1403" s="1300" t="s">
        <v>857</v>
      </c>
      <c r="E1403" s="1328" t="s">
        <v>1698</v>
      </c>
      <c r="F1403" s="2348" t="s">
        <v>1199</v>
      </c>
      <c r="G1403" s="2308" t="s">
        <v>1206</v>
      </c>
      <c r="H1403" s="2364">
        <v>702</v>
      </c>
      <c r="I1403" s="2365" t="s">
        <v>94</v>
      </c>
      <c r="J1403" s="2244"/>
      <c r="K1403" s="2274"/>
      <c r="L1403" s="923" t="s">
        <v>37</v>
      </c>
      <c r="M1403" s="71"/>
      <c r="N1403" s="71"/>
      <c r="O1403" s="71"/>
      <c r="P1403" s="71"/>
      <c r="Q1403" s="71"/>
      <c r="R1403" s="71"/>
      <c r="S1403" s="71"/>
      <c r="T1403" s="71"/>
      <c r="U1403" s="93"/>
      <c r="V1403" s="2464"/>
      <c r="W1403"/>
    </row>
    <row r="1404" spans="1:23">
      <c r="A1404" s="1941" t="s">
        <v>25</v>
      </c>
      <c r="B1404" s="1300">
        <v>45551</v>
      </c>
      <c r="C1404" s="468">
        <f t="shared" si="28"/>
        <v>38</v>
      </c>
      <c r="D1404" s="1300" t="s">
        <v>1698</v>
      </c>
      <c r="E1404" s="1328" t="s">
        <v>840</v>
      </c>
      <c r="F1404" s="2348" t="s">
        <v>1199</v>
      </c>
      <c r="G1404" s="2308" t="s">
        <v>1206</v>
      </c>
      <c r="H1404" s="2364">
        <v>701</v>
      </c>
      <c r="I1404" s="2365" t="s">
        <v>5251</v>
      </c>
      <c r="J1404" s="2244"/>
      <c r="K1404" s="2274"/>
      <c r="L1404" s="923" t="s">
        <v>37</v>
      </c>
      <c r="M1404" s="71"/>
      <c r="N1404" s="71"/>
      <c r="O1404" s="71"/>
      <c r="P1404" s="71"/>
      <c r="Q1404" s="71"/>
      <c r="R1404" s="71"/>
      <c r="S1404" s="71"/>
      <c r="T1404" s="71"/>
      <c r="U1404" s="93"/>
      <c r="V1404" s="2464"/>
      <c r="W1404"/>
    </row>
    <row r="1405" spans="1:23">
      <c r="A1405" s="1941" t="s">
        <v>25</v>
      </c>
      <c r="B1405" s="1300">
        <v>45551</v>
      </c>
      <c r="C1405" s="468">
        <f t="shared" si="28"/>
        <v>38</v>
      </c>
      <c r="D1405" s="1300" t="s">
        <v>63</v>
      </c>
      <c r="E1405" s="1328" t="s">
        <v>5302</v>
      </c>
      <c r="F1405" s="2044" t="s">
        <v>1199</v>
      </c>
      <c r="G1405" s="2309" t="s">
        <v>1199</v>
      </c>
      <c r="H1405" s="2364">
        <v>706</v>
      </c>
      <c r="I1405" s="2365" t="s">
        <v>5303</v>
      </c>
      <c r="J1405" s="2244"/>
      <c r="K1405" s="2274"/>
      <c r="L1405" s="923" t="s">
        <v>37</v>
      </c>
      <c r="M1405" s="71"/>
      <c r="N1405" s="71"/>
      <c r="O1405" s="71"/>
      <c r="P1405" s="71"/>
      <c r="Q1405" s="71"/>
      <c r="R1405" s="71"/>
      <c r="S1405" s="71"/>
      <c r="T1405" s="71"/>
      <c r="U1405" s="93" t="s">
        <v>5304</v>
      </c>
      <c r="V1405" s="2464"/>
      <c r="W1405"/>
    </row>
    <row r="1406" spans="1:23">
      <c r="A1406" s="1941" t="s">
        <v>25</v>
      </c>
      <c r="B1406" s="1300">
        <v>45551</v>
      </c>
      <c r="C1406" s="468">
        <f t="shared" si="28"/>
        <v>38</v>
      </c>
      <c r="D1406" s="2303" t="s">
        <v>43</v>
      </c>
      <c r="E1406" s="2305" t="s">
        <v>3527</v>
      </c>
      <c r="F1406" s="139" t="s">
        <v>1199</v>
      </c>
      <c r="G1406" s="2314" t="s">
        <v>1199</v>
      </c>
      <c r="H1406" s="2364">
        <v>706</v>
      </c>
      <c r="I1406" s="2365" t="s">
        <v>2197</v>
      </c>
      <c r="J1406" s="2244"/>
      <c r="K1406" s="2274"/>
      <c r="L1406" s="923" t="s">
        <v>37</v>
      </c>
      <c r="M1406" s="71"/>
      <c r="N1406" s="71"/>
      <c r="O1406" s="71"/>
      <c r="P1406" s="71"/>
      <c r="Q1406" s="71"/>
      <c r="R1406" s="71"/>
      <c r="S1406" s="71"/>
      <c r="T1406" s="71"/>
      <c r="U1406" s="93"/>
      <c r="V1406" s="2464"/>
      <c r="W1406"/>
    </row>
    <row r="1407" spans="1:23">
      <c r="A1407" s="1941" t="s">
        <v>67</v>
      </c>
      <c r="B1407" s="1300">
        <v>45552</v>
      </c>
      <c r="C1407" s="468">
        <f t="shared" si="28"/>
        <v>38</v>
      </c>
      <c r="D1407" s="2303" t="s">
        <v>169</v>
      </c>
      <c r="E1407" s="2305" t="s">
        <v>3012</v>
      </c>
      <c r="F1407" s="2239" t="s">
        <v>1199</v>
      </c>
      <c r="G1407" s="2236" t="s">
        <v>1199</v>
      </c>
      <c r="H1407" s="2274">
        <v>706</v>
      </c>
      <c r="I1407" s="2365" t="s">
        <v>2197</v>
      </c>
      <c r="J1407" s="1578"/>
      <c r="K1407" s="2257" t="s">
        <v>29</v>
      </c>
      <c r="L1407" s="1070" t="s">
        <v>37</v>
      </c>
      <c r="M1407" s="1070"/>
      <c r="N1407" s="1070"/>
      <c r="O1407" s="1070"/>
      <c r="P1407" s="1070"/>
      <c r="Q1407" s="1070"/>
      <c r="R1407" s="1070"/>
      <c r="S1407" s="1070"/>
      <c r="T1407" s="1070"/>
      <c r="U1407" s="2275"/>
      <c r="V1407" s="3074"/>
      <c r="W1407"/>
    </row>
    <row r="1408" spans="1:23">
      <c r="A1408" s="1941" t="s">
        <v>25</v>
      </c>
      <c r="B1408" s="1300">
        <v>45551</v>
      </c>
      <c r="C1408" s="468">
        <f t="shared" si="28"/>
        <v>38</v>
      </c>
      <c r="D1408" s="1300" t="s">
        <v>53</v>
      </c>
      <c r="E1408" s="1328" t="s">
        <v>5305</v>
      </c>
      <c r="F1408" s="2348" t="s">
        <v>1199</v>
      </c>
      <c r="G1408" s="2308" t="s">
        <v>1206</v>
      </c>
      <c r="H1408" s="2364">
        <v>701</v>
      </c>
      <c r="I1408" s="2365" t="s">
        <v>585</v>
      </c>
      <c r="J1408" s="2244"/>
      <c r="K1408" s="2274"/>
      <c r="L1408" s="923" t="s">
        <v>37</v>
      </c>
      <c r="M1408" s="71"/>
      <c r="N1408" s="71"/>
      <c r="O1408" s="71"/>
      <c r="P1408" s="71"/>
      <c r="Q1408" s="71"/>
      <c r="R1408" s="71"/>
      <c r="S1408" s="71"/>
      <c r="T1408" s="71"/>
      <c r="U1408" s="93"/>
      <c r="V1408" s="2464"/>
      <c r="W1408"/>
    </row>
    <row r="1409" spans="1:23" ht="52.5">
      <c r="A1409" s="1941" t="s">
        <v>25</v>
      </c>
      <c r="B1409" s="1300">
        <v>45551</v>
      </c>
      <c r="C1409" s="468">
        <f t="shared" si="28"/>
        <v>38</v>
      </c>
      <c r="D1409" s="1300" t="s">
        <v>1091</v>
      </c>
      <c r="E1409" s="1328" t="s">
        <v>1698</v>
      </c>
      <c r="F1409" s="2350" t="s">
        <v>1199</v>
      </c>
      <c r="G1409" s="1223" t="s">
        <v>1206</v>
      </c>
      <c r="H1409" s="2274">
        <v>702</v>
      </c>
      <c r="I1409" s="2275" t="s">
        <v>5306</v>
      </c>
      <c r="J1409" s="2244"/>
      <c r="K1409" s="2274"/>
      <c r="L1409" s="923"/>
      <c r="M1409" s="71" t="s">
        <v>37</v>
      </c>
      <c r="N1409" s="20" t="s">
        <v>122</v>
      </c>
      <c r="O1409" s="20" t="s">
        <v>4038</v>
      </c>
      <c r="P1409" s="20" t="s">
        <v>4082</v>
      </c>
      <c r="Q1409" s="2164">
        <v>2</v>
      </c>
      <c r="R1409" s="71"/>
      <c r="S1409" s="71"/>
      <c r="T1409" s="71"/>
      <c r="U1409" s="93" t="s">
        <v>5307</v>
      </c>
      <c r="V1409" s="2464"/>
      <c r="W1409"/>
    </row>
    <row r="1410" spans="1:23" ht="52.5">
      <c r="A1410" s="1941" t="s">
        <v>25</v>
      </c>
      <c r="B1410" s="1300">
        <v>45551</v>
      </c>
      <c r="C1410" s="468">
        <f t="shared" si="28"/>
        <v>38</v>
      </c>
      <c r="D1410" s="1300" t="s">
        <v>273</v>
      </c>
      <c r="E1410" s="1328" t="s">
        <v>1905</v>
      </c>
      <c r="F1410" s="2240" t="s">
        <v>1199</v>
      </c>
      <c r="G1410" s="1309" t="s">
        <v>1764</v>
      </c>
      <c r="H1410" s="2274">
        <v>702</v>
      </c>
      <c r="I1410" s="2275" t="s">
        <v>5308</v>
      </c>
      <c r="J1410" s="2244"/>
      <c r="K1410" s="2257" t="s">
        <v>84</v>
      </c>
      <c r="L1410" s="923"/>
      <c r="M1410" s="71" t="s">
        <v>37</v>
      </c>
      <c r="N1410" s="20" t="s">
        <v>122</v>
      </c>
      <c r="O1410" s="20" t="s">
        <v>4038</v>
      </c>
      <c r="P1410" s="20" t="s">
        <v>4082</v>
      </c>
      <c r="Q1410" s="2356">
        <v>3</v>
      </c>
      <c r="R1410" s="71"/>
      <c r="S1410" s="71"/>
      <c r="T1410" s="71"/>
      <c r="U1410" s="93" t="s">
        <v>5309</v>
      </c>
      <c r="V1410" s="2464"/>
      <c r="W1410"/>
    </row>
    <row r="1411" spans="1:23">
      <c r="A1411" s="1941" t="s">
        <v>25</v>
      </c>
      <c r="B1411" s="1300">
        <v>45551</v>
      </c>
      <c r="C1411" s="468">
        <f t="shared" si="28"/>
        <v>38</v>
      </c>
      <c r="D1411" s="2354" t="s">
        <v>1905</v>
      </c>
      <c r="E1411" s="2359" t="s">
        <v>3153</v>
      </c>
      <c r="F1411" s="2240" t="s">
        <v>1199</v>
      </c>
      <c r="G1411" s="1309" t="s">
        <v>1764</v>
      </c>
      <c r="H1411" s="2274">
        <v>702</v>
      </c>
      <c r="I1411" s="2275" t="s">
        <v>5310</v>
      </c>
      <c r="J1411" s="2244"/>
      <c r="K1411" s="2257" t="s">
        <v>174</v>
      </c>
      <c r="L1411" s="923" t="s">
        <v>37</v>
      </c>
      <c r="M1411" s="71"/>
      <c r="N1411" s="71"/>
      <c r="O1411" s="71"/>
      <c r="P1411" s="71"/>
      <c r="Q1411" s="71"/>
      <c r="R1411" s="71"/>
      <c r="S1411" s="71"/>
      <c r="T1411" s="71"/>
      <c r="U1411" s="93"/>
      <c r="V1411" s="2464"/>
      <c r="W1411"/>
    </row>
    <row r="1412" spans="1:23" ht="27" thickBot="1">
      <c r="A1412" s="1938" t="s">
        <v>25</v>
      </c>
      <c r="B1412" s="1312">
        <v>45551</v>
      </c>
      <c r="C1412" s="480">
        <f t="shared" si="28"/>
        <v>38</v>
      </c>
      <c r="D1412" s="2360" t="s">
        <v>1554</v>
      </c>
      <c r="E1412" s="2361" t="s">
        <v>4663</v>
      </c>
      <c r="F1412" s="2242" t="s">
        <v>1199</v>
      </c>
      <c r="G1412" s="1352" t="s">
        <v>1764</v>
      </c>
      <c r="H1412" s="2253">
        <v>702</v>
      </c>
      <c r="I1412" s="2254" t="s">
        <v>5310</v>
      </c>
      <c r="J1412" s="2353"/>
      <c r="K1412" s="2121" t="s">
        <v>174</v>
      </c>
      <c r="L1412" s="957" t="s">
        <v>37</v>
      </c>
      <c r="M1412" s="91"/>
      <c r="N1412" s="91"/>
      <c r="O1412" s="91"/>
      <c r="P1412" s="91"/>
      <c r="Q1412" s="91"/>
      <c r="R1412" s="91"/>
      <c r="S1412" s="91"/>
      <c r="T1412" s="91"/>
      <c r="U1412" s="116"/>
      <c r="V1412" s="2464"/>
      <c r="W1412"/>
    </row>
    <row r="1413" spans="1:23" ht="27" thickBot="1">
      <c r="A1413" s="1942" t="s">
        <v>67</v>
      </c>
      <c r="B1413" s="1301">
        <v>45552</v>
      </c>
      <c r="C1413" s="520">
        <f t="shared" si="28"/>
        <v>38</v>
      </c>
      <c r="D1413" s="1301" t="s">
        <v>169</v>
      </c>
      <c r="E1413" s="1301" t="s">
        <v>5311</v>
      </c>
      <c r="F1413" s="2318" t="s">
        <v>1199</v>
      </c>
      <c r="G1413" s="1265" t="s">
        <v>1206</v>
      </c>
      <c r="H1413" s="2162">
        <v>701</v>
      </c>
      <c r="I1413" s="2162" t="s">
        <v>406</v>
      </c>
      <c r="J1413" s="918"/>
      <c r="K1413" s="2162"/>
      <c r="L1413" s="1009" t="s">
        <v>37</v>
      </c>
      <c r="M1413" s="97"/>
      <c r="N1413" s="97"/>
      <c r="O1413" s="97"/>
      <c r="P1413" s="97"/>
      <c r="Q1413" s="97"/>
      <c r="R1413" s="97"/>
      <c r="S1413" s="97"/>
      <c r="T1413" s="97"/>
      <c r="U1413" s="98"/>
      <c r="V1413" s="2464"/>
      <c r="W1413"/>
    </row>
    <row r="1414" spans="1:23" ht="53.25" thickBot="1">
      <c r="A1414" s="1942" t="s">
        <v>67</v>
      </c>
      <c r="B1414" s="1301">
        <v>45552</v>
      </c>
      <c r="C1414" s="480">
        <f t="shared" si="28"/>
        <v>38</v>
      </c>
      <c r="D1414" s="1301" t="s">
        <v>1905</v>
      </c>
      <c r="E1414" s="1301" t="s">
        <v>5312</v>
      </c>
      <c r="F1414" s="2161" t="s">
        <v>2994</v>
      </c>
      <c r="G1414" s="2161" t="s">
        <v>2994</v>
      </c>
      <c r="H1414" s="2162">
        <v>702</v>
      </c>
      <c r="I1414" s="2162" t="s">
        <v>5313</v>
      </c>
      <c r="J1414" s="2162"/>
      <c r="K1414" s="2162"/>
      <c r="L1414" s="2162"/>
      <c r="M1414" s="2162" t="s">
        <v>37</v>
      </c>
      <c r="N1414" s="20" t="s">
        <v>122</v>
      </c>
      <c r="O1414" s="20" t="s">
        <v>4038</v>
      </c>
      <c r="P1414" s="20" t="s">
        <v>4082</v>
      </c>
      <c r="Q1414" s="2162"/>
      <c r="R1414" s="2162"/>
      <c r="S1414" s="2162"/>
      <c r="T1414" s="2162"/>
      <c r="U1414" s="2252" t="s">
        <v>5314</v>
      </c>
      <c r="V1414" s="3074"/>
      <c r="W1414"/>
    </row>
    <row r="1415" spans="1:23" ht="27" thickBot="1">
      <c r="A1415" s="1942" t="s">
        <v>67</v>
      </c>
      <c r="B1415" s="1301">
        <v>45552</v>
      </c>
      <c r="C1415" s="480">
        <f t="shared" si="28"/>
        <v>38</v>
      </c>
      <c r="D1415" s="1306" t="s">
        <v>4955</v>
      </c>
      <c r="E1415" s="1306" t="s">
        <v>1191</v>
      </c>
      <c r="F1415" s="1288" t="s">
        <v>1199</v>
      </c>
      <c r="G1415" s="1288" t="s">
        <v>1199</v>
      </c>
      <c r="H1415" s="79">
        <v>706</v>
      </c>
      <c r="I1415" s="79" t="s">
        <v>5300</v>
      </c>
      <c r="J1415" s="2162"/>
      <c r="K1415" s="1596"/>
      <c r="L1415" s="2162" t="s">
        <v>37</v>
      </c>
      <c r="M1415" s="2162"/>
      <c r="N1415" s="2162"/>
      <c r="O1415" s="2162"/>
      <c r="P1415" s="2162"/>
      <c r="Q1415" s="2162"/>
      <c r="R1415" s="2310">
        <v>1</v>
      </c>
      <c r="S1415" s="2162"/>
      <c r="T1415" s="2162"/>
      <c r="U1415" s="2252"/>
      <c r="V1415" s="3074"/>
      <c r="W1415"/>
    </row>
    <row r="1416" spans="1:23" ht="27" thickBot="1">
      <c r="A1416" s="1942" t="s">
        <v>67</v>
      </c>
      <c r="B1416" s="1301">
        <v>45552</v>
      </c>
      <c r="C1416" s="480">
        <f t="shared" si="28"/>
        <v>38</v>
      </c>
      <c r="D1416" s="1306" t="s">
        <v>1191</v>
      </c>
      <c r="E1416" s="1306" t="s">
        <v>5299</v>
      </c>
      <c r="F1416" s="1288" t="s">
        <v>1199</v>
      </c>
      <c r="G1416" s="1288" t="s">
        <v>1199</v>
      </c>
      <c r="H1416" s="79">
        <v>706</v>
      </c>
      <c r="I1416" s="79" t="s">
        <v>5300</v>
      </c>
      <c r="J1416" s="2162"/>
      <c r="K1416" s="1443" t="s">
        <v>5315</v>
      </c>
      <c r="L1416" s="2162" t="s">
        <v>37</v>
      </c>
      <c r="M1416" s="2162"/>
      <c r="N1416" s="2162"/>
      <c r="O1416" s="2162"/>
      <c r="P1416" s="2162"/>
      <c r="Q1416" s="2162"/>
      <c r="R1416" s="2310">
        <v>1</v>
      </c>
      <c r="S1416" s="2162"/>
      <c r="T1416" s="2162"/>
      <c r="U1416" s="2252"/>
      <c r="V1416" s="3074"/>
      <c r="W1416"/>
    </row>
    <row r="1417" spans="1:23" ht="53.25" thickBot="1">
      <c r="A1417" s="1942" t="s">
        <v>67</v>
      </c>
      <c r="B1417" s="1301">
        <v>45552</v>
      </c>
      <c r="C1417" s="480">
        <f t="shared" si="28"/>
        <v>38</v>
      </c>
      <c r="D1417" s="1301" t="s">
        <v>1091</v>
      </c>
      <c r="E1417" s="2311" t="s">
        <v>1698</v>
      </c>
      <c r="F1417" s="1288" t="s">
        <v>1199</v>
      </c>
      <c r="G1417" s="1288" t="s">
        <v>1199</v>
      </c>
      <c r="H1417" s="1070">
        <v>702</v>
      </c>
      <c r="I1417" s="2162" t="s">
        <v>5306</v>
      </c>
      <c r="J1417" s="1009"/>
      <c r="K1417" s="2162"/>
      <c r="L1417" s="1009"/>
      <c r="M1417" s="97" t="s">
        <v>37</v>
      </c>
      <c r="N1417" s="20" t="s">
        <v>122</v>
      </c>
      <c r="O1417" s="20" t="s">
        <v>4038</v>
      </c>
      <c r="P1417" s="20" t="s">
        <v>4082</v>
      </c>
      <c r="Q1417" s="97"/>
      <c r="R1417" s="97"/>
      <c r="S1417" s="97"/>
      <c r="T1417" s="97"/>
      <c r="U1417" s="98" t="s">
        <v>5316</v>
      </c>
      <c r="V1417" s="2464"/>
      <c r="W1417"/>
    </row>
    <row r="1418" spans="1:23" ht="27" thickBot="1">
      <c r="A1418" s="1942" t="s">
        <v>67</v>
      </c>
      <c r="B1418" s="1301">
        <v>45552</v>
      </c>
      <c r="C1418" s="480">
        <f t="shared" si="28"/>
        <v>38</v>
      </c>
      <c r="D1418" s="2320" t="s">
        <v>1349</v>
      </c>
      <c r="E1418" s="2320" t="s">
        <v>5317</v>
      </c>
      <c r="F1418" s="2161" t="s">
        <v>1199</v>
      </c>
      <c r="G1418" s="2161" t="s">
        <v>1764</v>
      </c>
      <c r="H1418" s="2162">
        <v>702</v>
      </c>
      <c r="I1418" s="2162" t="s">
        <v>5318</v>
      </c>
      <c r="J1418" s="2162"/>
      <c r="K1418" s="2162"/>
      <c r="L1418" s="2162" t="s">
        <v>37</v>
      </c>
      <c r="M1418" s="2162"/>
      <c r="N1418" s="2162"/>
      <c r="O1418" s="2162"/>
      <c r="P1418" s="2162"/>
      <c r="Q1418" s="2162"/>
      <c r="R1418" s="2162"/>
      <c r="S1418" s="2162"/>
      <c r="T1418" s="2162"/>
      <c r="U1418" s="2252"/>
      <c r="V1418" s="3074"/>
      <c r="W1418"/>
    </row>
    <row r="1419" spans="1:23" ht="27" thickBot="1">
      <c r="A1419" s="1942" t="s">
        <v>67</v>
      </c>
      <c r="B1419" s="1301">
        <v>45552</v>
      </c>
      <c r="C1419" s="480">
        <f t="shared" si="28"/>
        <v>38</v>
      </c>
      <c r="D1419" s="2320" t="s">
        <v>1325</v>
      </c>
      <c r="E1419" s="2320" t="s">
        <v>5319</v>
      </c>
      <c r="F1419" s="2161" t="s">
        <v>1764</v>
      </c>
      <c r="G1419" s="1303" t="s">
        <v>1764</v>
      </c>
      <c r="H1419" s="2162">
        <v>702</v>
      </c>
      <c r="I1419" s="2162" t="s">
        <v>5320</v>
      </c>
      <c r="J1419" s="2162"/>
      <c r="K1419" s="2162"/>
      <c r="L1419" s="2162" t="s">
        <v>37</v>
      </c>
      <c r="M1419" s="2162"/>
      <c r="N1419" s="2162"/>
      <c r="O1419" s="2162"/>
      <c r="P1419" s="2162"/>
      <c r="Q1419" s="2162"/>
      <c r="R1419" s="2162"/>
      <c r="S1419" s="2162"/>
      <c r="T1419" s="2162"/>
      <c r="U1419" s="2252"/>
      <c r="V1419" s="3074"/>
      <c r="W1419"/>
    </row>
    <row r="1420" spans="1:23" ht="27" thickBot="1">
      <c r="A1420" s="1942" t="s">
        <v>67</v>
      </c>
      <c r="B1420" s="1301">
        <v>45552</v>
      </c>
      <c r="C1420" s="480">
        <f t="shared" si="28"/>
        <v>38</v>
      </c>
      <c r="D1420" s="1301" t="s">
        <v>5321</v>
      </c>
      <c r="E1420" s="1301" t="s">
        <v>5322</v>
      </c>
      <c r="F1420" s="1288" t="s">
        <v>1199</v>
      </c>
      <c r="G1420" s="1288" t="s">
        <v>1199</v>
      </c>
      <c r="H1420" s="2162">
        <v>702</v>
      </c>
      <c r="I1420" s="2162" t="s">
        <v>128</v>
      </c>
      <c r="J1420" s="2162"/>
      <c r="K1420" s="2162"/>
      <c r="L1420" s="2162" t="s">
        <v>37</v>
      </c>
      <c r="M1420" s="2162"/>
      <c r="N1420" s="2162"/>
      <c r="O1420" s="2162"/>
      <c r="P1420" s="2162"/>
      <c r="Q1420" s="2162"/>
      <c r="R1420" s="2162"/>
      <c r="S1420" s="2162"/>
      <c r="T1420" s="2162"/>
      <c r="U1420" s="2252"/>
      <c r="V1420" s="3074"/>
      <c r="W1420"/>
    </row>
    <row r="1421" spans="1:23" ht="27" thickBot="1">
      <c r="A1421" s="1942" t="s">
        <v>67</v>
      </c>
      <c r="B1421" s="1301">
        <v>45552</v>
      </c>
      <c r="C1421" s="480">
        <f t="shared" si="28"/>
        <v>38</v>
      </c>
      <c r="D1421" s="1301" t="s">
        <v>273</v>
      </c>
      <c r="E1421" s="1301" t="s">
        <v>1905</v>
      </c>
      <c r="F1421" s="1288" t="s">
        <v>1199</v>
      </c>
      <c r="G1421" s="1288" t="s">
        <v>1199</v>
      </c>
      <c r="H1421" s="2162">
        <v>702</v>
      </c>
      <c r="I1421" s="2162" t="s">
        <v>5308</v>
      </c>
      <c r="J1421" s="1009"/>
      <c r="K1421" s="1520"/>
      <c r="L1421" s="1009" t="s">
        <v>37</v>
      </c>
      <c r="M1421" s="97"/>
      <c r="N1421" s="97"/>
      <c r="O1421" s="97"/>
      <c r="P1421" s="97"/>
      <c r="Q1421" s="49"/>
      <c r="R1421" s="2316">
        <v>3</v>
      </c>
      <c r="S1421" s="97"/>
      <c r="T1421" s="97"/>
      <c r="U1421" s="97"/>
      <c r="V1421" s="2464"/>
      <c r="W1421"/>
    </row>
    <row r="1422" spans="1:23" ht="79.5" thickBot="1">
      <c r="A1422" s="1942" t="s">
        <v>67</v>
      </c>
      <c r="B1422" s="1301">
        <v>45552</v>
      </c>
      <c r="C1422" s="480">
        <f t="shared" si="28"/>
        <v>38</v>
      </c>
      <c r="D1422" s="2321" t="s">
        <v>1905</v>
      </c>
      <c r="E1422" s="2321" t="s">
        <v>140</v>
      </c>
      <c r="F1422" s="2161" t="s">
        <v>1764</v>
      </c>
      <c r="G1422" s="2161" t="s">
        <v>1206</v>
      </c>
      <c r="H1422" s="2162">
        <v>701</v>
      </c>
      <c r="I1422" s="2162" t="s">
        <v>5323</v>
      </c>
      <c r="J1422" s="2162"/>
      <c r="K1422" s="2162"/>
      <c r="L1422" s="2162" t="s">
        <v>37</v>
      </c>
      <c r="M1422" s="2162"/>
      <c r="N1422" s="2162"/>
      <c r="O1422" s="2162"/>
      <c r="P1422" s="2162"/>
      <c r="Q1422" s="2162"/>
      <c r="R1422" s="2162"/>
      <c r="S1422" s="2162"/>
      <c r="T1422" s="2162"/>
      <c r="U1422" s="2252" t="s">
        <v>5324</v>
      </c>
      <c r="V1422" s="3074"/>
      <c r="W1422"/>
    </row>
    <row r="1423" spans="1:23" ht="27" thickBot="1">
      <c r="A1423" s="1938" t="s">
        <v>67</v>
      </c>
      <c r="B1423" s="1312">
        <v>45552</v>
      </c>
      <c r="C1423" s="480">
        <f t="shared" si="28"/>
        <v>38</v>
      </c>
      <c r="D1423" s="2322" t="s">
        <v>80</v>
      </c>
      <c r="E1423" s="2322" t="s">
        <v>5325</v>
      </c>
      <c r="F1423" s="2323" t="s">
        <v>1199</v>
      </c>
      <c r="G1423" s="2323" t="s">
        <v>1206</v>
      </c>
      <c r="H1423" s="2324">
        <v>701</v>
      </c>
      <c r="I1423" s="2324" t="s">
        <v>994</v>
      </c>
      <c r="J1423" s="2324"/>
      <c r="K1423" s="2324"/>
      <c r="L1423" s="2324" t="s">
        <v>37</v>
      </c>
      <c r="M1423" s="2324"/>
      <c r="N1423" s="2324"/>
      <c r="O1423" s="2324"/>
      <c r="P1423" s="2324"/>
      <c r="Q1423" s="2324"/>
      <c r="R1423" s="2324"/>
      <c r="S1423" s="2324"/>
      <c r="T1423" s="2324"/>
      <c r="U1423" s="2254"/>
      <c r="V1423" s="3074"/>
      <c r="W1423"/>
    </row>
    <row r="1424" spans="1:23" ht="27" thickBot="1">
      <c r="A1424" s="1939" t="s">
        <v>85</v>
      </c>
      <c r="B1424" s="1940">
        <v>45553</v>
      </c>
      <c r="C1424" s="480">
        <f t="shared" si="28"/>
        <v>38</v>
      </c>
      <c r="D1424" s="1940" t="s">
        <v>5188</v>
      </c>
      <c r="E1424" s="1940" t="s">
        <v>2488</v>
      </c>
      <c r="F1424" s="2317" t="s">
        <v>1199</v>
      </c>
      <c r="G1424" s="1292" t="s">
        <v>1764</v>
      </c>
      <c r="H1424" s="2325">
        <v>701</v>
      </c>
      <c r="I1424" s="2325" t="s">
        <v>5323</v>
      </c>
      <c r="J1424" s="1593"/>
      <c r="K1424" s="2325"/>
      <c r="L1424" s="1593" t="s">
        <v>37</v>
      </c>
      <c r="M1424" s="1594"/>
      <c r="N1424" s="1594"/>
      <c r="O1424" s="1594"/>
      <c r="P1424" s="1594"/>
      <c r="Q1424" s="1594"/>
      <c r="R1424" s="1594"/>
      <c r="S1424" s="1594"/>
      <c r="T1424" s="1594"/>
      <c r="U1424" s="1595"/>
      <c r="V1424" s="2464"/>
      <c r="W1424"/>
    </row>
    <row r="1425" spans="1:23" ht="79.5" thickBot="1">
      <c r="A1425" s="162" t="s">
        <v>85</v>
      </c>
      <c r="B1425" s="1300">
        <v>45553</v>
      </c>
      <c r="C1425" s="480">
        <f t="shared" si="28"/>
        <v>38</v>
      </c>
      <c r="D1425" s="1300" t="s">
        <v>1905</v>
      </c>
      <c r="E1425" s="2151" t="s">
        <v>5326</v>
      </c>
      <c r="F1425" s="1289" t="s">
        <v>2994</v>
      </c>
      <c r="G1425" s="1289" t="s">
        <v>2994</v>
      </c>
      <c r="H1425" s="2326">
        <v>702</v>
      </c>
      <c r="I1425" s="1070" t="s">
        <v>5313</v>
      </c>
      <c r="J1425" s="1070"/>
      <c r="K1425" s="1070"/>
      <c r="L1425" s="1070"/>
      <c r="M1425" s="1070" t="s">
        <v>37</v>
      </c>
      <c r="N1425" s="20" t="s">
        <v>122</v>
      </c>
      <c r="O1425" s="20" t="s">
        <v>4038</v>
      </c>
      <c r="P1425" s="20" t="s">
        <v>4082</v>
      </c>
      <c r="Q1425" s="1070"/>
      <c r="R1425" s="1070"/>
      <c r="S1425" s="1070"/>
      <c r="T1425" s="1070"/>
      <c r="U1425" s="1070" t="s">
        <v>5327</v>
      </c>
      <c r="V1425" s="3074"/>
      <c r="W1425"/>
    </row>
    <row r="1426" spans="1:23" ht="27" thickBot="1">
      <c r="A1426" s="118" t="s">
        <v>85</v>
      </c>
      <c r="B1426" s="1390">
        <v>45553</v>
      </c>
      <c r="C1426" s="480">
        <f t="shared" si="28"/>
        <v>38</v>
      </c>
      <c r="D1426" s="1300" t="s">
        <v>207</v>
      </c>
      <c r="E1426" s="2151" t="s">
        <v>263</v>
      </c>
      <c r="F1426" s="1288" t="s">
        <v>1199</v>
      </c>
      <c r="G1426" s="1288" t="s">
        <v>1199</v>
      </c>
      <c r="H1426" s="2326">
        <v>702</v>
      </c>
      <c r="I1426" s="1070" t="s">
        <v>5328</v>
      </c>
      <c r="J1426" s="923"/>
      <c r="K1426" s="1443" t="s">
        <v>84</v>
      </c>
      <c r="L1426" s="923" t="s">
        <v>37</v>
      </c>
      <c r="M1426" s="71"/>
      <c r="N1426" s="71"/>
      <c r="O1426" s="71"/>
      <c r="P1426" s="71"/>
      <c r="Q1426" s="71"/>
      <c r="R1426" s="71"/>
      <c r="S1426" s="71"/>
      <c r="T1426" s="71"/>
      <c r="U1426" s="71"/>
      <c r="V1426" s="2464"/>
      <c r="W1426"/>
    </row>
    <row r="1427" spans="1:23" ht="27" thickBot="1">
      <c r="A1427" s="118" t="s">
        <v>85</v>
      </c>
      <c r="B1427" s="1390">
        <v>45553</v>
      </c>
      <c r="C1427" s="480">
        <f t="shared" si="28"/>
        <v>38</v>
      </c>
      <c r="D1427" s="1301" t="s">
        <v>1091</v>
      </c>
      <c r="E1427" s="2311" t="s">
        <v>1698</v>
      </c>
      <c r="F1427" s="1288" t="s">
        <v>1199</v>
      </c>
      <c r="G1427" s="1288" t="s">
        <v>1199</v>
      </c>
      <c r="H1427" s="1070">
        <v>702</v>
      </c>
      <c r="I1427" s="2162" t="s">
        <v>5300</v>
      </c>
      <c r="J1427" s="1009"/>
      <c r="K1427" s="2162"/>
      <c r="L1427" s="1009" t="s">
        <v>37</v>
      </c>
      <c r="M1427" s="97"/>
      <c r="N1427" s="97"/>
      <c r="O1427" s="97"/>
      <c r="P1427" s="97"/>
      <c r="Q1427" s="97"/>
      <c r="R1427" s="2315">
        <v>2</v>
      </c>
      <c r="S1427" s="97"/>
      <c r="T1427" s="97"/>
      <c r="U1427" s="98"/>
      <c r="V1427" s="2464"/>
      <c r="W1427"/>
    </row>
    <row r="1428" spans="1:23" ht="27" thickBot="1">
      <c r="A1428" s="118" t="s">
        <v>85</v>
      </c>
      <c r="B1428" s="1390">
        <v>45553</v>
      </c>
      <c r="C1428" s="480">
        <f t="shared" si="28"/>
        <v>38</v>
      </c>
      <c r="D1428" s="2327" t="s">
        <v>1698</v>
      </c>
      <c r="E1428" s="2328" t="s">
        <v>684</v>
      </c>
      <c r="F1428" s="1662" t="s">
        <v>1199</v>
      </c>
      <c r="G1428" s="927" t="s">
        <v>1199</v>
      </c>
      <c r="H1428" s="2326">
        <v>702</v>
      </c>
      <c r="I1428" s="1070" t="s">
        <v>2105</v>
      </c>
      <c r="J1428" s="923"/>
      <c r="K1428" s="1520" t="s">
        <v>84</v>
      </c>
      <c r="L1428" s="923" t="s">
        <v>37</v>
      </c>
      <c r="M1428" s="71"/>
      <c r="N1428" s="71"/>
      <c r="O1428" s="71"/>
      <c r="P1428" s="71"/>
      <c r="Q1428" s="71"/>
      <c r="R1428" s="71"/>
      <c r="S1428" s="71"/>
      <c r="T1428" s="71"/>
      <c r="U1428" s="71"/>
      <c r="V1428" s="2464"/>
      <c r="W1428"/>
    </row>
    <row r="1429" spans="1:23" ht="27" thickBot="1">
      <c r="A1429" s="118" t="s">
        <v>85</v>
      </c>
      <c r="B1429" s="1390">
        <v>45553</v>
      </c>
      <c r="C1429" s="480">
        <f t="shared" si="28"/>
        <v>38</v>
      </c>
      <c r="D1429" s="2329" t="s">
        <v>392</v>
      </c>
      <c r="E1429" s="2330" t="s">
        <v>830</v>
      </c>
      <c r="F1429" s="1288" t="s">
        <v>1199</v>
      </c>
      <c r="G1429" s="1288" t="s">
        <v>1199</v>
      </c>
      <c r="H1429" s="2331">
        <v>702</v>
      </c>
      <c r="I1429" s="1150" t="s">
        <v>5329</v>
      </c>
      <c r="J1429" s="1001"/>
      <c r="K1429" s="1525" t="s">
        <v>84</v>
      </c>
      <c r="L1429" s="1001" t="s">
        <v>37</v>
      </c>
      <c r="M1429" s="33"/>
      <c r="N1429" s="33"/>
      <c r="O1429" s="33"/>
      <c r="P1429" s="33"/>
      <c r="Q1429" s="33"/>
      <c r="R1429" s="33"/>
      <c r="S1429" s="33"/>
      <c r="T1429" s="33"/>
      <c r="U1429" s="33"/>
      <c r="V1429" s="2464"/>
      <c r="W1429"/>
    </row>
    <row r="1430" spans="1:23" ht="27" thickBot="1">
      <c r="A1430" s="118" t="s">
        <v>85</v>
      </c>
      <c r="B1430" s="1390">
        <v>45553</v>
      </c>
      <c r="C1430" s="480">
        <f t="shared" si="28"/>
        <v>38</v>
      </c>
      <c r="D1430" s="2332" t="s">
        <v>1664</v>
      </c>
      <c r="E1430" s="2333" t="s">
        <v>5330</v>
      </c>
      <c r="F1430" s="1289" t="s">
        <v>1764</v>
      </c>
      <c r="G1430" s="1289" t="s">
        <v>1206</v>
      </c>
      <c r="H1430" s="1070">
        <v>704</v>
      </c>
      <c r="I1430" s="2331" t="s">
        <v>5318</v>
      </c>
      <c r="J1430" s="1001"/>
      <c r="K1430" s="1969" t="s">
        <v>84</v>
      </c>
      <c r="L1430" s="1001" t="s">
        <v>37</v>
      </c>
      <c r="M1430" s="33"/>
      <c r="N1430" s="33"/>
      <c r="O1430" s="33"/>
      <c r="P1430" s="33"/>
      <c r="Q1430" s="33"/>
      <c r="R1430" s="33"/>
      <c r="S1430" s="33"/>
      <c r="T1430" s="33"/>
      <c r="U1430" s="33"/>
      <c r="V1430" s="2464"/>
      <c r="W1430"/>
    </row>
    <row r="1431" spans="1:23" ht="27" thickBot="1">
      <c r="A1431" s="118" t="s">
        <v>85</v>
      </c>
      <c r="B1431" s="1301">
        <v>45553</v>
      </c>
      <c r="C1431" s="480">
        <f t="shared" si="28"/>
        <v>38</v>
      </c>
      <c r="D1431" s="2312" t="s">
        <v>68</v>
      </c>
      <c r="E1431" s="2313" t="s">
        <v>4001</v>
      </c>
      <c r="F1431" s="1289" t="s">
        <v>1764</v>
      </c>
      <c r="G1431" s="1289" t="s">
        <v>1206</v>
      </c>
      <c r="H1431" s="2334">
        <v>706</v>
      </c>
      <c r="I1431" s="1150" t="s">
        <v>2197</v>
      </c>
      <c r="J1431" s="2162"/>
      <c r="K1431" s="1442" t="s">
        <v>29</v>
      </c>
      <c r="L1431" s="2162" t="s">
        <v>37</v>
      </c>
      <c r="M1431" s="2162"/>
      <c r="N1431" s="2162"/>
      <c r="O1431" s="2162"/>
      <c r="P1431" s="2162"/>
      <c r="Q1431" s="2162"/>
      <c r="R1431" s="2162"/>
      <c r="S1431" s="2162"/>
      <c r="T1431" s="2162"/>
      <c r="U1431" s="2252"/>
      <c r="V1431" s="3074"/>
      <c r="W1431"/>
    </row>
    <row r="1432" spans="1:23" ht="27" thickBot="1">
      <c r="A1432" s="118" t="s">
        <v>85</v>
      </c>
      <c r="B1432" s="1390">
        <v>45553</v>
      </c>
      <c r="C1432" s="480">
        <f t="shared" ref="C1432:C1462" si="29">_xlfn.ISOWEEKNUM(B1432)</f>
        <v>38</v>
      </c>
      <c r="D1432" s="2332" t="s">
        <v>5331</v>
      </c>
      <c r="E1432" s="2332" t="s">
        <v>5332</v>
      </c>
      <c r="F1432" s="1614" t="s">
        <v>1199</v>
      </c>
      <c r="G1432" s="1614" t="s">
        <v>1199</v>
      </c>
      <c r="H1432" s="1150">
        <v>704</v>
      </c>
      <c r="I1432" s="1150" t="s">
        <v>5333</v>
      </c>
      <c r="J1432" s="1001"/>
      <c r="K1432" s="2224"/>
      <c r="L1432" s="1001" t="s">
        <v>37</v>
      </c>
      <c r="M1432" s="33"/>
      <c r="N1432" s="33"/>
      <c r="O1432" s="33"/>
      <c r="P1432" s="33"/>
      <c r="Q1432" s="33"/>
      <c r="R1432" s="33"/>
      <c r="S1432" s="33"/>
      <c r="T1432" s="33"/>
      <c r="U1432" s="33" t="s">
        <v>5334</v>
      </c>
      <c r="V1432" s="2464"/>
      <c r="W1432"/>
    </row>
    <row r="1433" spans="1:23" ht="53.25" thickBot="1">
      <c r="A1433" s="2070" t="s">
        <v>105</v>
      </c>
      <c r="B1433" s="2068">
        <v>45554</v>
      </c>
      <c r="C1433" s="480">
        <f t="shared" si="29"/>
        <v>38</v>
      </c>
      <c r="D1433" s="2335" t="s">
        <v>939</v>
      </c>
      <c r="E1433" s="2335" t="s">
        <v>5335</v>
      </c>
      <c r="F1433" s="2336" t="s">
        <v>1199</v>
      </c>
      <c r="G1433" s="2336" t="s">
        <v>1764</v>
      </c>
      <c r="H1433" s="2337">
        <v>706</v>
      </c>
      <c r="I1433" s="2337" t="s">
        <v>5336</v>
      </c>
      <c r="J1433" s="1419"/>
      <c r="K1433" s="2338" t="s">
        <v>3346</v>
      </c>
      <c r="L1433" s="1419"/>
      <c r="M1433" s="905" t="s">
        <v>37</v>
      </c>
      <c r="N1433" s="20" t="s">
        <v>0</v>
      </c>
      <c r="O1433" s="20" t="s">
        <v>31</v>
      </c>
      <c r="P1433" s="20" t="s">
        <v>4102</v>
      </c>
      <c r="Q1433" s="905"/>
      <c r="R1433" s="905"/>
      <c r="S1433" s="905"/>
      <c r="T1433" s="905"/>
      <c r="U1433" s="1423" t="s">
        <v>5337</v>
      </c>
      <c r="V1433" s="2464"/>
      <c r="W1433"/>
    </row>
    <row r="1434" spans="1:23" ht="53.25" thickBot="1">
      <c r="A1434" s="1941" t="s">
        <v>105</v>
      </c>
      <c r="B1434" s="1300">
        <v>45554</v>
      </c>
      <c r="C1434" s="480">
        <f t="shared" si="29"/>
        <v>38</v>
      </c>
      <c r="D1434" s="1300" t="s">
        <v>148</v>
      </c>
      <c r="E1434" s="2151" t="s">
        <v>1766</v>
      </c>
      <c r="F1434" s="1289" t="s">
        <v>1764</v>
      </c>
      <c r="G1434" s="1289" t="s">
        <v>1764</v>
      </c>
      <c r="H1434" s="2326">
        <v>702</v>
      </c>
      <c r="I1434" s="1070" t="s">
        <v>5328</v>
      </c>
      <c r="J1434" s="923"/>
      <c r="K1434" s="1443" t="s">
        <v>84</v>
      </c>
      <c r="L1434" s="923" t="s">
        <v>37</v>
      </c>
      <c r="M1434" s="71"/>
      <c r="N1434" s="71"/>
      <c r="O1434" s="71"/>
      <c r="P1434" s="71"/>
      <c r="Q1434" s="71"/>
      <c r="R1434" s="71"/>
      <c r="S1434" s="71"/>
      <c r="T1434" s="71"/>
      <c r="U1434" s="93" t="s">
        <v>5338</v>
      </c>
      <c r="V1434" s="2464"/>
      <c r="W1434"/>
    </row>
    <row r="1435" spans="1:23" ht="53.25" thickBot="1">
      <c r="A1435" s="1942" t="s">
        <v>105</v>
      </c>
      <c r="B1435" s="1301">
        <v>45554</v>
      </c>
      <c r="C1435" s="480">
        <f t="shared" si="29"/>
        <v>38</v>
      </c>
      <c r="D1435" s="1300" t="s">
        <v>4439</v>
      </c>
      <c r="E1435" s="1300" t="s">
        <v>5339</v>
      </c>
      <c r="F1435" s="1289" t="s">
        <v>1764</v>
      </c>
      <c r="G1435" s="1289" t="s">
        <v>1764</v>
      </c>
      <c r="H1435" s="1070">
        <v>706</v>
      </c>
      <c r="I1435" s="1070" t="s">
        <v>1141</v>
      </c>
      <c r="J1435" s="923"/>
      <c r="K1435" s="1520" t="s">
        <v>84</v>
      </c>
      <c r="L1435" s="923"/>
      <c r="M1435" s="71" t="s">
        <v>30</v>
      </c>
      <c r="N1435" s="20" t="s">
        <v>109</v>
      </c>
      <c r="O1435" s="20" t="s">
        <v>1109</v>
      </c>
      <c r="P1435" s="20" t="s">
        <v>4102</v>
      </c>
      <c r="Q1435" s="71"/>
      <c r="R1435" s="71"/>
      <c r="S1435" s="71"/>
      <c r="T1435" s="71"/>
      <c r="U1435" s="93" t="s">
        <v>5340</v>
      </c>
      <c r="V1435" s="2464"/>
      <c r="W1435"/>
    </row>
    <row r="1436" spans="1:23" ht="79.5" thickBot="1">
      <c r="A1436" s="1941" t="s">
        <v>105</v>
      </c>
      <c r="B1436" s="1300">
        <v>45554</v>
      </c>
      <c r="C1436" s="480">
        <f t="shared" si="29"/>
        <v>38</v>
      </c>
      <c r="D1436" s="1300" t="s">
        <v>5341</v>
      </c>
      <c r="E1436" s="1300" t="s">
        <v>5342</v>
      </c>
      <c r="F1436" s="1289" t="s">
        <v>1764</v>
      </c>
      <c r="G1436" s="1289" t="s">
        <v>1764</v>
      </c>
      <c r="H1436" s="1070">
        <v>706</v>
      </c>
      <c r="I1436" s="21" t="s">
        <v>5343</v>
      </c>
      <c r="J1436" s="923"/>
      <c r="K1436" s="1520"/>
      <c r="L1436" s="923" t="s">
        <v>37</v>
      </c>
      <c r="M1436" s="71"/>
      <c r="N1436" s="71"/>
      <c r="O1436" s="71"/>
      <c r="P1436" s="71"/>
      <c r="Q1436" s="71"/>
      <c r="R1436" s="71"/>
      <c r="S1436" s="71"/>
      <c r="T1436" s="71"/>
      <c r="U1436" s="93" t="s">
        <v>5344</v>
      </c>
      <c r="V1436" s="2464"/>
      <c r="W1436"/>
    </row>
    <row r="1437" spans="1:23" ht="53.25" thickBot="1">
      <c r="A1437" s="1941" t="s">
        <v>105</v>
      </c>
      <c r="B1437" s="1300">
        <v>45554</v>
      </c>
      <c r="C1437" s="480">
        <f t="shared" si="29"/>
        <v>38</v>
      </c>
      <c r="D1437" s="1300" t="s">
        <v>1870</v>
      </c>
      <c r="E1437" s="1300" t="s">
        <v>5305</v>
      </c>
      <c r="F1437" s="1289" t="s">
        <v>2994</v>
      </c>
      <c r="G1437" s="937" t="s">
        <v>1768</v>
      </c>
      <c r="H1437" s="1070">
        <v>701</v>
      </c>
      <c r="I1437" s="1070" t="s">
        <v>994</v>
      </c>
      <c r="J1437" s="923"/>
      <c r="K1437" s="1520" t="s">
        <v>84</v>
      </c>
      <c r="L1437" s="923"/>
      <c r="M1437" s="71" t="s">
        <v>37</v>
      </c>
      <c r="N1437" s="20" t="s">
        <v>0</v>
      </c>
      <c r="O1437" s="20" t="s">
        <v>187</v>
      </c>
      <c r="P1437" s="20" t="s">
        <v>4080</v>
      </c>
      <c r="Q1437" s="71"/>
      <c r="R1437" s="71"/>
      <c r="S1437" s="71"/>
      <c r="T1437" s="71"/>
      <c r="U1437" s="93" t="s">
        <v>5345</v>
      </c>
      <c r="V1437" s="2464"/>
      <c r="W1437"/>
    </row>
    <row r="1438" spans="1:23" ht="27" thickBot="1">
      <c r="A1438" s="1941" t="s">
        <v>105</v>
      </c>
      <c r="B1438" s="1300">
        <v>45554</v>
      </c>
      <c r="C1438" s="480">
        <f t="shared" si="29"/>
        <v>38</v>
      </c>
      <c r="D1438" s="2303" t="s">
        <v>5346</v>
      </c>
      <c r="E1438" s="2303" t="s">
        <v>5347</v>
      </c>
      <c r="F1438" s="1289" t="s">
        <v>1764</v>
      </c>
      <c r="G1438" s="937" t="s">
        <v>1764</v>
      </c>
      <c r="H1438" s="1070">
        <v>702</v>
      </c>
      <c r="I1438" s="1070" t="s">
        <v>186</v>
      </c>
      <c r="J1438" s="923"/>
      <c r="K1438" s="1520" t="s">
        <v>84</v>
      </c>
      <c r="L1438" s="923" t="s">
        <v>37</v>
      </c>
      <c r="M1438" s="71"/>
      <c r="N1438" s="71"/>
      <c r="O1438" s="71"/>
      <c r="P1438" s="71"/>
      <c r="Q1438" s="71"/>
      <c r="R1438" s="71"/>
      <c r="S1438" s="71"/>
      <c r="T1438" s="71"/>
      <c r="U1438" s="93"/>
      <c r="V1438" s="2464"/>
      <c r="W1438"/>
    </row>
    <row r="1439" spans="1:23" ht="105.75" thickBot="1">
      <c r="A1439" s="1941" t="s">
        <v>105</v>
      </c>
      <c r="B1439" s="1300">
        <v>45554</v>
      </c>
      <c r="C1439" s="480">
        <f t="shared" si="29"/>
        <v>38</v>
      </c>
      <c r="D1439" s="2303" t="s">
        <v>4155</v>
      </c>
      <c r="E1439" s="2303" t="s">
        <v>5348</v>
      </c>
      <c r="F1439" s="1288" t="s">
        <v>1199</v>
      </c>
      <c r="G1439" s="1288" t="s">
        <v>1199</v>
      </c>
      <c r="H1439" s="1070">
        <v>702</v>
      </c>
      <c r="I1439" s="1070" t="s">
        <v>5349</v>
      </c>
      <c r="J1439" s="923"/>
      <c r="K1439" s="1520"/>
      <c r="L1439" s="923"/>
      <c r="M1439" s="71" t="s">
        <v>37</v>
      </c>
      <c r="N1439" s="590" t="s">
        <v>231</v>
      </c>
      <c r="O1439" s="20" t="s">
        <v>231</v>
      </c>
      <c r="P1439" s="20" t="s">
        <v>4082</v>
      </c>
      <c r="Q1439" s="71"/>
      <c r="R1439" s="71"/>
      <c r="S1439" s="71"/>
      <c r="T1439" s="71"/>
      <c r="U1439" s="93" t="s">
        <v>5350</v>
      </c>
      <c r="V1439" s="2464"/>
      <c r="W1439"/>
    </row>
    <row r="1440" spans="1:23" ht="27" thickBot="1">
      <c r="A1440" s="1941" t="s">
        <v>105</v>
      </c>
      <c r="B1440" s="1300">
        <v>45554</v>
      </c>
      <c r="C1440" s="480">
        <f t="shared" si="29"/>
        <v>38</v>
      </c>
      <c r="D1440" s="1356" t="s">
        <v>1698</v>
      </c>
      <c r="E1440" s="1356" t="s">
        <v>1238</v>
      </c>
      <c r="F1440" s="1288" t="s">
        <v>1199</v>
      </c>
      <c r="G1440" s="1288" t="s">
        <v>1199</v>
      </c>
      <c r="H1440" s="1070">
        <v>707</v>
      </c>
      <c r="I1440" s="1070" t="s">
        <v>1704</v>
      </c>
      <c r="J1440" s="923"/>
      <c r="K1440" s="1520" t="s">
        <v>84</v>
      </c>
      <c r="L1440" s="923" t="s">
        <v>37</v>
      </c>
      <c r="M1440" s="71"/>
      <c r="N1440" s="71"/>
      <c r="O1440" s="71"/>
      <c r="P1440" s="71"/>
      <c r="Q1440" s="71"/>
      <c r="R1440" s="71"/>
      <c r="S1440" s="71"/>
      <c r="T1440" s="71"/>
      <c r="U1440" s="93"/>
      <c r="V1440" s="2464"/>
      <c r="W1440"/>
    </row>
    <row r="1441" spans="1:23" ht="53.25" thickBot="1">
      <c r="A1441" s="1937" t="s">
        <v>105</v>
      </c>
      <c r="B1441" s="1390">
        <v>45554</v>
      </c>
      <c r="C1441" s="480">
        <f t="shared" si="29"/>
        <v>38</v>
      </c>
      <c r="D1441" s="2332" t="s">
        <v>1157</v>
      </c>
      <c r="E1441" s="2332" t="s">
        <v>2149</v>
      </c>
      <c r="F1441" s="2339" t="s">
        <v>1764</v>
      </c>
      <c r="G1441" s="2339" t="s">
        <v>1764</v>
      </c>
      <c r="H1441" s="1150">
        <v>704</v>
      </c>
      <c r="I1441" s="1150" t="s">
        <v>5351</v>
      </c>
      <c r="J1441" s="1001"/>
      <c r="K1441" s="1969" t="s">
        <v>84</v>
      </c>
      <c r="L1441" s="1001" t="s">
        <v>37</v>
      </c>
      <c r="M1441" s="33"/>
      <c r="N1441" s="33"/>
      <c r="O1441" s="33"/>
      <c r="P1441" s="33"/>
      <c r="Q1441" s="33"/>
      <c r="R1441" s="33"/>
      <c r="S1441" s="33"/>
      <c r="T1441" s="71"/>
      <c r="U1441" s="93" t="s">
        <v>5352</v>
      </c>
      <c r="V1441" s="2464"/>
      <c r="W1441"/>
    </row>
    <row r="1442" spans="1:23" ht="27" thickBot="1">
      <c r="A1442" s="1937" t="s">
        <v>105</v>
      </c>
      <c r="B1442" s="1390">
        <v>45554</v>
      </c>
      <c r="C1442" s="480">
        <f t="shared" si="29"/>
        <v>38</v>
      </c>
      <c r="D1442" s="1390" t="s">
        <v>273</v>
      </c>
      <c r="E1442" s="1390" t="s">
        <v>169</v>
      </c>
      <c r="F1442" s="2340" t="s">
        <v>1199</v>
      </c>
      <c r="G1442" s="2340" t="s">
        <v>1199</v>
      </c>
      <c r="H1442" s="1150">
        <v>701</v>
      </c>
      <c r="I1442" s="1150" t="s">
        <v>5353</v>
      </c>
      <c r="J1442" s="1001"/>
      <c r="K1442" s="1969" t="s">
        <v>84</v>
      </c>
      <c r="L1442" s="1001" t="s">
        <v>37</v>
      </c>
      <c r="M1442" s="33"/>
      <c r="N1442" s="33"/>
      <c r="O1442" s="33"/>
      <c r="P1442" s="33"/>
      <c r="Q1442" s="33"/>
      <c r="R1442" s="33"/>
      <c r="S1442" s="33"/>
      <c r="T1442" s="1594"/>
      <c r="U1442" s="1595"/>
      <c r="V1442" s="2464"/>
      <c r="W1442"/>
    </row>
    <row r="1443" spans="1:23" ht="132" thickBot="1">
      <c r="A1443" s="1935" t="s">
        <v>132</v>
      </c>
      <c r="B1443" s="1936">
        <v>45555</v>
      </c>
      <c r="C1443" s="480">
        <f t="shared" si="29"/>
        <v>38</v>
      </c>
      <c r="D1443" s="2341" t="s">
        <v>939</v>
      </c>
      <c r="E1443" s="2341" t="s">
        <v>584</v>
      </c>
      <c r="F1443" s="1288" t="s">
        <v>1199</v>
      </c>
      <c r="G1443" s="1288" t="s">
        <v>1199</v>
      </c>
      <c r="H1443" s="2319">
        <v>701</v>
      </c>
      <c r="I1443" s="2319" t="s">
        <v>5354</v>
      </c>
      <c r="J1443" s="918"/>
      <c r="K1443" s="2319"/>
      <c r="L1443" s="918"/>
      <c r="M1443" s="64" t="s">
        <v>37</v>
      </c>
      <c r="N1443" s="590" t="s">
        <v>231</v>
      </c>
      <c r="O1443" s="20" t="s">
        <v>231</v>
      </c>
      <c r="P1443" s="20" t="s">
        <v>4080</v>
      </c>
      <c r="Q1443" s="64"/>
      <c r="R1443" s="64"/>
      <c r="S1443" s="64"/>
      <c r="T1443" s="64"/>
      <c r="U1443" s="1515" t="s">
        <v>5355</v>
      </c>
      <c r="V1443" s="2464"/>
      <c r="W1443"/>
    </row>
    <row r="1444" spans="1:23" ht="27" thickBot="1">
      <c r="A1444" s="1942" t="s">
        <v>132</v>
      </c>
      <c r="B1444" s="2311">
        <v>45555</v>
      </c>
      <c r="C1444" s="480">
        <f t="shared" si="29"/>
        <v>38</v>
      </c>
      <c r="D1444" s="2342" t="s">
        <v>5356</v>
      </c>
      <c r="E1444" s="2343" t="s">
        <v>61</v>
      </c>
      <c r="F1444" s="2161" t="s">
        <v>1764</v>
      </c>
      <c r="G1444" s="1048" t="s">
        <v>1199</v>
      </c>
      <c r="H1444" s="2162">
        <v>701</v>
      </c>
      <c r="I1444" s="2162" t="s">
        <v>5357</v>
      </c>
      <c r="J1444" s="1009"/>
      <c r="K1444" s="2162"/>
      <c r="L1444" s="1009"/>
      <c r="M1444" s="97"/>
      <c r="N1444" s="97"/>
      <c r="O1444" s="97"/>
      <c r="P1444" s="97"/>
      <c r="Q1444" s="97"/>
      <c r="R1444" s="97"/>
      <c r="S1444" s="97"/>
      <c r="T1444" s="97"/>
      <c r="U1444" s="98"/>
      <c r="V1444" s="2464"/>
      <c r="W1444"/>
    </row>
    <row r="1445" spans="1:23" ht="27" thickBot="1">
      <c r="A1445" s="1942" t="s">
        <v>132</v>
      </c>
      <c r="B1445" s="1301">
        <v>45555</v>
      </c>
      <c r="C1445" s="480">
        <f t="shared" si="29"/>
        <v>38</v>
      </c>
      <c r="D1445" s="1301" t="s">
        <v>840</v>
      </c>
      <c r="E1445" s="1301" t="s">
        <v>3736</v>
      </c>
      <c r="F1445" s="2344" t="s">
        <v>1206</v>
      </c>
      <c r="G1445" s="1200" t="s">
        <v>1206</v>
      </c>
      <c r="H1445" s="2162">
        <v>701</v>
      </c>
      <c r="I1445" s="2162" t="s">
        <v>5251</v>
      </c>
      <c r="J1445" s="1009"/>
      <c r="K1445" s="2162"/>
      <c r="L1445" s="1009" t="s">
        <v>37</v>
      </c>
      <c r="M1445" s="97"/>
      <c r="N1445" s="97"/>
      <c r="O1445" s="97"/>
      <c r="P1445" s="97"/>
      <c r="Q1445" s="97"/>
      <c r="R1445" s="97"/>
      <c r="S1445" s="97"/>
      <c r="T1445" s="97"/>
      <c r="U1445" s="98"/>
      <c r="V1445" s="2464"/>
      <c r="W1445"/>
    </row>
    <row r="1446" spans="1:23" ht="27" thickBot="1">
      <c r="A1446" s="1942" t="s">
        <v>132</v>
      </c>
      <c r="B1446" s="1301">
        <v>45555</v>
      </c>
      <c r="C1446" s="480">
        <f t="shared" si="29"/>
        <v>38</v>
      </c>
      <c r="D1446" s="1301" t="s">
        <v>3073</v>
      </c>
      <c r="E1446" s="1301" t="s">
        <v>1905</v>
      </c>
      <c r="F1446" s="2161" t="s">
        <v>1764</v>
      </c>
      <c r="G1446" s="2161" t="s">
        <v>1764</v>
      </c>
      <c r="H1446" s="2162">
        <v>702</v>
      </c>
      <c r="I1446" s="2162" t="s">
        <v>580</v>
      </c>
      <c r="J1446" s="1009"/>
      <c r="K1446" s="1443" t="s">
        <v>84</v>
      </c>
      <c r="L1446" s="1009" t="s">
        <v>37</v>
      </c>
      <c r="M1446" s="97"/>
      <c r="N1446" s="97"/>
      <c r="O1446" s="97"/>
      <c r="P1446" s="97"/>
      <c r="Q1446" s="97"/>
      <c r="R1446" s="97"/>
      <c r="S1446" s="97"/>
      <c r="T1446" s="97"/>
      <c r="U1446" s="98"/>
      <c r="V1446" s="2464"/>
      <c r="W1446"/>
    </row>
    <row r="1447" spans="1:23" ht="27" thickBot="1">
      <c r="A1447" s="162" t="str">
        <f t="shared" ref="A1447:A1460" si="30">TEXT(B1447,"jjjj")</f>
        <v>lundi</v>
      </c>
      <c r="B1447" s="1301">
        <v>45558</v>
      </c>
      <c r="C1447" s="480">
        <f t="shared" si="29"/>
        <v>39</v>
      </c>
      <c r="D1447" s="1301" t="s">
        <v>258</v>
      </c>
      <c r="E1447" s="1301" t="s">
        <v>1413</v>
      </c>
      <c r="F1447" s="2344" t="s">
        <v>1199</v>
      </c>
      <c r="G1447" s="1183" t="s">
        <v>1199</v>
      </c>
      <c r="H1447" s="2162">
        <v>702</v>
      </c>
      <c r="I1447" s="2366" t="s">
        <v>5358</v>
      </c>
      <c r="J1447" s="1009"/>
      <c r="K1447" s="1520"/>
      <c r="L1447" s="1009" t="s">
        <v>37</v>
      </c>
      <c r="M1447" s="97"/>
      <c r="N1447" s="97"/>
      <c r="O1447" s="97"/>
      <c r="P1447" s="97"/>
      <c r="Q1447" s="97"/>
      <c r="R1447" s="97"/>
      <c r="S1447" s="97"/>
      <c r="T1447" s="97"/>
      <c r="U1447" s="97" t="s">
        <v>5359</v>
      </c>
      <c r="V1447" s="2464"/>
      <c r="W1447"/>
    </row>
    <row r="1448" spans="1:23" ht="53.25" thickBot="1">
      <c r="A1448" s="162" t="str">
        <f t="shared" si="30"/>
        <v>lundi</v>
      </c>
      <c r="B1448" s="1301">
        <v>45558</v>
      </c>
      <c r="C1448" s="480">
        <f t="shared" si="29"/>
        <v>39</v>
      </c>
      <c r="D1448" s="2367" t="s">
        <v>5305</v>
      </c>
      <c r="E1448" s="1301" t="s">
        <v>1293</v>
      </c>
      <c r="F1448" s="1183" t="s">
        <v>1199</v>
      </c>
      <c r="G1448" s="1183" t="s">
        <v>1199</v>
      </c>
      <c r="H1448" s="2162">
        <v>701</v>
      </c>
      <c r="I1448" s="2366" t="s">
        <v>585</v>
      </c>
      <c r="J1448" s="1009"/>
      <c r="K1448" s="1520"/>
      <c r="L1448" s="1009" t="s">
        <v>37</v>
      </c>
      <c r="M1448" s="97"/>
      <c r="N1448" s="97"/>
      <c r="O1448" s="97"/>
      <c r="P1448" s="97"/>
      <c r="Q1448" s="97"/>
      <c r="R1448" s="97"/>
      <c r="S1448" s="97"/>
      <c r="T1448" s="97"/>
      <c r="U1448" s="97" t="s">
        <v>5360</v>
      </c>
      <c r="V1448" s="2464"/>
      <c r="W1448"/>
    </row>
    <row r="1449" spans="1:23" ht="27" thickBot="1">
      <c r="A1449" s="162" t="str">
        <f t="shared" si="30"/>
        <v>lundi</v>
      </c>
      <c r="B1449" s="1301">
        <v>45558</v>
      </c>
      <c r="C1449" s="480">
        <f t="shared" si="29"/>
        <v>39</v>
      </c>
      <c r="D1449" s="1301" t="s">
        <v>1698</v>
      </c>
      <c r="E1449" s="1301" t="s">
        <v>148</v>
      </c>
      <c r="F1449" s="2344" t="s">
        <v>1199</v>
      </c>
      <c r="G1449" s="1183" t="s">
        <v>1199</v>
      </c>
      <c r="H1449" s="2162">
        <v>701</v>
      </c>
      <c r="I1449" s="2366" t="s">
        <v>226</v>
      </c>
      <c r="J1449" s="1009"/>
      <c r="K1449" s="1520"/>
      <c r="L1449" s="1009" t="s">
        <v>37</v>
      </c>
      <c r="M1449" s="97"/>
      <c r="N1449" s="97"/>
      <c r="O1449" s="97"/>
      <c r="P1449" s="97"/>
      <c r="Q1449" s="97"/>
      <c r="R1449" s="97"/>
      <c r="S1449" s="97"/>
      <c r="T1449" s="97"/>
      <c r="U1449" s="97"/>
      <c r="V1449" s="2464"/>
      <c r="W1449"/>
    </row>
    <row r="1450" spans="1:23" ht="27" thickBot="1">
      <c r="A1450" s="162" t="str">
        <f t="shared" si="30"/>
        <v>lundi</v>
      </c>
      <c r="B1450" s="1301">
        <v>45558</v>
      </c>
      <c r="C1450" s="480">
        <f t="shared" si="29"/>
        <v>39</v>
      </c>
      <c r="D1450" s="2368" t="s">
        <v>3290</v>
      </c>
      <c r="E1450" s="2368" t="s">
        <v>5361</v>
      </c>
      <c r="F1450" s="1183" t="s">
        <v>1199</v>
      </c>
      <c r="G1450" s="1183" t="s">
        <v>1199</v>
      </c>
      <c r="H1450" s="2162">
        <v>702</v>
      </c>
      <c r="I1450" s="1053" t="s">
        <v>5362</v>
      </c>
      <c r="J1450" s="2369"/>
      <c r="K1450" s="1443" t="s">
        <v>303</v>
      </c>
      <c r="L1450" s="1009" t="s">
        <v>37</v>
      </c>
      <c r="M1450" s="97"/>
      <c r="N1450" s="97"/>
      <c r="O1450" s="97"/>
      <c r="P1450" s="97"/>
      <c r="Q1450" s="97"/>
      <c r="R1450" s="97"/>
      <c r="S1450" s="97"/>
      <c r="T1450" s="97"/>
      <c r="U1450" s="97"/>
      <c r="V1450" s="2464"/>
      <c r="W1450"/>
    </row>
    <row r="1451" spans="1:23" ht="27" thickBot="1">
      <c r="A1451" s="118" t="str">
        <f t="shared" si="30"/>
        <v>lundi</v>
      </c>
      <c r="B1451" s="1390">
        <v>45558</v>
      </c>
      <c r="C1451" s="480">
        <f t="shared" si="29"/>
        <v>39</v>
      </c>
      <c r="D1451" s="2370" t="s">
        <v>5363</v>
      </c>
      <c r="E1451" s="2370" t="s">
        <v>3290</v>
      </c>
      <c r="F1451" s="1183" t="s">
        <v>1199</v>
      </c>
      <c r="G1451" s="1183" t="s">
        <v>1199</v>
      </c>
      <c r="H1451" s="1150">
        <v>702</v>
      </c>
      <c r="I1451" s="1977" t="s">
        <v>5362</v>
      </c>
      <c r="J1451" s="2371"/>
      <c r="K1451" s="1969" t="s">
        <v>303</v>
      </c>
      <c r="L1451" s="1001" t="s">
        <v>37</v>
      </c>
      <c r="M1451" s="33"/>
      <c r="N1451" s="33"/>
      <c r="O1451" s="33"/>
      <c r="P1451" s="33"/>
      <c r="Q1451" s="33"/>
      <c r="R1451" s="33"/>
      <c r="S1451" s="33"/>
      <c r="T1451" s="33"/>
      <c r="U1451" s="33"/>
      <c r="V1451" s="2464"/>
      <c r="W1451"/>
    </row>
    <row r="1452" spans="1:23" ht="27" thickBot="1">
      <c r="A1452" s="76" t="str">
        <f t="shared" si="30"/>
        <v>lundi</v>
      </c>
      <c r="B1452" s="1300">
        <v>45558</v>
      </c>
      <c r="C1452" s="480">
        <f t="shared" si="29"/>
        <v>39</v>
      </c>
      <c r="D1452" s="2372" t="s">
        <v>258</v>
      </c>
      <c r="E1452" s="2372" t="s">
        <v>5364</v>
      </c>
      <c r="F1452" s="1662" t="s">
        <v>1199</v>
      </c>
      <c r="G1452" s="927" t="s">
        <v>1199</v>
      </c>
      <c r="H1452" s="1070">
        <v>702</v>
      </c>
      <c r="I1452" s="2373" t="s">
        <v>2502</v>
      </c>
      <c r="J1452" s="923"/>
      <c r="K1452" s="1520"/>
      <c r="L1452" s="923" t="s">
        <v>37</v>
      </c>
      <c r="M1452" s="71"/>
      <c r="N1452" s="71"/>
      <c r="O1452" s="71"/>
      <c r="P1452" s="71"/>
      <c r="Q1452" s="71"/>
      <c r="R1452" s="71"/>
      <c r="S1452" s="71"/>
      <c r="T1452" s="71"/>
      <c r="U1452" s="71"/>
      <c r="V1452" s="2464"/>
      <c r="W1452"/>
    </row>
    <row r="1453" spans="1:23" ht="27" thickBot="1">
      <c r="A1453" s="162" t="str">
        <f t="shared" si="30"/>
        <v>lundi</v>
      </c>
      <c r="B1453" s="1301">
        <v>45558</v>
      </c>
      <c r="C1453" s="480">
        <f t="shared" si="29"/>
        <v>39</v>
      </c>
      <c r="D1453" s="2374" t="s">
        <v>1131</v>
      </c>
      <c r="E1453" s="2374" t="s">
        <v>220</v>
      </c>
      <c r="F1453" s="2344" t="s">
        <v>1764</v>
      </c>
      <c r="G1453" s="1183" t="s">
        <v>1764</v>
      </c>
      <c r="H1453" s="2162">
        <v>702</v>
      </c>
      <c r="I1453" s="2366" t="s">
        <v>5365</v>
      </c>
      <c r="J1453" s="1009"/>
      <c r="K1453" s="1520"/>
      <c r="L1453" s="1009" t="s">
        <v>37</v>
      </c>
      <c r="M1453" s="97"/>
      <c r="N1453" s="97"/>
      <c r="O1453" s="97"/>
      <c r="P1453" s="97"/>
      <c r="Q1453" s="97"/>
      <c r="R1453" s="97"/>
      <c r="S1453" s="97"/>
      <c r="T1453" s="97"/>
      <c r="U1453" s="97"/>
      <c r="V1453" s="2464"/>
      <c r="W1453"/>
    </row>
    <row r="1454" spans="1:23" ht="27" thickBot="1">
      <c r="A1454" s="2144" t="str">
        <f t="shared" si="30"/>
        <v>lundi</v>
      </c>
      <c r="B1454" s="2141">
        <v>45558</v>
      </c>
      <c r="C1454" s="480">
        <f t="shared" si="29"/>
        <v>39</v>
      </c>
      <c r="D1454" s="2375" t="s">
        <v>169</v>
      </c>
      <c r="E1454" s="2375" t="s">
        <v>5264</v>
      </c>
      <c r="F1454" s="2376" t="s">
        <v>1199</v>
      </c>
      <c r="G1454" s="2377" t="s">
        <v>1199</v>
      </c>
      <c r="H1454" s="2345">
        <v>702</v>
      </c>
      <c r="I1454" s="2378" t="s">
        <v>5365</v>
      </c>
      <c r="J1454" s="2346"/>
      <c r="K1454" s="1970" t="s">
        <v>4426</v>
      </c>
      <c r="L1454" s="2346" t="s">
        <v>37</v>
      </c>
      <c r="M1454" s="2347"/>
      <c r="N1454" s="2347"/>
      <c r="O1454" s="2347"/>
      <c r="P1454" s="2347"/>
      <c r="Q1454" s="2347"/>
      <c r="R1454" s="2347"/>
      <c r="S1454" s="2347"/>
      <c r="T1454" s="2347"/>
      <c r="U1454" s="2347"/>
      <c r="V1454" s="2464"/>
      <c r="W1454"/>
    </row>
    <row r="1455" spans="1:23" ht="27" thickBot="1">
      <c r="A1455" s="162" t="str">
        <f t="shared" si="30"/>
        <v>mardi</v>
      </c>
      <c r="B1455" s="1301">
        <v>45559</v>
      </c>
      <c r="C1455" s="480">
        <f t="shared" si="29"/>
        <v>39</v>
      </c>
      <c r="D1455" s="1301" t="s">
        <v>5366</v>
      </c>
      <c r="E1455" s="1301" t="s">
        <v>1145</v>
      </c>
      <c r="F1455" s="2344" t="s">
        <v>1199</v>
      </c>
      <c r="G1455" s="2344" t="s">
        <v>1199</v>
      </c>
      <c r="H1455" s="2162">
        <v>701</v>
      </c>
      <c r="I1455" s="2366" t="s">
        <v>5367</v>
      </c>
      <c r="J1455" s="1009"/>
      <c r="K1455" s="1204" t="s">
        <v>5368</v>
      </c>
      <c r="L1455" s="1009" t="s">
        <v>37</v>
      </c>
      <c r="M1455" s="97"/>
      <c r="N1455" s="97"/>
      <c r="O1455" s="97"/>
      <c r="P1455" s="97"/>
      <c r="Q1455" s="97"/>
      <c r="R1455" s="97"/>
      <c r="S1455" s="97"/>
      <c r="T1455" s="97"/>
      <c r="U1455" s="97" t="s">
        <v>5369</v>
      </c>
      <c r="V1455" s="2464"/>
      <c r="W1455"/>
    </row>
    <row r="1456" spans="1:23" ht="27" thickBot="1">
      <c r="A1456" s="162" t="str">
        <f t="shared" si="30"/>
        <v>mardi</v>
      </c>
      <c r="B1456" s="1301">
        <v>45559</v>
      </c>
      <c r="C1456" s="480">
        <f t="shared" si="29"/>
        <v>39</v>
      </c>
      <c r="D1456" s="1301" t="s">
        <v>169</v>
      </c>
      <c r="E1456" s="1301" t="s">
        <v>1693</v>
      </c>
      <c r="F1456" s="2161" t="s">
        <v>1199</v>
      </c>
      <c r="G1456" s="2161" t="s">
        <v>1199</v>
      </c>
      <c r="H1456" s="2162">
        <v>701</v>
      </c>
      <c r="I1456" s="2366" t="s">
        <v>2105</v>
      </c>
      <c r="J1456" s="1009"/>
      <c r="K1456" s="1204" t="s">
        <v>1199</v>
      </c>
      <c r="L1456" s="1009" t="s">
        <v>37</v>
      </c>
      <c r="M1456" s="97"/>
      <c r="N1456" s="97"/>
      <c r="O1456" s="97"/>
      <c r="P1456" s="97"/>
      <c r="Q1456" s="97"/>
      <c r="R1456" s="97"/>
      <c r="S1456" s="97"/>
      <c r="T1456" s="97"/>
      <c r="U1456" s="97"/>
      <c r="V1456" s="2464"/>
      <c r="W1456"/>
    </row>
    <row r="1457" spans="1:23" ht="27" thickBot="1">
      <c r="A1457" s="162" t="str">
        <f t="shared" si="30"/>
        <v>mardi</v>
      </c>
      <c r="B1457" s="1301">
        <v>45559</v>
      </c>
      <c r="C1457" s="480">
        <f t="shared" si="29"/>
        <v>39</v>
      </c>
      <c r="D1457" s="1301" t="s">
        <v>1160</v>
      </c>
      <c r="E1457" s="1301" t="s">
        <v>3290</v>
      </c>
      <c r="F1457" s="2161" t="s">
        <v>1199</v>
      </c>
      <c r="G1457" s="2161" t="s">
        <v>1199</v>
      </c>
      <c r="H1457" s="2162">
        <v>702</v>
      </c>
      <c r="I1457" s="2366" t="s">
        <v>5370</v>
      </c>
      <c r="J1457" s="1009"/>
      <c r="K1457" s="2379" t="s">
        <v>1199</v>
      </c>
      <c r="L1457" s="1009" t="s">
        <v>37</v>
      </c>
      <c r="M1457" s="97"/>
      <c r="N1457" s="97"/>
      <c r="O1457" s="97"/>
      <c r="P1457" s="97"/>
      <c r="Q1457" s="97"/>
      <c r="R1457" s="97"/>
      <c r="S1457" s="97"/>
      <c r="T1457" s="97"/>
      <c r="U1457" s="97"/>
      <c r="V1457" s="2464"/>
      <c r="W1457"/>
    </row>
    <row r="1458" spans="1:23" ht="27" thickBot="1">
      <c r="A1458" s="710" t="str">
        <f t="shared" si="30"/>
        <v>mardi</v>
      </c>
      <c r="B1458" s="1312">
        <v>45559</v>
      </c>
      <c r="C1458" s="480">
        <f t="shared" si="29"/>
        <v>39</v>
      </c>
      <c r="D1458" s="2380" t="s">
        <v>671</v>
      </c>
      <c r="E1458" s="2380" t="s">
        <v>183</v>
      </c>
      <c r="F1458" s="2381" t="s">
        <v>1199</v>
      </c>
      <c r="G1458" s="970" t="s">
        <v>1199</v>
      </c>
      <c r="H1458" s="2324">
        <v>701</v>
      </c>
      <c r="I1458" s="2382" t="s">
        <v>2502</v>
      </c>
      <c r="J1458" s="957"/>
      <c r="K1458" s="1970" t="s">
        <v>84</v>
      </c>
      <c r="L1458" s="957" t="s">
        <v>37</v>
      </c>
      <c r="M1458" s="91"/>
      <c r="N1458" s="91"/>
      <c r="O1458" s="91"/>
      <c r="P1458" s="91"/>
      <c r="Q1458" s="91"/>
      <c r="R1458" s="91"/>
      <c r="S1458" s="91"/>
      <c r="T1458" s="91"/>
      <c r="U1458" s="91"/>
      <c r="V1458" s="2464"/>
      <c r="W1458"/>
    </row>
    <row r="1459" spans="1:23" ht="27" thickBot="1">
      <c r="A1459" s="118" t="str">
        <f t="shared" si="30"/>
        <v>mercredi</v>
      </c>
      <c r="B1459" s="1390">
        <v>45560</v>
      </c>
      <c r="C1459" s="480">
        <f t="shared" si="29"/>
        <v>39</v>
      </c>
      <c r="D1459" s="1390" t="s">
        <v>148</v>
      </c>
      <c r="E1459" s="1390" t="s">
        <v>5371</v>
      </c>
      <c r="F1459" s="2339" t="s">
        <v>1199</v>
      </c>
      <c r="G1459" s="1094" t="s">
        <v>1199</v>
      </c>
      <c r="H1459" s="1150">
        <v>701</v>
      </c>
      <c r="I1459" s="2383" t="s">
        <v>2798</v>
      </c>
      <c r="J1459" s="1001"/>
      <c r="K1459" s="1525"/>
      <c r="L1459" s="1001" t="s">
        <v>37</v>
      </c>
      <c r="M1459" s="33"/>
      <c r="N1459" s="33"/>
      <c r="O1459" s="33"/>
      <c r="P1459" s="33"/>
      <c r="Q1459" s="33"/>
      <c r="R1459" s="33"/>
      <c r="S1459" s="33"/>
      <c r="T1459" s="33"/>
      <c r="U1459" s="33" t="s">
        <v>5372</v>
      </c>
      <c r="V1459" s="2464"/>
      <c r="W1459"/>
    </row>
    <row r="1460" spans="1:23" ht="53.25" thickBot="1">
      <c r="A1460" s="76" t="str">
        <f t="shared" si="30"/>
        <v>mercredi</v>
      </c>
      <c r="B1460" s="1300">
        <v>45560</v>
      </c>
      <c r="C1460" s="480">
        <f t="shared" si="29"/>
        <v>39</v>
      </c>
      <c r="D1460" s="1300" t="s">
        <v>2702</v>
      </c>
      <c r="E1460" s="1300" t="s">
        <v>5032</v>
      </c>
      <c r="F1460" s="1289" t="s">
        <v>1199</v>
      </c>
      <c r="G1460" s="937" t="s">
        <v>1199</v>
      </c>
      <c r="H1460" s="1070">
        <v>702</v>
      </c>
      <c r="I1460" s="2373" t="s">
        <v>5373</v>
      </c>
      <c r="J1460" s="923"/>
      <c r="K1460" s="1520"/>
      <c r="L1460" s="923" t="s">
        <v>37</v>
      </c>
      <c r="M1460" s="71"/>
      <c r="N1460" s="71"/>
      <c r="O1460" s="71"/>
      <c r="P1460" s="71"/>
      <c r="Q1460" s="71"/>
      <c r="R1460" s="71"/>
      <c r="S1460" s="71"/>
      <c r="T1460" s="71"/>
      <c r="U1460" s="71" t="s">
        <v>5374</v>
      </c>
      <c r="V1460" s="2464"/>
      <c r="W1460"/>
    </row>
    <row r="1461" spans="1:23" ht="27" thickBot="1">
      <c r="A1461" s="162" t="s">
        <v>1323</v>
      </c>
      <c r="B1461" s="1301">
        <v>45560</v>
      </c>
      <c r="C1461" s="480">
        <f t="shared" si="29"/>
        <v>39</v>
      </c>
      <c r="D1461" s="1436" t="s">
        <v>169</v>
      </c>
      <c r="E1461" s="1436" t="s">
        <v>2729</v>
      </c>
      <c r="F1461" s="2384" t="s">
        <v>1199</v>
      </c>
      <c r="G1461" s="2385" t="s">
        <v>1199</v>
      </c>
      <c r="H1461" s="2162">
        <v>706</v>
      </c>
      <c r="I1461" s="2366">
        <v>60020</v>
      </c>
      <c r="J1461" s="1009"/>
      <c r="K1461" s="1443" t="s">
        <v>84</v>
      </c>
      <c r="L1461" s="1009" t="s">
        <v>37</v>
      </c>
      <c r="M1461" s="97"/>
      <c r="N1461" s="97"/>
      <c r="O1461" s="97"/>
      <c r="P1461" s="97"/>
      <c r="Q1461" s="97"/>
      <c r="R1461" s="97"/>
      <c r="S1461" s="97"/>
      <c r="T1461" s="97"/>
      <c r="U1461" s="97"/>
      <c r="V1461" s="2464"/>
      <c r="W1461"/>
    </row>
    <row r="1462" spans="1:23" ht="27" thickBot="1">
      <c r="A1462" s="2052" t="s">
        <v>1323</v>
      </c>
      <c r="B1462" s="1940">
        <v>45560</v>
      </c>
      <c r="C1462" s="480">
        <f t="shared" si="29"/>
        <v>39</v>
      </c>
      <c r="D1462" s="2386" t="s">
        <v>2729</v>
      </c>
      <c r="E1462" s="2386" t="s">
        <v>169</v>
      </c>
      <c r="F1462" s="2339" t="s">
        <v>1199</v>
      </c>
      <c r="G1462" s="2339" t="s">
        <v>1199</v>
      </c>
      <c r="H1462" s="2325">
        <v>706</v>
      </c>
      <c r="I1462" s="2387" t="s">
        <v>5375</v>
      </c>
      <c r="J1462" s="1593"/>
      <c r="K1462" s="1525"/>
      <c r="L1462" s="1593" t="s">
        <v>37</v>
      </c>
      <c r="M1462" s="1594"/>
      <c r="N1462" s="1594"/>
      <c r="O1462" s="1594"/>
      <c r="P1462" s="1594"/>
      <c r="Q1462" s="1594"/>
      <c r="R1462" s="1594"/>
      <c r="S1462" s="1594"/>
      <c r="T1462" s="1594"/>
      <c r="U1462" s="1594"/>
      <c r="V1462" s="2464"/>
      <c r="W1462"/>
    </row>
    <row r="1463" spans="1:23" ht="53.25" thickBot="1">
      <c r="A1463" s="1938" t="str">
        <f t="shared" ref="A1463:A1472" si="31">TEXT(B1463,"jjjj")</f>
        <v>jeudi</v>
      </c>
      <c r="B1463" s="1312">
        <v>45561</v>
      </c>
      <c r="C1463" s="480">
        <f t="shared" ref="C1463:C1472" si="32">_xlfn.ISOWEEKNUM(B1463)</f>
        <v>39</v>
      </c>
      <c r="D1463" s="1312" t="s">
        <v>840</v>
      </c>
      <c r="E1463" s="1312" t="s">
        <v>1698</v>
      </c>
      <c r="F1463" s="2381" t="s">
        <v>1199</v>
      </c>
      <c r="G1463" s="2381" t="s">
        <v>1199</v>
      </c>
      <c r="H1463" s="2324">
        <v>702</v>
      </c>
      <c r="I1463" s="2378" t="s">
        <v>5376</v>
      </c>
      <c r="J1463" s="957"/>
      <c r="K1463" s="1603"/>
      <c r="L1463" s="957" t="s">
        <v>37</v>
      </c>
      <c r="M1463" s="91"/>
      <c r="N1463" s="91"/>
      <c r="O1463" s="91"/>
      <c r="P1463" s="91"/>
      <c r="Q1463" s="91"/>
      <c r="R1463" s="91"/>
      <c r="S1463" s="91"/>
      <c r="T1463" s="91"/>
      <c r="U1463" s="116" t="s">
        <v>5377</v>
      </c>
      <c r="V1463" s="2464"/>
      <c r="W1463"/>
    </row>
    <row r="1464" spans="1:23" ht="27" thickBot="1">
      <c r="A1464" s="162" t="str">
        <f t="shared" si="31"/>
        <v>vendredi</v>
      </c>
      <c r="B1464" s="1301">
        <v>45562</v>
      </c>
      <c r="C1464" s="480">
        <f t="shared" si="32"/>
        <v>39</v>
      </c>
      <c r="D1464" s="1301" t="s">
        <v>586</v>
      </c>
      <c r="E1464" s="1301" t="s">
        <v>1693</v>
      </c>
      <c r="F1464" s="2161" t="s">
        <v>1199</v>
      </c>
      <c r="G1464" s="1048" t="s">
        <v>1199</v>
      </c>
      <c r="H1464" s="2162">
        <v>701</v>
      </c>
      <c r="I1464" s="2366" t="s">
        <v>1565</v>
      </c>
      <c r="J1464" s="1009"/>
      <c r="K1464" s="1511"/>
      <c r="L1464" s="1009" t="s">
        <v>37</v>
      </c>
      <c r="M1464" s="97"/>
      <c r="N1464" s="97"/>
      <c r="O1464" s="97"/>
      <c r="P1464" s="97"/>
      <c r="Q1464" s="97"/>
      <c r="R1464" s="97"/>
      <c r="S1464" s="97"/>
      <c r="T1464" s="97"/>
      <c r="U1464" s="97"/>
      <c r="V1464" s="2464"/>
      <c r="W1464"/>
    </row>
    <row r="1465" spans="1:23" ht="132" thickBot="1">
      <c r="A1465" s="162" t="str">
        <f t="shared" si="31"/>
        <v>vendredi</v>
      </c>
      <c r="B1465" s="1301">
        <v>45562</v>
      </c>
      <c r="C1465" s="480">
        <f t="shared" si="32"/>
        <v>39</v>
      </c>
      <c r="D1465" s="1301" t="s">
        <v>537</v>
      </c>
      <c r="E1465" s="1301" t="s">
        <v>267</v>
      </c>
      <c r="F1465" s="2161" t="s">
        <v>1764</v>
      </c>
      <c r="G1465" s="1048" t="s">
        <v>1764</v>
      </c>
      <c r="H1465" s="2162">
        <v>701</v>
      </c>
      <c r="I1465" s="2393" t="s">
        <v>5378</v>
      </c>
      <c r="J1465" s="1009"/>
      <c r="K1465" s="1520"/>
      <c r="L1465" s="1009"/>
      <c r="M1465" s="97" t="s">
        <v>37</v>
      </c>
      <c r="N1465" s="2463"/>
      <c r="O1465" s="2463"/>
      <c r="P1465" s="2463"/>
      <c r="Q1465" s="97"/>
      <c r="R1465" s="97"/>
      <c r="S1465" s="97"/>
      <c r="T1465" s="97"/>
      <c r="U1465" s="97" t="s">
        <v>5379</v>
      </c>
      <c r="V1465" s="2464"/>
      <c r="W1465"/>
    </row>
    <row r="1466" spans="1:23" ht="105.75" thickBot="1">
      <c r="A1466" s="162" t="str">
        <f t="shared" si="31"/>
        <v>vendredi</v>
      </c>
      <c r="B1466" s="1301">
        <v>45562</v>
      </c>
      <c r="C1466" s="480">
        <f t="shared" si="32"/>
        <v>39</v>
      </c>
      <c r="D1466" s="2389" t="s">
        <v>1325</v>
      </c>
      <c r="E1466" s="2389" t="s">
        <v>1693</v>
      </c>
      <c r="F1466" s="2161" t="s">
        <v>1764</v>
      </c>
      <c r="G1466" s="2161" t="s">
        <v>1764</v>
      </c>
      <c r="H1466" s="2162">
        <v>701</v>
      </c>
      <c r="I1466" s="2366" t="s">
        <v>5380</v>
      </c>
      <c r="J1466" s="1009"/>
      <c r="K1466" s="1443" t="s">
        <v>84</v>
      </c>
      <c r="L1466" s="1009"/>
      <c r="M1466" s="97" t="s">
        <v>37</v>
      </c>
      <c r="N1466" s="21" t="s">
        <v>71</v>
      </c>
      <c r="O1466" s="21" t="s">
        <v>720</v>
      </c>
      <c r="P1466" s="21" t="s">
        <v>4080</v>
      </c>
      <c r="Q1466" s="97"/>
      <c r="R1466" s="97"/>
      <c r="S1466" s="97"/>
      <c r="T1466" s="97"/>
      <c r="U1466" s="97" t="s">
        <v>5381</v>
      </c>
      <c r="V1466" s="2464"/>
      <c r="W1466"/>
    </row>
    <row r="1467" spans="1:23" ht="79.5" thickBot="1">
      <c r="A1467" s="162" t="str">
        <f t="shared" si="31"/>
        <v>vendredi</v>
      </c>
      <c r="B1467" s="1301">
        <v>45562</v>
      </c>
      <c r="C1467" s="480">
        <f t="shared" si="32"/>
        <v>39</v>
      </c>
      <c r="D1467" s="2389" t="s">
        <v>5382</v>
      </c>
      <c r="E1467" s="2389" t="s">
        <v>5383</v>
      </c>
      <c r="F1467" s="2161" t="s">
        <v>1764</v>
      </c>
      <c r="G1467" s="2161" t="s">
        <v>1764</v>
      </c>
      <c r="H1467" s="2162">
        <v>704</v>
      </c>
      <c r="I1467" s="2366" t="s">
        <v>5351</v>
      </c>
      <c r="J1467" s="1009"/>
      <c r="K1467" s="1443" t="s">
        <v>84</v>
      </c>
      <c r="L1467" s="1009"/>
      <c r="M1467" s="97" t="s">
        <v>37</v>
      </c>
      <c r="N1467" s="21" t="s">
        <v>71</v>
      </c>
      <c r="O1467" s="21" t="s">
        <v>720</v>
      </c>
      <c r="P1467" s="21" t="s">
        <v>4128</v>
      </c>
      <c r="Q1467" s="97"/>
      <c r="R1467" s="97"/>
      <c r="S1467" s="97"/>
      <c r="T1467" s="97"/>
      <c r="U1467" s="97" t="s">
        <v>5384</v>
      </c>
      <c r="V1467" s="2464"/>
      <c r="W1467"/>
    </row>
    <row r="1468" spans="1:23" ht="27" thickBot="1">
      <c r="A1468" s="162" t="str">
        <f t="shared" si="31"/>
        <v>vendredi</v>
      </c>
      <c r="B1468" s="1301">
        <v>45562</v>
      </c>
      <c r="C1468" s="480">
        <f t="shared" si="32"/>
        <v>39</v>
      </c>
      <c r="D1468" s="1301" t="s">
        <v>4671</v>
      </c>
      <c r="E1468" s="1301" t="s">
        <v>1698</v>
      </c>
      <c r="F1468" s="2161" t="s">
        <v>1764</v>
      </c>
      <c r="G1468" s="1048" t="s">
        <v>1764</v>
      </c>
      <c r="H1468" s="2162">
        <v>702</v>
      </c>
      <c r="I1468" s="2366" t="s">
        <v>2928</v>
      </c>
      <c r="J1468" s="1009"/>
      <c r="K1468" s="1520"/>
      <c r="L1468" s="1009" t="s">
        <v>37</v>
      </c>
      <c r="M1468" s="97"/>
      <c r="N1468" s="21"/>
      <c r="O1468" s="21"/>
      <c r="P1468" s="21"/>
      <c r="Q1468" s="97"/>
      <c r="R1468" s="97"/>
      <c r="S1468" s="97"/>
      <c r="T1468" s="97"/>
      <c r="U1468" s="97" t="s">
        <v>5385</v>
      </c>
      <c r="V1468" s="2464"/>
      <c r="W1468"/>
    </row>
    <row r="1469" spans="1:23" ht="105.75" thickBot="1">
      <c r="A1469" s="162" t="str">
        <f t="shared" si="31"/>
        <v>vendredi</v>
      </c>
      <c r="B1469" s="1301">
        <v>45562</v>
      </c>
      <c r="C1469" s="480">
        <f t="shared" si="32"/>
        <v>39</v>
      </c>
      <c r="D1469" s="2390" t="s">
        <v>80</v>
      </c>
      <c r="E1469" s="2390" t="s">
        <v>4651</v>
      </c>
      <c r="F1469" s="2344" t="s">
        <v>1199</v>
      </c>
      <c r="G1469" s="1200" t="s">
        <v>1199</v>
      </c>
      <c r="H1469" s="2162">
        <v>702</v>
      </c>
      <c r="I1469" s="2366" t="s">
        <v>5386</v>
      </c>
      <c r="J1469" s="1009"/>
      <c r="K1469" s="1520"/>
      <c r="L1469" s="1009"/>
      <c r="M1469" s="97" t="s">
        <v>37</v>
      </c>
      <c r="N1469" s="21" t="s">
        <v>109</v>
      </c>
      <c r="O1469" s="21" t="s">
        <v>300</v>
      </c>
      <c r="P1469" s="21" t="s">
        <v>4082</v>
      </c>
      <c r="Q1469" s="97"/>
      <c r="R1469" s="97"/>
      <c r="S1469" s="97"/>
      <c r="T1469" s="97"/>
      <c r="U1469" s="97" t="s">
        <v>5387</v>
      </c>
      <c r="V1469" s="2464"/>
      <c r="W1469"/>
    </row>
    <row r="1470" spans="1:23" ht="53.25" thickBot="1">
      <c r="A1470" s="162" t="str">
        <f t="shared" si="31"/>
        <v>vendredi</v>
      </c>
      <c r="B1470" s="1301">
        <v>45562</v>
      </c>
      <c r="C1470" s="480">
        <f t="shared" si="32"/>
        <v>39</v>
      </c>
      <c r="D1470" s="2390" t="s">
        <v>4651</v>
      </c>
      <c r="E1470" s="2390" t="s">
        <v>4028</v>
      </c>
      <c r="F1470" s="2391" t="s">
        <v>5388</v>
      </c>
      <c r="G1470" s="2392"/>
      <c r="H1470" s="2162">
        <v>702</v>
      </c>
      <c r="I1470" s="2366" t="s">
        <v>5386</v>
      </c>
      <c r="J1470" s="1009"/>
      <c r="K1470" s="1443" t="s">
        <v>5389</v>
      </c>
      <c r="L1470" s="1009"/>
      <c r="M1470" s="97" t="s">
        <v>30</v>
      </c>
      <c r="N1470" s="21" t="s">
        <v>122</v>
      </c>
      <c r="O1470" s="21" t="s">
        <v>123</v>
      </c>
      <c r="P1470" s="21" t="s">
        <v>4082</v>
      </c>
      <c r="Q1470" s="97"/>
      <c r="R1470" s="97"/>
      <c r="S1470" s="97"/>
      <c r="T1470" s="97"/>
      <c r="U1470" s="97" t="s">
        <v>5390</v>
      </c>
      <c r="V1470" s="2464"/>
      <c r="W1470"/>
    </row>
    <row r="1471" spans="1:23" ht="27" thickBot="1">
      <c r="A1471" s="162" t="str">
        <f t="shared" si="31"/>
        <v>vendredi</v>
      </c>
      <c r="B1471" s="1301">
        <v>45562</v>
      </c>
      <c r="C1471" s="480">
        <f t="shared" si="32"/>
        <v>39</v>
      </c>
      <c r="D1471" s="1301" t="s">
        <v>586</v>
      </c>
      <c r="E1471" s="1301" t="s">
        <v>258</v>
      </c>
      <c r="F1471" s="2161" t="s">
        <v>1199</v>
      </c>
      <c r="G1471" s="1048" t="s">
        <v>1199</v>
      </c>
      <c r="H1471" s="2162">
        <v>701</v>
      </c>
      <c r="I1471" s="2366" t="s">
        <v>260</v>
      </c>
      <c r="J1471" s="1009"/>
      <c r="K1471" s="1520"/>
      <c r="L1471" s="1009" t="s">
        <v>37</v>
      </c>
      <c r="M1471" s="97"/>
      <c r="N1471" s="97"/>
      <c r="O1471" s="97"/>
      <c r="P1471" s="97"/>
      <c r="Q1471" s="97"/>
      <c r="R1471" s="97"/>
      <c r="S1471" s="97"/>
      <c r="T1471" s="97"/>
      <c r="U1471" s="97"/>
      <c r="V1471" s="2464"/>
      <c r="W1471"/>
    </row>
    <row r="1472" spans="1:23" ht="27" thickBot="1">
      <c r="A1472" s="2052" t="str">
        <f t="shared" si="31"/>
        <v>vendredi</v>
      </c>
      <c r="B1472" s="1940">
        <v>45562</v>
      </c>
      <c r="C1472" s="471">
        <f t="shared" si="32"/>
        <v>39</v>
      </c>
      <c r="D1472" s="1940" t="s">
        <v>1698</v>
      </c>
      <c r="E1472" s="2404" t="s">
        <v>1693</v>
      </c>
      <c r="F1472" s="2161" t="s">
        <v>1199</v>
      </c>
      <c r="G1472" s="1048" t="s">
        <v>1199</v>
      </c>
      <c r="H1472" s="2325">
        <v>701</v>
      </c>
      <c r="I1472" s="2387" t="s">
        <v>2502</v>
      </c>
      <c r="J1472" s="1009"/>
      <c r="K1472" s="1969" t="s">
        <v>84</v>
      </c>
      <c r="L1472" s="1593" t="s">
        <v>37</v>
      </c>
      <c r="M1472" s="1594"/>
      <c r="N1472" s="1594"/>
      <c r="O1472" s="1594"/>
      <c r="P1472" s="1594"/>
      <c r="Q1472" s="1594"/>
      <c r="R1472" s="1594"/>
      <c r="S1472" s="1594"/>
      <c r="T1472" s="1594"/>
      <c r="U1472" s="1594"/>
      <c r="V1472" s="2464"/>
      <c r="W1472"/>
    </row>
    <row r="1473" spans="1:23">
      <c r="A1473" s="1935" t="str">
        <f>TEXT(B1473,"jjjj")</f>
        <v>lundi</v>
      </c>
      <c r="B1473" s="1936">
        <v>45565</v>
      </c>
      <c r="C1473" s="465">
        <f t="shared" ref="C1473:C1502" si="33">_xlfn.ISOWEEKNUM(B1473)</f>
        <v>40</v>
      </c>
      <c r="D1473" s="2394" t="s">
        <v>499</v>
      </c>
      <c r="E1473" s="2405" t="s">
        <v>2328</v>
      </c>
      <c r="F1473" s="2280" t="s">
        <v>1199</v>
      </c>
      <c r="G1473" s="1318" t="s">
        <v>1199</v>
      </c>
      <c r="H1473" s="2249">
        <v>702</v>
      </c>
      <c r="I1473" s="2406">
        <v>1838</v>
      </c>
      <c r="J1473" s="2283"/>
      <c r="K1473" s="2255" t="s">
        <v>1481</v>
      </c>
      <c r="L1473" s="918" t="s">
        <v>37</v>
      </c>
      <c r="M1473" s="64"/>
      <c r="N1473" s="64"/>
      <c r="O1473" s="64"/>
      <c r="P1473" s="64"/>
      <c r="Q1473" s="64"/>
      <c r="R1473" s="64"/>
      <c r="S1473" s="64"/>
      <c r="T1473" s="64"/>
      <c r="U1473" s="1515"/>
      <c r="V1473" s="2464"/>
      <c r="W1473"/>
    </row>
    <row r="1474" spans="1:23">
      <c r="A1474" s="1941" t="str">
        <f>TEXT(B1474,"jjjj")</f>
        <v>lundi</v>
      </c>
      <c r="B1474" s="1300">
        <v>45565</v>
      </c>
      <c r="C1474" s="468">
        <f t="shared" si="33"/>
        <v>40</v>
      </c>
      <c r="D1474" s="1300" t="s">
        <v>1693</v>
      </c>
      <c r="E1474" s="1328" t="s">
        <v>339</v>
      </c>
      <c r="F1474" s="2402" t="s">
        <v>1199</v>
      </c>
      <c r="G1474" s="2400" t="s">
        <v>1199</v>
      </c>
      <c r="H1474" s="2274">
        <v>701</v>
      </c>
      <c r="I1474" s="2407">
        <v>60093</v>
      </c>
      <c r="J1474" s="2403"/>
      <c r="K1474" s="2409"/>
      <c r="L1474" s="923" t="s">
        <v>37</v>
      </c>
      <c r="M1474" s="71"/>
      <c r="N1474" s="71"/>
      <c r="O1474" s="71"/>
      <c r="P1474" s="71"/>
      <c r="Q1474" s="71"/>
      <c r="R1474" s="71"/>
      <c r="S1474" s="71"/>
      <c r="T1474" s="71"/>
      <c r="U1474" s="93" t="s">
        <v>5391</v>
      </c>
      <c r="V1474" s="2464"/>
      <c r="W1474"/>
    </row>
    <row r="1475" spans="1:23" ht="52.5">
      <c r="A1475" s="1941" t="str">
        <f>TEXT(B1475,"jjjj")</f>
        <v>lundi</v>
      </c>
      <c r="B1475" s="1300">
        <v>45565</v>
      </c>
      <c r="C1475" s="468">
        <f t="shared" si="33"/>
        <v>40</v>
      </c>
      <c r="D1475" s="1300" t="s">
        <v>5392</v>
      </c>
      <c r="E1475" s="1328" t="s">
        <v>850</v>
      </c>
      <c r="F1475" s="2402" t="s">
        <v>1768</v>
      </c>
      <c r="G1475" s="2400" t="s">
        <v>1768</v>
      </c>
      <c r="H1475" s="2274">
        <v>706</v>
      </c>
      <c r="I1475" s="2407" t="s">
        <v>5393</v>
      </c>
      <c r="J1475" s="2403"/>
      <c r="K1475" s="2409"/>
      <c r="L1475" s="923"/>
      <c r="M1475" s="71" t="s">
        <v>37</v>
      </c>
      <c r="N1475" s="20" t="s">
        <v>0</v>
      </c>
      <c r="O1475" s="20" t="s">
        <v>187</v>
      </c>
      <c r="P1475" s="20" t="s">
        <v>4102</v>
      </c>
      <c r="Q1475" s="71"/>
      <c r="R1475" s="71"/>
      <c r="S1475" s="71"/>
      <c r="T1475" s="71"/>
      <c r="U1475" s="93" t="s">
        <v>5394</v>
      </c>
      <c r="V1475" s="2464"/>
      <c r="W1475"/>
    </row>
    <row r="1476" spans="1:23">
      <c r="A1476" s="1941" t="str">
        <f>TEXT(B1476,"jjjj")</f>
        <v>lundi</v>
      </c>
      <c r="B1476" s="1300">
        <v>45565</v>
      </c>
      <c r="C1476" s="468">
        <f t="shared" si="33"/>
        <v>40</v>
      </c>
      <c r="D1476" s="1476" t="s">
        <v>879</v>
      </c>
      <c r="E1476" s="1506" t="s">
        <v>5395</v>
      </c>
      <c r="F1476" s="1460" t="s">
        <v>1199</v>
      </c>
      <c r="G1476" s="2401" t="s">
        <v>1199</v>
      </c>
      <c r="H1476" s="2274">
        <v>702</v>
      </c>
      <c r="I1476" s="2407" t="s">
        <v>2920</v>
      </c>
      <c r="J1476" s="2403"/>
      <c r="K1476" s="2257" t="s">
        <v>1481</v>
      </c>
      <c r="L1476" s="923" t="s">
        <v>37</v>
      </c>
      <c r="M1476" s="71"/>
      <c r="N1476" s="71"/>
      <c r="O1476" s="71"/>
      <c r="P1476" s="71"/>
      <c r="Q1476" s="71"/>
      <c r="R1476" s="71"/>
      <c r="S1476" s="71"/>
      <c r="T1476" s="71"/>
      <c r="U1476" s="93"/>
      <c r="V1476" s="2464"/>
      <c r="W1476"/>
    </row>
    <row r="1477" spans="1:23" ht="27" thickBot="1">
      <c r="A1477" s="1937" t="s">
        <v>1280</v>
      </c>
      <c r="B1477" s="1390">
        <v>45565</v>
      </c>
      <c r="C1477" s="471">
        <f t="shared" si="33"/>
        <v>40</v>
      </c>
      <c r="D1477" s="2422" t="s">
        <v>5396</v>
      </c>
      <c r="E1477" s="2423" t="s">
        <v>4135</v>
      </c>
      <c r="F1477" s="2268" t="s">
        <v>1206</v>
      </c>
      <c r="G1477" s="1317" t="s">
        <v>1206</v>
      </c>
      <c r="H1477" s="2258">
        <v>702</v>
      </c>
      <c r="I1477" s="2424" t="s">
        <v>922</v>
      </c>
      <c r="J1477" s="2245"/>
      <c r="K1477" s="2125" t="s">
        <v>1481</v>
      </c>
      <c r="L1477" s="1001" t="s">
        <v>37</v>
      </c>
      <c r="M1477" s="33"/>
      <c r="N1477" s="33"/>
      <c r="O1477" s="33"/>
      <c r="P1477" s="33"/>
      <c r="Q1477" s="33"/>
      <c r="R1477" s="33"/>
      <c r="S1477" s="33"/>
      <c r="T1477" s="33"/>
      <c r="U1477" s="1429"/>
      <c r="V1477" s="2464"/>
      <c r="W1477"/>
    </row>
    <row r="1478" spans="1:23">
      <c r="A1478" s="1935" t="str">
        <f t="shared" ref="A1478:A1518" si="34">TEXT(B1478,"jjjj")</f>
        <v>mardi</v>
      </c>
      <c r="B1478" s="1936">
        <v>45566</v>
      </c>
      <c r="C1478" s="465">
        <f t="shared" si="33"/>
        <v>40</v>
      </c>
      <c r="D1478" s="2395" t="s">
        <v>5397</v>
      </c>
      <c r="E1478" s="2425" t="s">
        <v>4965</v>
      </c>
      <c r="F1478" s="2410" t="s">
        <v>1199</v>
      </c>
      <c r="G1478" s="2416" t="s">
        <v>1199</v>
      </c>
      <c r="H1478" s="2249">
        <v>702</v>
      </c>
      <c r="I1478" s="2406" t="s">
        <v>2920</v>
      </c>
      <c r="J1478" s="2244"/>
      <c r="K1478" s="2255" t="s">
        <v>1481</v>
      </c>
      <c r="L1478" s="918" t="s">
        <v>37</v>
      </c>
      <c r="M1478" s="64"/>
      <c r="N1478" s="64"/>
      <c r="O1478" s="64"/>
      <c r="P1478" s="64"/>
      <c r="Q1478" s="64"/>
      <c r="R1478" s="64"/>
      <c r="S1478" s="64"/>
      <c r="T1478" s="64"/>
      <c r="U1478" s="1515"/>
      <c r="V1478" s="2464"/>
      <c r="W1478"/>
    </row>
    <row r="1479" spans="1:23">
      <c r="A1479" s="1942"/>
      <c r="B1479" s="1301"/>
      <c r="C1479" s="179"/>
      <c r="D1479" s="1436"/>
      <c r="E1479" s="1491"/>
      <c r="F1479" s="2410"/>
      <c r="G1479" s="2416"/>
      <c r="H1479" s="2251"/>
      <c r="I1479" s="2465"/>
      <c r="J1479" s="2244"/>
      <c r="K1479" s="2466"/>
      <c r="L1479" s="1009"/>
      <c r="M1479" s="97"/>
      <c r="N1479" s="2464"/>
      <c r="O1479" s="2464"/>
      <c r="P1479" s="2464"/>
      <c r="Q1479" s="97"/>
      <c r="R1479" s="97"/>
      <c r="S1479" s="97"/>
      <c r="T1479" s="97"/>
      <c r="U1479" s="98"/>
      <c r="V1479" s="2464"/>
      <c r="W1479"/>
    </row>
    <row r="1480" spans="1:23" ht="52.5">
      <c r="A1480" s="1941" t="str">
        <f t="shared" si="34"/>
        <v>mardi</v>
      </c>
      <c r="B1480" s="1300">
        <v>45566</v>
      </c>
      <c r="C1480" s="468">
        <f t="shared" si="33"/>
        <v>40</v>
      </c>
      <c r="D1480" s="1300" t="s">
        <v>68</v>
      </c>
      <c r="E1480" s="1328" t="s">
        <v>5398</v>
      </c>
      <c r="F1480" s="2411" t="s">
        <v>1768</v>
      </c>
      <c r="G1480" s="2417" t="s">
        <v>1768</v>
      </c>
      <c r="H1480" s="2274">
        <v>706</v>
      </c>
      <c r="I1480" s="2407" t="s">
        <v>5399</v>
      </c>
      <c r="J1480" s="2403"/>
      <c r="K1480" s="2409"/>
      <c r="L1480" s="923"/>
      <c r="M1480" s="71" t="s">
        <v>37</v>
      </c>
      <c r="N1480" s="20" t="s">
        <v>0</v>
      </c>
      <c r="O1480" s="20" t="s">
        <v>187</v>
      </c>
      <c r="P1480" s="20" t="s">
        <v>4102</v>
      </c>
      <c r="Q1480" s="71"/>
      <c r="R1480" s="71"/>
      <c r="S1480" s="71"/>
      <c r="T1480" s="71"/>
      <c r="U1480" s="93" t="s">
        <v>5400</v>
      </c>
      <c r="V1480" s="2464"/>
      <c r="W1480"/>
    </row>
    <row r="1481" spans="1:23">
      <c r="A1481" s="1941" t="str">
        <f t="shared" si="34"/>
        <v>mardi</v>
      </c>
      <c r="B1481" s="1300">
        <v>45566</v>
      </c>
      <c r="C1481" s="468">
        <f t="shared" si="33"/>
        <v>40</v>
      </c>
      <c r="D1481" s="1300" t="s">
        <v>1145</v>
      </c>
      <c r="E1481" s="1328" t="s">
        <v>5383</v>
      </c>
      <c r="F1481" s="2412" t="s">
        <v>1199</v>
      </c>
      <c r="G1481" s="2418" t="s">
        <v>1199</v>
      </c>
      <c r="H1481" s="2274">
        <v>704</v>
      </c>
      <c r="I1481" s="2407" t="s">
        <v>5351</v>
      </c>
      <c r="J1481" s="2403"/>
      <c r="K1481" s="2257" t="s">
        <v>84</v>
      </c>
      <c r="L1481" s="923"/>
      <c r="M1481" s="71" t="s">
        <v>37</v>
      </c>
      <c r="N1481" s="20" t="s">
        <v>0</v>
      </c>
      <c r="O1481" s="20" t="s">
        <v>31</v>
      </c>
      <c r="P1481" s="20" t="s">
        <v>4128</v>
      </c>
      <c r="Q1481" s="673">
        <v>1</v>
      </c>
      <c r="R1481" s="71"/>
      <c r="S1481" s="71"/>
      <c r="T1481" s="71"/>
      <c r="U1481" s="93" t="s">
        <v>5401</v>
      </c>
      <c r="V1481" s="2464"/>
      <c r="W1481"/>
    </row>
    <row r="1482" spans="1:23">
      <c r="A1482" s="1941" t="str">
        <f t="shared" si="34"/>
        <v>mardi</v>
      </c>
      <c r="B1482" s="1300">
        <v>45566</v>
      </c>
      <c r="C1482" s="468">
        <f t="shared" si="33"/>
        <v>40</v>
      </c>
      <c r="D1482" s="1300" t="s">
        <v>5402</v>
      </c>
      <c r="E1482" s="1328" t="s">
        <v>5403</v>
      </c>
      <c r="F1482" s="2413" t="s">
        <v>5404</v>
      </c>
      <c r="G1482" s="2419" t="s">
        <v>5404</v>
      </c>
      <c r="H1482" s="2274">
        <v>701</v>
      </c>
      <c r="I1482" s="2407" t="s">
        <v>5405</v>
      </c>
      <c r="J1482" s="2403"/>
      <c r="K1482" s="2409"/>
      <c r="L1482" s="923" t="s">
        <v>37</v>
      </c>
      <c r="M1482" s="71"/>
      <c r="N1482" s="71"/>
      <c r="O1482" s="71"/>
      <c r="P1482" s="71"/>
      <c r="Q1482" s="71"/>
      <c r="R1482" s="71"/>
      <c r="S1482" s="71"/>
      <c r="T1482" s="71"/>
      <c r="U1482" s="93"/>
      <c r="V1482" s="2464"/>
      <c r="W1482"/>
    </row>
    <row r="1483" spans="1:23">
      <c r="A1483" s="1941"/>
      <c r="B1483" s="1300"/>
      <c r="C1483" s="468"/>
      <c r="D1483" s="1300"/>
      <c r="E1483" s="1328"/>
      <c r="F1483" s="2413"/>
      <c r="G1483" s="2419"/>
      <c r="H1483" s="2274"/>
      <c r="I1483" s="2407"/>
      <c r="J1483" s="2403"/>
      <c r="K1483" s="2409"/>
      <c r="L1483" s="923"/>
      <c r="M1483" s="71"/>
      <c r="N1483" s="2464"/>
      <c r="O1483" s="2464"/>
      <c r="P1483" s="2464"/>
      <c r="Q1483" s="71"/>
      <c r="R1483" s="71"/>
      <c r="S1483" s="71"/>
      <c r="T1483" s="71"/>
      <c r="U1483" s="93"/>
      <c r="V1483" s="2464"/>
      <c r="W1483"/>
    </row>
    <row r="1484" spans="1:23" ht="78.75">
      <c r="A1484" s="1941" t="str">
        <f t="shared" si="34"/>
        <v>mardi</v>
      </c>
      <c r="B1484" s="1300">
        <v>45566</v>
      </c>
      <c r="C1484" s="468">
        <f t="shared" si="33"/>
        <v>40</v>
      </c>
      <c r="D1484" s="1297" t="s">
        <v>169</v>
      </c>
      <c r="E1484" s="1385" t="s">
        <v>80</v>
      </c>
      <c r="F1484" s="2414" t="s">
        <v>1199</v>
      </c>
      <c r="G1484" s="2420" t="s">
        <v>1199</v>
      </c>
      <c r="H1484" s="2274">
        <v>701</v>
      </c>
      <c r="I1484" s="2407" t="s">
        <v>5406</v>
      </c>
      <c r="J1484" s="2403"/>
      <c r="K1484" s="2409"/>
      <c r="L1484" s="923"/>
      <c r="M1484" s="71" t="s">
        <v>37</v>
      </c>
      <c r="N1484" s="20" t="s">
        <v>122</v>
      </c>
      <c r="O1484" s="20" t="s">
        <v>174</v>
      </c>
      <c r="P1484" s="20" t="s">
        <v>4080</v>
      </c>
      <c r="Q1484" s="71"/>
      <c r="R1484" s="71"/>
      <c r="S1484" s="71"/>
      <c r="T1484" s="71"/>
      <c r="U1484" s="93" t="s">
        <v>5407</v>
      </c>
      <c r="V1484" s="2464"/>
      <c r="W1484"/>
    </row>
    <row r="1485" spans="1:23">
      <c r="A1485" s="1941" t="str">
        <f t="shared" si="34"/>
        <v>mardi</v>
      </c>
      <c r="B1485" s="1300">
        <v>45566</v>
      </c>
      <c r="C1485" s="468">
        <f t="shared" si="33"/>
        <v>40</v>
      </c>
      <c r="D1485" s="1297" t="s">
        <v>5408</v>
      </c>
      <c r="E1485" s="1385" t="s">
        <v>5409</v>
      </c>
      <c r="F1485" s="29" t="s">
        <v>1202</v>
      </c>
      <c r="G1485" s="2388" t="s">
        <v>1202</v>
      </c>
      <c r="H1485" s="2274">
        <v>701</v>
      </c>
      <c r="I1485" s="2407" t="s">
        <v>1627</v>
      </c>
      <c r="J1485" s="2403"/>
      <c r="K1485" s="2409"/>
      <c r="L1485" s="923" t="s">
        <v>37</v>
      </c>
      <c r="M1485" s="71"/>
      <c r="N1485" s="71"/>
      <c r="O1485" s="71"/>
      <c r="P1485" s="71"/>
      <c r="Q1485" s="71"/>
      <c r="R1485" s="71"/>
      <c r="S1485" s="71"/>
      <c r="T1485" s="71"/>
      <c r="U1485" s="93"/>
      <c r="V1485" s="2464"/>
      <c r="W1485"/>
    </row>
    <row r="1486" spans="1:23">
      <c r="A1486" s="1941" t="str">
        <f t="shared" si="34"/>
        <v>mardi</v>
      </c>
      <c r="B1486" s="1300">
        <v>45566</v>
      </c>
      <c r="C1486" s="468">
        <f t="shared" si="33"/>
        <v>40</v>
      </c>
      <c r="D1486" s="1300" t="s">
        <v>840</v>
      </c>
      <c r="E1486" s="1328" t="s">
        <v>3971</v>
      </c>
      <c r="F1486" s="1322" t="s">
        <v>1199</v>
      </c>
      <c r="G1486" s="2400" t="s">
        <v>1199</v>
      </c>
      <c r="H1486" s="2274">
        <v>701</v>
      </c>
      <c r="I1486" s="2407" t="s">
        <v>5410</v>
      </c>
      <c r="J1486" s="2403"/>
      <c r="K1486" s="2409"/>
      <c r="L1486" s="923" t="s">
        <v>37</v>
      </c>
      <c r="M1486" s="71"/>
      <c r="N1486" s="71"/>
      <c r="O1486" s="71"/>
      <c r="P1486" s="71"/>
      <c r="Q1486" s="71"/>
      <c r="R1486" s="71"/>
      <c r="S1486" s="71"/>
      <c r="T1486" s="71"/>
      <c r="U1486" s="93"/>
      <c r="V1486" s="2464"/>
      <c r="W1486"/>
    </row>
    <row r="1487" spans="1:23">
      <c r="A1487" s="1941" t="str">
        <f t="shared" si="34"/>
        <v>mardi</v>
      </c>
      <c r="B1487" s="1300">
        <v>45566</v>
      </c>
      <c r="C1487" s="468">
        <f t="shared" si="33"/>
        <v>40</v>
      </c>
      <c r="D1487" s="2261" t="s">
        <v>4028</v>
      </c>
      <c r="E1487" s="2270" t="s">
        <v>5411</v>
      </c>
      <c r="F1487" s="1322" t="s">
        <v>1199</v>
      </c>
      <c r="G1487" s="1315" t="s">
        <v>1199</v>
      </c>
      <c r="H1487" s="2274"/>
      <c r="I1487" s="2407" t="s">
        <v>5412</v>
      </c>
      <c r="J1487" s="2403"/>
      <c r="K1487" s="2257" t="s">
        <v>84</v>
      </c>
      <c r="L1487" s="923" t="s">
        <v>37</v>
      </c>
      <c r="M1487" s="71"/>
      <c r="N1487" s="71"/>
      <c r="O1487" s="71"/>
      <c r="P1487" s="71"/>
      <c r="Q1487" s="71"/>
      <c r="R1487" s="71"/>
      <c r="S1487" s="71"/>
      <c r="T1487" s="71"/>
      <c r="U1487" s="93"/>
      <c r="V1487" s="2464"/>
      <c r="W1487"/>
    </row>
    <row r="1488" spans="1:23" ht="27" thickBot="1">
      <c r="A1488" s="1937" t="str">
        <f t="shared" si="34"/>
        <v>mardi</v>
      </c>
      <c r="B1488" s="1390">
        <v>45566</v>
      </c>
      <c r="C1488" s="471">
        <f t="shared" si="33"/>
        <v>40</v>
      </c>
      <c r="D1488" s="1390" t="s">
        <v>1693</v>
      </c>
      <c r="E1488" s="1391" t="s">
        <v>148</v>
      </c>
      <c r="F1488" s="2415" t="s">
        <v>1199</v>
      </c>
      <c r="G1488" s="2421" t="s">
        <v>1199</v>
      </c>
      <c r="H1488" s="2258">
        <v>701</v>
      </c>
      <c r="I1488" s="2430" t="s">
        <v>1485</v>
      </c>
      <c r="J1488" s="2353"/>
      <c r="K1488" s="2431"/>
      <c r="L1488" s="1001" t="s">
        <v>37</v>
      </c>
      <c r="M1488" s="33"/>
      <c r="N1488" s="33"/>
      <c r="O1488" s="33"/>
      <c r="P1488" s="33"/>
      <c r="Q1488" s="33"/>
      <c r="R1488" s="33"/>
      <c r="S1488" s="33"/>
      <c r="T1488" s="33"/>
      <c r="U1488" s="1429"/>
      <c r="V1488" s="2464"/>
      <c r="W1488"/>
    </row>
    <row r="1489" spans="1:23">
      <c r="A1489" s="1935" t="str">
        <f t="shared" si="34"/>
        <v>mercredi</v>
      </c>
      <c r="B1489" s="1936">
        <v>45567</v>
      </c>
      <c r="C1489" s="465">
        <f t="shared" si="33"/>
        <v>40</v>
      </c>
      <c r="D1489" s="2395" t="s">
        <v>5413</v>
      </c>
      <c r="E1489" s="2425" t="s">
        <v>5414</v>
      </c>
      <c r="F1489" s="2427" t="s">
        <v>1199</v>
      </c>
      <c r="G1489" s="2426" t="s">
        <v>1199</v>
      </c>
      <c r="H1489" s="2249">
        <v>702</v>
      </c>
      <c r="I1489" s="2406" t="s">
        <v>5415</v>
      </c>
      <c r="J1489" s="2283"/>
      <c r="K1489" s="2255" t="s">
        <v>1481</v>
      </c>
      <c r="L1489" s="918" t="s">
        <v>37</v>
      </c>
      <c r="M1489" s="64"/>
      <c r="N1489" s="64"/>
      <c r="O1489" s="64"/>
      <c r="P1489" s="64"/>
      <c r="Q1489" s="64"/>
      <c r="R1489" s="64"/>
      <c r="S1489" s="64"/>
      <c r="T1489" s="64"/>
      <c r="U1489" s="1515"/>
      <c r="V1489" s="2464"/>
      <c r="W1489"/>
    </row>
    <row r="1490" spans="1:23" ht="52.5">
      <c r="A1490" s="1941" t="str">
        <f t="shared" si="34"/>
        <v>mercredi</v>
      </c>
      <c r="B1490" s="1300">
        <v>45567</v>
      </c>
      <c r="C1490" s="468">
        <f t="shared" si="33"/>
        <v>40</v>
      </c>
      <c r="D1490" s="1444" t="s">
        <v>671</v>
      </c>
      <c r="E1490" s="1464" t="s">
        <v>169</v>
      </c>
      <c r="F1490" s="1322" t="s">
        <v>1768</v>
      </c>
      <c r="G1490" s="1315" t="s">
        <v>1768</v>
      </c>
      <c r="H1490" s="2274">
        <v>702</v>
      </c>
      <c r="I1490" s="2407" t="s">
        <v>5416</v>
      </c>
      <c r="J1490" s="2403"/>
      <c r="K1490" s="2409"/>
      <c r="L1490" s="923"/>
      <c r="M1490" s="71" t="s">
        <v>37</v>
      </c>
      <c r="N1490" s="20" t="s">
        <v>122</v>
      </c>
      <c r="O1490" s="21" t="s">
        <v>123</v>
      </c>
      <c r="P1490" s="20" t="s">
        <v>4082</v>
      </c>
      <c r="Q1490" s="632">
        <v>2</v>
      </c>
      <c r="R1490" s="71"/>
      <c r="S1490" s="71"/>
      <c r="T1490" s="71"/>
      <c r="U1490" s="93" t="s">
        <v>5417</v>
      </c>
      <c r="V1490" s="2464"/>
      <c r="W1490"/>
    </row>
    <row r="1491" spans="1:23">
      <c r="A1491" s="1941" t="str">
        <f t="shared" si="34"/>
        <v>mercredi</v>
      </c>
      <c r="B1491" s="1300">
        <v>45567</v>
      </c>
      <c r="C1491" s="468">
        <f t="shared" si="33"/>
        <v>40</v>
      </c>
      <c r="D1491" s="1300" t="s">
        <v>258</v>
      </c>
      <c r="E1491" s="1328" t="s">
        <v>80</v>
      </c>
      <c r="F1491" s="1322" t="s">
        <v>1206</v>
      </c>
      <c r="G1491" s="1315" t="s">
        <v>1206</v>
      </c>
      <c r="H1491" s="2274">
        <v>701</v>
      </c>
      <c r="I1491" s="2432" t="s">
        <v>151</v>
      </c>
      <c r="J1491" s="2403"/>
      <c r="K1491" s="2409"/>
      <c r="L1491" s="923" t="s">
        <v>37</v>
      </c>
      <c r="M1491" s="71"/>
      <c r="N1491" s="71"/>
      <c r="O1491" s="71"/>
      <c r="P1491" s="71"/>
      <c r="Q1491" s="71"/>
      <c r="R1491" s="71"/>
      <c r="S1491" s="71"/>
      <c r="T1491" s="71"/>
      <c r="U1491" s="93" t="s">
        <v>5418</v>
      </c>
      <c r="V1491" s="2464"/>
      <c r="W1491"/>
    </row>
    <row r="1492" spans="1:23">
      <c r="A1492" s="1941" t="str">
        <f t="shared" si="34"/>
        <v>mercredi</v>
      </c>
      <c r="B1492" s="1300">
        <v>45567</v>
      </c>
      <c r="C1492" s="468">
        <f t="shared" si="33"/>
        <v>40</v>
      </c>
      <c r="D1492" s="2261" t="s">
        <v>5419</v>
      </c>
      <c r="E1492" s="2270" t="s">
        <v>4462</v>
      </c>
      <c r="F1492" s="2414" t="s">
        <v>1199</v>
      </c>
      <c r="G1492" s="2420" t="s">
        <v>1199</v>
      </c>
      <c r="H1492" s="2274">
        <v>702</v>
      </c>
      <c r="I1492" s="2407">
        <v>1838</v>
      </c>
      <c r="J1492" s="2403"/>
      <c r="K1492" s="2257" t="s">
        <v>114</v>
      </c>
      <c r="L1492" s="923" t="s">
        <v>37</v>
      </c>
      <c r="M1492" s="71"/>
      <c r="N1492" s="71"/>
      <c r="O1492" s="71"/>
      <c r="P1492" s="71"/>
      <c r="Q1492" s="71"/>
      <c r="R1492" s="71"/>
      <c r="S1492" s="71"/>
      <c r="T1492" s="71"/>
      <c r="U1492" s="93"/>
      <c r="V1492" s="2464"/>
      <c r="W1492"/>
    </row>
    <row r="1493" spans="1:23" ht="52.5">
      <c r="A1493" s="1941" t="str">
        <f t="shared" si="34"/>
        <v>mercredi</v>
      </c>
      <c r="B1493" s="1300">
        <v>45567</v>
      </c>
      <c r="C1493" s="468">
        <f t="shared" si="33"/>
        <v>40</v>
      </c>
      <c r="D1493" s="1356" t="s">
        <v>5420</v>
      </c>
      <c r="E1493" s="1360" t="s">
        <v>5421</v>
      </c>
      <c r="F1493" s="2428" t="s">
        <v>1199</v>
      </c>
      <c r="G1493" s="2418" t="s">
        <v>1199</v>
      </c>
      <c r="H1493" s="2274">
        <v>702</v>
      </c>
      <c r="I1493" s="2433" t="s">
        <v>5422</v>
      </c>
      <c r="J1493" s="2403"/>
      <c r="K1493" s="2257" t="s">
        <v>4529</v>
      </c>
      <c r="L1493" s="923" t="s">
        <v>37</v>
      </c>
      <c r="M1493" s="71"/>
      <c r="N1493" s="71"/>
      <c r="O1493" s="71"/>
      <c r="P1493" s="71"/>
      <c r="Q1493" s="71"/>
      <c r="R1493" s="71"/>
      <c r="S1493" s="71" t="s">
        <v>37</v>
      </c>
      <c r="T1493" s="71"/>
      <c r="U1493" s="93"/>
      <c r="V1493" s="2464"/>
      <c r="W1493"/>
    </row>
    <row r="1494" spans="1:23">
      <c r="A1494" s="1941" t="str">
        <f t="shared" si="34"/>
        <v>mercredi</v>
      </c>
      <c r="B1494" s="1300">
        <v>45567</v>
      </c>
      <c r="C1494" s="468">
        <f t="shared" si="33"/>
        <v>40</v>
      </c>
      <c r="D1494" s="1299" t="s">
        <v>4898</v>
      </c>
      <c r="E1494" s="1387" t="s">
        <v>4639</v>
      </c>
      <c r="F1494" s="1322" t="s">
        <v>1206</v>
      </c>
      <c r="G1494" s="1315" t="s">
        <v>1206</v>
      </c>
      <c r="H1494" s="2274">
        <v>706</v>
      </c>
      <c r="I1494" s="2432" t="s">
        <v>5423</v>
      </c>
      <c r="J1494" s="2403"/>
      <c r="K1494" s="2257" t="s">
        <v>627</v>
      </c>
      <c r="L1494" s="923"/>
      <c r="M1494" s="71"/>
      <c r="N1494" s="71"/>
      <c r="O1494" s="71"/>
      <c r="P1494" s="71"/>
      <c r="Q1494" s="71"/>
      <c r="R1494" s="71"/>
      <c r="S1494" s="71"/>
      <c r="T1494" s="71"/>
      <c r="U1494" s="93" t="s">
        <v>5424</v>
      </c>
      <c r="V1494" s="2464"/>
      <c r="W1494"/>
    </row>
    <row r="1495" spans="1:23" ht="27" thickBot="1">
      <c r="A1495" s="1937" t="str">
        <f t="shared" si="34"/>
        <v>mercredi</v>
      </c>
      <c r="B1495" s="1390">
        <v>45567</v>
      </c>
      <c r="C1495" s="471">
        <f t="shared" si="33"/>
        <v>40</v>
      </c>
      <c r="D1495" s="2441" t="s">
        <v>5425</v>
      </c>
      <c r="E1495" s="2442" t="s">
        <v>5426</v>
      </c>
      <c r="F1495" s="2429" t="s">
        <v>1199</v>
      </c>
      <c r="G1495" s="1470" t="s">
        <v>1199</v>
      </c>
      <c r="H1495" s="2258">
        <v>706</v>
      </c>
      <c r="I1495" s="2430" t="s">
        <v>743</v>
      </c>
      <c r="J1495" s="2245"/>
      <c r="K1495" s="2284"/>
      <c r="L1495" s="1001" t="s">
        <v>37</v>
      </c>
      <c r="M1495" s="33"/>
      <c r="N1495" s="33"/>
      <c r="O1495" s="33"/>
      <c r="P1495" s="33"/>
      <c r="Q1495" s="33"/>
      <c r="R1495" s="33"/>
      <c r="S1495" s="33" t="s">
        <v>37</v>
      </c>
      <c r="T1495" s="33"/>
      <c r="U1495" s="1429" t="s">
        <v>5427</v>
      </c>
      <c r="V1495" s="2464"/>
      <c r="W1495"/>
    </row>
    <row r="1496" spans="1:23">
      <c r="A1496" s="1935" t="str">
        <f t="shared" si="34"/>
        <v>jeudi</v>
      </c>
      <c r="B1496" s="1936">
        <v>45568</v>
      </c>
      <c r="C1496" s="465">
        <f t="shared" si="33"/>
        <v>40</v>
      </c>
      <c r="D1496" s="2444" t="s">
        <v>4639</v>
      </c>
      <c r="E1496" s="2445" t="s">
        <v>5428</v>
      </c>
      <c r="F1496" s="2438" t="s">
        <v>1199</v>
      </c>
      <c r="G1496" s="2434" t="s">
        <v>1199</v>
      </c>
      <c r="H1496" s="2249">
        <v>706</v>
      </c>
      <c r="I1496" s="2448" t="s">
        <v>5423</v>
      </c>
      <c r="J1496" s="2244"/>
      <c r="K1496" s="2255" t="s">
        <v>627</v>
      </c>
      <c r="L1496" s="918" t="s">
        <v>37</v>
      </c>
      <c r="M1496" s="64"/>
      <c r="N1496" s="64"/>
      <c r="O1496" s="64"/>
      <c r="P1496" s="64"/>
      <c r="Q1496" s="64"/>
      <c r="R1496" s="64"/>
      <c r="S1496" s="64"/>
      <c r="T1496" s="64"/>
      <c r="U1496" s="1515"/>
      <c r="V1496" s="2464"/>
      <c r="W1496"/>
    </row>
    <row r="1497" spans="1:23">
      <c r="A1497" s="1941" t="str">
        <f t="shared" si="34"/>
        <v>jeudi</v>
      </c>
      <c r="B1497" s="1300">
        <v>45568</v>
      </c>
      <c r="C1497" s="468">
        <f t="shared" si="33"/>
        <v>40</v>
      </c>
      <c r="D1497" s="2443" t="s">
        <v>169</v>
      </c>
      <c r="E1497" s="2446" t="s">
        <v>943</v>
      </c>
      <c r="F1497" s="2410"/>
      <c r="G1497" s="1574" t="s">
        <v>5429</v>
      </c>
      <c r="H1497" s="2274"/>
      <c r="I1497" s="2407" t="s">
        <v>5416</v>
      </c>
      <c r="J1497" s="2244"/>
      <c r="K1497" s="2449"/>
      <c r="L1497" s="923"/>
      <c r="M1497" s="71"/>
      <c r="N1497" s="71"/>
      <c r="O1497" s="71"/>
      <c r="P1497" s="71"/>
      <c r="Q1497" s="71"/>
      <c r="R1497" s="71"/>
      <c r="S1497" s="71"/>
      <c r="T1497" s="71"/>
      <c r="U1497" s="93"/>
      <c r="V1497" s="2464"/>
      <c r="W1497"/>
    </row>
    <row r="1498" spans="1:23">
      <c r="A1498" s="1941" t="str">
        <f t="shared" si="34"/>
        <v>jeudi</v>
      </c>
      <c r="B1498" s="1300">
        <v>45568</v>
      </c>
      <c r="C1498" s="468">
        <f t="shared" si="33"/>
        <v>40</v>
      </c>
      <c r="D1498" s="1356" t="s">
        <v>4246</v>
      </c>
      <c r="E1498" s="1360" t="s">
        <v>3037</v>
      </c>
      <c r="F1498" s="2428" t="s">
        <v>1206</v>
      </c>
      <c r="G1498" s="2418" t="s">
        <v>1199</v>
      </c>
      <c r="H1498" s="2274">
        <v>704</v>
      </c>
      <c r="I1498" s="2407" t="s">
        <v>5430</v>
      </c>
      <c r="J1498" s="2403"/>
      <c r="K1498" s="2449"/>
      <c r="L1498" s="923" t="s">
        <v>37</v>
      </c>
      <c r="M1498" s="71"/>
      <c r="N1498" s="71"/>
      <c r="O1498" s="71"/>
      <c r="P1498" s="71"/>
      <c r="Q1498" s="71"/>
      <c r="R1498" s="71"/>
      <c r="S1498" s="71" t="s">
        <v>37</v>
      </c>
      <c r="T1498" s="71"/>
      <c r="U1498" s="93"/>
      <c r="V1498" s="2464"/>
      <c r="W1498"/>
    </row>
    <row r="1499" spans="1:23">
      <c r="A1499" s="1941" t="str">
        <f t="shared" si="34"/>
        <v>jeudi</v>
      </c>
      <c r="B1499" s="1300">
        <v>45568</v>
      </c>
      <c r="C1499" s="468">
        <f t="shared" si="33"/>
        <v>40</v>
      </c>
      <c r="D1499" s="1356" t="s">
        <v>1065</v>
      </c>
      <c r="E1499" s="1360" t="s">
        <v>2569</v>
      </c>
      <c r="F1499" s="2439" t="s">
        <v>1199</v>
      </c>
      <c r="G1499" s="2435" t="s">
        <v>1199</v>
      </c>
      <c r="H1499" s="2274">
        <v>706</v>
      </c>
      <c r="I1499" s="2407" t="s">
        <v>5431</v>
      </c>
      <c r="J1499" s="2403"/>
      <c r="K1499" s="2409"/>
      <c r="L1499" s="923" t="s">
        <v>37</v>
      </c>
      <c r="M1499" s="71"/>
      <c r="N1499" s="71"/>
      <c r="O1499" s="71"/>
      <c r="P1499" s="71"/>
      <c r="Q1499" s="71"/>
      <c r="R1499" s="71"/>
      <c r="S1499" s="71"/>
      <c r="T1499" s="71"/>
      <c r="U1499" s="93"/>
      <c r="V1499" s="2464"/>
      <c r="W1499"/>
    </row>
    <row r="1500" spans="1:23">
      <c r="A1500" s="1941" t="str">
        <f t="shared" si="34"/>
        <v>jeudi</v>
      </c>
      <c r="B1500" s="1300">
        <v>45568</v>
      </c>
      <c r="C1500" s="468">
        <f t="shared" si="33"/>
        <v>40</v>
      </c>
      <c r="D1500" s="1356" t="s">
        <v>669</v>
      </c>
      <c r="E1500" s="1360" t="s">
        <v>5432</v>
      </c>
      <c r="F1500" s="2438" t="s">
        <v>1199</v>
      </c>
      <c r="G1500" s="1315" t="s">
        <v>1199</v>
      </c>
      <c r="H1500" s="2274">
        <v>706</v>
      </c>
      <c r="I1500" s="2407" t="s">
        <v>5431</v>
      </c>
      <c r="J1500" s="2403"/>
      <c r="K1500" s="2409"/>
      <c r="L1500" s="923" t="s">
        <v>37</v>
      </c>
      <c r="M1500" s="71"/>
      <c r="N1500" s="71"/>
      <c r="O1500" s="71"/>
      <c r="P1500" s="71"/>
      <c r="Q1500" s="71"/>
      <c r="R1500" s="71"/>
      <c r="S1500" s="71"/>
      <c r="T1500" s="71"/>
      <c r="U1500" s="93"/>
      <c r="V1500" s="2464"/>
      <c r="W1500"/>
    </row>
    <row r="1501" spans="1:23">
      <c r="A1501" s="1941" t="str">
        <f t="shared" si="34"/>
        <v>jeudi</v>
      </c>
      <c r="B1501" s="1300">
        <v>45568</v>
      </c>
      <c r="C1501" s="468">
        <f t="shared" si="33"/>
        <v>40</v>
      </c>
      <c r="D1501" s="1444" t="s">
        <v>671</v>
      </c>
      <c r="E1501" s="1464" t="s">
        <v>169</v>
      </c>
      <c r="F1501" s="1322" t="s">
        <v>1764</v>
      </c>
      <c r="G1501" s="1314" t="s">
        <v>1764</v>
      </c>
      <c r="H1501" s="2274">
        <v>702</v>
      </c>
      <c r="I1501" s="2407" t="s">
        <v>5416</v>
      </c>
      <c r="J1501" s="2403"/>
      <c r="K1501" s="2409"/>
      <c r="L1501" s="923" t="s">
        <v>37</v>
      </c>
      <c r="M1501" s="71"/>
      <c r="N1501" s="71"/>
      <c r="O1501" s="71"/>
      <c r="P1501" s="71"/>
      <c r="Q1501" s="71"/>
      <c r="R1501" s="632">
        <v>2</v>
      </c>
      <c r="S1501" s="71"/>
      <c r="T1501" s="71"/>
      <c r="U1501" s="93"/>
      <c r="V1501" s="2464"/>
      <c r="W1501"/>
    </row>
    <row r="1502" spans="1:23">
      <c r="A1502" s="1941" t="str">
        <f t="shared" si="34"/>
        <v>jeudi</v>
      </c>
      <c r="B1502" s="1300">
        <v>45568</v>
      </c>
      <c r="C1502" s="468">
        <f t="shared" si="33"/>
        <v>40</v>
      </c>
      <c r="D1502" s="1300" t="s">
        <v>4155</v>
      </c>
      <c r="E1502" s="463" t="s">
        <v>4355</v>
      </c>
      <c r="F1502" s="2428" t="s">
        <v>1206</v>
      </c>
      <c r="G1502" s="2436" t="s">
        <v>1199</v>
      </c>
      <c r="H1502" s="2119">
        <v>702</v>
      </c>
      <c r="I1502" s="2407" t="s">
        <v>5433</v>
      </c>
      <c r="J1502" s="2403"/>
      <c r="K1502" s="2449"/>
      <c r="L1502" s="923" t="s">
        <v>37</v>
      </c>
      <c r="M1502" s="71"/>
      <c r="N1502" s="71"/>
      <c r="O1502" s="71"/>
      <c r="P1502" s="71"/>
      <c r="Q1502" s="71"/>
      <c r="R1502" s="71"/>
      <c r="S1502" s="71" t="s">
        <v>37</v>
      </c>
      <c r="T1502" s="71"/>
      <c r="U1502" s="93"/>
      <c r="V1502" s="2464"/>
      <c r="W1502"/>
    </row>
    <row r="1503" spans="1:23">
      <c r="A1503" s="1941" t="str">
        <f t="shared" si="34"/>
        <v>jeudi</v>
      </c>
      <c r="B1503" s="1300">
        <v>45568</v>
      </c>
      <c r="C1503" s="468">
        <f t="shared" ref="C1503:C1518" si="35">_xlfn.ISOWEEKNUM(B1503)</f>
        <v>40</v>
      </c>
      <c r="D1503" s="1300" t="s">
        <v>4355</v>
      </c>
      <c r="E1503" s="463" t="s">
        <v>4155</v>
      </c>
      <c r="F1503" s="2428" t="s">
        <v>1199</v>
      </c>
      <c r="G1503" s="2436" t="s">
        <v>1199</v>
      </c>
      <c r="H1503" s="2119">
        <v>702</v>
      </c>
      <c r="I1503" s="2407" t="s">
        <v>5434</v>
      </c>
      <c r="J1503" s="2403"/>
      <c r="K1503" s="2449"/>
      <c r="L1503" s="923" t="s">
        <v>37</v>
      </c>
      <c r="M1503" s="71"/>
      <c r="N1503" s="71"/>
      <c r="O1503" s="71"/>
      <c r="P1503" s="71"/>
      <c r="Q1503" s="71"/>
      <c r="R1503" s="71"/>
      <c r="S1503" s="71" t="s">
        <v>37</v>
      </c>
      <c r="T1503" s="71"/>
      <c r="U1503" s="93"/>
      <c r="V1503" s="2464"/>
      <c r="W1503"/>
    </row>
    <row r="1504" spans="1:23" ht="27" thickBot="1">
      <c r="A1504" s="1937" t="str">
        <f t="shared" si="34"/>
        <v>jeudi</v>
      </c>
      <c r="B1504" s="1390">
        <v>45568</v>
      </c>
      <c r="C1504" s="471">
        <f t="shared" si="35"/>
        <v>40</v>
      </c>
      <c r="D1504" s="2396" t="s">
        <v>2702</v>
      </c>
      <c r="E1504" s="2454" t="s">
        <v>5435</v>
      </c>
      <c r="F1504" s="2440">
        <v>0.625</v>
      </c>
      <c r="G1504" s="2437"/>
      <c r="H1504" s="2455">
        <v>706</v>
      </c>
      <c r="I1504" s="2424" t="s">
        <v>5436</v>
      </c>
      <c r="J1504" s="2353"/>
      <c r="K1504" s="2125" t="s">
        <v>84</v>
      </c>
      <c r="L1504" s="1001" t="s">
        <v>37</v>
      </c>
      <c r="M1504" s="33"/>
      <c r="N1504" s="33"/>
      <c r="O1504" s="33"/>
      <c r="P1504" s="33"/>
      <c r="Q1504" s="33"/>
      <c r="R1504" s="33"/>
      <c r="S1504" s="33"/>
      <c r="T1504" s="33"/>
      <c r="U1504" s="1429"/>
      <c r="V1504" s="2464"/>
      <c r="W1504"/>
    </row>
    <row r="1505" spans="1:23" ht="52.5">
      <c r="A1505" s="1935" t="str">
        <f t="shared" si="34"/>
        <v>vendredi</v>
      </c>
      <c r="B1505" s="1936">
        <v>45569</v>
      </c>
      <c r="C1505" s="465">
        <f t="shared" si="35"/>
        <v>40</v>
      </c>
      <c r="D1505" s="2397" t="s">
        <v>68</v>
      </c>
      <c r="E1505" s="2456" t="s">
        <v>5437</v>
      </c>
      <c r="F1505" s="2452" t="s">
        <v>1768</v>
      </c>
      <c r="G1505" s="2450" t="s">
        <v>1768</v>
      </c>
      <c r="H1505" s="2461">
        <v>706</v>
      </c>
      <c r="I1505" s="2406" t="s">
        <v>5438</v>
      </c>
      <c r="J1505" s="2283"/>
      <c r="K1505" s="2276"/>
      <c r="L1505" s="918"/>
      <c r="M1505" s="64" t="s">
        <v>37</v>
      </c>
      <c r="N1505" s="20" t="s">
        <v>122</v>
      </c>
      <c r="O1505" s="21" t="s">
        <v>123</v>
      </c>
      <c r="P1505" s="20" t="s">
        <v>4082</v>
      </c>
      <c r="Q1505" s="64"/>
      <c r="R1505" s="64"/>
      <c r="S1505" s="64"/>
      <c r="T1505" s="64"/>
      <c r="U1505" s="1429" t="s">
        <v>5439</v>
      </c>
      <c r="V1505" s="2464"/>
      <c r="W1505"/>
    </row>
    <row r="1506" spans="1:23">
      <c r="A1506" s="1941" t="str">
        <f t="shared" si="34"/>
        <v>vendredi</v>
      </c>
      <c r="B1506" s="1300">
        <v>45569</v>
      </c>
      <c r="C1506" s="468">
        <f t="shared" si="35"/>
        <v>40</v>
      </c>
      <c r="D1506" s="2398" t="s">
        <v>4155</v>
      </c>
      <c r="E1506" s="2457" t="s">
        <v>5440</v>
      </c>
      <c r="F1506" s="1322" t="s">
        <v>1199</v>
      </c>
      <c r="G1506" s="1315" t="s">
        <v>1199</v>
      </c>
      <c r="H1506" s="2119">
        <v>702</v>
      </c>
      <c r="I1506" s="2407" t="s">
        <v>5433</v>
      </c>
      <c r="J1506" s="2403"/>
      <c r="K1506" s="2257" t="s">
        <v>5441</v>
      </c>
      <c r="L1506" s="923" t="s">
        <v>37</v>
      </c>
      <c r="M1506" s="71"/>
      <c r="N1506" s="71"/>
      <c r="O1506" s="71"/>
      <c r="P1506" s="71"/>
      <c r="Q1506" s="71"/>
      <c r="R1506" s="71"/>
      <c r="S1506" s="71" t="s">
        <v>37</v>
      </c>
      <c r="T1506" s="71"/>
      <c r="U1506" s="93"/>
      <c r="V1506" s="2464"/>
      <c r="W1506"/>
    </row>
    <row r="1507" spans="1:23">
      <c r="A1507" s="1941" t="str">
        <f t="shared" si="34"/>
        <v>vendredi</v>
      </c>
      <c r="B1507" s="1300">
        <v>45569</v>
      </c>
      <c r="C1507" s="468">
        <f t="shared" si="35"/>
        <v>40</v>
      </c>
      <c r="D1507" s="2399" t="s">
        <v>5440</v>
      </c>
      <c r="E1507" s="2458" t="s">
        <v>4155</v>
      </c>
      <c r="F1507" s="1322" t="s">
        <v>1199</v>
      </c>
      <c r="G1507" s="1315" t="s">
        <v>1199</v>
      </c>
      <c r="H1507" s="2119">
        <v>702</v>
      </c>
      <c r="I1507" s="2407" t="s">
        <v>5442</v>
      </c>
      <c r="J1507" s="2403"/>
      <c r="K1507" s="2257" t="s">
        <v>5441</v>
      </c>
      <c r="L1507" s="923" t="s">
        <v>37</v>
      </c>
      <c r="M1507" s="71"/>
      <c r="N1507" s="71"/>
      <c r="O1507" s="71"/>
      <c r="P1507" s="71"/>
      <c r="Q1507" s="71"/>
      <c r="R1507" s="71"/>
      <c r="S1507" s="71" t="s">
        <v>37</v>
      </c>
      <c r="T1507" s="71"/>
      <c r="U1507" s="93" t="s">
        <v>5443</v>
      </c>
      <c r="V1507" s="2464"/>
      <c r="W1507"/>
    </row>
    <row r="1508" spans="1:23" ht="27" thickBot="1">
      <c r="A1508" s="1941" t="str">
        <f t="shared" si="34"/>
        <v>vendredi</v>
      </c>
      <c r="B1508" s="1300">
        <v>45569</v>
      </c>
      <c r="C1508" s="468">
        <f t="shared" si="35"/>
        <v>40</v>
      </c>
      <c r="D1508" s="1299" t="s">
        <v>5428</v>
      </c>
      <c r="E1508" s="2459" t="s">
        <v>5444</v>
      </c>
      <c r="F1508" s="1460" t="s">
        <v>5445</v>
      </c>
      <c r="G1508" s="2401" t="s">
        <v>5445</v>
      </c>
      <c r="H1508" s="2119">
        <v>706</v>
      </c>
      <c r="I1508" s="2037" t="s">
        <v>5423</v>
      </c>
      <c r="J1508" s="2403"/>
      <c r="K1508" s="2257" t="s">
        <v>627</v>
      </c>
      <c r="L1508" s="923"/>
      <c r="M1508" s="71"/>
      <c r="N1508" s="71"/>
      <c r="O1508" s="71"/>
      <c r="P1508" s="71"/>
      <c r="Q1508" s="71"/>
      <c r="R1508" s="71"/>
      <c r="S1508" s="71"/>
      <c r="T1508" s="71"/>
      <c r="U1508" s="93"/>
      <c r="V1508" s="2464"/>
      <c r="W1508"/>
    </row>
    <row r="1509" spans="1:23" ht="53.25" thickBot="1">
      <c r="A1509" s="1941" t="str">
        <f t="shared" si="34"/>
        <v>vendredi</v>
      </c>
      <c r="B1509" s="1300">
        <v>45569</v>
      </c>
      <c r="C1509" s="468">
        <f t="shared" si="35"/>
        <v>40</v>
      </c>
      <c r="D1509" s="2303" t="s">
        <v>1776</v>
      </c>
      <c r="E1509" s="2460" t="s">
        <v>5446</v>
      </c>
      <c r="F1509" s="1643" t="s">
        <v>1768</v>
      </c>
      <c r="G1509" s="1692" t="s">
        <v>1768</v>
      </c>
      <c r="H1509" s="2119">
        <v>706</v>
      </c>
      <c r="I1509" s="2407" t="s">
        <v>5436</v>
      </c>
      <c r="J1509" s="2403"/>
      <c r="K1509" s="2257" t="s">
        <v>84</v>
      </c>
      <c r="L1509" s="923"/>
      <c r="M1509" s="71" t="s">
        <v>37</v>
      </c>
      <c r="N1509" s="20" t="s">
        <v>122</v>
      </c>
      <c r="O1509" s="21" t="s">
        <v>123</v>
      </c>
      <c r="P1509" s="20" t="s">
        <v>4082</v>
      </c>
      <c r="Q1509" s="71"/>
      <c r="R1509" s="71"/>
      <c r="S1509" s="71"/>
      <c r="T1509" s="71"/>
      <c r="U1509" s="1515" t="s">
        <v>5447</v>
      </c>
      <c r="V1509" s="2464"/>
      <c r="W1509"/>
    </row>
    <row r="1510" spans="1:23" ht="52.5">
      <c r="A1510" s="1941" t="str">
        <f t="shared" si="34"/>
        <v>vendredi</v>
      </c>
      <c r="B1510" s="1300">
        <v>45569</v>
      </c>
      <c r="C1510" s="468">
        <f t="shared" si="35"/>
        <v>40</v>
      </c>
      <c r="D1510" s="2303" t="s">
        <v>169</v>
      </c>
      <c r="E1510" s="2460" t="s">
        <v>5448</v>
      </c>
      <c r="F1510" s="1643" t="s">
        <v>1768</v>
      </c>
      <c r="G1510" s="1692" t="s">
        <v>1768</v>
      </c>
      <c r="H1510" s="2119">
        <v>706</v>
      </c>
      <c r="I1510" s="2407" t="s">
        <v>5436</v>
      </c>
      <c r="J1510" s="2403"/>
      <c r="K1510" s="2257" t="s">
        <v>84</v>
      </c>
      <c r="L1510" s="923"/>
      <c r="M1510" s="71" t="s">
        <v>37</v>
      </c>
      <c r="N1510" s="20" t="s">
        <v>122</v>
      </c>
      <c r="O1510" s="21" t="s">
        <v>123</v>
      </c>
      <c r="P1510" s="20" t="s">
        <v>4082</v>
      </c>
      <c r="Q1510" s="71"/>
      <c r="R1510" s="71"/>
      <c r="S1510" s="71"/>
      <c r="T1510" s="71"/>
      <c r="U1510" s="1515" t="s">
        <v>5447</v>
      </c>
      <c r="V1510" s="2464"/>
      <c r="W1510"/>
    </row>
    <row r="1511" spans="1:23" ht="52.5">
      <c r="A1511" s="1941" t="str">
        <f t="shared" si="34"/>
        <v>vendredi</v>
      </c>
      <c r="B1511" s="1300">
        <v>45569</v>
      </c>
      <c r="C1511" s="468">
        <f t="shared" si="35"/>
        <v>40</v>
      </c>
      <c r="D1511" s="1476" t="s">
        <v>169</v>
      </c>
      <c r="E1511" s="1506" t="s">
        <v>943</v>
      </c>
      <c r="F1511" s="2453" t="s">
        <v>1199</v>
      </c>
      <c r="G1511" s="2451" t="s">
        <v>1199</v>
      </c>
      <c r="H1511" s="2119">
        <v>702</v>
      </c>
      <c r="I1511" s="2407" t="s">
        <v>5416</v>
      </c>
      <c r="J1511" s="2403"/>
      <c r="K1511" s="2449"/>
      <c r="L1511" s="923"/>
      <c r="M1511" s="71" t="s">
        <v>37</v>
      </c>
      <c r="N1511" s="21" t="s">
        <v>109</v>
      </c>
      <c r="O1511" s="21" t="s">
        <v>4673</v>
      </c>
      <c r="P1511" s="21" t="s">
        <v>4082</v>
      </c>
      <c r="Q1511" s="71"/>
      <c r="R1511" s="71"/>
      <c r="S1511" s="71"/>
      <c r="T1511" s="71"/>
      <c r="U1511" s="93" t="s">
        <v>5449</v>
      </c>
      <c r="V1511" s="2464"/>
      <c r="W1511"/>
    </row>
    <row r="1512" spans="1:23" ht="52.5">
      <c r="A1512" s="1941" t="str">
        <f t="shared" si="34"/>
        <v>vendredi</v>
      </c>
      <c r="B1512" s="1300">
        <v>45569</v>
      </c>
      <c r="C1512" s="468">
        <f t="shared" si="35"/>
        <v>40</v>
      </c>
      <c r="D1512" s="2263" t="s">
        <v>4684</v>
      </c>
      <c r="E1512" s="2272" t="s">
        <v>80</v>
      </c>
      <c r="F1512" s="1322" t="s">
        <v>1199</v>
      </c>
      <c r="G1512" s="2418" t="s">
        <v>1199</v>
      </c>
      <c r="H1512" s="2274">
        <v>701</v>
      </c>
      <c r="I1512" s="2407" t="s">
        <v>994</v>
      </c>
      <c r="J1512" s="2403"/>
      <c r="K1512" s="2409"/>
      <c r="L1512" s="923" t="s">
        <v>37</v>
      </c>
      <c r="M1512" s="71"/>
      <c r="N1512" s="71"/>
      <c r="O1512" s="71"/>
      <c r="P1512" s="71"/>
      <c r="Q1512" s="71"/>
      <c r="R1512" s="71"/>
      <c r="S1512" s="71"/>
      <c r="T1512" s="71"/>
      <c r="U1512" s="93" t="s">
        <v>5450</v>
      </c>
      <c r="V1512" s="2464"/>
      <c r="W1512"/>
    </row>
    <row r="1513" spans="1:23">
      <c r="A1513" s="1941" t="str">
        <f t="shared" si="34"/>
        <v>vendredi</v>
      </c>
      <c r="B1513" s="1300">
        <v>45569</v>
      </c>
      <c r="C1513" s="468">
        <f t="shared" si="35"/>
        <v>40</v>
      </c>
      <c r="D1513" s="1356" t="s">
        <v>1145</v>
      </c>
      <c r="E1513" s="1360" t="s">
        <v>4967</v>
      </c>
      <c r="F1513" s="1322" t="s">
        <v>1199</v>
      </c>
      <c r="G1513" s="1315" t="s">
        <v>1199</v>
      </c>
      <c r="H1513" s="2274">
        <v>706</v>
      </c>
      <c r="I1513" s="2407" t="s">
        <v>5451</v>
      </c>
      <c r="J1513" s="2403"/>
      <c r="K1513" s="2257" t="s">
        <v>84</v>
      </c>
      <c r="L1513" s="923"/>
      <c r="M1513" s="71"/>
      <c r="N1513" s="71"/>
      <c r="O1513" s="71"/>
      <c r="P1513" s="71"/>
      <c r="Q1513" s="71"/>
      <c r="R1513" s="71"/>
      <c r="S1513" s="71" t="s">
        <v>37</v>
      </c>
      <c r="T1513" s="71"/>
      <c r="U1513" s="93"/>
      <c r="V1513" s="2464"/>
      <c r="W1513"/>
    </row>
    <row r="1514" spans="1:23">
      <c r="A1514" s="1941" t="str">
        <f t="shared" si="34"/>
        <v>vendredi</v>
      </c>
      <c r="B1514" s="1300">
        <v>45569</v>
      </c>
      <c r="C1514" s="468">
        <f t="shared" si="35"/>
        <v>40</v>
      </c>
      <c r="D1514" s="1300" t="s">
        <v>3971</v>
      </c>
      <c r="E1514" s="1328" t="s">
        <v>80</v>
      </c>
      <c r="F1514" s="2428" t="s">
        <v>1199</v>
      </c>
      <c r="G1514" s="2418" t="s">
        <v>1199</v>
      </c>
      <c r="H1514" s="2274">
        <v>701</v>
      </c>
      <c r="I1514" s="2407" t="s">
        <v>5410</v>
      </c>
      <c r="J1514" s="2403"/>
      <c r="K1514" s="2409"/>
      <c r="L1514" s="923" t="s">
        <v>37</v>
      </c>
      <c r="M1514" s="71"/>
      <c r="N1514" s="71"/>
      <c r="O1514" s="71"/>
      <c r="P1514" s="71"/>
      <c r="Q1514" s="71"/>
      <c r="R1514" s="71"/>
      <c r="S1514" s="71"/>
      <c r="T1514" s="71"/>
      <c r="U1514" s="93" t="s">
        <v>5452</v>
      </c>
      <c r="V1514" s="2464"/>
      <c r="W1514"/>
    </row>
    <row r="1515" spans="1:23">
      <c r="A1515" s="1941" t="str">
        <f t="shared" si="34"/>
        <v>vendredi</v>
      </c>
      <c r="B1515" s="1300">
        <v>45569</v>
      </c>
      <c r="C1515" s="468">
        <f t="shared" si="35"/>
        <v>40</v>
      </c>
      <c r="D1515" s="1300" t="s">
        <v>148</v>
      </c>
      <c r="E1515" s="1328" t="s">
        <v>80</v>
      </c>
      <c r="F1515" s="1322" t="s">
        <v>1764</v>
      </c>
      <c r="G1515" s="1314" t="s">
        <v>1764</v>
      </c>
      <c r="H1515" s="2274">
        <v>701</v>
      </c>
      <c r="I1515" s="2432" t="s">
        <v>1485</v>
      </c>
      <c r="J1515" s="2403"/>
      <c r="K1515" s="2409"/>
      <c r="L1515" s="923" t="s">
        <v>37</v>
      </c>
      <c r="M1515" s="71"/>
      <c r="N1515" s="71"/>
      <c r="O1515" s="71"/>
      <c r="P1515" s="71"/>
      <c r="Q1515" s="71"/>
      <c r="R1515" s="71"/>
      <c r="S1515" s="71"/>
      <c r="T1515" s="71"/>
      <c r="U1515" s="93"/>
      <c r="V1515" s="2464"/>
      <c r="W1515"/>
    </row>
    <row r="1516" spans="1:23">
      <c r="A1516" s="1941" t="str">
        <f t="shared" si="34"/>
        <v>vendredi</v>
      </c>
      <c r="B1516" s="1300">
        <v>45569</v>
      </c>
      <c r="C1516" s="468">
        <f t="shared" si="35"/>
        <v>40</v>
      </c>
      <c r="D1516" s="1300" t="s">
        <v>1698</v>
      </c>
      <c r="E1516" s="1328" t="s">
        <v>1693</v>
      </c>
      <c r="F1516" s="2428" t="s">
        <v>1199</v>
      </c>
      <c r="G1516" s="2418" t="s">
        <v>1199</v>
      </c>
      <c r="H1516" s="2274">
        <v>701</v>
      </c>
      <c r="I1516" s="2407">
        <v>60093</v>
      </c>
      <c r="J1516" s="2403"/>
      <c r="K1516" s="2409"/>
      <c r="L1516" s="923" t="s">
        <v>37</v>
      </c>
      <c r="M1516" s="71"/>
      <c r="N1516" s="71"/>
      <c r="O1516" s="71"/>
      <c r="P1516" s="71"/>
      <c r="Q1516" s="71"/>
      <c r="R1516" s="71"/>
      <c r="S1516" s="71"/>
      <c r="T1516" s="71"/>
      <c r="U1516" s="93"/>
      <c r="V1516" s="2464"/>
      <c r="W1516"/>
    </row>
    <row r="1517" spans="1:23" ht="27" thickBot="1">
      <c r="A1517" s="1938" t="str">
        <f t="shared" si="34"/>
        <v>vendredi</v>
      </c>
      <c r="B1517" s="1312">
        <v>45569</v>
      </c>
      <c r="C1517" s="480">
        <f t="shared" si="35"/>
        <v>40</v>
      </c>
      <c r="D1517" s="1312" t="s">
        <v>1811</v>
      </c>
      <c r="E1517" s="1330" t="s">
        <v>1698</v>
      </c>
      <c r="F1517" s="2268" t="s">
        <v>1199</v>
      </c>
      <c r="G1517" s="1317" t="s">
        <v>1199</v>
      </c>
      <c r="H1517" s="2253">
        <v>702</v>
      </c>
      <c r="I1517" s="2408" t="s">
        <v>5453</v>
      </c>
      <c r="J1517" s="2245"/>
      <c r="K1517" s="2121" t="s">
        <v>84</v>
      </c>
      <c r="L1517" s="957" t="s">
        <v>37</v>
      </c>
      <c r="M1517" s="91"/>
      <c r="N1517" s="91"/>
      <c r="O1517" s="91"/>
      <c r="P1517" s="91"/>
      <c r="Q1517" s="91"/>
      <c r="R1517" s="91"/>
      <c r="S1517" s="91"/>
      <c r="T1517" s="91"/>
      <c r="U1517" s="116"/>
      <c r="V1517" s="2464"/>
      <c r="W1517"/>
    </row>
    <row r="1518" spans="1:23" ht="47.1" customHeight="1" thickBot="1">
      <c r="A1518" s="2070" t="str">
        <f t="shared" si="34"/>
        <v>samedi</v>
      </c>
      <c r="B1518" s="2068">
        <v>45570</v>
      </c>
      <c r="C1518" s="508">
        <f t="shared" si="35"/>
        <v>40</v>
      </c>
      <c r="D1518" s="2068" t="s">
        <v>1146</v>
      </c>
      <c r="E1518" s="2550" t="s">
        <v>3890</v>
      </c>
      <c r="F1518" s="2242" t="s">
        <v>1752</v>
      </c>
      <c r="G1518" s="1352" t="s">
        <v>5454</v>
      </c>
      <c r="H1518" s="2551">
        <v>701</v>
      </c>
      <c r="I1518" s="2552" t="s">
        <v>5455</v>
      </c>
      <c r="J1518" s="2244"/>
      <c r="K1518" s="2553"/>
      <c r="L1518" s="1419" t="s">
        <v>37</v>
      </c>
      <c r="M1518" s="905"/>
      <c r="N1518" s="905"/>
      <c r="O1518" s="905"/>
      <c r="P1518" s="905"/>
      <c r="Q1518" s="905"/>
      <c r="R1518" s="905"/>
      <c r="S1518" s="905"/>
      <c r="T1518" s="905"/>
      <c r="U1518" s="1423"/>
      <c r="V1518" s="2464"/>
      <c r="W1518"/>
    </row>
    <row r="1519" spans="1:23" ht="75">
      <c r="A1519" s="1935" t="str">
        <f t="shared" ref="A1519:A1557" si="36">TEXT(B1519,"jjjj")</f>
        <v>lundi</v>
      </c>
      <c r="B1519" s="1936">
        <v>45572</v>
      </c>
      <c r="C1519" s="465">
        <f t="shared" ref="C1519:C1557" si="37">_xlfn.ISOWEEKNUM(B1519)</f>
        <v>41</v>
      </c>
      <c r="D1519" s="2467" t="s">
        <v>163</v>
      </c>
      <c r="E1519" s="2555" t="s">
        <v>1864</v>
      </c>
      <c r="F1519" s="2507" t="s">
        <v>1764</v>
      </c>
      <c r="G1519" s="2547" t="s">
        <v>1199</v>
      </c>
      <c r="H1519" s="2249">
        <v>701</v>
      </c>
      <c r="I1519" s="2567" t="s">
        <v>5456</v>
      </c>
      <c r="J1519" s="2510"/>
      <c r="K1519" s="2560" t="s">
        <v>1206</v>
      </c>
      <c r="L1519" s="2469"/>
      <c r="M1519" s="2469" t="s">
        <v>37</v>
      </c>
      <c r="N1519" s="20" t="s">
        <v>231</v>
      </c>
      <c r="O1519" s="20" t="s">
        <v>1048</v>
      </c>
      <c r="P1519" s="20" t="s">
        <v>4080</v>
      </c>
      <c r="Q1519" s="2469"/>
      <c r="R1519" s="2469"/>
      <c r="S1519" s="2469"/>
      <c r="T1519" s="2469"/>
      <c r="U1519" s="2470" t="s">
        <v>5457</v>
      </c>
      <c r="V1519" s="2525"/>
      <c r="W1519" s="2564" t="s">
        <v>5458</v>
      </c>
    </row>
    <row r="1520" spans="1:23">
      <c r="A1520" s="1941" t="str">
        <f t="shared" si="36"/>
        <v>lundi</v>
      </c>
      <c r="B1520" s="1300">
        <v>45572</v>
      </c>
      <c r="C1520" s="468">
        <f t="shared" si="37"/>
        <v>41</v>
      </c>
      <c r="D1520" s="2291" t="s">
        <v>1864</v>
      </c>
      <c r="E1520" s="2293" t="s">
        <v>5459</v>
      </c>
      <c r="F1520" s="2490" t="s">
        <v>1199</v>
      </c>
      <c r="G1520" s="2485" t="s">
        <v>1199</v>
      </c>
      <c r="H1520" s="2274">
        <v>701</v>
      </c>
      <c r="I1520" s="1360" t="s">
        <v>5460</v>
      </c>
      <c r="J1520" s="2494"/>
      <c r="K1520" s="2257" t="s">
        <v>174</v>
      </c>
      <c r="L1520" s="1356" t="s">
        <v>37</v>
      </c>
      <c r="M1520" s="1356"/>
      <c r="N1520" s="1356"/>
      <c r="O1520" s="1356"/>
      <c r="P1520" s="1356"/>
      <c r="Q1520" s="1356"/>
      <c r="R1520" s="1356"/>
      <c r="S1520" s="1356"/>
      <c r="T1520" s="1356"/>
      <c r="U1520" s="1360"/>
      <c r="V1520" s="2525"/>
      <c r="W1520" s="2564"/>
    </row>
    <row r="1521" spans="1:23">
      <c r="A1521" s="1941" t="str">
        <f t="shared" si="36"/>
        <v>lundi</v>
      </c>
      <c r="B1521" s="1300">
        <v>45572</v>
      </c>
      <c r="C1521" s="468">
        <f t="shared" si="37"/>
        <v>41</v>
      </c>
      <c r="D1521" s="2471" t="s">
        <v>1693</v>
      </c>
      <c r="E1521" s="2556" t="s">
        <v>1864</v>
      </c>
      <c r="F1521" s="2489" t="s">
        <v>1764</v>
      </c>
      <c r="G1521" s="2486" t="s">
        <v>1199</v>
      </c>
      <c r="H1521" s="2274">
        <v>702</v>
      </c>
      <c r="I1521" s="1360" t="s">
        <v>5461</v>
      </c>
      <c r="J1521" s="2494"/>
      <c r="K1521" s="2561" t="s">
        <v>1206</v>
      </c>
      <c r="L1521" s="1356" t="s">
        <v>37</v>
      </c>
      <c r="M1521" s="1356"/>
      <c r="N1521" s="1356"/>
      <c r="O1521" s="1356"/>
      <c r="P1521" s="1356"/>
      <c r="Q1521" s="1356"/>
      <c r="R1521" s="1356"/>
      <c r="S1521" s="1356"/>
      <c r="T1521" s="1356"/>
      <c r="U1521" s="1360"/>
      <c r="V1521" s="2525"/>
      <c r="W1521" s="2564"/>
    </row>
    <row r="1522" spans="1:23">
      <c r="A1522" s="1941" t="str">
        <f t="shared" si="36"/>
        <v>lundi</v>
      </c>
      <c r="B1522" s="1300">
        <v>45572</v>
      </c>
      <c r="C1522" s="468">
        <f t="shared" si="37"/>
        <v>41</v>
      </c>
      <c r="D1522" s="1356" t="s">
        <v>5403</v>
      </c>
      <c r="E1522" s="1360" t="s">
        <v>537</v>
      </c>
      <c r="F1522" s="2491" t="s">
        <v>1764</v>
      </c>
      <c r="G1522" s="2486" t="s">
        <v>1199</v>
      </c>
      <c r="H1522" s="2274">
        <v>701</v>
      </c>
      <c r="I1522" s="2500" t="s">
        <v>5462</v>
      </c>
      <c r="J1522" s="2494"/>
      <c r="K1522" s="2562"/>
      <c r="L1522" s="1356" t="s">
        <v>37</v>
      </c>
      <c r="M1522" s="1356"/>
      <c r="N1522" s="1356"/>
      <c r="O1522" s="1356"/>
      <c r="P1522" s="1356"/>
      <c r="Q1522" s="1356"/>
      <c r="R1522" s="1356"/>
      <c r="S1522" s="1356"/>
      <c r="T1522" s="1356"/>
      <c r="U1522" s="1360"/>
      <c r="V1522" s="2525"/>
      <c r="W1522" s="2564"/>
    </row>
    <row r="1523" spans="1:23">
      <c r="A1523" s="1941" t="str">
        <f t="shared" si="36"/>
        <v>lundi</v>
      </c>
      <c r="B1523" s="1300">
        <v>45572</v>
      </c>
      <c r="C1523" s="468">
        <f t="shared" si="37"/>
        <v>41</v>
      </c>
      <c r="D1523" s="2472" t="s">
        <v>163</v>
      </c>
      <c r="E1523" s="2557" t="s">
        <v>1527</v>
      </c>
      <c r="F1523" s="2491" t="s">
        <v>1764</v>
      </c>
      <c r="G1523" s="2486" t="s">
        <v>1199</v>
      </c>
      <c r="H1523" s="2274">
        <v>701</v>
      </c>
      <c r="I1523" s="2500" t="s">
        <v>5463</v>
      </c>
      <c r="J1523" s="2494"/>
      <c r="K1523" s="2561" t="s">
        <v>1206</v>
      </c>
      <c r="L1523" s="1356" t="s">
        <v>37</v>
      </c>
      <c r="M1523" s="1356"/>
      <c r="N1523" s="1356"/>
      <c r="O1523" s="1356"/>
      <c r="P1523" s="1356"/>
      <c r="Q1523" s="1356"/>
      <c r="R1523" s="1356"/>
      <c r="S1523" s="1356"/>
      <c r="T1523" s="1356"/>
      <c r="U1523" s="1360"/>
      <c r="V1523" s="2525"/>
      <c r="W1523" s="2564"/>
    </row>
    <row r="1524" spans="1:23">
      <c r="A1524" s="1941" t="str">
        <f t="shared" si="36"/>
        <v>lundi</v>
      </c>
      <c r="B1524" s="1300">
        <v>45572</v>
      </c>
      <c r="C1524" s="468">
        <f t="shared" si="37"/>
        <v>41</v>
      </c>
      <c r="D1524" s="2472" t="s">
        <v>5464</v>
      </c>
      <c r="E1524" s="2557" t="s">
        <v>5465</v>
      </c>
      <c r="F1524" s="2491" t="s">
        <v>1764</v>
      </c>
      <c r="G1524" s="2486" t="s">
        <v>1199</v>
      </c>
      <c r="H1524" s="2274">
        <v>701</v>
      </c>
      <c r="I1524" s="2500" t="s">
        <v>1485</v>
      </c>
      <c r="J1524" s="2494"/>
      <c r="K1524" s="2561" t="s">
        <v>1206</v>
      </c>
      <c r="L1524" s="1356" t="s">
        <v>37</v>
      </c>
      <c r="M1524" s="1356"/>
      <c r="N1524" s="1356"/>
      <c r="O1524" s="1356"/>
      <c r="P1524" s="1356"/>
      <c r="Q1524" s="1356"/>
      <c r="R1524" s="1356"/>
      <c r="S1524" s="1356"/>
      <c r="T1524" s="1356"/>
      <c r="U1524" s="1360"/>
      <c r="V1524" s="2525"/>
      <c r="W1524" s="2564"/>
    </row>
    <row r="1525" spans="1:23">
      <c r="A1525" s="1941" t="str">
        <f t="shared" si="36"/>
        <v>lundi</v>
      </c>
      <c r="B1525" s="1300">
        <v>45572</v>
      </c>
      <c r="C1525" s="468">
        <f t="shared" si="37"/>
        <v>41</v>
      </c>
      <c r="D1525" s="1493" t="s">
        <v>924</v>
      </c>
      <c r="E1525" s="1496" t="s">
        <v>3985</v>
      </c>
      <c r="F1525" s="2490" t="s">
        <v>1199</v>
      </c>
      <c r="G1525" s="2485" t="s">
        <v>1199</v>
      </c>
      <c r="H1525" s="2274">
        <v>702</v>
      </c>
      <c r="I1525" s="2500" t="s">
        <v>5466</v>
      </c>
      <c r="J1525" s="2494"/>
      <c r="K1525" s="2257" t="s">
        <v>84</v>
      </c>
      <c r="L1525" s="1356" t="s">
        <v>37</v>
      </c>
      <c r="M1525" s="1356"/>
      <c r="N1525" s="1356"/>
      <c r="O1525" s="1356"/>
      <c r="P1525" s="1356"/>
      <c r="Q1525" s="1356"/>
      <c r="R1525" s="1356"/>
      <c r="S1525" s="1356"/>
      <c r="T1525" s="1356"/>
      <c r="U1525" s="1360"/>
      <c r="V1525" s="2525"/>
      <c r="W1525" s="2564"/>
    </row>
    <row r="1526" spans="1:23">
      <c r="A1526" s="1941" t="str">
        <f t="shared" si="36"/>
        <v>lundi</v>
      </c>
      <c r="B1526" s="1300">
        <v>45572</v>
      </c>
      <c r="C1526" s="468">
        <f t="shared" si="37"/>
        <v>41</v>
      </c>
      <c r="D1526" s="1493" t="s">
        <v>3985</v>
      </c>
      <c r="E1526" s="1496" t="s">
        <v>671</v>
      </c>
      <c r="F1526" s="2489" t="s">
        <v>1764</v>
      </c>
      <c r="G1526" s="2485" t="s">
        <v>1199</v>
      </c>
      <c r="H1526" s="2274">
        <v>702</v>
      </c>
      <c r="I1526" s="2500" t="s">
        <v>5466</v>
      </c>
      <c r="J1526" s="2494"/>
      <c r="K1526" s="2257" t="s">
        <v>84</v>
      </c>
      <c r="L1526" s="1356" t="s">
        <v>37</v>
      </c>
      <c r="M1526" s="1356"/>
      <c r="N1526" s="1356"/>
      <c r="O1526" s="1356"/>
      <c r="P1526" s="1356"/>
      <c r="Q1526" s="1356"/>
      <c r="R1526" s="1356"/>
      <c r="S1526" s="1356"/>
      <c r="T1526" s="1356"/>
      <c r="U1526" s="1360"/>
      <c r="V1526" s="2525"/>
      <c r="W1526" s="2564"/>
    </row>
    <row r="1527" spans="1:23">
      <c r="A1527" s="1941" t="str">
        <f t="shared" si="36"/>
        <v>lundi</v>
      </c>
      <c r="B1527" s="1300">
        <v>45572</v>
      </c>
      <c r="C1527" s="468">
        <f t="shared" si="37"/>
        <v>41</v>
      </c>
      <c r="D1527" s="1493" t="s">
        <v>671</v>
      </c>
      <c r="E1527" s="1496" t="s">
        <v>5467</v>
      </c>
      <c r="F1527" s="2491" t="s">
        <v>1764</v>
      </c>
      <c r="G1527" s="2486" t="s">
        <v>1199</v>
      </c>
      <c r="H1527" s="2274">
        <v>702</v>
      </c>
      <c r="I1527" s="2500" t="s">
        <v>5468</v>
      </c>
      <c r="J1527" s="2494"/>
      <c r="K1527" s="2561" t="s">
        <v>1206</v>
      </c>
      <c r="L1527" s="1356" t="s">
        <v>37</v>
      </c>
      <c r="M1527" s="1356"/>
      <c r="N1527" s="1356"/>
      <c r="O1527" s="1356"/>
      <c r="P1527" s="1356"/>
      <c r="Q1527" s="1356"/>
      <c r="R1527" s="1356"/>
      <c r="S1527" s="1356"/>
      <c r="T1527" s="1356"/>
      <c r="U1527" s="1360"/>
      <c r="V1527" s="2525"/>
      <c r="W1527" s="2564"/>
    </row>
    <row r="1528" spans="1:23" ht="52.5">
      <c r="A1528" s="1941" t="str">
        <f t="shared" si="36"/>
        <v>lundi</v>
      </c>
      <c r="B1528" s="1300">
        <v>45572</v>
      </c>
      <c r="C1528" s="468">
        <f t="shared" si="37"/>
        <v>41</v>
      </c>
      <c r="D1528" s="2354" t="s">
        <v>1864</v>
      </c>
      <c r="E1528" s="2359">
        <v>5</v>
      </c>
      <c r="F1528" s="2490" t="s">
        <v>1199</v>
      </c>
      <c r="G1528" s="2485" t="s">
        <v>1199</v>
      </c>
      <c r="H1528" s="2274">
        <v>702</v>
      </c>
      <c r="I1528" s="2500" t="s">
        <v>5469</v>
      </c>
      <c r="J1528" s="2494"/>
      <c r="K1528" s="2257" t="s">
        <v>174</v>
      </c>
      <c r="L1528" s="1356"/>
      <c r="M1528" s="1356" t="s">
        <v>37</v>
      </c>
      <c r="N1528" s="20" t="s">
        <v>0</v>
      </c>
      <c r="O1528" s="20" t="s">
        <v>187</v>
      </c>
      <c r="P1528" s="20" t="s">
        <v>4082</v>
      </c>
      <c r="Q1528" s="1356"/>
      <c r="R1528" s="1356"/>
      <c r="S1528" s="1356"/>
      <c r="T1528" s="1356"/>
      <c r="U1528" s="1360" t="s">
        <v>5470</v>
      </c>
      <c r="V1528" s="2525"/>
      <c r="W1528" s="2564"/>
    </row>
    <row r="1529" spans="1:23" ht="52.5">
      <c r="A1529" s="1941" t="str">
        <f t="shared" si="36"/>
        <v>lundi</v>
      </c>
      <c r="B1529" s="1300">
        <v>45572</v>
      </c>
      <c r="C1529" s="468">
        <f t="shared" si="37"/>
        <v>41</v>
      </c>
      <c r="D1529" s="2354" t="s">
        <v>1554</v>
      </c>
      <c r="E1529" s="2359" t="s">
        <v>1864</v>
      </c>
      <c r="F1529" s="2490" t="s">
        <v>1199</v>
      </c>
      <c r="G1529" s="2485" t="s">
        <v>1199</v>
      </c>
      <c r="H1529" s="2274">
        <v>702</v>
      </c>
      <c r="I1529" s="2500" t="s">
        <v>5469</v>
      </c>
      <c r="J1529" s="2494"/>
      <c r="K1529" s="2257" t="s">
        <v>174</v>
      </c>
      <c r="L1529" s="1356"/>
      <c r="M1529" s="1356" t="s">
        <v>37</v>
      </c>
      <c r="N1529" s="20" t="s">
        <v>0</v>
      </c>
      <c r="O1529" s="20" t="s">
        <v>187</v>
      </c>
      <c r="P1529" s="20" t="s">
        <v>4082</v>
      </c>
      <c r="Q1529" s="1356"/>
      <c r="R1529" s="1356"/>
      <c r="S1529" s="1356"/>
      <c r="T1529" s="1356"/>
      <c r="U1529" s="1360" t="s">
        <v>5470</v>
      </c>
      <c r="V1529" s="2525"/>
      <c r="W1529" s="2564"/>
    </row>
    <row r="1530" spans="1:23">
      <c r="A1530" s="1941" t="str">
        <f t="shared" si="36"/>
        <v>lundi</v>
      </c>
      <c r="B1530" s="1300">
        <v>45572</v>
      </c>
      <c r="C1530" s="468">
        <f t="shared" si="37"/>
        <v>41</v>
      </c>
      <c r="D1530" s="2372" t="s">
        <v>216</v>
      </c>
      <c r="E1530" s="2447" t="s">
        <v>442</v>
      </c>
      <c r="F1530" s="2489" t="s">
        <v>1764</v>
      </c>
      <c r="G1530" s="2485" t="s">
        <v>1199</v>
      </c>
      <c r="H1530" s="2274">
        <v>706</v>
      </c>
      <c r="I1530" s="2500" t="s">
        <v>5471</v>
      </c>
      <c r="J1530" s="2494"/>
      <c r="K1530" s="2257" t="s">
        <v>1613</v>
      </c>
      <c r="L1530" s="1356" t="s">
        <v>37</v>
      </c>
      <c r="M1530" s="1356"/>
      <c r="N1530" s="1356"/>
      <c r="O1530" s="1356"/>
      <c r="P1530" s="1356"/>
      <c r="Q1530" s="1356"/>
      <c r="R1530" s="1356"/>
      <c r="S1530" s="1356"/>
      <c r="T1530" s="1356"/>
      <c r="U1530" s="1360"/>
      <c r="V1530" s="2525"/>
      <c r="W1530" s="2564"/>
    </row>
    <row r="1531" spans="1:23">
      <c r="A1531" s="1941" t="str">
        <f t="shared" si="36"/>
        <v>lundi</v>
      </c>
      <c r="B1531" s="1300">
        <v>45572</v>
      </c>
      <c r="C1531" s="468">
        <f t="shared" si="37"/>
        <v>41</v>
      </c>
      <c r="D1531" s="1355" t="s">
        <v>169</v>
      </c>
      <c r="E1531" s="1359" t="s">
        <v>68</v>
      </c>
      <c r="F1531" s="2538" t="s">
        <v>1199</v>
      </c>
      <c r="G1531" s="2536" t="s">
        <v>1199</v>
      </c>
      <c r="H1531" s="2274">
        <v>702</v>
      </c>
      <c r="I1531" s="2500" t="s">
        <v>5472</v>
      </c>
      <c r="J1531" s="2494"/>
      <c r="K1531" s="2257" t="s">
        <v>84</v>
      </c>
      <c r="L1531" s="1356" t="s">
        <v>37</v>
      </c>
      <c r="M1531" s="1356"/>
      <c r="N1531" s="1356"/>
      <c r="O1531" s="1356"/>
      <c r="P1531" s="1356"/>
      <c r="Q1531" s="1356"/>
      <c r="R1531" s="1356"/>
      <c r="S1531" s="1356"/>
      <c r="T1531" s="1356"/>
      <c r="U1531" s="1360"/>
      <c r="V1531" s="2525"/>
      <c r="W1531" s="2564"/>
    </row>
    <row r="1532" spans="1:23" ht="27" thickBot="1">
      <c r="A1532" s="1938" t="str">
        <f t="shared" si="36"/>
        <v>lundi</v>
      </c>
      <c r="B1532" s="1312">
        <v>45572</v>
      </c>
      <c r="C1532" s="480">
        <f t="shared" si="37"/>
        <v>41</v>
      </c>
      <c r="D1532" s="2558" t="s">
        <v>442</v>
      </c>
      <c r="E1532" s="2559" t="s">
        <v>258</v>
      </c>
      <c r="F1532" s="2549" t="s">
        <v>1764</v>
      </c>
      <c r="G1532" s="2548" t="s">
        <v>1764</v>
      </c>
      <c r="H1532" s="2253">
        <v>706</v>
      </c>
      <c r="I1532" s="2501" t="s">
        <v>5473</v>
      </c>
      <c r="J1532" s="2495"/>
      <c r="K1532" s="2121" t="s">
        <v>84</v>
      </c>
      <c r="L1532" s="1894" t="s">
        <v>37</v>
      </c>
      <c r="M1532" s="1894"/>
      <c r="N1532" s="1894"/>
      <c r="O1532" s="1894"/>
      <c r="P1532" s="1894"/>
      <c r="Q1532" s="1894"/>
      <c r="R1532" s="1894"/>
      <c r="S1532" s="1894"/>
      <c r="T1532" s="1894"/>
      <c r="U1532" s="2475"/>
      <c r="V1532" s="2525"/>
      <c r="W1532" s="2564"/>
    </row>
    <row r="1533" spans="1:23">
      <c r="A1533" s="1942" t="str">
        <f t="shared" si="36"/>
        <v>mardi</v>
      </c>
      <c r="B1533" s="1301">
        <v>45573</v>
      </c>
      <c r="C1533" s="179">
        <f t="shared" si="37"/>
        <v>41</v>
      </c>
      <c r="D1533" s="2374" t="s">
        <v>258</v>
      </c>
      <c r="E1533" s="2554" t="s">
        <v>943</v>
      </c>
      <c r="F1533" s="2537" t="s">
        <v>1764</v>
      </c>
      <c r="G1533" s="2506" t="s">
        <v>1764</v>
      </c>
      <c r="H1533" s="2251">
        <v>706</v>
      </c>
      <c r="I1533" s="2512" t="s">
        <v>5473</v>
      </c>
      <c r="J1533" s="2510"/>
      <c r="K1533" s="2466" t="s">
        <v>84</v>
      </c>
      <c r="L1533" s="1302" t="s">
        <v>37</v>
      </c>
      <c r="M1533" s="1302"/>
      <c r="N1533" s="1302"/>
      <c r="O1533" s="1302"/>
      <c r="P1533" s="1302"/>
      <c r="Q1533" s="1302"/>
      <c r="R1533" s="1302"/>
      <c r="S1533" s="1302"/>
      <c r="T1533" s="1302"/>
      <c r="U1533" s="1344"/>
      <c r="V1533" s="2525"/>
      <c r="W1533" s="2564"/>
    </row>
    <row r="1534" spans="1:23">
      <c r="A1534" s="1941" t="str">
        <f t="shared" si="36"/>
        <v>mardi</v>
      </c>
      <c r="B1534" s="1300">
        <v>45573</v>
      </c>
      <c r="C1534" s="468">
        <f t="shared" si="37"/>
        <v>41</v>
      </c>
      <c r="D1534" s="2354" t="s">
        <v>1864</v>
      </c>
      <c r="E1534" s="2359" t="s">
        <v>1554</v>
      </c>
      <c r="F1534" s="2490" t="s">
        <v>1199</v>
      </c>
      <c r="G1534" s="2485" t="s">
        <v>1199</v>
      </c>
      <c r="H1534" s="2274">
        <v>702</v>
      </c>
      <c r="I1534" s="2500" t="s">
        <v>5469</v>
      </c>
      <c r="J1534" s="2494"/>
      <c r="K1534" s="2257" t="s">
        <v>174</v>
      </c>
      <c r="L1534" s="1356" t="s">
        <v>37</v>
      </c>
      <c r="M1534" s="1356"/>
      <c r="N1534" s="1356"/>
      <c r="O1534" s="1356"/>
      <c r="P1534" s="1356"/>
      <c r="Q1534" s="1356"/>
      <c r="R1534" s="1356"/>
      <c r="S1534" s="1356"/>
      <c r="T1534" s="1356"/>
      <c r="U1534" s="1360"/>
      <c r="V1534" s="2525"/>
      <c r="W1534" s="2564"/>
    </row>
    <row r="1535" spans="1:23">
      <c r="A1535" s="1941" t="str">
        <f t="shared" si="36"/>
        <v>mardi</v>
      </c>
      <c r="B1535" s="1300">
        <v>45573</v>
      </c>
      <c r="C1535" s="468">
        <f t="shared" si="37"/>
        <v>41</v>
      </c>
      <c r="D1535" s="2354" t="s">
        <v>1554</v>
      </c>
      <c r="E1535" s="2359" t="s">
        <v>1864</v>
      </c>
      <c r="F1535" s="2490" t="s">
        <v>1199</v>
      </c>
      <c r="G1535" s="2485" t="s">
        <v>1199</v>
      </c>
      <c r="H1535" s="2274">
        <v>702</v>
      </c>
      <c r="I1535" s="2500" t="s">
        <v>5469</v>
      </c>
      <c r="J1535" s="2494"/>
      <c r="K1535" s="2257" t="s">
        <v>174</v>
      </c>
      <c r="L1535" s="1356" t="s">
        <v>37</v>
      </c>
      <c r="M1535" s="1356"/>
      <c r="N1535" s="1356"/>
      <c r="O1535" s="1356"/>
      <c r="P1535" s="1356"/>
      <c r="Q1535" s="1356"/>
      <c r="R1535" s="1356"/>
      <c r="S1535" s="1356"/>
      <c r="T1535" s="1356"/>
      <c r="U1535" s="1360"/>
      <c r="V1535" s="2525"/>
      <c r="W1535" s="2564"/>
    </row>
    <row r="1536" spans="1:23">
      <c r="A1536" s="1941" t="str">
        <f t="shared" si="36"/>
        <v>mardi</v>
      </c>
      <c r="B1536" s="1300">
        <v>45573</v>
      </c>
      <c r="C1536" s="468">
        <f t="shared" si="37"/>
        <v>41</v>
      </c>
      <c r="D1536" s="2354" t="s">
        <v>3037</v>
      </c>
      <c r="E1536" s="2359" t="s">
        <v>4155</v>
      </c>
      <c r="F1536" s="2489" t="s">
        <v>1199</v>
      </c>
      <c r="G1536" s="2484" t="s">
        <v>1199</v>
      </c>
      <c r="H1536" s="2274">
        <v>702</v>
      </c>
      <c r="I1536" s="2500" t="s">
        <v>5474</v>
      </c>
      <c r="J1536" s="2494"/>
      <c r="K1536" s="2449"/>
      <c r="L1536" s="1356"/>
      <c r="M1536" s="1356"/>
      <c r="N1536" s="1356"/>
      <c r="O1536" s="1356"/>
      <c r="P1536" s="1356"/>
      <c r="Q1536" s="1356"/>
      <c r="R1536" s="1356"/>
      <c r="S1536" s="1356" t="s">
        <v>30</v>
      </c>
      <c r="T1536" s="1356"/>
      <c r="U1536" s="1360"/>
      <c r="V1536" s="2525"/>
      <c r="W1536" s="2564"/>
    </row>
    <row r="1537" spans="1:23">
      <c r="A1537" s="1941" t="str">
        <f t="shared" si="36"/>
        <v>mardi</v>
      </c>
      <c r="B1537" s="1300">
        <v>45573</v>
      </c>
      <c r="C1537" s="468">
        <f t="shared" si="37"/>
        <v>41</v>
      </c>
      <c r="D1537" s="1493" t="s">
        <v>5475</v>
      </c>
      <c r="E1537" s="1496" t="s">
        <v>5279</v>
      </c>
      <c r="F1537" s="2538" t="s">
        <v>1199</v>
      </c>
      <c r="G1537" s="2536" t="s">
        <v>1199</v>
      </c>
      <c r="H1537" s="2274">
        <v>702</v>
      </c>
      <c r="I1537" s="2500" t="s">
        <v>5468</v>
      </c>
      <c r="J1537" s="2494"/>
      <c r="K1537" s="2545" t="s">
        <v>1199</v>
      </c>
      <c r="L1537" s="1356" t="s">
        <v>37</v>
      </c>
      <c r="M1537" s="1356"/>
      <c r="N1537" s="1356"/>
      <c r="O1537" s="1356"/>
      <c r="P1537" s="1356"/>
      <c r="Q1537" s="1356"/>
      <c r="R1537" s="1356"/>
      <c r="S1537" s="1356"/>
      <c r="T1537" s="1356"/>
      <c r="U1537" s="1360"/>
      <c r="V1537" s="2525"/>
      <c r="W1537" s="2564"/>
    </row>
    <row r="1538" spans="1:23" ht="27" thickBot="1">
      <c r="A1538" s="1938" t="str">
        <f t="shared" si="36"/>
        <v>mardi</v>
      </c>
      <c r="B1538" s="1312">
        <v>45573</v>
      </c>
      <c r="C1538" s="480">
        <f t="shared" si="37"/>
        <v>41</v>
      </c>
      <c r="D1538" s="1894" t="s">
        <v>1864</v>
      </c>
      <c r="E1538" s="2475" t="s">
        <v>148</v>
      </c>
      <c r="F1538" s="2492" t="s">
        <v>1764</v>
      </c>
      <c r="G1538" s="2517" t="s">
        <v>1199</v>
      </c>
      <c r="H1538" s="2253">
        <v>701</v>
      </c>
      <c r="I1538" s="2501" t="s">
        <v>94</v>
      </c>
      <c r="J1538" s="2495"/>
      <c r="K1538" s="2546" t="s">
        <v>1199</v>
      </c>
      <c r="L1538" s="1894" t="s">
        <v>37</v>
      </c>
      <c r="M1538" s="1894"/>
      <c r="N1538" s="1894"/>
      <c r="O1538" s="1894"/>
      <c r="P1538" s="1894"/>
      <c r="Q1538" s="1894"/>
      <c r="R1538" s="1894"/>
      <c r="S1538" s="1894"/>
      <c r="T1538" s="1894"/>
      <c r="U1538" s="2475"/>
      <c r="V1538" s="2525"/>
      <c r="W1538" s="2564"/>
    </row>
    <row r="1539" spans="1:23">
      <c r="A1539" s="2539" t="str">
        <f t="shared" si="36"/>
        <v>mercredi</v>
      </c>
      <c r="B1539" s="2522">
        <v>45574</v>
      </c>
      <c r="C1539" s="2523">
        <f t="shared" si="37"/>
        <v>41</v>
      </c>
      <c r="D1539" s="2524" t="s">
        <v>163</v>
      </c>
      <c r="E1539" s="2540" t="s">
        <v>1864</v>
      </c>
      <c r="F1539" s="2518" t="s">
        <v>1199</v>
      </c>
      <c r="G1539" s="2516" t="s">
        <v>1199</v>
      </c>
      <c r="H1539" s="2541">
        <v>701</v>
      </c>
      <c r="I1539" s="2542" t="s">
        <v>994</v>
      </c>
      <c r="J1539" s="2510"/>
      <c r="K1539" s="2543" t="s">
        <v>1199</v>
      </c>
      <c r="L1539" s="2525" t="s">
        <v>37</v>
      </c>
      <c r="M1539" s="2525"/>
      <c r="N1539" s="2525"/>
      <c r="O1539" s="2525"/>
      <c r="P1539" s="2525"/>
      <c r="Q1539" s="2525"/>
      <c r="R1539" s="2525"/>
      <c r="S1539" s="2525"/>
      <c r="T1539" s="2525"/>
      <c r="U1539" s="2544"/>
      <c r="V1539" s="2525"/>
      <c r="W1539" s="2564"/>
    </row>
    <row r="1540" spans="1:23" ht="27" thickBot="1">
      <c r="A1540" s="2526" t="str">
        <f t="shared" si="36"/>
        <v>mercredi</v>
      </c>
      <c r="B1540" s="2527">
        <v>45574</v>
      </c>
      <c r="C1540" s="2528">
        <f t="shared" si="37"/>
        <v>41</v>
      </c>
      <c r="D1540" s="2529" t="s">
        <v>5279</v>
      </c>
      <c r="E1540" s="2530" t="s">
        <v>1733</v>
      </c>
      <c r="F1540" s="2519" t="s">
        <v>1199</v>
      </c>
      <c r="G1540" s="2517" t="s">
        <v>1199</v>
      </c>
      <c r="H1540" s="2531">
        <v>702</v>
      </c>
      <c r="I1540" s="2532" t="s">
        <v>5476</v>
      </c>
      <c r="J1540" s="2495"/>
      <c r="K1540" s="2533" t="s">
        <v>1199</v>
      </c>
      <c r="L1540" s="2534" t="s">
        <v>37</v>
      </c>
      <c r="M1540" s="2534"/>
      <c r="N1540" s="2534"/>
      <c r="O1540" s="2534"/>
      <c r="P1540" s="2534"/>
      <c r="Q1540" s="2534"/>
      <c r="R1540" s="2534"/>
      <c r="S1540" s="2534"/>
      <c r="T1540" s="2534"/>
      <c r="U1540" s="2535"/>
      <c r="V1540" s="2525"/>
      <c r="W1540" s="2564"/>
    </row>
    <row r="1541" spans="1:23" ht="75">
      <c r="A1541" s="1942" t="str">
        <f t="shared" si="36"/>
        <v>jeudi</v>
      </c>
      <c r="B1541" s="1301">
        <v>45575</v>
      </c>
      <c r="C1541" s="179">
        <f t="shared" si="37"/>
        <v>41</v>
      </c>
      <c r="D1541" s="2520" t="s">
        <v>1733</v>
      </c>
      <c r="E1541" s="2521" t="s">
        <v>1864</v>
      </c>
      <c r="F1541" s="2507" t="s">
        <v>1764</v>
      </c>
      <c r="G1541" s="2503" t="s">
        <v>1764</v>
      </c>
      <c r="H1541" s="2251">
        <v>702</v>
      </c>
      <c r="I1541" s="2566" t="s">
        <v>5476</v>
      </c>
      <c r="J1541" s="2510"/>
      <c r="K1541" s="2513"/>
      <c r="L1541" s="1302" t="s">
        <v>37</v>
      </c>
      <c r="M1541" s="1302"/>
      <c r="N1541" s="1302"/>
      <c r="O1541" s="1302"/>
      <c r="P1541" s="1302"/>
      <c r="Q1541" s="1302"/>
      <c r="R1541" s="1302"/>
      <c r="S1541" s="1302"/>
      <c r="T1541" s="1302"/>
      <c r="U1541" s="1344"/>
      <c r="V1541" s="2525"/>
      <c r="W1541" s="2564" t="s">
        <v>5477</v>
      </c>
    </row>
    <row r="1542" spans="1:23">
      <c r="A1542" s="1941" t="str">
        <f t="shared" si="36"/>
        <v>jeudi</v>
      </c>
      <c r="B1542" s="1300">
        <v>45575</v>
      </c>
      <c r="C1542" s="468">
        <f t="shared" si="37"/>
        <v>41</v>
      </c>
      <c r="D1542" s="1356" t="s">
        <v>4195</v>
      </c>
      <c r="E1542" s="1360" t="s">
        <v>447</v>
      </c>
      <c r="F1542" s="2490" t="s">
        <v>1199</v>
      </c>
      <c r="G1542" s="2485" t="s">
        <v>1199</v>
      </c>
      <c r="H1542" s="2274">
        <v>701</v>
      </c>
      <c r="I1542" s="2500" t="s">
        <v>5478</v>
      </c>
      <c r="J1542" s="2494"/>
      <c r="K1542" s="2502"/>
      <c r="L1542" s="1356" t="s">
        <v>37</v>
      </c>
      <c r="M1542" s="1356"/>
      <c r="N1542" s="1356"/>
      <c r="O1542" s="1356"/>
      <c r="P1542" s="1356"/>
      <c r="Q1542" s="1356"/>
      <c r="R1542" s="1356"/>
      <c r="S1542" s="1356" t="s">
        <v>37</v>
      </c>
      <c r="T1542" s="1356"/>
      <c r="U1542" s="1360"/>
      <c r="V1542" s="2525"/>
      <c r="W1542" s="2564"/>
    </row>
    <row r="1543" spans="1:23">
      <c r="A1543" s="1941" t="str">
        <f t="shared" si="36"/>
        <v>jeudi</v>
      </c>
      <c r="B1543" s="1300">
        <v>45575</v>
      </c>
      <c r="C1543" s="468">
        <f t="shared" si="37"/>
        <v>41</v>
      </c>
      <c r="D1543" s="2473" t="s">
        <v>4966</v>
      </c>
      <c r="E1543" s="2514" t="s">
        <v>5479</v>
      </c>
      <c r="F1543" s="2490" t="s">
        <v>1199</v>
      </c>
      <c r="G1543" s="2485" t="s">
        <v>1199</v>
      </c>
      <c r="H1543" s="2274">
        <v>702</v>
      </c>
      <c r="I1543" s="2500" t="s">
        <v>5480</v>
      </c>
      <c r="J1543" s="2494"/>
      <c r="K1543" s="2257" t="s">
        <v>4236</v>
      </c>
      <c r="L1543" s="1356" t="s">
        <v>37</v>
      </c>
      <c r="M1543" s="1356"/>
      <c r="N1543" s="1356"/>
      <c r="O1543" s="1356"/>
      <c r="P1543" s="1356"/>
      <c r="Q1543" s="1356"/>
      <c r="R1543" s="1356"/>
      <c r="S1543" s="1356" t="s">
        <v>37</v>
      </c>
      <c r="T1543" s="1356"/>
      <c r="U1543" s="1360"/>
      <c r="V1543" s="2525"/>
      <c r="W1543" s="2564"/>
    </row>
    <row r="1544" spans="1:23">
      <c r="A1544" s="1941" t="str">
        <f t="shared" si="36"/>
        <v>jeudi</v>
      </c>
      <c r="B1544" s="1300">
        <v>45575</v>
      </c>
      <c r="C1544" s="468">
        <f t="shared" si="37"/>
        <v>41</v>
      </c>
      <c r="D1544" s="2473" t="s">
        <v>5481</v>
      </c>
      <c r="E1544" s="2514" t="s">
        <v>4884</v>
      </c>
      <c r="F1544" s="2508" t="s">
        <v>1206</v>
      </c>
      <c r="G1544" s="2504" t="s">
        <v>1206</v>
      </c>
      <c r="H1544" s="2274">
        <v>702</v>
      </c>
      <c r="I1544" s="2500" t="s">
        <v>5480</v>
      </c>
      <c r="J1544" s="2494"/>
      <c r="K1544" s="2502"/>
      <c r="L1544" s="1356" t="s">
        <v>37</v>
      </c>
      <c r="M1544" s="1356"/>
      <c r="N1544" s="1356"/>
      <c r="O1544" s="1356"/>
      <c r="P1544" s="1356"/>
      <c r="Q1544" s="1356"/>
      <c r="R1544" s="1356"/>
      <c r="S1544" s="1356" t="s">
        <v>37</v>
      </c>
      <c r="T1544" s="1356"/>
      <c r="U1544" s="1360"/>
      <c r="V1544" s="2525"/>
      <c r="W1544" s="2564"/>
    </row>
    <row r="1545" spans="1:23">
      <c r="A1545" s="1941" t="str">
        <f t="shared" si="36"/>
        <v>jeudi</v>
      </c>
      <c r="B1545" s="1300">
        <v>45575</v>
      </c>
      <c r="C1545" s="468">
        <f t="shared" si="37"/>
        <v>41</v>
      </c>
      <c r="D1545" s="1478" t="s">
        <v>1864</v>
      </c>
      <c r="E1545" s="1480" t="s">
        <v>5482</v>
      </c>
      <c r="F1545" s="2508" t="s">
        <v>1206</v>
      </c>
      <c r="G1545" s="2504" t="s">
        <v>1206</v>
      </c>
      <c r="H1545" s="2274">
        <v>701</v>
      </c>
      <c r="I1545" s="2500" t="s">
        <v>994</v>
      </c>
      <c r="J1545" s="2494"/>
      <c r="K1545" s="2502"/>
      <c r="L1545" s="1356" t="s">
        <v>37</v>
      </c>
      <c r="M1545" s="1356"/>
      <c r="N1545" s="1356"/>
      <c r="O1545" s="1356"/>
      <c r="P1545" s="1356"/>
      <c r="Q1545" s="1356"/>
      <c r="R1545" s="1356"/>
      <c r="S1545" s="1356"/>
      <c r="T1545" s="1356"/>
      <c r="U1545" s="1360"/>
      <c r="V1545" s="2525"/>
      <c r="W1545" s="2564"/>
    </row>
    <row r="1546" spans="1:23">
      <c r="A1546" s="1941" t="str">
        <f t="shared" si="36"/>
        <v>jeudi</v>
      </c>
      <c r="B1546" s="1300">
        <v>45575</v>
      </c>
      <c r="C1546" s="468">
        <f t="shared" si="37"/>
        <v>41</v>
      </c>
      <c r="D1546" s="1478" t="s">
        <v>5483</v>
      </c>
      <c r="E1546" s="1480" t="s">
        <v>5484</v>
      </c>
      <c r="F1546" s="2508" t="s">
        <v>1206</v>
      </c>
      <c r="G1546" s="2504" t="s">
        <v>1206</v>
      </c>
      <c r="H1546" s="2274">
        <v>701</v>
      </c>
      <c r="I1546" s="2500" t="s">
        <v>5485</v>
      </c>
      <c r="J1546" s="2495"/>
      <c r="K1546" s="2502"/>
      <c r="L1546" s="1356" t="s">
        <v>37</v>
      </c>
      <c r="M1546" s="1356"/>
      <c r="N1546" s="1356"/>
      <c r="O1546" s="1356"/>
      <c r="P1546" s="1356"/>
      <c r="Q1546" s="1356"/>
      <c r="R1546" s="1356"/>
      <c r="S1546" s="1356" t="s">
        <v>37</v>
      </c>
      <c r="T1546" s="1356"/>
      <c r="U1546" s="1360"/>
      <c r="V1546" s="2525"/>
      <c r="W1546" s="2564"/>
    </row>
    <row r="1547" spans="1:23" ht="27" thickBot="1">
      <c r="A1547" s="1938" t="str">
        <f t="shared" si="36"/>
        <v>jeudi</v>
      </c>
      <c r="B1547" s="1312">
        <v>45575</v>
      </c>
      <c r="C1547" s="480">
        <f t="shared" si="37"/>
        <v>41</v>
      </c>
      <c r="D1547" s="2474" t="s">
        <v>68</v>
      </c>
      <c r="E1547" s="2515" t="s">
        <v>499</v>
      </c>
      <c r="F1547" s="2509" t="s">
        <v>1199</v>
      </c>
      <c r="G1547" s="2505" t="s">
        <v>1199</v>
      </c>
      <c r="H1547" s="2253">
        <v>702</v>
      </c>
      <c r="I1547" s="2501" t="s">
        <v>5472</v>
      </c>
      <c r="J1547" s="2511"/>
      <c r="K1547" s="2121" t="s">
        <v>4266</v>
      </c>
      <c r="L1547" s="1894" t="s">
        <v>37</v>
      </c>
      <c r="M1547" s="1894"/>
      <c r="N1547" s="1894"/>
      <c r="O1547" s="1894"/>
      <c r="P1547" s="1894"/>
      <c r="Q1547" s="1894"/>
      <c r="R1547" s="1894"/>
      <c r="S1547" s="1894"/>
      <c r="T1547" s="1894"/>
      <c r="U1547" s="2475"/>
      <c r="V1547" s="2525"/>
      <c r="W1547" s="2564"/>
    </row>
    <row r="1548" spans="1:23">
      <c r="A1548" s="1942" t="str">
        <f t="shared" si="36"/>
        <v>vendredi</v>
      </c>
      <c r="B1548" s="1301">
        <v>45576</v>
      </c>
      <c r="C1548" s="179">
        <f t="shared" si="37"/>
        <v>41</v>
      </c>
      <c r="D1548" s="1302" t="s">
        <v>5459</v>
      </c>
      <c r="E1548" s="1344" t="s">
        <v>80</v>
      </c>
      <c r="F1548" s="2488" t="s">
        <v>1199</v>
      </c>
      <c r="G1548" s="2483" t="s">
        <v>1199</v>
      </c>
      <c r="H1548" s="2251">
        <v>701</v>
      </c>
      <c r="I1548" s="2512" t="s">
        <v>5486</v>
      </c>
      <c r="J1548" s="2493"/>
      <c r="K1548" s="2513"/>
      <c r="L1548" s="1302" t="s">
        <v>37</v>
      </c>
      <c r="M1548" s="1302"/>
      <c r="N1548" s="1302"/>
      <c r="O1548" s="1302"/>
      <c r="P1548" s="1302"/>
      <c r="Q1548" s="1302"/>
      <c r="R1548" s="1302"/>
      <c r="S1548" s="1302"/>
      <c r="T1548" s="1302"/>
      <c r="U1548" s="1344"/>
      <c r="V1548" s="2525"/>
      <c r="W1548" s="2564"/>
    </row>
    <row r="1549" spans="1:23" ht="105">
      <c r="A1549" s="1941" t="str">
        <f t="shared" si="36"/>
        <v>vendredi</v>
      </c>
      <c r="B1549" s="1300">
        <v>45576</v>
      </c>
      <c r="C1549" s="468">
        <f t="shared" si="37"/>
        <v>41</v>
      </c>
      <c r="D1549" s="1356" t="s">
        <v>148</v>
      </c>
      <c r="E1549" s="1360" t="s">
        <v>1693</v>
      </c>
      <c r="F1549" s="2489" t="s">
        <v>1199</v>
      </c>
      <c r="G1549" s="2484" t="s">
        <v>1199</v>
      </c>
      <c r="H1549" s="2274">
        <v>701</v>
      </c>
      <c r="I1549" s="2500" t="s">
        <v>94</v>
      </c>
      <c r="J1549" s="2494"/>
      <c r="K1549" s="2502"/>
      <c r="L1549" s="1356"/>
      <c r="M1549" s="1356" t="s">
        <v>37</v>
      </c>
      <c r="N1549" s="20" t="s">
        <v>71</v>
      </c>
      <c r="O1549" s="20" t="s">
        <v>138</v>
      </c>
      <c r="P1549" s="20" t="s">
        <v>4080</v>
      </c>
      <c r="Q1549" s="1356"/>
      <c r="R1549" s="1356"/>
      <c r="S1549" s="1356"/>
      <c r="T1549" s="1356"/>
      <c r="U1549" s="2477" t="s">
        <v>5487</v>
      </c>
      <c r="V1549" s="3075"/>
      <c r="W1549" s="2564"/>
    </row>
    <row r="1550" spans="1:23">
      <c r="A1550" s="1941" t="str">
        <f t="shared" si="36"/>
        <v>vendredi</v>
      </c>
      <c r="B1550" s="1300">
        <v>45576</v>
      </c>
      <c r="C1550" s="468">
        <f t="shared" si="37"/>
        <v>41</v>
      </c>
      <c r="D1550" s="1356" t="s">
        <v>1864</v>
      </c>
      <c r="E1550" s="1360" t="s">
        <v>5488</v>
      </c>
      <c r="F1550" s="2490" t="s">
        <v>1199</v>
      </c>
      <c r="G1550" s="2485" t="s">
        <v>1199</v>
      </c>
      <c r="H1550" s="2274">
        <v>701</v>
      </c>
      <c r="I1550" s="2500" t="s">
        <v>151</v>
      </c>
      <c r="J1550" s="2494"/>
      <c r="K1550" s="2502"/>
      <c r="L1550" s="1356" t="s">
        <v>37</v>
      </c>
      <c r="M1550" s="1356"/>
      <c r="N1550" s="1356"/>
      <c r="O1550" s="1356"/>
      <c r="P1550" s="1356"/>
      <c r="Q1550" s="1356"/>
      <c r="R1550" s="1356"/>
      <c r="S1550" s="1356"/>
      <c r="T1550" s="1356"/>
      <c r="U1550" s="1360"/>
      <c r="V1550" s="2525"/>
      <c r="W1550" s="2564"/>
    </row>
    <row r="1551" spans="1:23">
      <c r="A1551" s="1941" t="str">
        <f t="shared" si="36"/>
        <v>vendredi</v>
      </c>
      <c r="B1551" s="1300">
        <v>45576</v>
      </c>
      <c r="C1551" s="468">
        <f t="shared" si="37"/>
        <v>41</v>
      </c>
      <c r="D1551" s="2478" t="s">
        <v>1864</v>
      </c>
      <c r="E1551" s="2496" t="s">
        <v>258</v>
      </c>
      <c r="F1551" s="2489" t="s">
        <v>1199</v>
      </c>
      <c r="G1551" s="2484" t="s">
        <v>1199</v>
      </c>
      <c r="H1551" s="2274">
        <v>702</v>
      </c>
      <c r="I1551" s="2500" t="s">
        <v>5489</v>
      </c>
      <c r="J1551" s="2494"/>
      <c r="K1551" s="2502"/>
      <c r="L1551" s="1356" t="s">
        <v>37</v>
      </c>
      <c r="M1551" s="1356"/>
      <c r="N1551" s="1356"/>
      <c r="O1551" s="1356"/>
      <c r="P1551" s="1356"/>
      <c r="Q1551" s="1356"/>
      <c r="R1551" s="1356"/>
      <c r="S1551" s="1356"/>
      <c r="T1551" s="1356"/>
      <c r="U1551" s="1360"/>
      <c r="V1551" s="2525"/>
      <c r="W1551" s="2564"/>
    </row>
    <row r="1552" spans="1:23">
      <c r="A1552" s="1941" t="str">
        <f t="shared" si="36"/>
        <v>vendredi</v>
      </c>
      <c r="B1552" s="1300">
        <v>45576</v>
      </c>
      <c r="C1552" s="468">
        <f t="shared" si="37"/>
        <v>41</v>
      </c>
      <c r="D1552" s="2478" t="s">
        <v>258</v>
      </c>
      <c r="E1552" s="2496" t="s">
        <v>1864</v>
      </c>
      <c r="F1552" s="2489" t="s">
        <v>1199</v>
      </c>
      <c r="G1552" s="2484" t="s">
        <v>1199</v>
      </c>
      <c r="H1552" s="2274">
        <v>702</v>
      </c>
      <c r="I1552" s="2500" t="s">
        <v>5489</v>
      </c>
      <c r="J1552" s="2494"/>
      <c r="K1552" s="2502"/>
      <c r="L1552" s="1356" t="s">
        <v>37</v>
      </c>
      <c r="M1552" s="1356"/>
      <c r="N1552" s="1356"/>
      <c r="O1552" s="1356"/>
      <c r="P1552" s="1356"/>
      <c r="Q1552" s="1356"/>
      <c r="R1552" s="1356"/>
      <c r="S1552" s="1356"/>
      <c r="T1552" s="1356"/>
      <c r="U1552" s="1360"/>
      <c r="V1552" s="2525"/>
      <c r="W1552" s="2564"/>
    </row>
    <row r="1553" spans="1:23">
      <c r="A1553" s="1941" t="str">
        <f t="shared" si="36"/>
        <v>vendredi</v>
      </c>
      <c r="B1553" s="1300">
        <v>45576</v>
      </c>
      <c r="C1553" s="468">
        <f t="shared" si="37"/>
        <v>41</v>
      </c>
      <c r="D1553" s="2479" t="s">
        <v>1864</v>
      </c>
      <c r="E1553" s="2497" t="s">
        <v>43</v>
      </c>
      <c r="F1553" s="2489" t="s">
        <v>1199</v>
      </c>
      <c r="G1553" s="2484" t="s">
        <v>1199</v>
      </c>
      <c r="H1553" s="2274">
        <v>702</v>
      </c>
      <c r="I1553" s="2500" t="s">
        <v>5490</v>
      </c>
      <c r="J1553" s="2494"/>
      <c r="K1553" s="2502"/>
      <c r="L1553" s="1356" t="s">
        <v>37</v>
      </c>
      <c r="M1553" s="1356"/>
      <c r="N1553" s="1356"/>
      <c r="O1553" s="1356"/>
      <c r="P1553" s="1356"/>
      <c r="Q1553" s="1356"/>
      <c r="R1553" s="1356"/>
      <c r="S1553" s="1356"/>
      <c r="T1553" s="1356"/>
      <c r="U1553" s="1360"/>
      <c r="V1553" s="2525"/>
      <c r="W1553" s="2564"/>
    </row>
    <row r="1554" spans="1:23">
      <c r="A1554" s="1941" t="str">
        <f t="shared" si="36"/>
        <v>vendredi</v>
      </c>
      <c r="B1554" s="1300">
        <v>45576</v>
      </c>
      <c r="C1554" s="468">
        <f t="shared" si="37"/>
        <v>41</v>
      </c>
      <c r="D1554" s="2479" t="s">
        <v>43</v>
      </c>
      <c r="E1554" s="2497" t="s">
        <v>169</v>
      </c>
      <c r="F1554" s="2491" t="s">
        <v>1199</v>
      </c>
      <c r="G1554" s="2486" t="s">
        <v>1199</v>
      </c>
      <c r="H1554" s="2274">
        <v>702</v>
      </c>
      <c r="I1554" s="2500" t="s">
        <v>5491</v>
      </c>
      <c r="J1554" s="2494"/>
      <c r="K1554" s="2502"/>
      <c r="L1554" s="1356"/>
      <c r="M1554" s="1356"/>
      <c r="N1554" s="1356"/>
      <c r="O1554" s="1356"/>
      <c r="P1554" s="1356"/>
      <c r="Q1554" s="1356"/>
      <c r="R1554" s="1356"/>
      <c r="S1554" s="1356"/>
      <c r="T1554" s="1356"/>
      <c r="U1554" s="1360"/>
      <c r="V1554" s="2525"/>
      <c r="W1554" s="2564"/>
    </row>
    <row r="1555" spans="1:23" ht="53.25" thickBot="1">
      <c r="A1555" s="1938" t="str">
        <f t="shared" si="36"/>
        <v>vendredi</v>
      </c>
      <c r="B1555" s="1312">
        <v>45576</v>
      </c>
      <c r="C1555" s="480">
        <f t="shared" si="37"/>
        <v>41</v>
      </c>
      <c r="D1555" s="2498" t="s">
        <v>169</v>
      </c>
      <c r="E1555" s="2499" t="s">
        <v>671</v>
      </c>
      <c r="F1555" s="2492" t="s">
        <v>4481</v>
      </c>
      <c r="G1555" s="2487" t="s">
        <v>4481</v>
      </c>
      <c r="H1555" s="2253">
        <v>702</v>
      </c>
      <c r="I1555" s="2501" t="s">
        <v>5491</v>
      </c>
      <c r="J1555" s="2495"/>
      <c r="K1555" s="2121" t="s">
        <v>5441</v>
      </c>
      <c r="L1555" s="1894"/>
      <c r="M1555" s="1894" t="s">
        <v>37</v>
      </c>
      <c r="N1555" s="20" t="s">
        <v>122</v>
      </c>
      <c r="O1555" s="20" t="s">
        <v>123</v>
      </c>
      <c r="P1555" s="20" t="s">
        <v>4082</v>
      </c>
      <c r="Q1555" s="1894"/>
      <c r="R1555" s="1894"/>
      <c r="S1555" s="1894"/>
      <c r="T1555" s="1894"/>
      <c r="U1555" s="2475" t="s">
        <v>5492</v>
      </c>
      <c r="V1555" s="2525"/>
      <c r="W1555" s="2564"/>
    </row>
    <row r="1556" spans="1:23" ht="27" thickBot="1">
      <c r="A1556" s="1942" t="str">
        <f t="shared" si="36"/>
        <v>samedi</v>
      </c>
      <c r="B1556" s="1301">
        <v>45577</v>
      </c>
      <c r="C1556" s="520">
        <f t="shared" si="37"/>
        <v>41</v>
      </c>
      <c r="D1556" s="1302" t="s">
        <v>5465</v>
      </c>
      <c r="E1556" s="1302" t="s">
        <v>80</v>
      </c>
      <c r="F1556" s="2468" t="s">
        <v>1199</v>
      </c>
      <c r="G1556" s="2468" t="s">
        <v>1764</v>
      </c>
      <c r="H1556" s="2162">
        <v>701</v>
      </c>
      <c r="I1556" s="2476" t="s">
        <v>1485</v>
      </c>
      <c r="J1556" s="2469"/>
      <c r="K1556" s="1302"/>
      <c r="L1556" s="1302"/>
      <c r="M1556" s="1302"/>
      <c r="N1556" s="1302"/>
      <c r="O1556" s="1302"/>
      <c r="P1556" s="1302"/>
      <c r="Q1556" s="1302"/>
      <c r="R1556" s="1302"/>
      <c r="S1556" s="1302"/>
      <c r="T1556" s="1302"/>
      <c r="U1556" s="1344"/>
      <c r="V1556" s="2525"/>
      <c r="W1556" s="2564"/>
    </row>
    <row r="1557" spans="1:23" ht="409.6" thickBot="1">
      <c r="A1557" s="2140" t="str">
        <f t="shared" si="36"/>
        <v>samedi</v>
      </c>
      <c r="B1557" s="2141">
        <v>45577</v>
      </c>
      <c r="C1557" s="486">
        <f t="shared" si="37"/>
        <v>41</v>
      </c>
      <c r="D1557" s="2480" t="s">
        <v>4461</v>
      </c>
      <c r="E1557" s="2480" t="s">
        <v>2430</v>
      </c>
      <c r="F1557" s="2481" t="s">
        <v>1764</v>
      </c>
      <c r="G1557" s="2481" t="s">
        <v>1764</v>
      </c>
      <c r="H1557" s="2345">
        <v>701</v>
      </c>
      <c r="I1557" s="2482" t="s">
        <v>5493</v>
      </c>
      <c r="J1557" s="2480"/>
      <c r="K1557" s="2480"/>
      <c r="L1557" s="2480"/>
      <c r="M1557" s="2480" t="s">
        <v>37</v>
      </c>
      <c r="N1557" s="20" t="s">
        <v>231</v>
      </c>
      <c r="O1557" s="20" t="s">
        <v>232</v>
      </c>
      <c r="P1557" s="20" t="s">
        <v>4082</v>
      </c>
      <c r="Q1557" s="2480"/>
      <c r="R1557" s="2480"/>
      <c r="S1557" s="2480" t="s">
        <v>37</v>
      </c>
      <c r="T1557" s="2480"/>
      <c r="U1557" s="2563" t="s">
        <v>5494</v>
      </c>
      <c r="V1557" s="3075"/>
      <c r="W1557" s="2565" t="s">
        <v>5495</v>
      </c>
    </row>
    <row r="1558" spans="1:23" ht="27" thickBot="1">
      <c r="A1558" s="1935" t="str">
        <f t="shared" ref="A1558:A1567" si="38">TEXT(B1558,"jjjj")</f>
        <v>lundi</v>
      </c>
      <c r="B1558" s="1936">
        <v>45579</v>
      </c>
      <c r="C1558" s="486">
        <f t="shared" ref="C1558:C1621" si="39">_xlfn.ISOWEEKNUM(B1558)</f>
        <v>42</v>
      </c>
      <c r="D1558" s="2467" t="s">
        <v>1693</v>
      </c>
      <c r="E1558" s="2467" t="s">
        <v>5496</v>
      </c>
      <c r="F1558" s="2570" t="s">
        <v>1199</v>
      </c>
      <c r="G1558" s="2570" t="s">
        <v>1199</v>
      </c>
      <c r="H1558" s="2319">
        <v>702</v>
      </c>
      <c r="I1558" s="2469" t="s">
        <v>2105</v>
      </c>
      <c r="J1558" s="2469"/>
      <c r="K1558" s="1443" t="s">
        <v>84</v>
      </c>
      <c r="L1558" s="2469" t="s">
        <v>37</v>
      </c>
      <c r="M1558" s="2469"/>
      <c r="N1558" s="2469"/>
      <c r="O1558" s="2469"/>
      <c r="P1558" s="2469"/>
      <c r="Q1558" s="1943"/>
      <c r="R1558" s="1943"/>
      <c r="S1558" s="2469"/>
      <c r="T1558" s="2469"/>
      <c r="U1558" s="2470"/>
      <c r="V1558" s="2525"/>
      <c r="W1558"/>
    </row>
    <row r="1559" spans="1:23" ht="79.5" thickBot="1">
      <c r="A1559" s="1941" t="str">
        <f t="shared" si="38"/>
        <v>lundi</v>
      </c>
      <c r="B1559" s="1300">
        <v>45579</v>
      </c>
      <c r="C1559" s="486">
        <f t="shared" si="39"/>
        <v>42</v>
      </c>
      <c r="D1559" s="2291" t="s">
        <v>1864</v>
      </c>
      <c r="E1559" s="2291" t="s">
        <v>5497</v>
      </c>
      <c r="F1559" s="2571" t="s">
        <v>1199</v>
      </c>
      <c r="G1559" s="2571" t="s">
        <v>1199</v>
      </c>
      <c r="H1559" s="1070">
        <v>702</v>
      </c>
      <c r="I1559" s="1356" t="s">
        <v>5498</v>
      </c>
      <c r="J1559" s="1356"/>
      <c r="K1559" s="1356"/>
      <c r="L1559" s="1356"/>
      <c r="M1559" s="1356" t="s">
        <v>37</v>
      </c>
      <c r="N1559" s="20" t="s">
        <v>231</v>
      </c>
      <c r="O1559" s="20" t="s">
        <v>232</v>
      </c>
      <c r="P1559" s="20" t="s">
        <v>4082</v>
      </c>
      <c r="Q1559" s="76">
        <v>1</v>
      </c>
      <c r="R1559" s="76"/>
      <c r="S1559" s="1356"/>
      <c r="T1559" s="1356"/>
      <c r="U1559" s="2477" t="s">
        <v>5499</v>
      </c>
      <c r="V1559" s="3075"/>
      <c r="W1559"/>
    </row>
    <row r="1560" spans="1:23" ht="27" thickBot="1">
      <c r="A1560" s="1941" t="str">
        <f t="shared" si="38"/>
        <v>lundi</v>
      </c>
      <c r="B1560" s="1300">
        <v>45579</v>
      </c>
      <c r="C1560" s="486">
        <f t="shared" si="39"/>
        <v>42</v>
      </c>
      <c r="D1560" s="1300" t="s">
        <v>80</v>
      </c>
      <c r="E1560" s="1300" t="s">
        <v>1527</v>
      </c>
      <c r="F1560" s="2571" t="s">
        <v>1199</v>
      </c>
      <c r="G1560" s="2571" t="s">
        <v>1199</v>
      </c>
      <c r="H1560" s="2388">
        <v>701</v>
      </c>
      <c r="I1560" s="2572" t="s">
        <v>5500</v>
      </c>
      <c r="J1560" s="2572"/>
      <c r="K1560" s="1443" t="s">
        <v>84</v>
      </c>
      <c r="L1560" s="2572" t="s">
        <v>37</v>
      </c>
      <c r="M1560" s="2573"/>
      <c r="N1560" s="2572"/>
      <c r="O1560" s="2572"/>
      <c r="P1560" s="2572"/>
      <c r="Q1560" s="76"/>
      <c r="R1560" s="76"/>
      <c r="S1560" s="1356"/>
      <c r="T1560" s="1356"/>
      <c r="U1560" s="1360"/>
      <c r="V1560" s="2525"/>
      <c r="W1560"/>
    </row>
    <row r="1561" spans="1:23" ht="53.25" thickBot="1">
      <c r="A1561" s="1941" t="str">
        <f t="shared" si="38"/>
        <v>lundi</v>
      </c>
      <c r="B1561" s="1300">
        <v>45579</v>
      </c>
      <c r="C1561" s="486">
        <f t="shared" si="39"/>
        <v>42</v>
      </c>
      <c r="D1561" s="1300" t="s">
        <v>163</v>
      </c>
      <c r="E1561" s="1300" t="s">
        <v>1864</v>
      </c>
      <c r="F1561" s="2571" t="s">
        <v>1768</v>
      </c>
      <c r="G1561" s="2574" t="s">
        <v>1768</v>
      </c>
      <c r="H1561" s="1070">
        <v>701</v>
      </c>
      <c r="I1561" s="1356" t="s">
        <v>5501</v>
      </c>
      <c r="J1561" s="1356"/>
      <c r="K1561" s="1356"/>
      <c r="L1561" s="1356"/>
      <c r="M1561" s="1356" t="s">
        <v>37</v>
      </c>
      <c r="N1561" s="20" t="s">
        <v>0</v>
      </c>
      <c r="O1561" s="20" t="s">
        <v>187</v>
      </c>
      <c r="P1561" s="20" t="s">
        <v>4080</v>
      </c>
      <c r="Q1561" s="76"/>
      <c r="R1561" s="76"/>
      <c r="S1561" s="1356"/>
      <c r="T1561" s="1356"/>
      <c r="U1561" s="2477" t="s">
        <v>5502</v>
      </c>
      <c r="V1561" s="3075"/>
      <c r="W1561"/>
    </row>
    <row r="1562" spans="1:23" ht="27" thickBot="1">
      <c r="A1562" s="1941" t="str">
        <f t="shared" si="38"/>
        <v>lundi</v>
      </c>
      <c r="B1562" s="1300">
        <v>45579</v>
      </c>
      <c r="C1562" s="486">
        <f t="shared" si="39"/>
        <v>42</v>
      </c>
      <c r="D1562" s="1356" t="s">
        <v>2935</v>
      </c>
      <c r="E1562" s="1356" t="s">
        <v>4671</v>
      </c>
      <c r="F1562" s="2575" t="s">
        <v>1206</v>
      </c>
      <c r="G1562" s="2576" t="s">
        <v>1199</v>
      </c>
      <c r="H1562" s="1070">
        <v>706</v>
      </c>
      <c r="I1562" s="2572" t="s">
        <v>1683</v>
      </c>
      <c r="J1562" s="2572"/>
      <c r="K1562" s="2577" t="s">
        <v>1199</v>
      </c>
      <c r="L1562" s="2572" t="s">
        <v>37</v>
      </c>
      <c r="M1562" s="2572"/>
      <c r="N1562" s="2572"/>
      <c r="O1562" s="2572"/>
      <c r="P1562" s="2572"/>
      <c r="Q1562" s="76"/>
      <c r="R1562" s="76"/>
      <c r="S1562" s="1356"/>
      <c r="T1562" s="1356"/>
      <c r="U1562" s="1360"/>
      <c r="V1562" s="2525"/>
      <c r="W1562"/>
    </row>
    <row r="1563" spans="1:23" ht="27" thickBot="1">
      <c r="A1563" s="1941" t="str">
        <f t="shared" si="38"/>
        <v>lundi</v>
      </c>
      <c r="B1563" s="1300">
        <v>45579</v>
      </c>
      <c r="C1563" s="486">
        <f t="shared" si="39"/>
        <v>42</v>
      </c>
      <c r="D1563" s="1300" t="s">
        <v>1905</v>
      </c>
      <c r="E1563" s="1300" t="s">
        <v>671</v>
      </c>
      <c r="F1563" s="2571" t="s">
        <v>1199</v>
      </c>
      <c r="G1563" s="2571" t="s">
        <v>1199</v>
      </c>
      <c r="H1563" s="1070">
        <v>702</v>
      </c>
      <c r="I1563" s="2572" t="s">
        <v>5503</v>
      </c>
      <c r="J1563" s="2572"/>
      <c r="K1563" s="1443" t="s">
        <v>84</v>
      </c>
      <c r="L1563" s="2572" t="s">
        <v>37</v>
      </c>
      <c r="M1563" s="2572"/>
      <c r="N1563" s="2572"/>
      <c r="O1563" s="2572"/>
      <c r="P1563" s="2572"/>
      <c r="Q1563" s="76"/>
      <c r="R1563" s="76"/>
      <c r="S1563" s="1356"/>
      <c r="T1563" s="1356"/>
      <c r="U1563" s="1360"/>
      <c r="V1563" s="2525"/>
      <c r="W1563"/>
    </row>
    <row r="1564" spans="1:23" ht="53.25" thickBot="1">
      <c r="A1564" s="1941" t="str">
        <f t="shared" si="38"/>
        <v>lundi</v>
      </c>
      <c r="B1564" s="1300">
        <v>45579</v>
      </c>
      <c r="C1564" s="486">
        <f t="shared" si="39"/>
        <v>42</v>
      </c>
      <c r="D1564" s="1300" t="s">
        <v>169</v>
      </c>
      <c r="E1564" s="1300" t="s">
        <v>671</v>
      </c>
      <c r="F1564" s="2571" t="s">
        <v>1199</v>
      </c>
      <c r="G1564" s="2571" t="s">
        <v>1199</v>
      </c>
      <c r="H1564" s="1070">
        <v>702</v>
      </c>
      <c r="I1564" s="2572" t="s">
        <v>5504</v>
      </c>
      <c r="J1564" s="2572"/>
      <c r="K1564" s="1443" t="s">
        <v>1481</v>
      </c>
      <c r="L1564" s="2572"/>
      <c r="M1564" s="2572" t="s">
        <v>30</v>
      </c>
      <c r="N1564" s="20" t="s">
        <v>122</v>
      </c>
      <c r="O1564" s="20" t="s">
        <v>123</v>
      </c>
      <c r="P1564" s="20" t="s">
        <v>4082</v>
      </c>
      <c r="Q1564" s="76"/>
      <c r="R1564" s="76"/>
      <c r="S1564" s="1356"/>
      <c r="T1564" s="1356"/>
      <c r="U1564" s="1360" t="s">
        <v>5505</v>
      </c>
      <c r="V1564" s="2525"/>
      <c r="W1564"/>
    </row>
    <row r="1565" spans="1:23" ht="27" thickBot="1">
      <c r="A1565" s="1941" t="str">
        <f t="shared" si="38"/>
        <v>lundi</v>
      </c>
      <c r="B1565" s="1300">
        <v>45579</v>
      </c>
      <c r="C1565" s="486">
        <f t="shared" si="39"/>
        <v>42</v>
      </c>
      <c r="D1565" s="1493" t="s">
        <v>671</v>
      </c>
      <c r="E1565" s="1493" t="s">
        <v>5258</v>
      </c>
      <c r="F1565" s="2578" t="s">
        <v>1206</v>
      </c>
      <c r="G1565" s="2577" t="s">
        <v>1199</v>
      </c>
      <c r="H1565" s="1070"/>
      <c r="I1565" s="2476"/>
      <c r="J1565" s="2476"/>
      <c r="K1565" s="2577" t="s">
        <v>1199</v>
      </c>
      <c r="L1565" s="2476" t="s">
        <v>37</v>
      </c>
      <c r="M1565" s="2572"/>
      <c r="N1565" s="2572"/>
      <c r="O1565" s="2572"/>
      <c r="P1565" s="2572"/>
      <c r="Q1565" s="76"/>
      <c r="R1565" s="76"/>
      <c r="S1565" s="1356"/>
      <c r="T1565" s="1356"/>
      <c r="U1565" s="1360"/>
      <c r="V1565" s="2525"/>
      <c r="W1565"/>
    </row>
    <row r="1566" spans="1:23" ht="27" thickBot="1">
      <c r="A1566" s="1937" t="str">
        <f t="shared" si="38"/>
        <v>lundi</v>
      </c>
      <c r="B1566" s="1390">
        <v>45579</v>
      </c>
      <c r="C1566" s="486">
        <f t="shared" si="39"/>
        <v>42</v>
      </c>
      <c r="D1566" s="2372" t="s">
        <v>1905</v>
      </c>
      <c r="E1566" s="2372" t="s">
        <v>3153</v>
      </c>
      <c r="F1566" s="2574" t="s">
        <v>1199</v>
      </c>
      <c r="G1566" s="2574" t="s">
        <v>1199</v>
      </c>
      <c r="H1566" s="1070">
        <v>702</v>
      </c>
      <c r="I1566" s="2572" t="s">
        <v>5506</v>
      </c>
      <c r="J1566" s="2572"/>
      <c r="K1566" s="1970" t="s">
        <v>174</v>
      </c>
      <c r="L1566" s="2572" t="s">
        <v>37</v>
      </c>
      <c r="M1566" s="2572"/>
      <c r="N1566" s="2572"/>
      <c r="O1566" s="2572"/>
      <c r="P1566" s="2572"/>
      <c r="Q1566" s="76"/>
      <c r="R1566" s="76"/>
      <c r="S1566" s="1356"/>
      <c r="T1566" s="1356"/>
      <c r="U1566" s="1360"/>
      <c r="V1566" s="2525"/>
      <c r="W1566"/>
    </row>
    <row r="1567" spans="1:23" ht="27" thickBot="1">
      <c r="A1567" s="1937" t="str">
        <f t="shared" si="38"/>
        <v>lundi</v>
      </c>
      <c r="B1567" s="1390">
        <v>45579</v>
      </c>
      <c r="C1567" s="486">
        <f t="shared" si="39"/>
        <v>42</v>
      </c>
      <c r="D1567" s="2579" t="s">
        <v>1554</v>
      </c>
      <c r="E1567" s="2580" t="s">
        <v>4663</v>
      </c>
      <c r="F1567" s="2581" t="s">
        <v>1199</v>
      </c>
      <c r="G1567" s="2581" t="s">
        <v>1199</v>
      </c>
      <c r="H1567" s="2331">
        <v>702</v>
      </c>
      <c r="I1567" s="2582" t="s">
        <v>5506</v>
      </c>
      <c r="J1567" s="2582"/>
      <c r="K1567" s="1969" t="s">
        <v>174</v>
      </c>
      <c r="L1567" s="2582" t="s">
        <v>37</v>
      </c>
      <c r="M1567" s="2582"/>
      <c r="N1567" s="2582"/>
      <c r="O1567" s="2582"/>
      <c r="P1567" s="2582"/>
      <c r="Q1567" s="118"/>
      <c r="R1567" s="118"/>
      <c r="S1567" s="2422"/>
      <c r="T1567" s="2422"/>
      <c r="U1567" s="2423"/>
      <c r="V1567" s="2525"/>
      <c r="W1567"/>
    </row>
    <row r="1568" spans="1:23" ht="27" thickBot="1">
      <c r="A1568" s="1935" t="s">
        <v>67</v>
      </c>
      <c r="B1568" s="1936">
        <v>45580</v>
      </c>
      <c r="C1568" s="486">
        <f t="shared" si="39"/>
        <v>42</v>
      </c>
      <c r="D1568" s="2467" t="s">
        <v>1864</v>
      </c>
      <c r="E1568" s="2467" t="s">
        <v>5497</v>
      </c>
      <c r="F1568" s="2583" t="s">
        <v>1206</v>
      </c>
      <c r="G1568" s="2583" t="s">
        <v>1206</v>
      </c>
      <c r="H1568" s="2319">
        <v>702</v>
      </c>
      <c r="I1568" s="2469" t="s">
        <v>5498</v>
      </c>
      <c r="J1568" s="2469"/>
      <c r="K1568" s="2150"/>
      <c r="L1568" s="2469"/>
      <c r="M1568" s="2469"/>
      <c r="N1568" s="2469"/>
      <c r="O1568" s="2469"/>
      <c r="P1568" s="2469"/>
      <c r="Q1568" s="1943"/>
      <c r="R1568" s="1943"/>
      <c r="S1568" s="2469"/>
      <c r="T1568" s="2469"/>
      <c r="U1568" s="2470"/>
      <c r="V1568" s="2525"/>
      <c r="W1568"/>
    </row>
    <row r="1569" spans="1:23" ht="79.5" thickBot="1">
      <c r="A1569" s="1941" t="s">
        <v>67</v>
      </c>
      <c r="B1569" s="1300">
        <v>45580</v>
      </c>
      <c r="C1569" s="486">
        <f t="shared" si="39"/>
        <v>42</v>
      </c>
      <c r="D1569" s="2642" t="s">
        <v>450</v>
      </c>
      <c r="E1569" s="2643" t="s">
        <v>5497</v>
      </c>
      <c r="F1569" s="2584" t="s">
        <v>1199</v>
      </c>
      <c r="G1569" s="2585" t="s">
        <v>1199</v>
      </c>
      <c r="H1569" s="1070">
        <v>706</v>
      </c>
      <c r="I1569" s="2644" t="s">
        <v>5507</v>
      </c>
      <c r="J1569" s="2572"/>
      <c r="K1569" s="2644"/>
      <c r="L1569" s="2645"/>
      <c r="M1569" s="2645" t="s">
        <v>30</v>
      </c>
      <c r="N1569" s="20" t="s">
        <v>122</v>
      </c>
      <c r="O1569" s="20" t="s">
        <v>110</v>
      </c>
      <c r="P1569" s="20" t="s">
        <v>4102</v>
      </c>
      <c r="Q1569" s="76"/>
      <c r="R1569" s="76"/>
      <c r="S1569" s="1356"/>
      <c r="T1569" s="1356"/>
      <c r="U1569" s="2477" t="s">
        <v>5508</v>
      </c>
      <c r="V1569" s="3075"/>
      <c r="W1569" s="2641"/>
    </row>
    <row r="1570" spans="1:23" ht="27" thickBot="1">
      <c r="A1570" s="1941" t="s">
        <v>67</v>
      </c>
      <c r="B1570" s="1300">
        <v>45580</v>
      </c>
      <c r="C1570" s="486">
        <f t="shared" si="39"/>
        <v>42</v>
      </c>
      <c r="D1570" s="2642" t="s">
        <v>204</v>
      </c>
      <c r="E1570" s="2642" t="s">
        <v>5271</v>
      </c>
      <c r="F1570" s="2586" t="s">
        <v>1199</v>
      </c>
      <c r="G1570" s="2578" t="s">
        <v>1199</v>
      </c>
      <c r="H1570" s="1070">
        <v>706</v>
      </c>
      <c r="I1570" s="2644" t="s">
        <v>5509</v>
      </c>
      <c r="J1570" s="2572"/>
      <c r="K1570" s="2644"/>
      <c r="L1570" s="2644" t="s">
        <v>30</v>
      </c>
      <c r="M1570" s="2640"/>
      <c r="N1570" s="2572"/>
      <c r="O1570" s="2572"/>
      <c r="P1570" s="2572"/>
      <c r="Q1570" s="76"/>
      <c r="R1570" s="76"/>
      <c r="S1570" s="1356"/>
      <c r="T1570" s="1356"/>
      <c r="U1570" s="1360"/>
      <c r="V1570" s="2525"/>
      <c r="W1570" s="2641"/>
    </row>
    <row r="1571" spans="1:23" ht="27" thickBot="1">
      <c r="A1571" s="1941" t="str">
        <f>TEXT(B1571,"jjjj")</f>
        <v>mardi</v>
      </c>
      <c r="B1571" s="1300">
        <v>45580</v>
      </c>
      <c r="C1571" s="486">
        <f t="shared" si="39"/>
        <v>42</v>
      </c>
      <c r="D1571" s="1478" t="s">
        <v>163</v>
      </c>
      <c r="E1571" s="1478" t="s">
        <v>3143</v>
      </c>
      <c r="F1571" s="2577" t="s">
        <v>1199</v>
      </c>
      <c r="G1571" s="2577" t="s">
        <v>1199</v>
      </c>
      <c r="H1571" s="1070">
        <v>702</v>
      </c>
      <c r="I1571" s="2572" t="s">
        <v>5510</v>
      </c>
      <c r="J1571" s="2572"/>
      <c r="K1571" s="1443" t="s">
        <v>84</v>
      </c>
      <c r="L1571" s="2572" t="s">
        <v>37</v>
      </c>
      <c r="M1571" s="2572"/>
      <c r="N1571" s="2572"/>
      <c r="O1571" s="2572"/>
      <c r="P1571" s="2572"/>
      <c r="Q1571" s="76"/>
      <c r="R1571" s="76"/>
      <c r="S1571" s="1356"/>
      <c r="T1571" s="1356"/>
      <c r="U1571" s="1360"/>
      <c r="V1571" s="2525"/>
      <c r="W1571"/>
    </row>
    <row r="1572" spans="1:23" ht="27" thickBot="1">
      <c r="A1572" s="1941" t="s">
        <v>67</v>
      </c>
      <c r="B1572" s="1300">
        <v>45580</v>
      </c>
      <c r="C1572" s="486">
        <f t="shared" si="39"/>
        <v>42</v>
      </c>
      <c r="D1572" s="1300" t="s">
        <v>5371</v>
      </c>
      <c r="E1572" s="1300" t="s">
        <v>169</v>
      </c>
      <c r="F1572" s="2571" t="s">
        <v>1764</v>
      </c>
      <c r="G1572" s="2571" t="s">
        <v>1764</v>
      </c>
      <c r="H1572" s="1070">
        <v>706</v>
      </c>
      <c r="I1572" s="2572" t="s">
        <v>5431</v>
      </c>
      <c r="J1572" s="2572"/>
      <c r="K1572" s="2572"/>
      <c r="L1572" s="2572" t="s">
        <v>37</v>
      </c>
      <c r="M1572" s="2572"/>
      <c r="N1572" s="2572"/>
      <c r="O1572" s="2572"/>
      <c r="P1572" s="2572"/>
      <c r="Q1572" s="76"/>
      <c r="R1572" s="76"/>
      <c r="S1572" s="1356"/>
      <c r="T1572" s="1356"/>
      <c r="U1572" s="1360"/>
      <c r="V1572" s="2525"/>
      <c r="W1572"/>
    </row>
    <row r="1573" spans="1:23" ht="27" thickBot="1">
      <c r="A1573" s="1941" t="s">
        <v>67</v>
      </c>
      <c r="B1573" s="1300">
        <v>45580</v>
      </c>
      <c r="C1573" s="486">
        <f t="shared" si="39"/>
        <v>42</v>
      </c>
      <c r="D1573" s="1300" t="s">
        <v>1693</v>
      </c>
      <c r="E1573" s="1300" t="s">
        <v>148</v>
      </c>
      <c r="F1573" s="2577" t="s">
        <v>1199</v>
      </c>
      <c r="G1573" s="2587" t="s">
        <v>1199</v>
      </c>
      <c r="H1573" s="1070">
        <v>701</v>
      </c>
      <c r="I1573" s="2572" t="s">
        <v>94</v>
      </c>
      <c r="J1573" s="2572"/>
      <c r="K1573" s="2572"/>
      <c r="L1573" s="2572" t="s">
        <v>37</v>
      </c>
      <c r="M1573" s="2572"/>
      <c r="N1573" s="2572"/>
      <c r="O1573" s="2572"/>
      <c r="P1573" s="2572"/>
      <c r="Q1573" s="76"/>
      <c r="R1573" s="76"/>
      <c r="S1573" s="1356"/>
      <c r="T1573" s="1356"/>
      <c r="U1573" s="1360"/>
      <c r="V1573" s="2525"/>
      <c r="W1573"/>
    </row>
    <row r="1574" spans="1:23" ht="27" thickBot="1">
      <c r="A1574" s="1941" t="s">
        <v>67</v>
      </c>
      <c r="B1574" s="1300">
        <v>45580</v>
      </c>
      <c r="C1574" s="486">
        <f t="shared" si="39"/>
        <v>42</v>
      </c>
      <c r="D1574" s="1300" t="s">
        <v>163</v>
      </c>
      <c r="E1574" s="1300" t="s">
        <v>1527</v>
      </c>
      <c r="F1574" s="2578" t="s">
        <v>1199</v>
      </c>
      <c r="G1574" s="2587" t="s">
        <v>1199</v>
      </c>
      <c r="H1574" s="1070">
        <v>701</v>
      </c>
      <c r="I1574" s="2572" t="s">
        <v>1485</v>
      </c>
      <c r="J1574" s="2572"/>
      <c r="K1574" s="2572"/>
      <c r="L1574" s="2572" t="s">
        <v>37</v>
      </c>
      <c r="M1574" s="2572"/>
      <c r="N1574" s="2572"/>
      <c r="O1574" s="2572"/>
      <c r="P1574" s="2572"/>
      <c r="Q1574" s="76"/>
      <c r="R1574" s="76"/>
      <c r="S1574" s="1356"/>
      <c r="T1574" s="1356"/>
      <c r="U1574" s="1360"/>
      <c r="V1574" s="2525"/>
      <c r="W1574"/>
    </row>
    <row r="1575" spans="1:23" ht="27" thickBot="1">
      <c r="A1575" s="1941" t="s">
        <v>67</v>
      </c>
      <c r="B1575" s="1300">
        <v>45580</v>
      </c>
      <c r="C1575" s="486">
        <f t="shared" si="39"/>
        <v>42</v>
      </c>
      <c r="D1575" s="1300" t="s">
        <v>671</v>
      </c>
      <c r="E1575" s="1300" t="s">
        <v>182</v>
      </c>
      <c r="F1575" s="2587" t="s">
        <v>1199</v>
      </c>
      <c r="G1575" s="2587" t="s">
        <v>1199</v>
      </c>
      <c r="H1575" s="1070">
        <v>702</v>
      </c>
      <c r="I1575" s="2572" t="s">
        <v>5511</v>
      </c>
      <c r="J1575" s="2572"/>
      <c r="K1575" s="1443" t="s">
        <v>29</v>
      </c>
      <c r="L1575" s="2572" t="s">
        <v>37</v>
      </c>
      <c r="M1575" s="2572"/>
      <c r="N1575" s="2572"/>
      <c r="O1575" s="2572"/>
      <c r="P1575" s="2572"/>
      <c r="Q1575" s="76"/>
      <c r="R1575" s="76"/>
      <c r="S1575" s="1356"/>
      <c r="T1575" s="1356"/>
      <c r="U1575" s="1360"/>
      <c r="V1575" s="2525"/>
      <c r="W1575"/>
    </row>
    <row r="1576" spans="1:23" ht="53.25" thickBot="1">
      <c r="A1576" s="1942" t="s">
        <v>67</v>
      </c>
      <c r="B1576" s="1301">
        <v>45580</v>
      </c>
      <c r="C1576" s="486">
        <f t="shared" si="39"/>
        <v>42</v>
      </c>
      <c r="D1576" s="2588" t="s">
        <v>1905</v>
      </c>
      <c r="E1576" s="2588" t="s">
        <v>4746</v>
      </c>
      <c r="F1576" s="2584" t="s">
        <v>1199</v>
      </c>
      <c r="G1576" s="2585" t="s">
        <v>1199</v>
      </c>
      <c r="H1576" s="1070">
        <v>702</v>
      </c>
      <c r="I1576" s="2476" t="s">
        <v>5512</v>
      </c>
      <c r="J1576" s="2476"/>
      <c r="K1576" s="1511"/>
      <c r="L1576" s="2476"/>
      <c r="M1576" s="2476" t="s">
        <v>37</v>
      </c>
      <c r="N1576" s="20" t="s">
        <v>231</v>
      </c>
      <c r="O1576" s="20" t="s">
        <v>1048</v>
      </c>
      <c r="P1576" s="20" t="s">
        <v>4082</v>
      </c>
      <c r="Q1576" s="162">
        <v>2</v>
      </c>
      <c r="R1576" s="162"/>
      <c r="S1576" s="1302"/>
      <c r="T1576" s="1302"/>
      <c r="U1576" s="1344" t="s">
        <v>5513</v>
      </c>
      <c r="V1576" s="2525"/>
      <c r="W1576"/>
    </row>
    <row r="1577" spans="1:23" ht="53.25" thickBot="1">
      <c r="A1577" s="2140" t="s">
        <v>67</v>
      </c>
      <c r="B1577" s="2589">
        <v>45580</v>
      </c>
      <c r="C1577" s="486">
        <f t="shared" si="39"/>
        <v>42</v>
      </c>
      <c r="D1577" s="2590" t="s">
        <v>675</v>
      </c>
      <c r="E1577" s="2591" t="s">
        <v>4663</v>
      </c>
      <c r="F1577" s="2592" t="s">
        <v>1199</v>
      </c>
      <c r="G1577" s="2592" t="s">
        <v>1199</v>
      </c>
      <c r="H1577" s="2324">
        <v>702</v>
      </c>
      <c r="I1577" s="2593" t="s">
        <v>5514</v>
      </c>
      <c r="J1577" s="2482"/>
      <c r="K1577" s="2594"/>
      <c r="L1577" s="2482"/>
      <c r="M1577" s="2482" t="s">
        <v>30</v>
      </c>
      <c r="N1577" s="20" t="s">
        <v>0</v>
      </c>
      <c r="O1577" s="20" t="s">
        <v>187</v>
      </c>
      <c r="P1577" s="20" t="s">
        <v>4082</v>
      </c>
      <c r="Q1577" s="2144"/>
      <c r="R1577" s="2144"/>
      <c r="S1577" s="2480"/>
      <c r="T1577" s="2480"/>
      <c r="U1577" s="2595" t="s">
        <v>5515</v>
      </c>
      <c r="V1577" s="2525"/>
      <c r="W1577"/>
    </row>
    <row r="1578" spans="1:23" ht="27" thickBot="1">
      <c r="A1578" s="1935" t="s">
        <v>85</v>
      </c>
      <c r="B1578" s="1936">
        <v>45581</v>
      </c>
      <c r="C1578" s="486">
        <f t="shared" si="39"/>
        <v>42</v>
      </c>
      <c r="D1578" s="2596" t="s">
        <v>450</v>
      </c>
      <c r="E1578" s="2596" t="s">
        <v>5516</v>
      </c>
      <c r="F1578" s="2597" t="s">
        <v>1199</v>
      </c>
      <c r="G1578" s="2598" t="s">
        <v>1199</v>
      </c>
      <c r="H1578" s="2337">
        <v>706</v>
      </c>
      <c r="I1578" s="2599" t="s">
        <v>5517</v>
      </c>
      <c r="J1578" s="2600"/>
      <c r="K1578" s="2600"/>
      <c r="L1578" s="2600" t="s">
        <v>37</v>
      </c>
      <c r="M1578" s="2600"/>
      <c r="N1578" s="2600"/>
      <c r="O1578" s="2600"/>
      <c r="P1578" s="2600"/>
      <c r="Q1578" s="2069"/>
      <c r="R1578" s="2069"/>
      <c r="S1578" s="2601"/>
      <c r="T1578" s="2601"/>
      <c r="U1578" s="2470"/>
      <c r="V1578" s="2525"/>
      <c r="W1578"/>
    </row>
    <row r="1579" spans="1:23" ht="27" thickBot="1">
      <c r="A1579" s="1941" t="s">
        <v>85</v>
      </c>
      <c r="B1579" s="1300">
        <v>45581</v>
      </c>
      <c r="C1579" s="486">
        <f t="shared" si="39"/>
        <v>42</v>
      </c>
      <c r="D1579" s="2291" t="s">
        <v>204</v>
      </c>
      <c r="E1579" s="2602" t="s">
        <v>5518</v>
      </c>
      <c r="F1579" s="2571" t="s">
        <v>1199</v>
      </c>
      <c r="G1579" s="2574" t="s">
        <v>1199</v>
      </c>
      <c r="H1579" s="1070">
        <v>702</v>
      </c>
      <c r="I1579" s="1356" t="s">
        <v>5519</v>
      </c>
      <c r="J1579" s="1356"/>
      <c r="K1579" s="1443" t="s">
        <v>1119</v>
      </c>
      <c r="L1579" s="2572" t="s">
        <v>37</v>
      </c>
      <c r="M1579" s="2572"/>
      <c r="N1579" s="2572"/>
      <c r="O1579" s="2572"/>
      <c r="P1579" s="2572"/>
      <c r="Q1579" s="76"/>
      <c r="R1579" s="76"/>
      <c r="S1579" s="1356"/>
      <c r="T1579" s="1356"/>
      <c r="U1579" s="1360"/>
      <c r="V1579" s="2525"/>
      <c r="W1579"/>
    </row>
    <row r="1580" spans="1:23" ht="79.5" thickBot="1">
      <c r="A1580" s="1941" t="s">
        <v>85</v>
      </c>
      <c r="B1580" s="1300">
        <v>45581</v>
      </c>
      <c r="C1580" s="486">
        <f t="shared" si="39"/>
        <v>42</v>
      </c>
      <c r="D1580" s="1300" t="s">
        <v>5520</v>
      </c>
      <c r="E1580" s="2151" t="s">
        <v>1654</v>
      </c>
      <c r="F1580" s="2571" t="s">
        <v>1764</v>
      </c>
      <c r="G1580" s="2571" t="s">
        <v>1764</v>
      </c>
      <c r="H1580" s="1070">
        <v>707</v>
      </c>
      <c r="I1580" s="2572" t="s">
        <v>5521</v>
      </c>
      <c r="J1580" s="2572"/>
      <c r="K1580" s="2572"/>
      <c r="L1580" s="2572"/>
      <c r="M1580" s="2572" t="s">
        <v>30</v>
      </c>
      <c r="N1580" s="20" t="s">
        <v>109</v>
      </c>
      <c r="O1580" s="20" t="s">
        <v>1589</v>
      </c>
      <c r="P1580" s="20" t="s">
        <v>4674</v>
      </c>
      <c r="Q1580" s="76"/>
      <c r="R1580" s="76"/>
      <c r="S1580" s="1356"/>
      <c r="T1580" s="1356"/>
      <c r="U1580" s="1360" t="s">
        <v>5522</v>
      </c>
      <c r="V1580" s="2525"/>
      <c r="W1580" s="2641" t="s">
        <v>5523</v>
      </c>
    </row>
    <row r="1581" spans="1:23" ht="27" thickBot="1">
      <c r="A1581" s="1941" t="str">
        <f>TEXT(B1581,"jjjj")</f>
        <v>mercredi</v>
      </c>
      <c r="B1581" s="1300">
        <v>45581</v>
      </c>
      <c r="C1581" s="486">
        <f t="shared" si="39"/>
        <v>42</v>
      </c>
      <c r="D1581" s="1478" t="s">
        <v>450</v>
      </c>
      <c r="E1581" s="1478" t="s">
        <v>5524</v>
      </c>
      <c r="F1581" s="2577" t="s">
        <v>1199</v>
      </c>
      <c r="G1581" s="2577" t="s">
        <v>1199</v>
      </c>
      <c r="H1581" s="1070">
        <v>702</v>
      </c>
      <c r="I1581" s="2572" t="s">
        <v>5510</v>
      </c>
      <c r="J1581" s="2572"/>
      <c r="K1581" s="1443" t="s">
        <v>84</v>
      </c>
      <c r="L1581" s="2572" t="s">
        <v>37</v>
      </c>
      <c r="M1581" s="2572"/>
      <c r="N1581" s="2572"/>
      <c r="O1581" s="2572"/>
      <c r="P1581" s="2572"/>
      <c r="Q1581" s="76"/>
      <c r="R1581" s="76"/>
      <c r="S1581" s="1356"/>
      <c r="T1581" s="1356"/>
      <c r="U1581" s="1360"/>
      <c r="V1581" s="2525"/>
      <c r="W1581" s="2641"/>
    </row>
    <row r="1582" spans="1:23" ht="27" thickBot="1">
      <c r="A1582" s="1941" t="s">
        <v>85</v>
      </c>
      <c r="B1582" s="1300">
        <v>45581</v>
      </c>
      <c r="C1582" s="486">
        <f t="shared" si="39"/>
        <v>42</v>
      </c>
      <c r="D1582" s="1300" t="s">
        <v>169</v>
      </c>
      <c r="E1582" s="1300" t="s">
        <v>1065</v>
      </c>
      <c r="F1582" s="2587" t="s">
        <v>1199</v>
      </c>
      <c r="G1582" s="2587" t="s">
        <v>1199</v>
      </c>
      <c r="H1582" s="1070">
        <v>706</v>
      </c>
      <c r="I1582" s="2572" t="s">
        <v>5525</v>
      </c>
      <c r="J1582" s="2572"/>
      <c r="K1582" s="1970" t="s">
        <v>174</v>
      </c>
      <c r="L1582" s="2572" t="s">
        <v>37</v>
      </c>
      <c r="M1582" s="2572"/>
      <c r="N1582" s="2572"/>
      <c r="O1582" s="2572"/>
      <c r="P1582" s="2572"/>
      <c r="Q1582" s="76"/>
      <c r="R1582" s="76"/>
      <c r="S1582" s="1356"/>
      <c r="T1582" s="1356"/>
      <c r="U1582" s="1360"/>
      <c r="V1582" s="2525"/>
      <c r="W1582"/>
    </row>
    <row r="1583" spans="1:23" ht="27" thickBot="1">
      <c r="A1583" s="1937" t="s">
        <v>85</v>
      </c>
      <c r="B1583" s="1390">
        <v>45581</v>
      </c>
      <c r="C1583" s="508">
        <f t="shared" si="39"/>
        <v>42</v>
      </c>
      <c r="D1583" s="1390" t="s">
        <v>1527</v>
      </c>
      <c r="E1583" s="1390" t="s">
        <v>3353</v>
      </c>
      <c r="F1583" s="2603" t="s">
        <v>1764</v>
      </c>
      <c r="G1583" s="2604" t="s">
        <v>1199</v>
      </c>
      <c r="H1583" s="1150">
        <v>701</v>
      </c>
      <c r="I1583" s="2582" t="s">
        <v>1218</v>
      </c>
      <c r="J1583" s="2605"/>
      <c r="K1583" s="2582"/>
      <c r="L1583" s="2582" t="s">
        <v>37</v>
      </c>
      <c r="M1583" s="2582"/>
      <c r="N1583" s="2582"/>
      <c r="O1583" s="2582"/>
      <c r="P1583" s="2582"/>
      <c r="Q1583" s="118"/>
      <c r="R1583" s="118"/>
      <c r="S1583" s="2422"/>
      <c r="T1583" s="2422"/>
      <c r="U1583" s="2423"/>
      <c r="V1583" s="2525"/>
      <c r="W1583"/>
    </row>
    <row r="1584" spans="1:23" ht="27" thickBot="1">
      <c r="A1584" s="1935" t="s">
        <v>105</v>
      </c>
      <c r="B1584" s="1936">
        <v>45582</v>
      </c>
      <c r="C1584" s="486">
        <f t="shared" si="39"/>
        <v>42</v>
      </c>
      <c r="D1584" s="2467" t="s">
        <v>4503</v>
      </c>
      <c r="E1584" s="2555" t="s">
        <v>5526</v>
      </c>
      <c r="F1584" s="2488" t="s">
        <v>1199</v>
      </c>
      <c r="G1584" s="2483" t="s">
        <v>1199</v>
      </c>
      <c r="H1584" s="2249">
        <v>702</v>
      </c>
      <c r="I1584" s="2470" t="s">
        <v>5527</v>
      </c>
      <c r="J1584" s="2493"/>
      <c r="K1584" s="2629" t="s">
        <v>1119</v>
      </c>
      <c r="L1584" s="2469" t="s">
        <v>37</v>
      </c>
      <c r="M1584" s="2469"/>
      <c r="N1584" s="2469"/>
      <c r="O1584" s="2469"/>
      <c r="P1584" s="2469"/>
      <c r="Q1584" s="1943"/>
      <c r="R1584" s="1943"/>
      <c r="S1584" s="2469"/>
      <c r="T1584" s="2469"/>
      <c r="U1584" s="2470"/>
      <c r="V1584" s="2525"/>
      <c r="W1584"/>
    </row>
    <row r="1585" spans="1:23" ht="27" thickBot="1">
      <c r="A1585" s="1942" t="s">
        <v>105</v>
      </c>
      <c r="B1585" s="1301">
        <v>45582</v>
      </c>
      <c r="C1585" s="486">
        <f t="shared" si="39"/>
        <v>42</v>
      </c>
      <c r="D1585" s="2606" t="s">
        <v>258</v>
      </c>
      <c r="E1585" s="2636" t="s">
        <v>5528</v>
      </c>
      <c r="F1585" s="2614" t="s">
        <v>1199</v>
      </c>
      <c r="G1585" s="2619" t="s">
        <v>1199</v>
      </c>
      <c r="H1585" s="2251">
        <v>705</v>
      </c>
      <c r="I1585" s="2512" t="s">
        <v>5517</v>
      </c>
      <c r="J1585" s="2623"/>
      <c r="K1585" s="2631"/>
      <c r="L1585" s="2476" t="s">
        <v>37</v>
      </c>
      <c r="M1585" s="2476"/>
      <c r="N1585" s="2476"/>
      <c r="O1585" s="2476"/>
      <c r="P1585" s="2476"/>
      <c r="Q1585" s="162"/>
      <c r="R1585" s="162"/>
      <c r="S1585" s="1302"/>
      <c r="T1585" s="1302"/>
      <c r="U1585" s="1344"/>
      <c r="V1585" s="2525"/>
      <c r="W1585"/>
    </row>
    <row r="1586" spans="1:23" ht="27" thickBot="1">
      <c r="A1586" s="1942" t="s">
        <v>105</v>
      </c>
      <c r="B1586" s="1301">
        <v>45582</v>
      </c>
      <c r="C1586" s="486">
        <f t="shared" si="39"/>
        <v>42</v>
      </c>
      <c r="D1586" s="2606" t="s">
        <v>1082</v>
      </c>
      <c r="E1586" s="2636" t="s">
        <v>258</v>
      </c>
      <c r="F1586" s="2615" t="s">
        <v>1199</v>
      </c>
      <c r="G1586" s="2620" t="s">
        <v>1199</v>
      </c>
      <c r="H1586" s="2251">
        <v>705</v>
      </c>
      <c r="I1586" s="2512" t="s">
        <v>5507</v>
      </c>
      <c r="J1586" s="2623"/>
      <c r="K1586" s="2257" t="s">
        <v>84</v>
      </c>
      <c r="L1586" s="2476" t="s">
        <v>37</v>
      </c>
      <c r="M1586" s="2476"/>
      <c r="N1586" s="2476"/>
      <c r="O1586" s="2476"/>
      <c r="P1586" s="2476"/>
      <c r="Q1586" s="162"/>
      <c r="R1586" s="162"/>
      <c r="S1586" s="1302"/>
      <c r="T1586" s="1302"/>
      <c r="U1586" s="1344" t="s">
        <v>5529</v>
      </c>
      <c r="V1586" s="2525"/>
      <c r="W1586"/>
    </row>
    <row r="1587" spans="1:23" ht="27" thickBot="1">
      <c r="A1587" s="1941" t="s">
        <v>105</v>
      </c>
      <c r="B1587" s="1300">
        <v>45582</v>
      </c>
      <c r="C1587" s="486">
        <f t="shared" si="39"/>
        <v>42</v>
      </c>
      <c r="D1587" s="1300" t="s">
        <v>182</v>
      </c>
      <c r="E1587" s="1328" t="s">
        <v>671</v>
      </c>
      <c r="F1587" s="2538" t="s">
        <v>1199</v>
      </c>
      <c r="G1587" s="2536" t="s">
        <v>1199</v>
      </c>
      <c r="H1587" s="2274">
        <v>702</v>
      </c>
      <c r="I1587" s="2500" t="s">
        <v>5511</v>
      </c>
      <c r="J1587" s="2622"/>
      <c r="K1587" s="2257" t="s">
        <v>29</v>
      </c>
      <c r="L1587" s="2572" t="s">
        <v>37</v>
      </c>
      <c r="M1587" s="2572"/>
      <c r="N1587" s="2572"/>
      <c r="O1587" s="2572"/>
      <c r="P1587" s="2572"/>
      <c r="Q1587" s="76"/>
      <c r="R1587" s="76"/>
      <c r="S1587" s="1356"/>
      <c r="T1587" s="1356"/>
      <c r="U1587" s="1360"/>
      <c r="V1587" s="2525"/>
      <c r="W1587"/>
    </row>
    <row r="1588" spans="1:23" ht="27" thickBot="1">
      <c r="A1588" s="1941" t="s">
        <v>105</v>
      </c>
      <c r="B1588" s="1300">
        <v>45582</v>
      </c>
      <c r="C1588" s="486">
        <f t="shared" si="39"/>
        <v>42</v>
      </c>
      <c r="D1588" s="1300" t="s">
        <v>3290</v>
      </c>
      <c r="E1588" s="1328" t="s">
        <v>5530</v>
      </c>
      <c r="F1588" s="2490" t="s">
        <v>1199</v>
      </c>
      <c r="G1588" s="2485" t="s">
        <v>1199</v>
      </c>
      <c r="H1588" s="2274">
        <v>702</v>
      </c>
      <c r="I1588" s="2500" t="s">
        <v>5531</v>
      </c>
      <c r="J1588" s="2622"/>
      <c r="K1588" s="2630"/>
      <c r="L1588" s="2572" t="s">
        <v>37</v>
      </c>
      <c r="M1588" s="2572"/>
      <c r="N1588" s="2572"/>
      <c r="O1588" s="2572"/>
      <c r="P1588" s="2572"/>
      <c r="Q1588" s="76"/>
      <c r="R1588" s="76"/>
      <c r="S1588" s="1356" t="s">
        <v>37</v>
      </c>
      <c r="T1588" s="1356"/>
      <c r="U1588" s="1360" t="s">
        <v>5427</v>
      </c>
      <c r="V1588" s="2525"/>
      <c r="W1588"/>
    </row>
    <row r="1589" spans="1:23" ht="27" thickBot="1">
      <c r="A1589" s="2140" t="s">
        <v>105</v>
      </c>
      <c r="B1589" s="2141">
        <v>45582</v>
      </c>
      <c r="C1589" s="486">
        <f t="shared" si="39"/>
        <v>42</v>
      </c>
      <c r="D1589" s="2607" t="s">
        <v>163</v>
      </c>
      <c r="E1589" s="2637" t="s">
        <v>750</v>
      </c>
      <c r="F1589" s="2634" t="s">
        <v>1199</v>
      </c>
      <c r="G1589" s="2633" t="s">
        <v>1199</v>
      </c>
      <c r="H1589" s="2638">
        <v>705</v>
      </c>
      <c r="I1589" s="2639" t="s">
        <v>5532</v>
      </c>
      <c r="J1589" s="2635"/>
      <c r="K1589" s="2632"/>
      <c r="L1589" s="2482" t="s">
        <v>37</v>
      </c>
      <c r="M1589" s="2482"/>
      <c r="N1589" s="2482"/>
      <c r="O1589" s="2482"/>
      <c r="P1589" s="2482"/>
      <c r="Q1589" s="2144"/>
      <c r="R1589" s="2144"/>
      <c r="S1589" s="2480"/>
      <c r="T1589" s="2480"/>
      <c r="U1589" s="2595" t="s">
        <v>5533</v>
      </c>
      <c r="V1589" s="2525"/>
      <c r="W1589"/>
    </row>
    <row r="1590" spans="1:23" ht="27" thickBot="1">
      <c r="A1590" s="2070" t="s">
        <v>132</v>
      </c>
      <c r="B1590" s="2068">
        <v>45583</v>
      </c>
      <c r="C1590" s="486">
        <f t="shared" si="39"/>
        <v>42</v>
      </c>
      <c r="D1590" s="2467" t="s">
        <v>4768</v>
      </c>
      <c r="E1590" s="2555" t="s">
        <v>5534</v>
      </c>
      <c r="F1590" s="2611" t="s">
        <v>1199</v>
      </c>
      <c r="G1590" s="2616" t="s">
        <v>1199</v>
      </c>
      <c r="H1590" s="2249">
        <v>702</v>
      </c>
      <c r="I1590" s="2470" t="s">
        <v>5535</v>
      </c>
      <c r="J1590" s="2494"/>
      <c r="K1590" s="2629" t="s">
        <v>1119</v>
      </c>
      <c r="L1590" s="2469" t="s">
        <v>37</v>
      </c>
      <c r="M1590" s="2469"/>
      <c r="N1590" s="2469"/>
      <c r="O1590" s="2469"/>
      <c r="P1590" s="2469"/>
      <c r="Q1590" s="1943"/>
      <c r="R1590" s="1943"/>
      <c r="S1590" s="2469"/>
      <c r="T1590" s="2469"/>
      <c r="U1590" s="2470"/>
      <c r="V1590" s="2525"/>
      <c r="W1590"/>
    </row>
    <row r="1591" spans="1:23" ht="27" thickBot="1">
      <c r="A1591" s="1937" t="s">
        <v>132</v>
      </c>
      <c r="B1591" s="1390">
        <v>45583</v>
      </c>
      <c r="C1591" s="486">
        <f t="shared" si="39"/>
        <v>42</v>
      </c>
      <c r="D1591" s="2608" t="s">
        <v>4609</v>
      </c>
      <c r="E1591" s="2624" t="s">
        <v>5536</v>
      </c>
      <c r="F1591" s="2612" t="s">
        <v>1764</v>
      </c>
      <c r="G1591" s="2617" t="s">
        <v>1764</v>
      </c>
      <c r="H1591" s="2258">
        <v>702</v>
      </c>
      <c r="I1591" s="2628" t="s">
        <v>5537</v>
      </c>
      <c r="J1591" s="2621"/>
      <c r="K1591" s="2125" t="s">
        <v>84</v>
      </c>
      <c r="L1591" s="2582" t="s">
        <v>37</v>
      </c>
      <c r="M1591" s="2582"/>
      <c r="N1591" s="2582"/>
      <c r="O1591" s="2582"/>
      <c r="P1591" s="2582"/>
      <c r="Q1591" s="118"/>
      <c r="R1591" s="118"/>
      <c r="S1591" s="2422"/>
      <c r="T1591" s="2422"/>
      <c r="U1591" s="2423"/>
      <c r="V1591" s="2525"/>
      <c r="W1591"/>
    </row>
    <row r="1592" spans="1:23" ht="27" thickBot="1">
      <c r="A1592" s="1941" t="s">
        <v>132</v>
      </c>
      <c r="B1592" s="1300">
        <v>45583</v>
      </c>
      <c r="C1592" s="486">
        <f t="shared" si="39"/>
        <v>42</v>
      </c>
      <c r="D1592" s="2479" t="s">
        <v>436</v>
      </c>
      <c r="E1592" s="2497" t="s">
        <v>61</v>
      </c>
      <c r="F1592" s="2613" t="s">
        <v>1199</v>
      </c>
      <c r="G1592" s="2618" t="s">
        <v>1199</v>
      </c>
      <c r="H1592" s="2274">
        <v>705</v>
      </c>
      <c r="I1592" s="2500" t="s">
        <v>318</v>
      </c>
      <c r="J1592" s="2622"/>
      <c r="K1592" s="2630"/>
      <c r="L1592" s="2572" t="s">
        <v>37</v>
      </c>
      <c r="M1592" s="2572"/>
      <c r="N1592" s="2572"/>
      <c r="O1592" s="2572"/>
      <c r="P1592" s="2572"/>
      <c r="Q1592" s="76"/>
      <c r="R1592" s="76"/>
      <c r="S1592" s="1356"/>
      <c r="T1592" s="1356"/>
      <c r="U1592" s="1360"/>
      <c r="V1592" s="2525"/>
      <c r="W1592"/>
    </row>
    <row r="1593" spans="1:23" ht="27" thickBot="1">
      <c r="A1593" s="1941" t="s">
        <v>132</v>
      </c>
      <c r="B1593" s="1300">
        <v>45583</v>
      </c>
      <c r="C1593" s="486">
        <f t="shared" si="39"/>
        <v>42</v>
      </c>
      <c r="D1593" s="1299" t="s">
        <v>2430</v>
      </c>
      <c r="E1593" s="1387" t="s">
        <v>5193</v>
      </c>
      <c r="F1593" s="2489" t="s">
        <v>1199</v>
      </c>
      <c r="G1593" s="2484" t="s">
        <v>1199</v>
      </c>
      <c r="H1593" s="2274">
        <v>701</v>
      </c>
      <c r="I1593" s="2500" t="s">
        <v>5538</v>
      </c>
      <c r="J1593" s="2622"/>
      <c r="K1593" s="2630"/>
      <c r="L1593" s="2572" t="s">
        <v>37</v>
      </c>
      <c r="M1593" s="2572"/>
      <c r="N1593" s="2572"/>
      <c r="O1593" s="2572"/>
      <c r="P1593" s="2572"/>
      <c r="Q1593" s="76"/>
      <c r="R1593" s="76"/>
      <c r="S1593" s="1356" t="s">
        <v>37</v>
      </c>
      <c r="T1593" s="1356"/>
      <c r="U1593" s="1360"/>
      <c r="V1593" s="2525"/>
      <c r="W1593"/>
    </row>
    <row r="1594" spans="1:23" ht="27" thickBot="1">
      <c r="A1594" s="1941" t="s">
        <v>132</v>
      </c>
      <c r="B1594" s="1300">
        <v>45583</v>
      </c>
      <c r="C1594" s="486">
        <f t="shared" si="39"/>
        <v>42</v>
      </c>
      <c r="D1594" s="1299" t="s">
        <v>5193</v>
      </c>
      <c r="E1594" s="1387" t="s">
        <v>2430</v>
      </c>
      <c r="F1594" s="2538" t="s">
        <v>1199</v>
      </c>
      <c r="G1594" s="2536" t="s">
        <v>1199</v>
      </c>
      <c r="H1594" s="2274">
        <v>701</v>
      </c>
      <c r="I1594" s="2500" t="s">
        <v>5539</v>
      </c>
      <c r="J1594" s="2622"/>
      <c r="K1594" s="2630"/>
      <c r="L1594" s="2572" t="s">
        <v>37</v>
      </c>
      <c r="M1594" s="2572"/>
      <c r="N1594" s="2572"/>
      <c r="O1594" s="2572"/>
      <c r="P1594" s="2572"/>
      <c r="Q1594" s="76"/>
      <c r="R1594" s="76"/>
      <c r="S1594" s="1356" t="s">
        <v>37</v>
      </c>
      <c r="T1594" s="1356"/>
      <c r="U1594" s="1360"/>
      <c r="V1594" s="2525"/>
      <c r="W1594"/>
    </row>
    <row r="1595" spans="1:23" ht="27" thickBot="1">
      <c r="A1595" s="1942" t="s">
        <v>132</v>
      </c>
      <c r="B1595" s="1301">
        <v>45583</v>
      </c>
      <c r="C1595" s="486">
        <f t="shared" si="39"/>
        <v>42</v>
      </c>
      <c r="D1595" s="1301" t="s">
        <v>148</v>
      </c>
      <c r="E1595" s="1343" t="s">
        <v>80</v>
      </c>
      <c r="F1595" s="2614" t="s">
        <v>1199</v>
      </c>
      <c r="G1595" s="2619" t="s">
        <v>1199</v>
      </c>
      <c r="H1595" s="2251">
        <v>701</v>
      </c>
      <c r="I1595" s="2512" t="s">
        <v>3032</v>
      </c>
      <c r="J1595" s="2623"/>
      <c r="K1595" s="2631"/>
      <c r="L1595" s="2476" t="s">
        <v>37</v>
      </c>
      <c r="M1595" s="2476"/>
      <c r="N1595" s="2476"/>
      <c r="O1595" s="2476"/>
      <c r="P1595" s="2476"/>
      <c r="Q1595" s="162"/>
      <c r="R1595" s="162"/>
      <c r="S1595" s="1302"/>
      <c r="T1595" s="1302"/>
      <c r="U1595" s="1344"/>
      <c r="V1595" s="2525"/>
      <c r="W1595"/>
    </row>
    <row r="1596" spans="1:23" ht="27" thickBot="1">
      <c r="A1596" s="1941" t="s">
        <v>132</v>
      </c>
      <c r="B1596" s="1300">
        <v>45583</v>
      </c>
      <c r="C1596" s="486">
        <f t="shared" si="39"/>
        <v>42</v>
      </c>
      <c r="D1596" s="1301" t="s">
        <v>5540</v>
      </c>
      <c r="E1596" s="1343" t="s">
        <v>1145</v>
      </c>
      <c r="F1596" s="2488" t="s">
        <v>1764</v>
      </c>
      <c r="G1596" s="2483" t="s">
        <v>1764</v>
      </c>
      <c r="H1596" s="2251">
        <v>706</v>
      </c>
      <c r="I1596" s="2512" t="s">
        <v>5541</v>
      </c>
      <c r="J1596" s="2623"/>
      <c r="K1596" s="2631"/>
      <c r="L1596" s="2476" t="s">
        <v>37</v>
      </c>
      <c r="M1596" s="2476"/>
      <c r="N1596" s="2476"/>
      <c r="O1596" s="2476"/>
      <c r="P1596" s="2476"/>
      <c r="Q1596" s="162"/>
      <c r="R1596" s="162"/>
      <c r="S1596" s="1302"/>
      <c r="T1596" s="1302"/>
      <c r="U1596" s="1344"/>
      <c r="V1596" s="2525"/>
      <c r="W1596"/>
    </row>
    <row r="1597" spans="1:23" ht="53.25" thickBot="1">
      <c r="A1597" s="1942" t="s">
        <v>132</v>
      </c>
      <c r="B1597" s="1301">
        <v>45583</v>
      </c>
      <c r="C1597" s="486">
        <f t="shared" si="39"/>
        <v>42</v>
      </c>
      <c r="D1597" s="2609" t="s">
        <v>671</v>
      </c>
      <c r="E1597" s="2625" t="s">
        <v>1153</v>
      </c>
      <c r="F1597" s="2615" t="s">
        <v>1199</v>
      </c>
      <c r="G1597" s="2620" t="s">
        <v>1199</v>
      </c>
      <c r="H1597" s="2251">
        <v>702</v>
      </c>
      <c r="I1597" s="2512" t="s">
        <v>5542</v>
      </c>
      <c r="J1597" s="2623"/>
      <c r="K1597" s="2631"/>
      <c r="L1597" s="2476" t="s">
        <v>37</v>
      </c>
      <c r="M1597" s="2476"/>
      <c r="N1597" s="2476"/>
      <c r="O1597" s="2476"/>
      <c r="P1597" s="2476"/>
      <c r="Q1597" s="162"/>
      <c r="R1597" s="162"/>
      <c r="S1597" s="1302"/>
      <c r="T1597" s="1302"/>
      <c r="U1597" s="2610" t="s">
        <v>5543</v>
      </c>
      <c r="V1597" s="3075"/>
      <c r="W1597"/>
    </row>
    <row r="1598" spans="1:23" ht="27" thickBot="1">
      <c r="A1598" s="1942" t="s">
        <v>132</v>
      </c>
      <c r="B1598" s="1301">
        <v>45583</v>
      </c>
      <c r="C1598" s="486">
        <f t="shared" si="39"/>
        <v>42</v>
      </c>
      <c r="D1598" s="2609" t="s">
        <v>1153</v>
      </c>
      <c r="E1598" s="2625" t="s">
        <v>5497</v>
      </c>
      <c r="F1598" s="2615" t="s">
        <v>1199</v>
      </c>
      <c r="G1598" s="2620" t="s">
        <v>1199</v>
      </c>
      <c r="H1598" s="2251">
        <v>702</v>
      </c>
      <c r="I1598" s="2512" t="s">
        <v>5542</v>
      </c>
      <c r="J1598" s="2623"/>
      <c r="K1598" s="2125" t="s">
        <v>84</v>
      </c>
      <c r="L1598" s="2476" t="s">
        <v>37</v>
      </c>
      <c r="M1598" s="2476"/>
      <c r="N1598" s="2476"/>
      <c r="O1598" s="2476"/>
      <c r="P1598" s="2476"/>
      <c r="Q1598" s="162"/>
      <c r="R1598" s="162"/>
      <c r="S1598" s="1302"/>
      <c r="T1598" s="1302"/>
      <c r="U1598" s="1344"/>
      <c r="V1598" s="2525"/>
      <c r="W1598"/>
    </row>
    <row r="1599" spans="1:23" ht="27" thickBot="1">
      <c r="A1599" s="1941" t="s">
        <v>132</v>
      </c>
      <c r="B1599" s="1300">
        <v>45583</v>
      </c>
      <c r="C1599" s="486">
        <f t="shared" si="39"/>
        <v>42</v>
      </c>
      <c r="D1599" s="2588" t="s">
        <v>1905</v>
      </c>
      <c r="E1599" s="2626" t="s">
        <v>4746</v>
      </c>
      <c r="F1599" s="2488" t="s">
        <v>1764</v>
      </c>
      <c r="G1599" s="2483" t="s">
        <v>1764</v>
      </c>
      <c r="H1599" s="2274">
        <v>702</v>
      </c>
      <c r="I1599" s="2512" t="s">
        <v>5512</v>
      </c>
      <c r="J1599" s="2623"/>
      <c r="K1599" s="2631"/>
      <c r="L1599" s="2476" t="s">
        <v>37</v>
      </c>
      <c r="M1599" s="2476"/>
      <c r="N1599" s="2476"/>
      <c r="O1599" s="2476"/>
      <c r="P1599" s="2476"/>
      <c r="Q1599" s="162"/>
      <c r="R1599" s="162">
        <v>2</v>
      </c>
      <c r="S1599" s="1302"/>
      <c r="T1599" s="1302"/>
      <c r="U1599" s="1344" t="s">
        <v>5544</v>
      </c>
      <c r="V1599" s="2525"/>
      <c r="W1599"/>
    </row>
    <row r="1600" spans="1:23" ht="27" thickBot="1">
      <c r="A1600" s="2140" t="s">
        <v>132</v>
      </c>
      <c r="B1600" s="2141">
        <v>45583</v>
      </c>
      <c r="C1600" s="508">
        <f t="shared" si="39"/>
        <v>42</v>
      </c>
      <c r="D1600" s="2590" t="s">
        <v>675</v>
      </c>
      <c r="E1600" s="2627" t="s">
        <v>4663</v>
      </c>
      <c r="F1600" s="2615" t="s">
        <v>1199</v>
      </c>
      <c r="G1600" s="2620" t="s">
        <v>1199</v>
      </c>
      <c r="H1600" s="2258">
        <v>702</v>
      </c>
      <c r="I1600" s="2713" t="s">
        <v>5514</v>
      </c>
      <c r="J1600" s="2623"/>
      <c r="K1600" s="2714"/>
      <c r="L1600" s="2715" t="s">
        <v>37</v>
      </c>
      <c r="M1600" s="2715"/>
      <c r="N1600" s="2715"/>
      <c r="O1600" s="2715"/>
      <c r="P1600" s="2715"/>
      <c r="Q1600" s="2052"/>
      <c r="R1600" s="2052"/>
      <c r="S1600" s="2716"/>
      <c r="T1600" s="2716"/>
      <c r="U1600" s="2717"/>
      <c r="V1600" s="2525"/>
      <c r="W1600"/>
    </row>
    <row r="1601" spans="1:23" ht="27" thickBot="1">
      <c r="A1601" s="1942" t="str">
        <f>TEXT(B1601,"jjjj")</f>
        <v>lundi</v>
      </c>
      <c r="B1601" s="1301">
        <v>45586</v>
      </c>
      <c r="C1601" s="508">
        <f t="shared" si="39"/>
        <v>43</v>
      </c>
      <c r="D1601" s="2368" t="s">
        <v>258</v>
      </c>
      <c r="E1601" s="2368" t="s">
        <v>209</v>
      </c>
      <c r="F1601" s="2718" t="s">
        <v>1199</v>
      </c>
      <c r="G1601" s="2718" t="s">
        <v>1199</v>
      </c>
      <c r="H1601" s="2325">
        <v>705</v>
      </c>
      <c r="I1601" s="2716" t="s">
        <v>5507</v>
      </c>
      <c r="J1601" s="2716"/>
      <c r="K1601" s="2718" t="s">
        <v>1199</v>
      </c>
      <c r="L1601" s="2716"/>
      <c r="M1601" s="2716"/>
      <c r="N1601" s="2716"/>
      <c r="O1601" s="2716"/>
      <c r="P1601" s="2716"/>
      <c r="Q1601" s="2052"/>
      <c r="R1601" s="2052"/>
      <c r="S1601" s="1302"/>
      <c r="T1601" s="1302"/>
      <c r="U1601" s="1344"/>
      <c r="V1601" s="2525"/>
      <c r="W1601" s="2564"/>
    </row>
    <row r="1602" spans="1:23" ht="27" thickBot="1">
      <c r="A1602" s="1941" t="s">
        <v>25</v>
      </c>
      <c r="B1602" s="1300">
        <v>45586</v>
      </c>
      <c r="C1602" s="508">
        <f t="shared" si="39"/>
        <v>43</v>
      </c>
      <c r="D1602" s="2291" t="s">
        <v>169</v>
      </c>
      <c r="E1602" s="2291" t="s">
        <v>1595</v>
      </c>
      <c r="F1602" s="2571" t="s">
        <v>1199</v>
      </c>
      <c r="G1602" s="2718" t="s">
        <v>1199</v>
      </c>
      <c r="H1602" s="1070">
        <v>705</v>
      </c>
      <c r="I1602" s="1356" t="s">
        <v>5507</v>
      </c>
      <c r="J1602" s="1356"/>
      <c r="K1602" s="1356"/>
      <c r="L1602" s="1356"/>
      <c r="M1602" s="1356"/>
      <c r="N1602" s="1356"/>
      <c r="O1602" s="1356"/>
      <c r="P1602" s="1356"/>
      <c r="Q1602" s="76"/>
      <c r="R1602" s="76"/>
      <c r="S1602" s="1356"/>
      <c r="T1602" s="1356"/>
      <c r="U1602" s="2477"/>
      <c r="V1602" s="3075"/>
      <c r="W1602" s="2564"/>
    </row>
    <row r="1603" spans="1:23" ht="27" thickBot="1">
      <c r="A1603" s="1942" t="s">
        <v>25</v>
      </c>
      <c r="B1603" s="1301">
        <v>45586</v>
      </c>
      <c r="C1603" s="508">
        <f t="shared" si="39"/>
        <v>43</v>
      </c>
      <c r="D1603" s="1301" t="s">
        <v>148</v>
      </c>
      <c r="E1603" s="1301" t="s">
        <v>1740</v>
      </c>
      <c r="F1603" s="2571" t="s">
        <v>1199</v>
      </c>
      <c r="G1603" s="2571" t="s">
        <v>1199</v>
      </c>
      <c r="H1603" s="2162">
        <v>704</v>
      </c>
      <c r="I1603" s="2476" t="s">
        <v>5545</v>
      </c>
      <c r="J1603" s="2476"/>
      <c r="K1603" s="2719" t="s">
        <v>1199</v>
      </c>
      <c r="L1603" s="2476"/>
      <c r="M1603" s="2476"/>
      <c r="N1603" s="2476"/>
      <c r="O1603" s="2476"/>
      <c r="P1603" s="2476"/>
      <c r="Q1603" s="162"/>
      <c r="R1603" s="162"/>
      <c r="S1603" s="1302"/>
      <c r="T1603" s="1302"/>
      <c r="U1603" s="1344"/>
      <c r="V1603" s="2525"/>
      <c r="W1603" s="2564"/>
    </row>
    <row r="1604" spans="1:23" ht="27" thickBot="1">
      <c r="A1604" s="1942" t="s">
        <v>25</v>
      </c>
      <c r="B1604" s="1301">
        <v>45586</v>
      </c>
      <c r="C1604" s="508">
        <f t="shared" si="39"/>
        <v>43</v>
      </c>
      <c r="D1604" s="2609" t="s">
        <v>5546</v>
      </c>
      <c r="E1604" s="2609" t="s">
        <v>5547</v>
      </c>
      <c r="F1604" s="2174" t="s">
        <v>1764</v>
      </c>
      <c r="G1604" s="2489" t="s">
        <v>1764</v>
      </c>
      <c r="H1604" s="2162">
        <v>704</v>
      </c>
      <c r="I1604" s="2476" t="s">
        <v>1452</v>
      </c>
      <c r="J1604" s="2476"/>
      <c r="K1604" s="2476"/>
      <c r="L1604" s="2476"/>
      <c r="M1604" s="2476" t="s">
        <v>37</v>
      </c>
      <c r="N1604" s="20" t="s">
        <v>0</v>
      </c>
      <c r="O1604" s="20" t="s">
        <v>110</v>
      </c>
      <c r="P1604" s="20" t="s">
        <v>4128</v>
      </c>
      <c r="Q1604" s="68">
        <v>1</v>
      </c>
      <c r="R1604" s="162"/>
      <c r="S1604" s="1302"/>
      <c r="T1604" s="1302"/>
      <c r="U1604" s="2720" t="s">
        <v>5548</v>
      </c>
      <c r="V1604" s="3076"/>
      <c r="W1604" s="2564"/>
    </row>
    <row r="1605" spans="1:23" ht="27" thickBot="1">
      <c r="A1605" s="1942" t="s">
        <v>25</v>
      </c>
      <c r="B1605" s="1301">
        <v>45586</v>
      </c>
      <c r="C1605" s="508">
        <f t="shared" si="39"/>
        <v>43</v>
      </c>
      <c r="D1605" s="1301" t="s">
        <v>169</v>
      </c>
      <c r="E1605" s="1301" t="s">
        <v>1905</v>
      </c>
      <c r="F1605" s="2718" t="s">
        <v>1199</v>
      </c>
      <c r="G1605" s="2718" t="s">
        <v>1199</v>
      </c>
      <c r="H1605" s="2162">
        <v>702</v>
      </c>
      <c r="I1605" s="2476" t="s">
        <v>5549</v>
      </c>
      <c r="J1605" s="2476"/>
      <c r="K1605" s="2718" t="s">
        <v>1199</v>
      </c>
      <c r="L1605" s="2476"/>
      <c r="M1605" s="2476"/>
      <c r="N1605" s="2476"/>
      <c r="O1605" s="2476"/>
      <c r="P1605" s="2476"/>
      <c r="Q1605" s="162"/>
      <c r="R1605" s="162"/>
      <c r="S1605" s="1302"/>
      <c r="T1605" s="1302"/>
      <c r="U1605" s="1344"/>
      <c r="V1605" s="2525"/>
      <c r="W1605" s="2564"/>
    </row>
    <row r="1606" spans="1:23" ht="27" thickBot="1">
      <c r="A1606" s="1941" t="s">
        <v>25</v>
      </c>
      <c r="B1606" s="1300">
        <v>45586</v>
      </c>
      <c r="C1606" s="508">
        <f t="shared" si="39"/>
        <v>43</v>
      </c>
      <c r="D1606" s="2479" t="s">
        <v>1073</v>
      </c>
      <c r="E1606" s="2479" t="s">
        <v>5550</v>
      </c>
      <c r="F1606" s="2174" t="s">
        <v>1199</v>
      </c>
      <c r="G1606" s="2174" t="s">
        <v>1199</v>
      </c>
      <c r="H1606" s="1070">
        <v>706</v>
      </c>
      <c r="I1606" s="2572" t="s">
        <v>5537</v>
      </c>
      <c r="J1606" s="2572"/>
      <c r="K1606" s="2718" t="s">
        <v>1199</v>
      </c>
      <c r="L1606" s="2572"/>
      <c r="M1606" s="2572"/>
      <c r="N1606" s="2572"/>
      <c r="O1606" s="2572"/>
      <c r="P1606" s="2572"/>
      <c r="Q1606" s="76"/>
      <c r="R1606" s="76"/>
      <c r="S1606" s="1356"/>
      <c r="T1606" s="1356"/>
      <c r="U1606" s="1360"/>
      <c r="V1606" s="2525"/>
      <c r="W1606" s="2564"/>
    </row>
    <row r="1607" spans="1:23" ht="27" thickBot="1">
      <c r="A1607" s="1937" t="s">
        <v>25</v>
      </c>
      <c r="B1607" s="1390">
        <v>45586</v>
      </c>
      <c r="C1607" s="508">
        <f t="shared" si="39"/>
        <v>43</v>
      </c>
      <c r="D1607" s="2705" t="s">
        <v>5551</v>
      </c>
      <c r="E1607" s="2705" t="s">
        <v>5552</v>
      </c>
      <c r="F1607" s="2216" t="s">
        <v>1199</v>
      </c>
      <c r="G1607" s="2216" t="s">
        <v>1199</v>
      </c>
      <c r="H1607" s="1150">
        <v>706</v>
      </c>
      <c r="I1607" s="2582" t="s">
        <v>2502</v>
      </c>
      <c r="J1607" s="2582"/>
      <c r="K1607" s="2721" t="s">
        <v>1199</v>
      </c>
      <c r="L1607" s="2582"/>
      <c r="M1607" s="2582"/>
      <c r="N1607" s="2582"/>
      <c r="O1607" s="2582"/>
      <c r="P1607" s="2582"/>
      <c r="Q1607" s="118"/>
      <c r="R1607" s="118"/>
      <c r="S1607" s="2422"/>
      <c r="T1607" s="2422"/>
      <c r="U1607" s="2423"/>
      <c r="V1607" s="2525"/>
      <c r="W1607" s="2564"/>
    </row>
    <row r="1608" spans="1:23" ht="27" thickBot="1">
      <c r="A1608" s="1935" t="s">
        <v>67</v>
      </c>
      <c r="B1608" s="1936">
        <v>45587</v>
      </c>
      <c r="C1608" s="508">
        <f t="shared" si="39"/>
        <v>43</v>
      </c>
      <c r="D1608" s="2467" t="s">
        <v>106</v>
      </c>
      <c r="E1608" s="2467" t="s">
        <v>5553</v>
      </c>
      <c r="F1608" s="2722" t="s">
        <v>1199</v>
      </c>
      <c r="G1608" s="2722" t="s">
        <v>1199</v>
      </c>
      <c r="H1608" s="2319">
        <v>705</v>
      </c>
      <c r="I1608" s="2469" t="s">
        <v>5507</v>
      </c>
      <c r="J1608" s="2469"/>
      <c r="K1608" s="2723"/>
      <c r="L1608" s="2469" t="s">
        <v>37</v>
      </c>
      <c r="M1608" s="2469"/>
      <c r="N1608" s="2469"/>
      <c r="O1608" s="2469"/>
      <c r="P1608" s="2469"/>
      <c r="Q1608" s="1943"/>
      <c r="R1608" s="1943"/>
      <c r="S1608" s="2469"/>
      <c r="T1608" s="2469"/>
      <c r="U1608" s="2470"/>
      <c r="V1608" s="2525"/>
      <c r="W1608" s="2564"/>
    </row>
    <row r="1609" spans="1:23" ht="27" thickBot="1">
      <c r="A1609" s="2176" t="s">
        <v>67</v>
      </c>
      <c r="B1609" s="1300">
        <v>45587</v>
      </c>
      <c r="C1609" s="508">
        <f t="shared" si="39"/>
        <v>43</v>
      </c>
      <c r="D1609" s="2609" t="s">
        <v>5546</v>
      </c>
      <c r="E1609" s="2609" t="s">
        <v>5547</v>
      </c>
      <c r="F1609" s="2724" t="s">
        <v>1199</v>
      </c>
      <c r="G1609" s="2724" t="s">
        <v>1199</v>
      </c>
      <c r="H1609" s="2162"/>
      <c r="I1609" s="1302"/>
      <c r="J1609" s="1302"/>
      <c r="K1609" s="2009"/>
      <c r="L1609" s="1302" t="s">
        <v>37</v>
      </c>
      <c r="M1609" s="1302"/>
      <c r="N1609" s="1302"/>
      <c r="O1609" s="1302"/>
      <c r="P1609" s="1302"/>
      <c r="Q1609" s="162"/>
      <c r="R1609" s="162"/>
      <c r="S1609" s="1302"/>
      <c r="T1609" s="1302"/>
      <c r="U1609" s="1344"/>
      <c r="V1609" s="2525"/>
      <c r="W1609" s="2564"/>
    </row>
    <row r="1610" spans="1:23" ht="27" thickBot="1">
      <c r="A1610" s="2176" t="s">
        <v>67</v>
      </c>
      <c r="B1610" s="1300">
        <v>45587</v>
      </c>
      <c r="C1610" s="508">
        <f t="shared" si="39"/>
        <v>43</v>
      </c>
      <c r="D1610" s="1311" t="s">
        <v>4374</v>
      </c>
      <c r="E1610" s="1311" t="s">
        <v>1614</v>
      </c>
      <c r="F1610" s="2725" t="s">
        <v>1764</v>
      </c>
      <c r="G1610" s="2726" t="s">
        <v>1199</v>
      </c>
      <c r="H1610" s="2162">
        <v>704</v>
      </c>
      <c r="I1610" s="2728" t="s">
        <v>5554</v>
      </c>
      <c r="J1610" s="2712"/>
      <c r="K1610" s="2712"/>
      <c r="L1610" s="2712"/>
      <c r="M1610" s="2712" t="s">
        <v>37</v>
      </c>
      <c r="N1610" s="20"/>
      <c r="O1610" s="20"/>
      <c r="P1610" s="20"/>
      <c r="Q1610" s="68"/>
      <c r="R1610" s="68"/>
      <c r="S1610" s="1300"/>
      <c r="T1610" s="1300"/>
      <c r="U1610" s="2729" t="s">
        <v>5555</v>
      </c>
      <c r="V1610" s="3076"/>
      <c r="W1610" s="2564"/>
    </row>
    <row r="1611" spans="1:23" ht="132" thickBot="1">
      <c r="A1611" s="1941" t="s">
        <v>67</v>
      </c>
      <c r="B1611" s="1300">
        <v>45587</v>
      </c>
      <c r="C1611" s="508">
        <f t="shared" si="39"/>
        <v>43</v>
      </c>
      <c r="D1611" s="1493" t="s">
        <v>1905</v>
      </c>
      <c r="E1611" s="1493" t="s">
        <v>263</v>
      </c>
      <c r="F1611" s="2730" t="s">
        <v>1199</v>
      </c>
      <c r="G1611" s="2730" t="s">
        <v>1199</v>
      </c>
      <c r="H1611" s="1070">
        <v>701</v>
      </c>
      <c r="I1611" s="2572" t="s">
        <v>566</v>
      </c>
      <c r="J1611" s="2572"/>
      <c r="K1611" s="2572"/>
      <c r="L1611" s="2572"/>
      <c r="M1611" s="2572" t="s">
        <v>37</v>
      </c>
      <c r="N1611" s="20" t="s">
        <v>231</v>
      </c>
      <c r="O1611" s="20" t="s">
        <v>232</v>
      </c>
      <c r="P1611" s="20" t="s">
        <v>4080</v>
      </c>
      <c r="Q1611" s="76"/>
      <c r="R1611" s="76"/>
      <c r="S1611" s="1356"/>
      <c r="T1611" s="1356"/>
      <c r="U1611" s="2477" t="s">
        <v>5556</v>
      </c>
      <c r="V1611" s="3075"/>
      <c r="W1611" s="2564"/>
    </row>
    <row r="1612" spans="1:23" ht="27" thickBot="1">
      <c r="A1612" s="1938" t="s">
        <v>67</v>
      </c>
      <c r="B1612" s="1312">
        <v>45587</v>
      </c>
      <c r="C1612" s="508">
        <f t="shared" si="39"/>
        <v>43</v>
      </c>
      <c r="D1612" s="2706" t="s">
        <v>148</v>
      </c>
      <c r="E1612" s="2707" t="s">
        <v>614</v>
      </c>
      <c r="F1612" s="2731" t="s">
        <v>1206</v>
      </c>
      <c r="G1612" s="2603" t="s">
        <v>1764</v>
      </c>
      <c r="H1612" s="2324">
        <v>701</v>
      </c>
      <c r="I1612" s="2605" t="s">
        <v>5557</v>
      </c>
      <c r="J1612" s="2605"/>
      <c r="K1612" s="2605"/>
      <c r="L1612" s="2605" t="s">
        <v>37</v>
      </c>
      <c r="M1612" s="2605"/>
      <c r="N1612" s="2605"/>
      <c r="O1612" s="2605"/>
      <c r="P1612" s="2605"/>
      <c r="Q1612" s="710"/>
      <c r="R1612" s="710"/>
      <c r="S1612" s="1894"/>
      <c r="T1612" s="1894"/>
      <c r="U1612" s="2475"/>
      <c r="V1612" s="2525"/>
      <c r="W1612" s="2564"/>
    </row>
    <row r="1613" spans="1:23" ht="27" thickBot="1">
      <c r="A1613" s="2176" t="s">
        <v>67</v>
      </c>
      <c r="B1613" s="1300">
        <v>45587</v>
      </c>
      <c r="C1613" s="508">
        <f t="shared" si="39"/>
        <v>43</v>
      </c>
      <c r="D1613" s="1311" t="s">
        <v>4374</v>
      </c>
      <c r="E1613" s="1311" t="s">
        <v>1614</v>
      </c>
      <c r="F1613" s="2133" t="s">
        <v>1199</v>
      </c>
      <c r="G1613" s="2488" t="s">
        <v>1199</v>
      </c>
      <c r="H1613" s="2162">
        <v>704</v>
      </c>
      <c r="I1613" s="2476" t="s">
        <v>5554</v>
      </c>
      <c r="J1613" s="2732"/>
      <c r="K1613" s="2572"/>
      <c r="L1613" s="2476"/>
      <c r="M1613" s="2476"/>
      <c r="N1613" s="2476"/>
      <c r="O1613" s="2476"/>
      <c r="P1613" s="2476"/>
      <c r="Q1613" s="162"/>
      <c r="R1613" s="162"/>
      <c r="S1613" s="1302"/>
      <c r="T1613" s="1302"/>
      <c r="U1613" s="2610"/>
      <c r="V1613" s="3075"/>
      <c r="W1613" s="2564"/>
    </row>
    <row r="1614" spans="1:23" ht="53.25" thickBot="1">
      <c r="A1614" s="1942" t="s">
        <v>85</v>
      </c>
      <c r="B1614" s="1301">
        <v>45588</v>
      </c>
      <c r="C1614" s="508">
        <f t="shared" si="39"/>
        <v>43</v>
      </c>
      <c r="D1614" s="2312" t="s">
        <v>5558</v>
      </c>
      <c r="E1614" s="2312" t="s">
        <v>5559</v>
      </c>
      <c r="F1614" s="2133" t="s">
        <v>5560</v>
      </c>
      <c r="G1614" s="2733" t="s">
        <v>5561</v>
      </c>
      <c r="H1614" s="2162">
        <v>705</v>
      </c>
      <c r="I1614" s="2476" t="s">
        <v>5478</v>
      </c>
      <c r="J1614" s="2732"/>
      <c r="K1614" s="2572"/>
      <c r="L1614" s="2476"/>
      <c r="M1614" s="2476" t="s">
        <v>37</v>
      </c>
      <c r="N1614" s="20" t="s">
        <v>0</v>
      </c>
      <c r="O1614" s="20" t="s">
        <v>187</v>
      </c>
      <c r="P1614" s="20" t="s">
        <v>4330</v>
      </c>
      <c r="Q1614" s="162"/>
      <c r="R1614" s="162"/>
      <c r="S1614" s="1302" t="s">
        <v>37</v>
      </c>
      <c r="T1614" s="1302"/>
      <c r="U1614" s="2610" t="s">
        <v>5562</v>
      </c>
      <c r="V1614" s="3075"/>
      <c r="W1614" s="2564"/>
    </row>
    <row r="1615" spans="1:23" ht="53.25" thickBot="1">
      <c r="A1615" s="1942" t="s">
        <v>85</v>
      </c>
      <c r="B1615" s="1301">
        <v>45588</v>
      </c>
      <c r="C1615" s="508">
        <f t="shared" si="39"/>
        <v>43</v>
      </c>
      <c r="D1615" s="1301" t="s">
        <v>1065</v>
      </c>
      <c r="E1615" s="1301" t="s">
        <v>1217</v>
      </c>
      <c r="F1615" s="2734" t="s">
        <v>1199</v>
      </c>
      <c r="G1615" s="2735" t="s">
        <v>1199</v>
      </c>
      <c r="H1615" s="2162">
        <v>706</v>
      </c>
      <c r="I1615" s="2476" t="s">
        <v>5563</v>
      </c>
      <c r="J1615" s="2732"/>
      <c r="K1615" s="1443" t="s">
        <v>174</v>
      </c>
      <c r="L1615" s="2476"/>
      <c r="M1615" s="2476" t="s">
        <v>30</v>
      </c>
      <c r="N1615" s="20" t="s">
        <v>0</v>
      </c>
      <c r="O1615" s="20" t="s">
        <v>110</v>
      </c>
      <c r="P1615" s="20" t="s">
        <v>4102</v>
      </c>
      <c r="Q1615" s="162">
        <v>2</v>
      </c>
      <c r="R1615" s="162"/>
      <c r="S1615" s="1302"/>
      <c r="T1615" s="1302"/>
      <c r="U1615" s="1344" t="s">
        <v>5564</v>
      </c>
      <c r="V1615" s="2525"/>
      <c r="W1615" s="2564"/>
    </row>
    <row r="1616" spans="1:23" ht="158.25" thickBot="1">
      <c r="A1616" s="1941" t="s">
        <v>85</v>
      </c>
      <c r="B1616" s="1300">
        <v>45588</v>
      </c>
      <c r="C1616" s="508">
        <f t="shared" si="39"/>
        <v>43</v>
      </c>
      <c r="D1616" s="1476" t="s">
        <v>2430</v>
      </c>
      <c r="E1616" s="1476" t="s">
        <v>56</v>
      </c>
      <c r="F1616" s="2587" t="s">
        <v>1199</v>
      </c>
      <c r="G1616" s="2587" t="s">
        <v>1199</v>
      </c>
      <c r="H1616" s="1070">
        <v>701</v>
      </c>
      <c r="I1616" s="2572" t="s">
        <v>5565</v>
      </c>
      <c r="J1616" s="2736"/>
      <c r="K1616" s="2091" t="s">
        <v>114</v>
      </c>
      <c r="L1616" s="2572"/>
      <c r="M1616" s="2572" t="s">
        <v>37</v>
      </c>
      <c r="N1616" s="20" t="s">
        <v>109</v>
      </c>
      <c r="O1616" s="20" t="s">
        <v>794</v>
      </c>
      <c r="P1616" s="20" t="s">
        <v>4339</v>
      </c>
      <c r="Q1616" s="76"/>
      <c r="R1616" s="76"/>
      <c r="S1616" s="1356"/>
      <c r="T1616" s="1356"/>
      <c r="U1616" s="2477" t="s">
        <v>5566</v>
      </c>
      <c r="V1616" s="3075"/>
      <c r="W1616" s="2564"/>
    </row>
    <row r="1617" spans="1:23" ht="27" thickBot="1">
      <c r="A1617" s="1941" t="s">
        <v>85</v>
      </c>
      <c r="B1617" s="1300">
        <v>45588</v>
      </c>
      <c r="C1617" s="508">
        <f t="shared" si="39"/>
        <v>43</v>
      </c>
      <c r="D1617" s="1299" t="s">
        <v>2430</v>
      </c>
      <c r="E1617" s="1299" t="s">
        <v>183</v>
      </c>
      <c r="F1617" s="2578" t="s">
        <v>1206</v>
      </c>
      <c r="G1617" s="2574" t="s">
        <v>1764</v>
      </c>
      <c r="H1617" s="1070">
        <v>701</v>
      </c>
      <c r="I1617" s="2572" t="s">
        <v>5565</v>
      </c>
      <c r="J1617" s="2736"/>
      <c r="K1617" s="2572"/>
      <c r="L1617" s="2572" t="s">
        <v>37</v>
      </c>
      <c r="M1617" s="2572"/>
      <c r="N1617" s="2572"/>
      <c r="O1617" s="2572"/>
      <c r="P1617" s="2572"/>
      <c r="Q1617" s="76"/>
      <c r="R1617" s="76"/>
      <c r="S1617" s="1356"/>
      <c r="T1617" s="1356"/>
      <c r="U1617" s="1360"/>
      <c r="V1617" s="2525"/>
      <c r="W1617" s="2564"/>
    </row>
    <row r="1618" spans="1:23" ht="27" thickBot="1">
      <c r="A1618" s="1941" t="s">
        <v>85</v>
      </c>
      <c r="B1618" s="1300">
        <v>45588</v>
      </c>
      <c r="C1618" s="508">
        <f t="shared" si="39"/>
        <v>43</v>
      </c>
      <c r="D1618" s="1299" t="s">
        <v>169</v>
      </c>
      <c r="E1618" s="1299" t="s">
        <v>614</v>
      </c>
      <c r="F1618" s="2574" t="s">
        <v>1199</v>
      </c>
      <c r="G1618" s="2574" t="s">
        <v>1199</v>
      </c>
      <c r="H1618" s="1070">
        <v>701</v>
      </c>
      <c r="I1618" s="2572" t="s">
        <v>5567</v>
      </c>
      <c r="J1618" s="2572"/>
      <c r="K1618" s="2572"/>
      <c r="L1618" s="2572" t="s">
        <v>37</v>
      </c>
      <c r="M1618" s="2572"/>
      <c r="N1618" s="2572"/>
      <c r="O1618" s="2572"/>
      <c r="P1618" s="2572"/>
      <c r="Q1618" s="76"/>
      <c r="R1618" s="76"/>
      <c r="S1618" s="1356"/>
      <c r="T1618" s="1356"/>
      <c r="U1618" s="1360"/>
      <c r="V1618" s="2525"/>
      <c r="W1618" s="2564"/>
    </row>
    <row r="1619" spans="1:23" ht="27" thickBot="1">
      <c r="A1619" s="1938" t="s">
        <v>85</v>
      </c>
      <c r="B1619" s="1312">
        <v>45588</v>
      </c>
      <c r="C1619" s="508">
        <f t="shared" si="39"/>
        <v>43</v>
      </c>
      <c r="D1619" s="1312" t="s">
        <v>163</v>
      </c>
      <c r="E1619" s="2708" t="s">
        <v>2465</v>
      </c>
      <c r="F1619" s="2737" t="s">
        <v>1199</v>
      </c>
      <c r="G1619" s="2737" t="s">
        <v>1199</v>
      </c>
      <c r="H1619" s="2324">
        <v>701</v>
      </c>
      <c r="I1619" s="2605" t="s">
        <v>94</v>
      </c>
      <c r="J1619" s="2605"/>
      <c r="K1619" s="2605"/>
      <c r="L1619" s="2605" t="s">
        <v>37</v>
      </c>
      <c r="M1619" s="2605"/>
      <c r="N1619" s="2605"/>
      <c r="O1619" s="2605"/>
      <c r="P1619" s="2605"/>
      <c r="Q1619" s="710"/>
      <c r="R1619" s="710"/>
      <c r="S1619" s="1894"/>
      <c r="T1619" s="1894"/>
      <c r="U1619" s="2475"/>
      <c r="V1619" s="2525"/>
      <c r="W1619" s="2564"/>
    </row>
    <row r="1620" spans="1:23" ht="53.25" thickBot="1">
      <c r="A1620" s="1937" t="s">
        <v>4144</v>
      </c>
      <c r="B1620" s="1390">
        <v>45589</v>
      </c>
      <c r="C1620" s="508">
        <f t="shared" si="39"/>
        <v>43</v>
      </c>
      <c r="D1620" s="2312" t="s">
        <v>4415</v>
      </c>
      <c r="E1620" s="2312" t="s">
        <v>5568</v>
      </c>
      <c r="F1620" s="2734" t="s">
        <v>2994</v>
      </c>
      <c r="G1620" s="2734" t="s">
        <v>1768</v>
      </c>
      <c r="H1620" s="2325">
        <v>705</v>
      </c>
      <c r="I1620" s="2572" t="s">
        <v>5478</v>
      </c>
      <c r="J1620" s="2738"/>
      <c r="K1620" s="2582"/>
      <c r="L1620" s="2582"/>
      <c r="M1620" s="2582" t="s">
        <v>37</v>
      </c>
      <c r="N1620" s="20"/>
      <c r="O1620" s="20"/>
      <c r="P1620" s="20"/>
      <c r="Q1620" s="118"/>
      <c r="R1620" s="118"/>
      <c r="S1620" s="2422" t="s">
        <v>30</v>
      </c>
      <c r="T1620" s="2422"/>
      <c r="U1620" s="2610" t="s">
        <v>5562</v>
      </c>
      <c r="V1620" s="3075"/>
      <c r="W1620" s="2564"/>
    </row>
    <row r="1621" spans="1:23" ht="27" thickBot="1">
      <c r="A1621" s="1937" t="s">
        <v>4144</v>
      </c>
      <c r="B1621" s="1390">
        <v>45589</v>
      </c>
      <c r="C1621" s="508">
        <f t="shared" si="39"/>
        <v>43</v>
      </c>
      <c r="D1621" s="2709" t="s">
        <v>4155</v>
      </c>
      <c r="E1621" s="2709" t="s">
        <v>4223</v>
      </c>
      <c r="F1621" s="2578" t="s">
        <v>1199</v>
      </c>
      <c r="G1621" s="2578" t="s">
        <v>1199</v>
      </c>
      <c r="H1621" s="1150">
        <v>702</v>
      </c>
      <c r="I1621" s="2572" t="s">
        <v>5433</v>
      </c>
      <c r="J1621" s="2738"/>
      <c r="K1621" s="2582"/>
      <c r="L1621" s="2582" t="s">
        <v>37</v>
      </c>
      <c r="M1621" s="2582"/>
      <c r="N1621" s="2582"/>
      <c r="O1621" s="2582"/>
      <c r="P1621" s="2582"/>
      <c r="Q1621" s="118"/>
      <c r="R1621" s="118"/>
      <c r="S1621" s="2422" t="s">
        <v>37</v>
      </c>
      <c r="T1621" s="2422"/>
      <c r="U1621" s="2423"/>
      <c r="V1621" s="2525"/>
      <c r="W1621" s="2564"/>
    </row>
    <row r="1622" spans="1:23" ht="27" thickBot="1">
      <c r="A1622" s="1937" t="s">
        <v>4144</v>
      </c>
      <c r="B1622" s="1390">
        <v>45589</v>
      </c>
      <c r="C1622" s="508">
        <f t="shared" ref="C1622:C1685" si="40">_xlfn.ISOWEEKNUM(B1622)</f>
        <v>43</v>
      </c>
      <c r="D1622" s="2709" t="s">
        <v>4223</v>
      </c>
      <c r="E1622" s="2709" t="s">
        <v>5569</v>
      </c>
      <c r="F1622" s="2578" t="s">
        <v>1199</v>
      </c>
      <c r="G1622" s="2578" t="s">
        <v>1199</v>
      </c>
      <c r="H1622" s="1150">
        <v>702</v>
      </c>
      <c r="I1622" s="2572" t="s">
        <v>5570</v>
      </c>
      <c r="J1622" s="2738"/>
      <c r="K1622" s="2582"/>
      <c r="L1622" s="2582" t="s">
        <v>37</v>
      </c>
      <c r="M1622" s="2582"/>
      <c r="N1622" s="2582"/>
      <c r="O1622" s="2582"/>
      <c r="P1622" s="2582"/>
      <c r="Q1622" s="118"/>
      <c r="R1622" s="118"/>
      <c r="S1622" s="2422"/>
      <c r="T1622" s="2422"/>
      <c r="U1622" s="2423"/>
      <c r="V1622" s="2525"/>
      <c r="W1622" s="2564"/>
    </row>
    <row r="1623" spans="1:23" ht="27" thickBot="1">
      <c r="A1623" s="1937" t="s">
        <v>4144</v>
      </c>
      <c r="B1623" s="1390">
        <v>45589</v>
      </c>
      <c r="C1623" s="508">
        <f t="shared" si="40"/>
        <v>43</v>
      </c>
      <c r="D1623" s="2710" t="s">
        <v>5420</v>
      </c>
      <c r="E1623" s="2710" t="s">
        <v>4155</v>
      </c>
      <c r="F1623" s="2578" t="s">
        <v>1199</v>
      </c>
      <c r="G1623" s="2578" t="s">
        <v>1199</v>
      </c>
      <c r="H1623" s="1150">
        <v>702</v>
      </c>
      <c r="I1623" s="2572" t="s">
        <v>5571</v>
      </c>
      <c r="J1623" s="2738"/>
      <c r="K1623" s="1443" t="s">
        <v>174</v>
      </c>
      <c r="L1623" s="2582" t="s">
        <v>37</v>
      </c>
      <c r="M1623" s="2582"/>
      <c r="N1623" s="2582"/>
      <c r="O1623" s="2582"/>
      <c r="P1623" s="2582"/>
      <c r="Q1623" s="118"/>
      <c r="R1623" s="118"/>
      <c r="S1623" s="2422" t="s">
        <v>37</v>
      </c>
      <c r="T1623" s="2422"/>
      <c r="U1623" s="2423"/>
      <c r="V1623" s="2525"/>
      <c r="W1623" s="2564"/>
    </row>
    <row r="1624" spans="1:23" ht="27" thickBot="1">
      <c r="A1624" s="1937" t="s">
        <v>4144</v>
      </c>
      <c r="B1624" s="1390">
        <v>45589</v>
      </c>
      <c r="C1624" s="508">
        <f t="shared" si="40"/>
        <v>43</v>
      </c>
      <c r="D1624" s="2710" t="s">
        <v>4155</v>
      </c>
      <c r="E1624" s="2710" t="s">
        <v>5420</v>
      </c>
      <c r="F1624" s="2578" t="s">
        <v>1199</v>
      </c>
      <c r="G1624" s="2578" t="s">
        <v>1199</v>
      </c>
      <c r="H1624" s="1150">
        <v>702</v>
      </c>
      <c r="I1624" s="2572" t="s">
        <v>5571</v>
      </c>
      <c r="J1624" s="2738"/>
      <c r="K1624" s="1443" t="s">
        <v>174</v>
      </c>
      <c r="L1624" s="2582" t="s">
        <v>37</v>
      </c>
      <c r="M1624" s="2582"/>
      <c r="N1624" s="2582"/>
      <c r="O1624" s="2582"/>
      <c r="P1624" s="2582"/>
      <c r="Q1624" s="118"/>
      <c r="R1624" s="118"/>
      <c r="S1624" s="2422"/>
      <c r="T1624" s="2422"/>
      <c r="U1624" s="2423"/>
      <c r="V1624" s="2525"/>
      <c r="W1624" s="2564"/>
    </row>
    <row r="1625" spans="1:23" ht="27" thickBot="1">
      <c r="A1625" s="1937" t="s">
        <v>4144</v>
      </c>
      <c r="B1625" s="1390">
        <v>45589</v>
      </c>
      <c r="C1625" s="508">
        <f t="shared" si="40"/>
        <v>43</v>
      </c>
      <c r="D1625" s="2609" t="s">
        <v>847</v>
      </c>
      <c r="E1625" s="2609" t="s">
        <v>5572</v>
      </c>
      <c r="F1625" s="2739" t="s">
        <v>1199</v>
      </c>
      <c r="G1625" s="2739" t="s">
        <v>1199</v>
      </c>
      <c r="H1625" s="1150">
        <v>704</v>
      </c>
      <c r="I1625" s="2572" t="s">
        <v>5554</v>
      </c>
      <c r="J1625" s="2738"/>
      <c r="K1625" s="2582"/>
      <c r="L1625" s="2582" t="s">
        <v>37</v>
      </c>
      <c r="M1625" s="2582"/>
      <c r="N1625" s="2582"/>
      <c r="O1625" s="2582"/>
      <c r="P1625" s="2582"/>
      <c r="Q1625" s="118"/>
      <c r="R1625" s="118"/>
      <c r="S1625" s="2422"/>
      <c r="T1625" s="2422"/>
      <c r="U1625" s="2423"/>
      <c r="V1625" s="2525"/>
      <c r="W1625" s="2564"/>
    </row>
    <row r="1626" spans="1:23" ht="27" thickBot="1">
      <c r="A1626" s="1938" t="s">
        <v>105</v>
      </c>
      <c r="B1626" s="1312">
        <v>45589</v>
      </c>
      <c r="C1626" s="508">
        <f t="shared" si="40"/>
        <v>43</v>
      </c>
      <c r="D1626" s="2711" t="s">
        <v>3046</v>
      </c>
      <c r="E1626" s="2711" t="s">
        <v>5573</v>
      </c>
      <c r="F1626" s="2740" t="s">
        <v>1199</v>
      </c>
      <c r="G1626" s="2740" t="s">
        <v>1199</v>
      </c>
      <c r="H1626" s="2324">
        <v>706</v>
      </c>
      <c r="I1626" s="2605" t="s">
        <v>4012</v>
      </c>
      <c r="J1626" s="2605"/>
      <c r="K1626" s="1970" t="s">
        <v>29</v>
      </c>
      <c r="L1626" s="2605" t="s">
        <v>37</v>
      </c>
      <c r="M1626" s="2605"/>
      <c r="N1626" s="2605"/>
      <c r="O1626" s="2605"/>
      <c r="P1626" s="2605"/>
      <c r="Q1626" s="710"/>
      <c r="R1626" s="710"/>
      <c r="S1626" s="1894"/>
      <c r="T1626" s="1894"/>
      <c r="U1626" s="2475"/>
      <c r="V1626" s="2525"/>
      <c r="W1626" s="2564"/>
    </row>
    <row r="1627" spans="1:23" ht="27" thickBot="1">
      <c r="A1627" s="1941" t="s">
        <v>132</v>
      </c>
      <c r="B1627" s="1300">
        <v>45590</v>
      </c>
      <c r="C1627" s="508">
        <f t="shared" si="40"/>
        <v>43</v>
      </c>
      <c r="D1627" s="1369" t="s">
        <v>1516</v>
      </c>
      <c r="E1627" s="1369" t="s">
        <v>5574</v>
      </c>
      <c r="F1627" s="2571" t="s">
        <v>1764</v>
      </c>
      <c r="G1627" s="2571" t="s">
        <v>1764</v>
      </c>
      <c r="H1627" s="1070">
        <v>706</v>
      </c>
      <c r="I1627" s="2572" t="s">
        <v>4012</v>
      </c>
      <c r="J1627" s="2572"/>
      <c r="K1627" s="1443" t="s">
        <v>29</v>
      </c>
      <c r="L1627" s="2572" t="s">
        <v>37</v>
      </c>
      <c r="M1627" s="2572"/>
      <c r="N1627" s="2572"/>
      <c r="O1627" s="2572"/>
      <c r="P1627" s="2572"/>
      <c r="Q1627" s="76"/>
      <c r="R1627" s="76"/>
      <c r="S1627" s="1356"/>
      <c r="T1627" s="1356"/>
      <c r="U1627" s="1360"/>
      <c r="V1627" s="2525"/>
      <c r="W1627" s="2564"/>
    </row>
    <row r="1628" spans="1:23" ht="27" thickBot="1">
      <c r="A1628" s="1941" t="s">
        <v>132</v>
      </c>
      <c r="B1628" s="1300">
        <v>45590</v>
      </c>
      <c r="C1628" s="508">
        <f t="shared" si="40"/>
        <v>43</v>
      </c>
      <c r="D1628" s="1300" t="s">
        <v>163</v>
      </c>
      <c r="E1628" s="2151" t="s">
        <v>5575</v>
      </c>
      <c r="F1628" s="2571" t="s">
        <v>1764</v>
      </c>
      <c r="G1628" s="2587" t="s">
        <v>1199</v>
      </c>
      <c r="H1628" s="1070">
        <v>701</v>
      </c>
      <c r="I1628" s="2572" t="s">
        <v>151</v>
      </c>
      <c r="J1628" s="2572"/>
      <c r="K1628" s="2572"/>
      <c r="L1628" s="2572" t="s">
        <v>37</v>
      </c>
      <c r="M1628" s="2572"/>
      <c r="N1628" s="2572"/>
      <c r="O1628" s="2572"/>
      <c r="P1628" s="2572"/>
      <c r="Q1628" s="76"/>
      <c r="R1628" s="76"/>
      <c r="S1628" s="1356"/>
      <c r="T1628" s="1356"/>
      <c r="U1628" s="1360"/>
      <c r="V1628" s="2525"/>
      <c r="W1628" s="2564"/>
    </row>
    <row r="1629" spans="1:23" ht="27" thickBot="1">
      <c r="A1629" s="1942" t="s">
        <v>132</v>
      </c>
      <c r="B1629" s="1301">
        <v>45590</v>
      </c>
      <c r="C1629" s="508">
        <f t="shared" si="40"/>
        <v>43</v>
      </c>
      <c r="D1629" s="1476" t="s">
        <v>79</v>
      </c>
      <c r="E1629" s="1476" t="s">
        <v>1123</v>
      </c>
      <c r="F1629" s="2733" t="s">
        <v>5189</v>
      </c>
      <c r="G1629" s="2733" t="s">
        <v>5189</v>
      </c>
      <c r="H1629" s="2162">
        <v>706</v>
      </c>
      <c r="I1629" s="2476" t="s">
        <v>5576</v>
      </c>
      <c r="J1629" s="2476"/>
      <c r="K1629" s="2476"/>
      <c r="L1629" s="2476"/>
      <c r="M1629" s="2476"/>
      <c r="N1629" s="2476"/>
      <c r="O1629" s="2476"/>
      <c r="P1629" s="2476"/>
      <c r="Q1629" s="162"/>
      <c r="R1629" s="162"/>
      <c r="S1629" s="1302"/>
      <c r="T1629" s="1302"/>
      <c r="U1629" s="1344"/>
      <c r="V1629" s="2525"/>
      <c r="W1629" s="2564"/>
    </row>
    <row r="1630" spans="1:23" ht="27" thickBot="1">
      <c r="A1630" s="1942" t="s">
        <v>132</v>
      </c>
      <c r="B1630" s="1301">
        <v>45590</v>
      </c>
      <c r="C1630" s="508">
        <f t="shared" si="40"/>
        <v>43</v>
      </c>
      <c r="D1630" s="1436" t="s">
        <v>5577</v>
      </c>
      <c r="E1630" s="1436" t="s">
        <v>2430</v>
      </c>
      <c r="F1630" s="2733" t="s">
        <v>5189</v>
      </c>
      <c r="G1630" s="2733" t="s">
        <v>5189</v>
      </c>
      <c r="H1630" s="2162">
        <v>706</v>
      </c>
      <c r="I1630" s="2476" t="s">
        <v>5538</v>
      </c>
      <c r="J1630" s="2476"/>
      <c r="K1630" s="2091" t="s">
        <v>114</v>
      </c>
      <c r="L1630" s="2476"/>
      <c r="M1630" s="2476"/>
      <c r="N1630" s="2476"/>
      <c r="O1630" s="2476"/>
      <c r="P1630" s="2476"/>
      <c r="Q1630" s="162"/>
      <c r="R1630" s="162"/>
      <c r="S1630" s="1302" t="s">
        <v>37</v>
      </c>
      <c r="T1630" s="1302"/>
      <c r="U1630" s="1344"/>
      <c r="V1630" s="2525"/>
      <c r="W1630" s="2564"/>
    </row>
    <row r="1631" spans="1:23" ht="27" thickBot="1">
      <c r="A1631" s="1942" t="s">
        <v>132</v>
      </c>
      <c r="B1631" s="1301">
        <v>45590</v>
      </c>
      <c r="C1631" s="508">
        <f t="shared" si="40"/>
        <v>43</v>
      </c>
      <c r="D1631" s="1301" t="s">
        <v>3046</v>
      </c>
      <c r="E1631" s="1301" t="s">
        <v>207</v>
      </c>
      <c r="F1631" s="2741" t="s">
        <v>1199</v>
      </c>
      <c r="G1631" s="2742" t="s">
        <v>1764</v>
      </c>
      <c r="H1631" s="2162">
        <v>706</v>
      </c>
      <c r="I1631" s="2476" t="s">
        <v>356</v>
      </c>
      <c r="J1631" s="2476"/>
      <c r="K1631" s="2476"/>
      <c r="L1631" s="2476" t="s">
        <v>37</v>
      </c>
      <c r="M1631" s="2476"/>
      <c r="N1631" s="2476"/>
      <c r="O1631" s="2476"/>
      <c r="P1631" s="2476"/>
      <c r="Q1631" s="162"/>
      <c r="R1631" s="162"/>
      <c r="S1631" s="1302"/>
      <c r="T1631" s="1302"/>
      <c r="U1631" s="1344"/>
      <c r="V1631" s="2525"/>
      <c r="W1631" s="2564"/>
    </row>
    <row r="1632" spans="1:23" ht="27" thickBot="1">
      <c r="A1632" s="1937" t="s">
        <v>132</v>
      </c>
      <c r="B1632" s="1390">
        <v>45590</v>
      </c>
      <c r="C1632" s="508">
        <f t="shared" si="40"/>
        <v>43</v>
      </c>
      <c r="D1632" s="1390" t="s">
        <v>163</v>
      </c>
      <c r="E1632" s="1390" t="s">
        <v>1905</v>
      </c>
      <c r="F1632" s="2739" t="s">
        <v>1199</v>
      </c>
      <c r="G1632" s="2739" t="s">
        <v>1199</v>
      </c>
      <c r="H1632" s="1150">
        <v>702</v>
      </c>
      <c r="I1632" s="2582" t="s">
        <v>1499</v>
      </c>
      <c r="J1632" s="2582"/>
      <c r="K1632" s="2582"/>
      <c r="L1632" s="2582" t="s">
        <v>37</v>
      </c>
      <c r="M1632" s="2582"/>
      <c r="N1632" s="2582"/>
      <c r="O1632" s="2582"/>
      <c r="P1632" s="2582"/>
      <c r="Q1632" s="118"/>
      <c r="R1632" s="118"/>
      <c r="S1632" s="2422"/>
      <c r="T1632" s="2422"/>
      <c r="U1632" s="2423"/>
      <c r="V1632" s="2525"/>
      <c r="W1632" s="2564"/>
    </row>
    <row r="1633" spans="1:23" ht="27" thickBot="1">
      <c r="A1633" s="1937" t="s">
        <v>132</v>
      </c>
      <c r="B1633" s="1390">
        <v>45590</v>
      </c>
      <c r="C1633" s="508">
        <f t="shared" si="40"/>
        <v>43</v>
      </c>
      <c r="D1633" s="1390" t="s">
        <v>1905</v>
      </c>
      <c r="E1633" s="1390" t="s">
        <v>1527</v>
      </c>
      <c r="F1633" s="2718" t="s">
        <v>1199</v>
      </c>
      <c r="G1633" s="2718" t="s">
        <v>1199</v>
      </c>
      <c r="H1633" s="1150">
        <v>702</v>
      </c>
      <c r="I1633" s="2582" t="s">
        <v>5578</v>
      </c>
      <c r="J1633" s="2582"/>
      <c r="K1633" s="2582"/>
      <c r="L1633" s="2582"/>
      <c r="M1633" s="2582" t="s">
        <v>30</v>
      </c>
      <c r="N1633" s="20" t="s">
        <v>0</v>
      </c>
      <c r="O1633" s="20" t="s">
        <v>110</v>
      </c>
      <c r="P1633" s="20" t="s">
        <v>4339</v>
      </c>
      <c r="Q1633" s="118"/>
      <c r="R1633" s="118"/>
      <c r="S1633" s="2422"/>
      <c r="T1633" s="2422"/>
      <c r="U1633" s="2423" t="s">
        <v>5579</v>
      </c>
      <c r="V1633" s="2525"/>
      <c r="W1633" s="2564"/>
    </row>
    <row r="1634" spans="1:23" ht="105.75" thickBot="1">
      <c r="A1634" s="1935" t="s">
        <v>143</v>
      </c>
      <c r="B1634" s="1936">
        <v>45591</v>
      </c>
      <c r="C1634" s="508">
        <f t="shared" si="40"/>
        <v>43</v>
      </c>
      <c r="D1634" s="1936" t="s">
        <v>148</v>
      </c>
      <c r="E1634" s="2246" t="s">
        <v>5580</v>
      </c>
      <c r="F1634" s="2507" t="s">
        <v>1199</v>
      </c>
      <c r="G1634" s="2516" t="s">
        <v>1199</v>
      </c>
      <c r="H1634" s="2249">
        <v>701</v>
      </c>
      <c r="I1634" s="2747" t="s">
        <v>764</v>
      </c>
      <c r="J1634" s="2746"/>
      <c r="K1634" s="2748"/>
      <c r="L1634" s="2749"/>
      <c r="M1634" s="2599" t="s">
        <v>37</v>
      </c>
      <c r="N1634" s="120" t="s">
        <v>0</v>
      </c>
      <c r="O1634" s="120" t="s">
        <v>187</v>
      </c>
      <c r="P1634" s="120" t="s">
        <v>4339</v>
      </c>
      <c r="Q1634" s="2749"/>
      <c r="R1634" s="1943"/>
      <c r="S1634" s="2469"/>
      <c r="T1634" s="2469"/>
      <c r="U1634" s="2752" t="s">
        <v>5581</v>
      </c>
      <c r="V1634" s="3075"/>
      <c r="W1634" s="2564"/>
    </row>
    <row r="1635" spans="1:23" ht="27" thickBot="1">
      <c r="A1635" s="1941" t="s">
        <v>143</v>
      </c>
      <c r="B1635" s="1300">
        <v>45591</v>
      </c>
      <c r="C1635" s="508">
        <f t="shared" si="40"/>
        <v>43</v>
      </c>
      <c r="D1635" s="1300" t="s">
        <v>5582</v>
      </c>
      <c r="E1635" s="1328" t="s">
        <v>163</v>
      </c>
      <c r="F1635" s="2744" t="s">
        <v>1199</v>
      </c>
      <c r="G1635" s="2536" t="s">
        <v>1199</v>
      </c>
      <c r="H1635" s="2274">
        <v>701</v>
      </c>
      <c r="I1635" s="2500" t="s">
        <v>764</v>
      </c>
      <c r="J1635" s="2622"/>
      <c r="K1635" s="2750"/>
      <c r="L1635" s="2751"/>
      <c r="M1635" s="2751"/>
      <c r="N1635" s="2751"/>
      <c r="O1635" s="2751"/>
      <c r="P1635" s="2751"/>
      <c r="Q1635" s="2751"/>
      <c r="R1635" s="76"/>
      <c r="S1635" s="1356"/>
      <c r="T1635" s="1356"/>
      <c r="U1635" s="1360"/>
      <c r="V1635" s="2525"/>
      <c r="W1635" s="2564"/>
    </row>
    <row r="1636" spans="1:23" ht="27" thickBot="1">
      <c r="A1636" s="1937" t="s">
        <v>143</v>
      </c>
      <c r="B1636" s="1390">
        <v>45591</v>
      </c>
      <c r="C1636" s="508">
        <f t="shared" si="40"/>
        <v>43</v>
      </c>
      <c r="D1636" s="1390" t="s">
        <v>2430</v>
      </c>
      <c r="E1636" s="1391" t="s">
        <v>4401</v>
      </c>
      <c r="F1636" s="2745" t="s">
        <v>5583</v>
      </c>
      <c r="G1636" s="2743" t="s">
        <v>5583</v>
      </c>
      <c r="H1636" s="2258">
        <v>701</v>
      </c>
      <c r="I1636" s="2628" t="s">
        <v>764</v>
      </c>
      <c r="J1636" s="356"/>
      <c r="K1636" s="2775"/>
      <c r="L1636" s="2776"/>
      <c r="M1636" s="2776"/>
      <c r="N1636" s="2776"/>
      <c r="O1636" s="2776"/>
      <c r="P1636" s="2776"/>
      <c r="Q1636" s="2776"/>
      <c r="R1636" s="51"/>
      <c r="S1636" s="51"/>
      <c r="T1636" s="51"/>
      <c r="U1636" s="53"/>
      <c r="V1636"/>
      <c r="W1636" s="2564"/>
    </row>
    <row r="1637" spans="1:23">
      <c r="A1637" s="1935" t="s">
        <v>1280</v>
      </c>
      <c r="B1637" s="1936">
        <v>45593</v>
      </c>
      <c r="C1637" s="465">
        <f t="shared" si="40"/>
        <v>44</v>
      </c>
      <c r="D1637" s="1936" t="s">
        <v>5584</v>
      </c>
      <c r="E1637" s="2246" t="s">
        <v>5585</v>
      </c>
      <c r="F1637" s="2507" t="s">
        <v>1764</v>
      </c>
      <c r="G1637" s="2503" t="s">
        <v>1764</v>
      </c>
      <c r="H1637" s="2249">
        <v>706</v>
      </c>
      <c r="I1637" s="2470" t="s">
        <v>5525</v>
      </c>
      <c r="J1637" s="2510"/>
      <c r="K1637" s="2255" t="s">
        <v>174</v>
      </c>
      <c r="L1637" s="2469" t="s">
        <v>37</v>
      </c>
      <c r="M1637" s="2469"/>
      <c r="N1637" s="2469"/>
      <c r="O1637" s="2469"/>
      <c r="P1637" s="2469"/>
      <c r="Q1637" s="1943"/>
      <c r="R1637" s="1943"/>
      <c r="S1637" s="2469"/>
      <c r="T1637" s="2469"/>
      <c r="U1637" s="2470"/>
      <c r="V1637" s="2525"/>
      <c r="W1637" s="2564"/>
    </row>
    <row r="1638" spans="1:23">
      <c r="A1638" s="1941" t="s">
        <v>1280</v>
      </c>
      <c r="B1638" s="1300">
        <v>45593</v>
      </c>
      <c r="C1638" s="468">
        <f t="shared" si="40"/>
        <v>44</v>
      </c>
      <c r="D1638" s="1300" t="s">
        <v>3603</v>
      </c>
      <c r="E1638" s="1328" t="s">
        <v>671</v>
      </c>
      <c r="F1638" s="2585" t="s">
        <v>1199</v>
      </c>
      <c r="G1638" s="2769" t="s">
        <v>1199</v>
      </c>
      <c r="H1638" s="2274">
        <v>702</v>
      </c>
      <c r="I1638" s="1360" t="s">
        <v>864</v>
      </c>
      <c r="J1638" s="2494"/>
      <c r="K1638" s="2257" t="s">
        <v>114</v>
      </c>
      <c r="L1638" s="1356" t="s">
        <v>37</v>
      </c>
      <c r="M1638" s="1356"/>
      <c r="N1638" s="1356"/>
      <c r="O1638" s="1356"/>
      <c r="P1638" s="1356"/>
      <c r="Q1638" s="76"/>
      <c r="R1638" s="76"/>
      <c r="S1638" s="1356"/>
      <c r="T1638" s="1356"/>
      <c r="U1638" s="1360"/>
      <c r="V1638" s="2525"/>
      <c r="W1638" s="2564"/>
    </row>
    <row r="1639" spans="1:23">
      <c r="A1639" s="1941" t="s">
        <v>1280</v>
      </c>
      <c r="B1639" s="1300">
        <v>45593</v>
      </c>
      <c r="C1639" s="468">
        <f t="shared" si="40"/>
        <v>44</v>
      </c>
      <c r="D1639" s="1300" t="s">
        <v>148</v>
      </c>
      <c r="E1639" s="1328" t="s">
        <v>43</v>
      </c>
      <c r="F1639" s="2585" t="s">
        <v>1199</v>
      </c>
      <c r="G1639" s="2769" t="s">
        <v>1199</v>
      </c>
      <c r="H1639" s="2274">
        <v>701</v>
      </c>
      <c r="I1639" s="1360" t="s">
        <v>94</v>
      </c>
      <c r="J1639" s="2494"/>
      <c r="K1639" s="2409"/>
      <c r="L1639" s="1356" t="s">
        <v>37</v>
      </c>
      <c r="M1639" s="1356"/>
      <c r="N1639" s="1356"/>
      <c r="O1639" s="1356"/>
      <c r="P1639" s="1356"/>
      <c r="Q1639" s="76"/>
      <c r="R1639" s="76"/>
      <c r="S1639" s="1356"/>
      <c r="T1639" s="1356"/>
      <c r="U1639" s="1360"/>
      <c r="V1639" s="2525"/>
      <c r="W1639" s="2564"/>
    </row>
    <row r="1640" spans="1:23">
      <c r="A1640" s="1941" t="s">
        <v>1280</v>
      </c>
      <c r="B1640" s="1300">
        <v>45593</v>
      </c>
      <c r="C1640" s="468">
        <f t="shared" si="40"/>
        <v>44</v>
      </c>
      <c r="D1640" s="1300" t="s">
        <v>3603</v>
      </c>
      <c r="E1640" s="1328" t="s">
        <v>5586</v>
      </c>
      <c r="F1640" s="2755" t="s">
        <v>1199</v>
      </c>
      <c r="G1640" s="2769" t="s">
        <v>1199</v>
      </c>
      <c r="H1640" s="2274">
        <v>701</v>
      </c>
      <c r="I1640" s="1360" t="s">
        <v>149</v>
      </c>
      <c r="J1640" s="2494"/>
      <c r="K1640" s="2257" t="s">
        <v>29</v>
      </c>
      <c r="L1640" s="1356" t="s">
        <v>37</v>
      </c>
      <c r="M1640" s="1356"/>
      <c r="N1640" s="1356"/>
      <c r="O1640" s="1356"/>
      <c r="P1640" s="1356"/>
      <c r="Q1640" s="76"/>
      <c r="R1640" s="76"/>
      <c r="S1640" s="1356"/>
      <c r="T1640" s="1356"/>
      <c r="U1640" s="1360"/>
      <c r="V1640" s="2525"/>
      <c r="W1640" s="2564"/>
    </row>
    <row r="1641" spans="1:23">
      <c r="A1641" s="1941" t="s">
        <v>1280</v>
      </c>
      <c r="B1641" s="1300">
        <v>45593</v>
      </c>
      <c r="C1641" s="468">
        <f t="shared" si="40"/>
        <v>44</v>
      </c>
      <c r="D1641" s="1300" t="s">
        <v>156</v>
      </c>
      <c r="E1641" s="1328" t="s">
        <v>5587</v>
      </c>
      <c r="F1641" s="2772" t="s">
        <v>1206</v>
      </c>
      <c r="G1641" s="2770" t="s">
        <v>1206</v>
      </c>
      <c r="H1641" s="2274">
        <v>701</v>
      </c>
      <c r="I1641" s="1360" t="s">
        <v>149</v>
      </c>
      <c r="J1641" s="2494"/>
      <c r="K1641" s="2257" t="s">
        <v>29</v>
      </c>
      <c r="L1641" s="1356" t="s">
        <v>37</v>
      </c>
      <c r="M1641" s="1356"/>
      <c r="N1641" s="1356"/>
      <c r="O1641" s="1356"/>
      <c r="P1641" s="1356"/>
      <c r="Q1641" s="76"/>
      <c r="R1641" s="76"/>
      <c r="S1641" s="1356"/>
      <c r="T1641" s="1356"/>
      <c r="U1641" s="1360"/>
      <c r="V1641" s="2525"/>
      <c r="W1641" s="2564"/>
    </row>
    <row r="1642" spans="1:23">
      <c r="A1642" s="1941" t="s">
        <v>1280</v>
      </c>
      <c r="B1642" s="1300">
        <v>45593</v>
      </c>
      <c r="C1642" s="468">
        <f t="shared" si="40"/>
        <v>44</v>
      </c>
      <c r="D1642" s="1300" t="s">
        <v>1527</v>
      </c>
      <c r="E1642" s="1328" t="s">
        <v>1905</v>
      </c>
      <c r="F1642" s="2585" t="s">
        <v>1199</v>
      </c>
      <c r="G1642" s="2769" t="s">
        <v>1199</v>
      </c>
      <c r="H1642" s="2274">
        <v>702</v>
      </c>
      <c r="I1642" s="1360" t="s">
        <v>5588</v>
      </c>
      <c r="J1642" s="2494"/>
      <c r="K1642" s="2409"/>
      <c r="L1642" s="1356" t="s">
        <v>37</v>
      </c>
      <c r="M1642" s="1356"/>
      <c r="N1642" s="1356"/>
      <c r="O1642" s="1356"/>
      <c r="P1642" s="1356"/>
      <c r="Q1642" s="76"/>
      <c r="R1642" s="76"/>
      <c r="S1642" s="1356"/>
      <c r="T1642" s="1356"/>
      <c r="U1642" s="1360"/>
      <c r="V1642" s="2525"/>
      <c r="W1642" s="2564"/>
    </row>
    <row r="1643" spans="1:23">
      <c r="A1643" s="1941" t="s">
        <v>1280</v>
      </c>
      <c r="B1643" s="1300">
        <v>45593</v>
      </c>
      <c r="C1643" s="468">
        <f t="shared" si="40"/>
        <v>44</v>
      </c>
      <c r="D1643" s="1300" t="s">
        <v>5589</v>
      </c>
      <c r="E1643" s="1328" t="s">
        <v>5590</v>
      </c>
      <c r="F1643" s="2773" t="s">
        <v>1206</v>
      </c>
      <c r="G1643" s="2770" t="s">
        <v>1206</v>
      </c>
      <c r="H1643" s="2274">
        <v>706</v>
      </c>
      <c r="I1643" s="1360" t="s">
        <v>377</v>
      </c>
      <c r="J1643" s="2494"/>
      <c r="K1643" s="2409"/>
      <c r="L1643" s="1356" t="s">
        <v>37</v>
      </c>
      <c r="M1643" s="1356"/>
      <c r="N1643" s="1356"/>
      <c r="O1643" s="1356"/>
      <c r="P1643" s="1356"/>
      <c r="Q1643" s="76"/>
      <c r="R1643" s="76"/>
      <c r="S1643" s="1356"/>
      <c r="T1643" s="1356"/>
      <c r="U1643" s="1360"/>
      <c r="V1643" s="2525"/>
      <c r="W1643" s="2564"/>
    </row>
    <row r="1644" spans="1:23" ht="53.25" thickBot="1">
      <c r="A1644" s="1938" t="s">
        <v>1280</v>
      </c>
      <c r="B1644" s="1312">
        <v>45593</v>
      </c>
      <c r="C1644" s="480">
        <f t="shared" si="40"/>
        <v>44</v>
      </c>
      <c r="D1644" s="1312" t="s">
        <v>1905</v>
      </c>
      <c r="E1644" s="1330" t="s">
        <v>671</v>
      </c>
      <c r="F1644" s="2774" t="s">
        <v>5211</v>
      </c>
      <c r="G1644" s="2771" t="s">
        <v>5591</v>
      </c>
      <c r="H1644" s="2253">
        <v>702</v>
      </c>
      <c r="I1644" s="2475" t="s">
        <v>5592</v>
      </c>
      <c r="J1644" s="2511"/>
      <c r="K1644" s="2757"/>
      <c r="L1644" s="1894"/>
      <c r="M1644" s="1894" t="s">
        <v>37</v>
      </c>
      <c r="N1644" s="20" t="s">
        <v>109</v>
      </c>
      <c r="O1644" s="20" t="s">
        <v>1268</v>
      </c>
      <c r="P1644" s="20" t="s">
        <v>4082</v>
      </c>
      <c r="Q1644" s="710"/>
      <c r="R1644" s="710"/>
      <c r="S1644" s="1894"/>
      <c r="T1644" s="1894"/>
      <c r="U1644" s="2475" t="s">
        <v>5593</v>
      </c>
      <c r="V1644" s="2525"/>
      <c r="W1644" s="2564"/>
    </row>
    <row r="1645" spans="1:23">
      <c r="A1645" s="1942" t="s">
        <v>180</v>
      </c>
      <c r="B1645" s="1301">
        <v>45594</v>
      </c>
      <c r="C1645" s="179">
        <f t="shared" si="40"/>
        <v>44</v>
      </c>
      <c r="D1645" s="1301" t="s">
        <v>1905</v>
      </c>
      <c r="E1645" s="1343" t="s">
        <v>183</v>
      </c>
      <c r="F1645" s="2507" t="s">
        <v>1199</v>
      </c>
      <c r="G1645" s="2503" t="s">
        <v>1199</v>
      </c>
      <c r="H1645" s="2251">
        <v>702</v>
      </c>
      <c r="I1645" s="1344" t="s">
        <v>5592</v>
      </c>
      <c r="J1645" s="2768"/>
      <c r="K1645" s="2767"/>
      <c r="L1645" s="1302" t="s">
        <v>37</v>
      </c>
      <c r="M1645" s="1302"/>
      <c r="N1645" s="1302"/>
      <c r="O1645" s="1302"/>
      <c r="P1645" s="1302"/>
      <c r="Q1645" s="162"/>
      <c r="R1645" s="162" t="s">
        <v>37</v>
      </c>
      <c r="S1645" s="1302"/>
      <c r="T1645" s="1302"/>
      <c r="U1645" s="1344" t="s">
        <v>5594</v>
      </c>
      <c r="V1645" s="2525"/>
      <c r="W1645" s="2564"/>
    </row>
    <row r="1646" spans="1:23">
      <c r="A1646" s="1941" t="s">
        <v>180</v>
      </c>
      <c r="B1646" s="1300">
        <v>45594</v>
      </c>
      <c r="C1646" s="468">
        <f t="shared" si="40"/>
        <v>44</v>
      </c>
      <c r="D1646" s="1300" t="s">
        <v>169</v>
      </c>
      <c r="E1646" s="1328" t="s">
        <v>671</v>
      </c>
      <c r="F1646" s="2489" t="s">
        <v>1199</v>
      </c>
      <c r="G1646" s="2484" t="s">
        <v>1199</v>
      </c>
      <c r="H1646" s="2274">
        <v>702</v>
      </c>
      <c r="I1646" s="1360" t="s">
        <v>5592</v>
      </c>
      <c r="J1646" s="2494"/>
      <c r="K1646" s="2409"/>
      <c r="L1646" s="1356" t="s">
        <v>37</v>
      </c>
      <c r="M1646" s="1356"/>
      <c r="N1646" s="1356"/>
      <c r="O1646" s="1356"/>
      <c r="P1646" s="1356"/>
      <c r="Q1646" s="76"/>
      <c r="R1646" s="76"/>
      <c r="S1646" s="1356"/>
      <c r="T1646" s="1356"/>
      <c r="U1646" s="1360" t="s">
        <v>5594</v>
      </c>
      <c r="V1646" s="2525"/>
      <c r="W1646" s="2564"/>
    </row>
    <row r="1647" spans="1:23">
      <c r="A1647" s="1941" t="s">
        <v>180</v>
      </c>
      <c r="B1647" s="1300">
        <v>45594</v>
      </c>
      <c r="C1647" s="468">
        <f t="shared" si="40"/>
        <v>44</v>
      </c>
      <c r="D1647" s="1300" t="s">
        <v>5595</v>
      </c>
      <c r="E1647" s="1328" t="s">
        <v>2328</v>
      </c>
      <c r="F1647" s="2755" t="s">
        <v>1199</v>
      </c>
      <c r="G1647" s="2753" t="s">
        <v>1199</v>
      </c>
      <c r="H1647" s="2274">
        <v>705</v>
      </c>
      <c r="I1647" s="1360" t="s">
        <v>2329</v>
      </c>
      <c r="J1647" s="2494"/>
      <c r="K1647" s="2409"/>
      <c r="L1647" s="1356" t="s">
        <v>37</v>
      </c>
      <c r="M1647" s="1356"/>
      <c r="N1647" s="1356"/>
      <c r="O1647" s="1356"/>
      <c r="P1647" s="1356"/>
      <c r="Q1647" s="76"/>
      <c r="R1647" s="76"/>
      <c r="S1647" s="1356"/>
      <c r="T1647" s="1356"/>
      <c r="U1647" s="1360"/>
      <c r="V1647" s="2525"/>
      <c r="W1647" s="2564"/>
    </row>
    <row r="1648" spans="1:23" ht="27" thickBot="1">
      <c r="A1648" s="1938" t="s">
        <v>180</v>
      </c>
      <c r="B1648" s="1312">
        <v>45594</v>
      </c>
      <c r="C1648" s="480">
        <f t="shared" si="40"/>
        <v>44</v>
      </c>
      <c r="D1648" s="1312" t="s">
        <v>258</v>
      </c>
      <c r="E1648" s="1330" t="s">
        <v>1740</v>
      </c>
      <c r="F1648" s="2756" t="s">
        <v>1764</v>
      </c>
      <c r="G1648" s="2754" t="s">
        <v>1764</v>
      </c>
      <c r="H1648" s="2253">
        <v>704</v>
      </c>
      <c r="I1648" s="2475" t="s">
        <v>5596</v>
      </c>
      <c r="J1648" s="2511"/>
      <c r="K1648" s="2757"/>
      <c r="L1648" s="1894" t="s">
        <v>37</v>
      </c>
      <c r="M1648" s="1894"/>
      <c r="N1648" s="1894"/>
      <c r="O1648" s="1894"/>
      <c r="P1648" s="1894"/>
      <c r="Q1648" s="710"/>
      <c r="R1648" s="710"/>
      <c r="S1648" s="1894"/>
      <c r="T1648" s="1894"/>
      <c r="U1648" s="2475"/>
      <c r="V1648" s="2525"/>
      <c r="W1648" s="2564"/>
    </row>
    <row r="1649" spans="1:23">
      <c r="A1649" s="1942" t="s">
        <v>1323</v>
      </c>
      <c r="B1649" s="1301">
        <v>45595</v>
      </c>
      <c r="C1649" s="179">
        <f t="shared" si="40"/>
        <v>44</v>
      </c>
      <c r="D1649" s="1301" t="s">
        <v>63</v>
      </c>
      <c r="E1649" s="1343" t="s">
        <v>5597</v>
      </c>
      <c r="F1649" s="2762" t="s">
        <v>1199</v>
      </c>
      <c r="G1649" s="2758" t="s">
        <v>1199</v>
      </c>
      <c r="H1649" s="2251">
        <v>705</v>
      </c>
      <c r="I1649" s="1344" t="s">
        <v>2329</v>
      </c>
      <c r="J1649" s="2510"/>
      <c r="K1649" s="2466" t="s">
        <v>29</v>
      </c>
      <c r="L1649" s="1302" t="s">
        <v>37</v>
      </c>
      <c r="M1649" s="1302"/>
      <c r="N1649" s="1302"/>
      <c r="O1649" s="1302"/>
      <c r="P1649" s="1302"/>
      <c r="Q1649" s="162"/>
      <c r="R1649" s="162"/>
      <c r="S1649" s="1302"/>
      <c r="T1649" s="1302"/>
      <c r="U1649" s="1344"/>
      <c r="V1649" s="2525"/>
      <c r="W1649" s="2564"/>
    </row>
    <row r="1650" spans="1:23">
      <c r="A1650" s="1941" t="s">
        <v>1323</v>
      </c>
      <c r="B1650" s="1300">
        <v>45595</v>
      </c>
      <c r="C1650" s="468">
        <f t="shared" si="40"/>
        <v>44</v>
      </c>
      <c r="D1650" s="1300" t="s">
        <v>1153</v>
      </c>
      <c r="E1650" s="1328" t="s">
        <v>5598</v>
      </c>
      <c r="F1650" s="2763" t="s">
        <v>1199</v>
      </c>
      <c r="G1650" s="2759" t="s">
        <v>1199</v>
      </c>
      <c r="H1650" s="2274">
        <v>705</v>
      </c>
      <c r="I1650" s="1360" t="s">
        <v>2329</v>
      </c>
      <c r="J1650" s="2493"/>
      <c r="K1650" s="2257" t="s">
        <v>29</v>
      </c>
      <c r="L1650" s="1356" t="s">
        <v>37</v>
      </c>
      <c r="M1650" s="1356"/>
      <c r="N1650" s="1356"/>
      <c r="O1650" s="1356"/>
      <c r="P1650" s="1356"/>
      <c r="Q1650" s="76"/>
      <c r="R1650" s="76"/>
      <c r="S1650" s="1356"/>
      <c r="T1650" s="1356"/>
      <c r="U1650" s="1360"/>
      <c r="V1650" s="2525"/>
      <c r="W1650" s="2564"/>
    </row>
    <row r="1651" spans="1:23" ht="52.5">
      <c r="A1651" s="1941" t="s">
        <v>1323</v>
      </c>
      <c r="B1651" s="1300">
        <v>45595</v>
      </c>
      <c r="C1651" s="468">
        <f t="shared" si="40"/>
        <v>44</v>
      </c>
      <c r="D1651" s="2372" t="s">
        <v>79</v>
      </c>
      <c r="E1651" s="2447" t="s">
        <v>368</v>
      </c>
      <c r="F1651" s="2489" t="s">
        <v>1199</v>
      </c>
      <c r="G1651" s="2484" t="s">
        <v>1199</v>
      </c>
      <c r="H1651" s="2274">
        <v>706</v>
      </c>
      <c r="I1651" s="137" t="s">
        <v>5599</v>
      </c>
      <c r="J1651" s="2494"/>
      <c r="K1651" s="2409"/>
      <c r="L1651" s="1356"/>
      <c r="M1651" s="1356" t="s">
        <v>30</v>
      </c>
      <c r="N1651" s="20" t="s">
        <v>122</v>
      </c>
      <c r="O1651" s="20" t="s">
        <v>123</v>
      </c>
      <c r="P1651" s="20" t="s">
        <v>4102</v>
      </c>
      <c r="Q1651" s="76"/>
      <c r="R1651" s="76"/>
      <c r="S1651" s="1356"/>
      <c r="T1651" s="1356"/>
      <c r="U1651" s="1360" t="s">
        <v>5600</v>
      </c>
      <c r="V1651" s="2525"/>
      <c r="W1651" s="2564" t="s">
        <v>5601</v>
      </c>
    </row>
    <row r="1652" spans="1:23">
      <c r="A1652" s="1941" t="s">
        <v>1323</v>
      </c>
      <c r="B1652" s="1300">
        <v>45595</v>
      </c>
      <c r="C1652" s="468">
        <f t="shared" si="40"/>
        <v>44</v>
      </c>
      <c r="D1652" s="2372" t="s">
        <v>264</v>
      </c>
      <c r="E1652" s="2447" t="s">
        <v>5602</v>
      </c>
      <c r="F1652" s="2764" t="s">
        <v>1199</v>
      </c>
      <c r="G1652" s="2760" t="s">
        <v>1199</v>
      </c>
      <c r="H1652" s="2274">
        <v>706</v>
      </c>
      <c r="I1652" s="1360" t="s">
        <v>1627</v>
      </c>
      <c r="J1652" s="2494"/>
      <c r="K1652" s="2409"/>
      <c r="L1652" s="1356" t="s">
        <v>37</v>
      </c>
      <c r="M1652" s="1356"/>
      <c r="N1652" s="1356"/>
      <c r="O1652" s="1356"/>
      <c r="P1652" s="1356"/>
      <c r="Q1652" s="76"/>
      <c r="R1652" s="76"/>
      <c r="S1652" s="1356"/>
      <c r="T1652" s="1356"/>
      <c r="U1652" s="1360"/>
      <c r="V1652" s="2525"/>
      <c r="W1652" s="2564"/>
    </row>
    <row r="1653" spans="1:23">
      <c r="A1653" s="1941" t="s">
        <v>1323</v>
      </c>
      <c r="B1653" s="1300">
        <v>45595</v>
      </c>
      <c r="C1653" s="468">
        <f t="shared" si="40"/>
        <v>44</v>
      </c>
      <c r="D1653" s="1300" t="s">
        <v>436</v>
      </c>
      <c r="E1653" s="1328" t="s">
        <v>2429</v>
      </c>
      <c r="F1653" s="2765" t="s">
        <v>1199</v>
      </c>
      <c r="G1653" s="2761" t="s">
        <v>1199</v>
      </c>
      <c r="H1653" s="2274">
        <v>704</v>
      </c>
      <c r="I1653" s="1360" t="s">
        <v>5603</v>
      </c>
      <c r="J1653" s="2494"/>
      <c r="K1653" s="2409"/>
      <c r="L1653" s="1356" t="s">
        <v>37</v>
      </c>
      <c r="M1653" s="1356"/>
      <c r="N1653" s="1356"/>
      <c r="O1653" s="1356"/>
      <c r="P1653" s="1356"/>
      <c r="Q1653" s="76"/>
      <c r="R1653" s="76"/>
      <c r="S1653" s="1356"/>
      <c r="T1653" s="1356"/>
      <c r="U1653" s="1360"/>
      <c r="V1653" s="2525"/>
      <c r="W1653" s="2564"/>
    </row>
    <row r="1654" spans="1:23">
      <c r="A1654" s="1941" t="s">
        <v>1323</v>
      </c>
      <c r="B1654" s="1300">
        <v>45595</v>
      </c>
      <c r="C1654" s="468">
        <f t="shared" si="40"/>
        <v>44</v>
      </c>
      <c r="D1654" s="1300" t="s">
        <v>5585</v>
      </c>
      <c r="E1654" s="1328" t="s">
        <v>5584</v>
      </c>
      <c r="F1654" s="2489" t="s">
        <v>1199</v>
      </c>
      <c r="G1654" s="2484" t="s">
        <v>1199</v>
      </c>
      <c r="H1654" s="2274">
        <v>706</v>
      </c>
      <c r="I1654" s="1360" t="s">
        <v>5604</v>
      </c>
      <c r="J1654" s="2494"/>
      <c r="K1654" s="2257" t="s">
        <v>174</v>
      </c>
      <c r="L1654" s="1356" t="s">
        <v>37</v>
      </c>
      <c r="M1654" s="1356"/>
      <c r="N1654" s="1356"/>
      <c r="O1654" s="1356"/>
      <c r="P1654" s="1356"/>
      <c r="Q1654" s="76"/>
      <c r="R1654" s="76"/>
      <c r="S1654" s="1356"/>
      <c r="T1654" s="1356"/>
      <c r="U1654" s="1360"/>
      <c r="V1654" s="2525"/>
      <c r="W1654" s="2564"/>
    </row>
    <row r="1655" spans="1:23" ht="52.5">
      <c r="A1655" s="1941" t="s">
        <v>1323</v>
      </c>
      <c r="B1655" s="1300">
        <v>45595</v>
      </c>
      <c r="C1655" s="468">
        <f t="shared" si="40"/>
        <v>44</v>
      </c>
      <c r="D1655" s="1300" t="s">
        <v>671</v>
      </c>
      <c r="E1655" s="1328" t="s">
        <v>1074</v>
      </c>
      <c r="F1655" s="2489" t="s">
        <v>5189</v>
      </c>
      <c r="G1655" s="2484" t="s">
        <v>5190</v>
      </c>
      <c r="H1655" s="2274">
        <v>702</v>
      </c>
      <c r="I1655" s="137" t="s">
        <v>5605</v>
      </c>
      <c r="J1655" s="2494"/>
      <c r="K1655" s="2409"/>
      <c r="L1655" s="1356"/>
      <c r="M1655" s="1356" t="s">
        <v>37</v>
      </c>
      <c r="N1655" s="20" t="s">
        <v>109</v>
      </c>
      <c r="O1655" s="20" t="s">
        <v>110</v>
      </c>
      <c r="P1655" s="20" t="s">
        <v>4082</v>
      </c>
      <c r="Q1655" s="76"/>
      <c r="R1655" s="76"/>
      <c r="S1655" s="1356"/>
      <c r="T1655" s="1356"/>
      <c r="U1655" s="1360" t="s">
        <v>5606</v>
      </c>
      <c r="V1655" s="2525"/>
      <c r="W1655" s="2564"/>
    </row>
    <row r="1656" spans="1:23" ht="27" thickBot="1">
      <c r="A1656" s="1938" t="s">
        <v>1323</v>
      </c>
      <c r="B1656" s="1312">
        <v>45595</v>
      </c>
      <c r="C1656" s="480">
        <f t="shared" si="40"/>
        <v>44</v>
      </c>
      <c r="D1656" s="1894" t="s">
        <v>671</v>
      </c>
      <c r="E1656" s="2475" t="s">
        <v>209</v>
      </c>
      <c r="F1656" s="2766" t="s">
        <v>1199</v>
      </c>
      <c r="G1656" s="2754" t="s">
        <v>1199</v>
      </c>
      <c r="H1656" s="2253">
        <v>701</v>
      </c>
      <c r="I1656" s="711">
        <v>60072</v>
      </c>
      <c r="J1656" s="2511"/>
      <c r="K1656" s="2757"/>
      <c r="L1656" s="1894" t="s">
        <v>37</v>
      </c>
      <c r="M1656" s="1894"/>
      <c r="N1656" s="1894"/>
      <c r="O1656" s="1894"/>
      <c r="P1656" s="1894"/>
      <c r="Q1656" s="710"/>
      <c r="R1656" s="710"/>
      <c r="S1656" s="1894"/>
      <c r="T1656" s="1894"/>
      <c r="U1656" s="2475"/>
      <c r="V1656" s="2525"/>
      <c r="W1656" s="2564"/>
    </row>
    <row r="1657" spans="1:23">
      <c r="A1657" s="1942" t="s">
        <v>1495</v>
      </c>
      <c r="B1657" s="1301">
        <v>45596</v>
      </c>
      <c r="C1657" s="179">
        <f t="shared" si="40"/>
        <v>44</v>
      </c>
      <c r="D1657" s="1301" t="s">
        <v>148</v>
      </c>
      <c r="E1657" s="1343" t="s">
        <v>3404</v>
      </c>
      <c r="F1657" s="2518" t="s">
        <v>1199</v>
      </c>
      <c r="G1657" s="2516" t="s">
        <v>1199</v>
      </c>
      <c r="H1657" s="2251">
        <v>705</v>
      </c>
      <c r="I1657" s="1344" t="s">
        <v>2329</v>
      </c>
      <c r="J1657" s="2510"/>
      <c r="K1657" s="2767"/>
      <c r="L1657" s="1302" t="s">
        <v>37</v>
      </c>
      <c r="M1657" s="1302"/>
      <c r="N1657" s="1302"/>
      <c r="O1657" s="1302"/>
      <c r="P1657" s="1302"/>
      <c r="Q1657" s="162"/>
      <c r="R1657" s="162"/>
      <c r="S1657" s="1302"/>
      <c r="T1657" s="1302"/>
      <c r="U1657" s="1344"/>
      <c r="V1657" s="2525"/>
      <c r="W1657" s="2564"/>
    </row>
    <row r="1658" spans="1:23">
      <c r="A1658" s="1941" t="s">
        <v>1495</v>
      </c>
      <c r="B1658" s="1300">
        <v>45596</v>
      </c>
      <c r="C1658" s="468">
        <f t="shared" si="40"/>
        <v>44</v>
      </c>
      <c r="D1658" s="2372" t="s">
        <v>80</v>
      </c>
      <c r="E1658" s="2447" t="s">
        <v>3394</v>
      </c>
      <c r="F1658" s="2488" t="s">
        <v>1764</v>
      </c>
      <c r="G1658" s="2483" t="s">
        <v>1764</v>
      </c>
      <c r="H1658" s="2274">
        <v>701</v>
      </c>
      <c r="I1658" s="1360" t="s">
        <v>5607</v>
      </c>
      <c r="J1658" s="2493"/>
      <c r="K1658" s="2409"/>
      <c r="L1658" s="1356"/>
      <c r="M1658" s="1356" t="s">
        <v>37</v>
      </c>
      <c r="N1658" s="1356"/>
      <c r="O1658" s="1356"/>
      <c r="P1658" s="1356"/>
      <c r="Q1658" s="76"/>
      <c r="R1658" s="76"/>
      <c r="S1658" s="1356" t="s">
        <v>37</v>
      </c>
      <c r="T1658" s="1356"/>
      <c r="U1658" s="1360" t="s">
        <v>5608</v>
      </c>
      <c r="V1658" s="2525"/>
      <c r="W1658" s="2564"/>
    </row>
    <row r="1659" spans="1:23">
      <c r="A1659" s="1941" t="s">
        <v>1495</v>
      </c>
      <c r="B1659" s="1300">
        <v>45596</v>
      </c>
      <c r="C1659" s="468">
        <f t="shared" si="40"/>
        <v>44</v>
      </c>
      <c r="D1659" s="2372" t="s">
        <v>436</v>
      </c>
      <c r="E1659" s="2447" t="s">
        <v>2149</v>
      </c>
      <c r="F1659" s="2488" t="s">
        <v>1764</v>
      </c>
      <c r="G1659" s="2483" t="s">
        <v>1764</v>
      </c>
      <c r="H1659" s="2274">
        <v>701</v>
      </c>
      <c r="I1659" s="1360" t="s">
        <v>1627</v>
      </c>
      <c r="J1659" s="2493"/>
      <c r="K1659" s="2409"/>
      <c r="L1659" s="1356"/>
      <c r="M1659" s="1356" t="s">
        <v>37</v>
      </c>
      <c r="N1659" s="1356"/>
      <c r="O1659" s="1356"/>
      <c r="P1659" s="1356"/>
      <c r="Q1659" s="76"/>
      <c r="R1659" s="76"/>
      <c r="S1659" s="1356" t="s">
        <v>37</v>
      </c>
      <c r="T1659" s="1356"/>
      <c r="U1659" s="1360" t="s">
        <v>5608</v>
      </c>
      <c r="V1659" s="2525"/>
      <c r="W1659" s="2564"/>
    </row>
    <row r="1660" spans="1:23">
      <c r="A1660" s="1941" t="s">
        <v>1495</v>
      </c>
      <c r="B1660" s="1300">
        <v>45596</v>
      </c>
      <c r="C1660" s="468">
        <f t="shared" si="40"/>
        <v>44</v>
      </c>
      <c r="D1660" s="1369" t="s">
        <v>169</v>
      </c>
      <c r="E1660" s="1370" t="s">
        <v>5609</v>
      </c>
      <c r="F1660" s="2488" t="s">
        <v>1764</v>
      </c>
      <c r="G1660" s="2483" t="s">
        <v>1764</v>
      </c>
      <c r="H1660" s="2274">
        <v>701</v>
      </c>
      <c r="I1660" s="1360" t="s">
        <v>1627</v>
      </c>
      <c r="J1660" s="2493"/>
      <c r="K1660" s="2409"/>
      <c r="L1660" s="1356" t="s">
        <v>37</v>
      </c>
      <c r="M1660" s="1356"/>
      <c r="N1660" s="1356"/>
      <c r="O1660" s="1356"/>
      <c r="P1660" s="1356"/>
      <c r="Q1660" s="76"/>
      <c r="R1660" s="76"/>
      <c r="S1660" s="1356" t="s">
        <v>37</v>
      </c>
      <c r="T1660" s="1356"/>
      <c r="U1660" s="1360"/>
      <c r="V1660" s="2525"/>
      <c r="W1660" s="2564"/>
    </row>
    <row r="1661" spans="1:23">
      <c r="A1661" s="1941" t="s">
        <v>1495</v>
      </c>
      <c r="B1661" s="1300">
        <v>45596</v>
      </c>
      <c r="C1661" s="468">
        <f t="shared" si="40"/>
        <v>44</v>
      </c>
      <c r="D1661" s="1369" t="s">
        <v>5610</v>
      </c>
      <c r="E1661" s="1370" t="s">
        <v>2877</v>
      </c>
      <c r="F1661" s="2755" t="s">
        <v>1199</v>
      </c>
      <c r="G1661" s="2753" t="s">
        <v>1199</v>
      </c>
      <c r="H1661" s="2274">
        <v>701</v>
      </c>
      <c r="I1661" s="1360" t="s">
        <v>5611</v>
      </c>
      <c r="J1661" s="2493"/>
      <c r="K1661" s="2409"/>
      <c r="L1661" s="1356" t="s">
        <v>37</v>
      </c>
      <c r="M1661" s="1356"/>
      <c r="N1661" s="1356"/>
      <c r="O1661" s="1356"/>
      <c r="P1661" s="1356"/>
      <c r="Q1661" s="76"/>
      <c r="R1661" s="76"/>
      <c r="S1661" s="1356" t="s">
        <v>37</v>
      </c>
      <c r="T1661" s="1356"/>
      <c r="U1661" s="1360"/>
      <c r="V1661" s="2525"/>
      <c r="W1661" s="2564"/>
    </row>
    <row r="1662" spans="1:23">
      <c r="A1662" s="1941" t="s">
        <v>1495</v>
      </c>
      <c r="B1662" s="1300">
        <v>45596</v>
      </c>
      <c r="C1662" s="468">
        <f t="shared" si="40"/>
        <v>44</v>
      </c>
      <c r="D1662" s="1300" t="s">
        <v>204</v>
      </c>
      <c r="E1662" s="1328" t="s">
        <v>5552</v>
      </c>
      <c r="F1662" s="2489" t="s">
        <v>5189</v>
      </c>
      <c r="G1662" s="2484" t="s">
        <v>5190</v>
      </c>
      <c r="H1662" s="2274">
        <v>702</v>
      </c>
      <c r="I1662" s="137" t="s">
        <v>5605</v>
      </c>
      <c r="J1662" s="2494"/>
      <c r="K1662" s="2409"/>
      <c r="L1662" s="1356"/>
      <c r="M1662" s="1356" t="s">
        <v>37</v>
      </c>
      <c r="N1662" s="1356"/>
      <c r="O1662" s="1356"/>
      <c r="P1662" s="1356"/>
      <c r="Q1662" s="76"/>
      <c r="R1662" s="76"/>
      <c r="S1662" s="1356"/>
      <c r="T1662" s="1356"/>
      <c r="U1662" s="1360" t="s">
        <v>5612</v>
      </c>
      <c r="V1662" s="2525"/>
      <c r="W1662" s="2564"/>
    </row>
    <row r="1663" spans="1:23" ht="52.5">
      <c r="A1663" s="1941" t="s">
        <v>1495</v>
      </c>
      <c r="B1663" s="1300">
        <v>45596</v>
      </c>
      <c r="C1663" s="468">
        <f t="shared" si="40"/>
        <v>44</v>
      </c>
      <c r="D1663" s="1300" t="s">
        <v>1905</v>
      </c>
      <c r="E1663" s="1328" t="s">
        <v>1238</v>
      </c>
      <c r="F1663" s="2508" t="s">
        <v>5189</v>
      </c>
      <c r="G1663" s="2504" t="s">
        <v>5190</v>
      </c>
      <c r="H1663" s="2274">
        <v>707</v>
      </c>
      <c r="I1663" s="1360" t="s">
        <v>2999</v>
      </c>
      <c r="J1663" s="2494"/>
      <c r="K1663" s="2409"/>
      <c r="L1663" s="1356"/>
      <c r="M1663" s="1356" t="s">
        <v>37</v>
      </c>
      <c r="N1663" s="20" t="s">
        <v>0</v>
      </c>
      <c r="O1663" s="20" t="s">
        <v>187</v>
      </c>
      <c r="P1663" s="20" t="s">
        <v>4082</v>
      </c>
      <c r="Q1663" s="76"/>
      <c r="R1663" s="76"/>
      <c r="S1663" s="1356"/>
      <c r="T1663" s="1356"/>
      <c r="U1663" s="1360" t="s">
        <v>5613</v>
      </c>
      <c r="V1663" s="2525"/>
      <c r="W1663" s="2564"/>
    </row>
    <row r="1664" spans="1:23" ht="105">
      <c r="A1664" s="1941" t="s">
        <v>1495</v>
      </c>
      <c r="B1664" s="1300">
        <v>45596</v>
      </c>
      <c r="C1664" s="468">
        <f t="shared" si="40"/>
        <v>44</v>
      </c>
      <c r="D1664" s="1300" t="s">
        <v>5614</v>
      </c>
      <c r="E1664" s="1328" t="s">
        <v>4623</v>
      </c>
      <c r="F1664" s="2538" t="s">
        <v>1199</v>
      </c>
      <c r="G1664" s="2536" t="s">
        <v>1199</v>
      </c>
      <c r="H1664" s="2274">
        <v>702</v>
      </c>
      <c r="I1664" s="1360" t="s">
        <v>5615</v>
      </c>
      <c r="J1664" s="2494"/>
      <c r="K1664" s="2409"/>
      <c r="L1664" s="1356"/>
      <c r="M1664" s="1356" t="s">
        <v>37</v>
      </c>
      <c r="N1664" s="20" t="s">
        <v>109</v>
      </c>
      <c r="O1664" s="20" t="s">
        <v>1367</v>
      </c>
      <c r="P1664" s="20" t="s">
        <v>4082</v>
      </c>
      <c r="Q1664" s="76"/>
      <c r="R1664" s="76"/>
      <c r="S1664" s="1356"/>
      <c r="T1664" s="1356"/>
      <c r="U1664" s="2477" t="s">
        <v>5616</v>
      </c>
      <c r="V1664" s="3075"/>
      <c r="W1664" s="2564"/>
    </row>
    <row r="1665" spans="1:23">
      <c r="A1665" s="1941" t="s">
        <v>1495</v>
      </c>
      <c r="B1665" s="1300">
        <v>45596</v>
      </c>
      <c r="C1665" s="468">
        <f t="shared" si="40"/>
        <v>44</v>
      </c>
      <c r="D1665" s="1300" t="s">
        <v>675</v>
      </c>
      <c r="E1665" s="1328" t="s">
        <v>3031</v>
      </c>
      <c r="F1665" s="2538" t="s">
        <v>1199</v>
      </c>
      <c r="G1665" s="2536" t="s">
        <v>1199</v>
      </c>
      <c r="H1665" s="2274">
        <v>701</v>
      </c>
      <c r="I1665" s="1360" t="s">
        <v>94</v>
      </c>
      <c r="J1665" s="2494"/>
      <c r="K1665" s="2257" t="s">
        <v>114</v>
      </c>
      <c r="L1665" s="1356" t="s">
        <v>37</v>
      </c>
      <c r="M1665" s="1356"/>
      <c r="N1665" s="1356"/>
      <c r="O1665" s="1356"/>
      <c r="P1665" s="1356"/>
      <c r="Q1665" s="76"/>
      <c r="R1665" s="76"/>
      <c r="S1665" s="1356"/>
      <c r="T1665" s="1356"/>
      <c r="U1665" s="1360"/>
      <c r="V1665" s="2525"/>
      <c r="W1665" s="2564"/>
    </row>
    <row r="1666" spans="1:23">
      <c r="A1666" s="1941" t="s">
        <v>1495</v>
      </c>
      <c r="B1666" s="1300">
        <v>45596</v>
      </c>
      <c r="C1666" s="468">
        <f t="shared" si="40"/>
        <v>44</v>
      </c>
      <c r="D1666" s="1300" t="s">
        <v>671</v>
      </c>
      <c r="E1666" s="1328" t="s">
        <v>5617</v>
      </c>
      <c r="F1666" s="2538" t="s">
        <v>1199</v>
      </c>
      <c r="G1666" s="2536" t="s">
        <v>1199</v>
      </c>
      <c r="H1666" s="2274">
        <v>701</v>
      </c>
      <c r="I1666" s="137">
        <v>60015</v>
      </c>
      <c r="J1666" s="2494"/>
      <c r="K1666" s="2257" t="s">
        <v>114</v>
      </c>
      <c r="L1666" s="1356" t="s">
        <v>37</v>
      </c>
      <c r="M1666" s="1356"/>
      <c r="N1666" s="1356"/>
      <c r="O1666" s="1356"/>
      <c r="P1666" s="1356"/>
      <c r="Q1666" s="76"/>
      <c r="R1666" s="76"/>
      <c r="S1666" s="1356"/>
      <c r="T1666" s="1356"/>
      <c r="U1666" s="1360"/>
      <c r="V1666" s="2525"/>
      <c r="W1666" s="2564"/>
    </row>
    <row r="1667" spans="1:23" ht="27" thickBot="1">
      <c r="A1667" s="1937" t="s">
        <v>1495</v>
      </c>
      <c r="B1667" s="1390">
        <v>45596</v>
      </c>
      <c r="C1667" s="471">
        <f t="shared" si="40"/>
        <v>44</v>
      </c>
      <c r="D1667" s="1390" t="s">
        <v>1905</v>
      </c>
      <c r="E1667" s="1391" t="s">
        <v>4164</v>
      </c>
      <c r="F1667" s="2756" t="s">
        <v>1764</v>
      </c>
      <c r="G1667" s="2754" t="s">
        <v>1764</v>
      </c>
      <c r="H1667" s="2258">
        <v>701</v>
      </c>
      <c r="I1667" s="2423" t="s">
        <v>5618</v>
      </c>
      <c r="J1667" s="2511"/>
      <c r="K1667" s="2431"/>
      <c r="L1667" s="2422" t="s">
        <v>37</v>
      </c>
      <c r="M1667" s="2422"/>
      <c r="N1667" s="2422"/>
      <c r="O1667" s="2422"/>
      <c r="P1667" s="2422"/>
      <c r="Q1667" s="118"/>
      <c r="R1667" s="118"/>
      <c r="S1667" s="2422"/>
      <c r="T1667" s="2422"/>
      <c r="U1667" s="2423"/>
      <c r="V1667" s="2525"/>
      <c r="W1667" s="2564"/>
    </row>
    <row r="1668" spans="1:23" ht="78.75">
      <c r="A1668" s="1935" t="s">
        <v>1857</v>
      </c>
      <c r="B1668" s="1936">
        <v>45597</v>
      </c>
      <c r="C1668" s="465">
        <f t="shared" si="40"/>
        <v>44</v>
      </c>
      <c r="D1668" s="1936" t="s">
        <v>5242</v>
      </c>
      <c r="E1668" s="2246" t="s">
        <v>204</v>
      </c>
      <c r="F1668" s="2507" t="s">
        <v>1764</v>
      </c>
      <c r="G1668" s="2503" t="s">
        <v>1764</v>
      </c>
      <c r="H1668" s="2249">
        <v>702</v>
      </c>
      <c r="I1668" s="2470" t="s">
        <v>5605</v>
      </c>
      <c r="J1668" s="2510"/>
      <c r="K1668" s="2255" t="s">
        <v>114</v>
      </c>
      <c r="L1668" s="2469"/>
      <c r="M1668" s="2469" t="s">
        <v>30</v>
      </c>
      <c r="N1668" s="20" t="s">
        <v>109</v>
      </c>
      <c r="O1668" s="20" t="s">
        <v>794</v>
      </c>
      <c r="P1668" s="20" t="s">
        <v>4082</v>
      </c>
      <c r="Q1668" s="1943"/>
      <c r="R1668" s="1943"/>
      <c r="S1668" s="2469"/>
      <c r="T1668" s="2469"/>
      <c r="U1668" s="2470" t="s">
        <v>5619</v>
      </c>
      <c r="V1668" s="2525"/>
      <c r="W1668" s="2564"/>
    </row>
    <row r="1669" spans="1:23" ht="53.25" thickBot="1">
      <c r="A1669" s="1937" t="s">
        <v>1857</v>
      </c>
      <c r="B1669" s="1390">
        <v>45597</v>
      </c>
      <c r="C1669" s="471">
        <f t="shared" si="40"/>
        <v>44</v>
      </c>
      <c r="D1669" s="1390" t="s">
        <v>671</v>
      </c>
      <c r="E1669" s="1391" t="s">
        <v>5620</v>
      </c>
      <c r="F1669" s="2756" t="s">
        <v>1764</v>
      </c>
      <c r="G1669" s="2754" t="s">
        <v>1764</v>
      </c>
      <c r="H1669" s="2258">
        <v>702</v>
      </c>
      <c r="I1669" s="2079" t="s">
        <v>5621</v>
      </c>
      <c r="J1669" s="2511"/>
      <c r="K1669" s="2431"/>
      <c r="L1669" s="2422"/>
      <c r="M1669" s="2422" t="s">
        <v>30</v>
      </c>
      <c r="N1669" s="20" t="s">
        <v>109</v>
      </c>
      <c r="O1669" s="20" t="s">
        <v>1971</v>
      </c>
      <c r="P1669" s="20" t="s">
        <v>4082</v>
      </c>
      <c r="Q1669" s="118"/>
      <c r="R1669" s="118"/>
      <c r="S1669" s="2422"/>
      <c r="T1669" s="2422"/>
      <c r="U1669" s="2423" t="s">
        <v>5622</v>
      </c>
      <c r="V1669" s="2525"/>
      <c r="W1669" s="2564"/>
    </row>
    <row r="1670" spans="1:23">
      <c r="A1670" s="1935" t="s">
        <v>1280</v>
      </c>
      <c r="B1670" s="1936">
        <v>45600</v>
      </c>
      <c r="C1670" s="465">
        <f t="shared" si="40"/>
        <v>45</v>
      </c>
      <c r="D1670" s="2777" t="s">
        <v>182</v>
      </c>
      <c r="E1670" s="2799" t="s">
        <v>5623</v>
      </c>
      <c r="F1670" s="2790" t="s">
        <v>1199</v>
      </c>
      <c r="G1670" s="2547" t="s">
        <v>1764</v>
      </c>
      <c r="H1670" s="2249">
        <v>701</v>
      </c>
      <c r="I1670" s="2470" t="s">
        <v>5624</v>
      </c>
      <c r="J1670" s="2510"/>
      <c r="K1670" s="2801"/>
      <c r="L1670" s="2469" t="s">
        <v>37</v>
      </c>
      <c r="M1670" s="2469"/>
      <c r="N1670" s="2469"/>
      <c r="O1670" s="2469"/>
      <c r="P1670" s="2469"/>
      <c r="Q1670" s="1943"/>
      <c r="R1670" s="1943"/>
      <c r="S1670" s="2469"/>
      <c r="T1670" s="2469"/>
      <c r="U1670" s="2758" t="s">
        <v>5625</v>
      </c>
      <c r="V1670" s="2753"/>
    </row>
    <row r="1671" spans="1:23" ht="52.5">
      <c r="A1671" s="1941" t="s">
        <v>1280</v>
      </c>
      <c r="B1671" s="1300">
        <v>45600</v>
      </c>
      <c r="C1671" s="468">
        <f t="shared" si="40"/>
        <v>45</v>
      </c>
      <c r="D1671" s="1356" t="s">
        <v>2750</v>
      </c>
      <c r="E1671" s="1360" t="s">
        <v>1220</v>
      </c>
      <c r="F1671" s="2791" t="s">
        <v>1199</v>
      </c>
      <c r="G1671" s="2783" t="s">
        <v>1199</v>
      </c>
      <c r="H1671" s="2274">
        <v>702</v>
      </c>
      <c r="I1671" s="1360" t="s">
        <v>5626</v>
      </c>
      <c r="J1671" s="2493"/>
      <c r="K1671" s="2409"/>
      <c r="L1671" s="1356"/>
      <c r="M1671" s="1356" t="s">
        <v>37</v>
      </c>
      <c r="N1671" s="20" t="s">
        <v>122</v>
      </c>
      <c r="O1671" s="20" t="s">
        <v>123</v>
      </c>
      <c r="P1671" s="20" t="s">
        <v>4082</v>
      </c>
      <c r="Q1671" s="105">
        <v>1</v>
      </c>
      <c r="R1671" s="76"/>
      <c r="S1671" s="1356"/>
      <c r="T1671" s="1356"/>
      <c r="U1671" s="2484" t="s">
        <v>5627</v>
      </c>
      <c r="V1671" s="2484"/>
    </row>
    <row r="1672" spans="1:23">
      <c r="A1672" s="1941" t="s">
        <v>1280</v>
      </c>
      <c r="B1672" s="1300">
        <v>45600</v>
      </c>
      <c r="C1672" s="468">
        <f t="shared" si="40"/>
        <v>45</v>
      </c>
      <c r="D1672" s="1300" t="s">
        <v>258</v>
      </c>
      <c r="E1672" s="1328" t="s">
        <v>4671</v>
      </c>
      <c r="F1672" s="2792" t="s">
        <v>1199</v>
      </c>
      <c r="G1672" s="2761" t="s">
        <v>1764</v>
      </c>
      <c r="H1672" s="2800">
        <v>706</v>
      </c>
      <c r="I1672" s="137">
        <v>60020</v>
      </c>
      <c r="J1672" s="2789"/>
      <c r="K1672" s="2409"/>
      <c r="L1672" s="1300" t="s">
        <v>37</v>
      </c>
      <c r="M1672" s="1300"/>
      <c r="N1672" s="1300"/>
      <c r="O1672" s="1300"/>
      <c r="P1672" s="1300"/>
      <c r="Q1672" s="68"/>
      <c r="R1672" s="68"/>
      <c r="S1672" s="1300"/>
      <c r="T1672" s="1300"/>
      <c r="U1672" s="2151"/>
      <c r="V1672" s="2151"/>
    </row>
    <row r="1673" spans="1:23">
      <c r="A1673" s="1941" t="s">
        <v>1280</v>
      </c>
      <c r="B1673" s="1300">
        <v>45600</v>
      </c>
      <c r="C1673" s="468">
        <f t="shared" si="40"/>
        <v>45</v>
      </c>
      <c r="D1673" s="5188" t="s">
        <v>5628</v>
      </c>
      <c r="E1673" s="5189"/>
      <c r="F1673" s="2793" t="s">
        <v>5211</v>
      </c>
      <c r="G1673" s="2784" t="s">
        <v>5211</v>
      </c>
      <c r="H1673" s="2274">
        <v>701</v>
      </c>
      <c r="I1673" s="1360" t="s">
        <v>5629</v>
      </c>
      <c r="J1673" s="2789"/>
      <c r="K1673" s="2409"/>
      <c r="L1673" s="1300" t="s">
        <v>37</v>
      </c>
      <c r="M1673" s="1300"/>
      <c r="N1673" s="1300"/>
      <c r="O1673" s="1300"/>
      <c r="P1673" s="1300"/>
      <c r="Q1673" s="68"/>
      <c r="R1673" s="68"/>
      <c r="S1673" s="1300"/>
      <c r="T1673" s="1300"/>
      <c r="U1673" s="2151"/>
      <c r="V1673" s="2151"/>
    </row>
    <row r="1674" spans="1:23">
      <c r="A1674" s="1941" t="s">
        <v>1280</v>
      </c>
      <c r="B1674" s="1300">
        <v>45600</v>
      </c>
      <c r="C1674" s="468">
        <f t="shared" si="40"/>
        <v>45</v>
      </c>
      <c r="D1674" s="2291" t="s">
        <v>80</v>
      </c>
      <c r="E1674" s="2293" t="s">
        <v>840</v>
      </c>
      <c r="F1674" s="2794" t="s">
        <v>1199</v>
      </c>
      <c r="G1674" s="2785" t="s">
        <v>1199</v>
      </c>
      <c r="H1674" s="2274">
        <v>701</v>
      </c>
      <c r="I1674" s="1360" t="s">
        <v>5629</v>
      </c>
      <c r="J1674" s="2789"/>
      <c r="K1674" s="2409"/>
      <c r="L1674" s="1300" t="s">
        <v>37</v>
      </c>
      <c r="M1674" s="1300"/>
      <c r="N1674" s="1300"/>
      <c r="O1674" s="1300"/>
      <c r="P1674" s="1300"/>
      <c r="Q1674" s="68"/>
      <c r="R1674" s="68"/>
      <c r="S1674" s="1300"/>
      <c r="T1674" s="1300"/>
      <c r="U1674" s="2151"/>
      <c r="V1674" s="2151"/>
    </row>
    <row r="1675" spans="1:23">
      <c r="A1675" s="1941" t="s">
        <v>1280</v>
      </c>
      <c r="B1675" s="1300">
        <v>45600</v>
      </c>
      <c r="C1675" s="468">
        <f t="shared" si="40"/>
        <v>45</v>
      </c>
      <c r="D1675" s="1300" t="s">
        <v>148</v>
      </c>
      <c r="E1675" s="1328" t="s">
        <v>1698</v>
      </c>
      <c r="F1675" s="2792" t="s">
        <v>1199</v>
      </c>
      <c r="G1675" s="2761" t="s">
        <v>1764</v>
      </c>
      <c r="H1675" s="2274">
        <v>702</v>
      </c>
      <c r="I1675" s="1360" t="s">
        <v>639</v>
      </c>
      <c r="J1675" s="2789"/>
      <c r="K1675" s="2409"/>
      <c r="L1675" s="1300" t="s">
        <v>37</v>
      </c>
      <c r="M1675" s="1300"/>
      <c r="N1675" s="1300"/>
      <c r="O1675" s="1300"/>
      <c r="P1675" s="1300"/>
      <c r="Q1675" s="68"/>
      <c r="R1675" s="68"/>
      <c r="S1675" s="1300"/>
      <c r="T1675" s="1300"/>
      <c r="U1675" s="2151"/>
      <c r="V1675" s="2151"/>
    </row>
    <row r="1676" spans="1:23">
      <c r="A1676" s="1941" t="s">
        <v>1280</v>
      </c>
      <c r="B1676" s="1300">
        <v>45600</v>
      </c>
      <c r="C1676" s="468">
        <f t="shared" si="40"/>
        <v>45</v>
      </c>
      <c r="D1676" s="1369" t="s">
        <v>63</v>
      </c>
      <c r="E1676" s="1370" t="s">
        <v>5630</v>
      </c>
      <c r="F1676" s="2794" t="s">
        <v>1199</v>
      </c>
      <c r="G1676" s="2785" t="s">
        <v>1199</v>
      </c>
      <c r="H1676" s="2274">
        <v>702</v>
      </c>
      <c r="I1676" s="1360" t="s">
        <v>318</v>
      </c>
      <c r="J1676" s="2789"/>
      <c r="K1676" s="2257" t="s">
        <v>114</v>
      </c>
      <c r="L1676" s="1300" t="s">
        <v>37</v>
      </c>
      <c r="M1676" s="1300"/>
      <c r="N1676" s="1300"/>
      <c r="O1676" s="1300"/>
      <c r="P1676" s="1300"/>
      <c r="Q1676" s="68"/>
      <c r="R1676" s="68"/>
      <c r="S1676" s="1300"/>
      <c r="T1676" s="1300"/>
      <c r="U1676" s="2151"/>
      <c r="V1676" s="2151"/>
    </row>
    <row r="1677" spans="1:23">
      <c r="A1677" s="1941" t="s">
        <v>1280</v>
      </c>
      <c r="B1677" s="1300">
        <v>45600</v>
      </c>
      <c r="C1677" s="468">
        <f t="shared" si="40"/>
        <v>45</v>
      </c>
      <c r="D1677" s="1369" t="s">
        <v>5081</v>
      </c>
      <c r="E1677" s="1370" t="s">
        <v>5631</v>
      </c>
      <c r="F1677" s="2793" t="s">
        <v>1199</v>
      </c>
      <c r="G1677" s="2784" t="s">
        <v>1199</v>
      </c>
      <c r="H1677" s="2274">
        <v>702</v>
      </c>
      <c r="I1677" s="1360" t="s">
        <v>5532</v>
      </c>
      <c r="J1677" s="2789"/>
      <c r="K1677" s="2257" t="s">
        <v>114</v>
      </c>
      <c r="L1677" s="1300" t="s">
        <v>37</v>
      </c>
      <c r="M1677" s="1300"/>
      <c r="N1677" s="1300"/>
      <c r="O1677" s="1300"/>
      <c r="P1677" s="1300"/>
      <c r="Q1677" s="68"/>
      <c r="R1677" s="68"/>
      <c r="S1677" s="1300"/>
      <c r="T1677" s="1300"/>
      <c r="U1677" s="2151"/>
      <c r="V1677" s="2151"/>
    </row>
    <row r="1678" spans="1:23">
      <c r="A1678" s="1941" t="s">
        <v>1280</v>
      </c>
      <c r="B1678" s="1300">
        <v>45600</v>
      </c>
      <c r="C1678" s="468">
        <f t="shared" si="40"/>
        <v>45</v>
      </c>
      <c r="D1678" s="2778" t="s">
        <v>5632</v>
      </c>
      <c r="E1678" s="1328" t="s">
        <v>5633</v>
      </c>
      <c r="F1678" s="2795" t="s">
        <v>1764</v>
      </c>
      <c r="G1678" s="2761" t="s">
        <v>1764</v>
      </c>
      <c r="H1678" s="2274">
        <v>702</v>
      </c>
      <c r="I1678" s="2292" t="s">
        <v>5634</v>
      </c>
      <c r="J1678" s="2494"/>
      <c r="K1678" s="2502"/>
      <c r="L1678" s="1300" t="s">
        <v>37</v>
      </c>
      <c r="M1678" s="1300"/>
      <c r="N1678" s="1300"/>
      <c r="O1678" s="1300"/>
      <c r="P1678" s="1300"/>
      <c r="Q1678" s="68"/>
      <c r="R1678" s="68"/>
      <c r="S1678" s="1300"/>
      <c r="T1678" s="1300"/>
      <c r="U1678" s="2151"/>
      <c r="V1678" s="2151"/>
    </row>
    <row r="1679" spans="1:23">
      <c r="A1679" s="1941" t="s">
        <v>1280</v>
      </c>
      <c r="B1679" s="1300">
        <v>45600</v>
      </c>
      <c r="C1679" s="468">
        <f t="shared" si="40"/>
        <v>45</v>
      </c>
      <c r="D1679" s="2778" t="s">
        <v>5635</v>
      </c>
      <c r="E1679" s="1328" t="s">
        <v>5636</v>
      </c>
      <c r="F1679" s="2795" t="s">
        <v>1199</v>
      </c>
      <c r="G1679" s="2761" t="s">
        <v>1764</v>
      </c>
      <c r="H1679" s="2274">
        <v>702</v>
      </c>
      <c r="I1679" s="2292" t="s">
        <v>5634</v>
      </c>
      <c r="J1679" s="2494"/>
      <c r="K1679" s="2502"/>
      <c r="L1679" s="1300" t="s">
        <v>37</v>
      </c>
      <c r="M1679" s="1300"/>
      <c r="N1679" s="1300"/>
      <c r="O1679" s="1300"/>
      <c r="P1679" s="1300"/>
      <c r="Q1679" s="68"/>
      <c r="R1679" s="68"/>
      <c r="S1679" s="1300"/>
      <c r="T1679" s="1300"/>
      <c r="U1679" s="2151"/>
      <c r="V1679" s="2151"/>
    </row>
    <row r="1680" spans="1:23" ht="52.5">
      <c r="A1680" s="1941" t="s">
        <v>1280</v>
      </c>
      <c r="B1680" s="1300">
        <v>45600</v>
      </c>
      <c r="C1680" s="468">
        <f t="shared" si="40"/>
        <v>45</v>
      </c>
      <c r="D1680" s="2778" t="s">
        <v>5632</v>
      </c>
      <c r="E1680" s="1328" t="s">
        <v>5536</v>
      </c>
      <c r="F1680" s="2796" t="s">
        <v>1199</v>
      </c>
      <c r="G1680" s="2786" t="s">
        <v>1764</v>
      </c>
      <c r="H1680" s="2274">
        <v>702</v>
      </c>
      <c r="I1680" s="2292" t="s">
        <v>5634</v>
      </c>
      <c r="J1680" s="2493"/>
      <c r="K1680" s="2502"/>
      <c r="L1680" s="1300"/>
      <c r="M1680" s="1300" t="s">
        <v>37</v>
      </c>
      <c r="N1680" s="20" t="s">
        <v>0</v>
      </c>
      <c r="O1680" s="20" t="s">
        <v>126</v>
      </c>
      <c r="P1680" s="20" t="s">
        <v>4082</v>
      </c>
      <c r="Q1680" s="68"/>
      <c r="R1680" s="68"/>
      <c r="S1680" s="1300"/>
      <c r="T1680" s="1300"/>
      <c r="U1680" s="2151" t="s">
        <v>5637</v>
      </c>
      <c r="V1680" s="2151"/>
      <c r="W1680" s="2838" t="s">
        <v>5601</v>
      </c>
    </row>
    <row r="1681" spans="1:22">
      <c r="A1681" s="1941" t="s">
        <v>1280</v>
      </c>
      <c r="B1681" s="1300">
        <v>45600</v>
      </c>
      <c r="C1681" s="468">
        <f t="shared" si="40"/>
        <v>45</v>
      </c>
      <c r="D1681" s="1300" t="s">
        <v>1256</v>
      </c>
      <c r="E1681" s="1328" t="s">
        <v>169</v>
      </c>
      <c r="F1681" s="2797" t="s">
        <v>1199</v>
      </c>
      <c r="G1681" s="2787" t="s">
        <v>1199</v>
      </c>
      <c r="H1681" s="2274">
        <v>706</v>
      </c>
      <c r="I1681" s="1360" t="s">
        <v>5525</v>
      </c>
      <c r="J1681" s="2525"/>
      <c r="K1681" s="2257" t="s">
        <v>174</v>
      </c>
      <c r="L1681" s="1300" t="s">
        <v>37</v>
      </c>
      <c r="M1681" s="1300"/>
      <c r="N1681" s="1300"/>
      <c r="O1681" s="1300"/>
      <c r="P1681" s="1300"/>
      <c r="Q1681" s="68"/>
      <c r="R1681" s="68"/>
      <c r="S1681" s="1300"/>
      <c r="T1681" s="1300"/>
      <c r="U1681" s="2151"/>
      <c r="V1681" s="2151"/>
    </row>
    <row r="1682" spans="1:22">
      <c r="A1682" s="1941" t="s">
        <v>1280</v>
      </c>
      <c r="B1682" s="1300">
        <v>45600</v>
      </c>
      <c r="C1682" s="468">
        <f t="shared" si="40"/>
        <v>45</v>
      </c>
      <c r="D1682" s="1300" t="s">
        <v>1698</v>
      </c>
      <c r="E1682" s="1328" t="s">
        <v>5638</v>
      </c>
      <c r="F1682" s="2795" t="s">
        <v>1199</v>
      </c>
      <c r="G1682" s="2761" t="s">
        <v>1199</v>
      </c>
      <c r="H1682" s="2274">
        <v>702</v>
      </c>
      <c r="I1682" s="1360" t="s">
        <v>5615</v>
      </c>
      <c r="J1682" s="2494"/>
      <c r="K1682" s="2502"/>
      <c r="L1682" s="1300" t="s">
        <v>37</v>
      </c>
      <c r="M1682" s="1300"/>
      <c r="N1682" s="1300"/>
      <c r="O1682" s="1300"/>
      <c r="P1682" s="1300"/>
      <c r="Q1682" s="68"/>
      <c r="R1682" s="68"/>
      <c r="S1682" s="1300"/>
      <c r="T1682" s="1300"/>
      <c r="U1682" s="2151"/>
      <c r="V1682" s="2151"/>
    </row>
    <row r="1683" spans="1:22" ht="27" thickBot="1">
      <c r="A1683" s="1937" t="s">
        <v>1280</v>
      </c>
      <c r="B1683" s="1390">
        <v>45600</v>
      </c>
      <c r="C1683" s="471">
        <f t="shared" si="40"/>
        <v>45</v>
      </c>
      <c r="D1683" s="1390" t="s">
        <v>5363</v>
      </c>
      <c r="E1683" s="1391" t="s">
        <v>2461</v>
      </c>
      <c r="F1683" s="2798" t="s">
        <v>1199</v>
      </c>
      <c r="G1683" s="2788" t="s">
        <v>1199</v>
      </c>
      <c r="H1683" s="2258">
        <v>702</v>
      </c>
      <c r="I1683" s="2423" t="s">
        <v>5615</v>
      </c>
      <c r="J1683" s="2511"/>
      <c r="K1683" s="2809"/>
      <c r="L1683" s="1390" t="s">
        <v>37</v>
      </c>
      <c r="M1683" s="1390"/>
      <c r="N1683" s="1390"/>
      <c r="O1683" s="1390"/>
      <c r="P1683" s="1390"/>
      <c r="Q1683" s="30"/>
      <c r="R1683" s="30"/>
      <c r="S1683" s="1390"/>
      <c r="T1683" s="1390"/>
      <c r="U1683" s="2833"/>
      <c r="V1683" s="2833"/>
    </row>
    <row r="1684" spans="1:22" ht="53.25" thickBot="1">
      <c r="A1684" s="1935" t="s">
        <v>5146</v>
      </c>
      <c r="B1684" s="1936">
        <v>45601</v>
      </c>
      <c r="C1684" s="465">
        <f t="shared" si="40"/>
        <v>45</v>
      </c>
      <c r="D1684" s="2777" t="s">
        <v>5639</v>
      </c>
      <c r="E1684" s="2799" t="s">
        <v>61</v>
      </c>
      <c r="F1684" s="2507" t="s">
        <v>1764</v>
      </c>
      <c r="G1684" s="2503" t="s">
        <v>1764</v>
      </c>
      <c r="H1684" s="2249">
        <v>701</v>
      </c>
      <c r="I1684" s="2116" t="s">
        <v>248</v>
      </c>
      <c r="J1684" s="2510"/>
      <c r="K1684" s="2810" t="s">
        <v>1199</v>
      </c>
      <c r="L1684" s="2469"/>
      <c r="M1684" s="2469" t="s">
        <v>37</v>
      </c>
      <c r="N1684" s="20" t="s">
        <v>231</v>
      </c>
      <c r="O1684" s="20" t="s">
        <v>232</v>
      </c>
      <c r="P1684" s="20" t="s">
        <v>4080</v>
      </c>
      <c r="Q1684" s="1943"/>
      <c r="R1684" s="1943"/>
      <c r="S1684" s="2469"/>
      <c r="T1684" s="2469"/>
      <c r="U1684"/>
      <c r="V1684"/>
    </row>
    <row r="1685" spans="1:22">
      <c r="A1685" s="2176" t="s">
        <v>5146</v>
      </c>
      <c r="B1685" s="1300">
        <v>45601</v>
      </c>
      <c r="C1685" s="468">
        <f t="shared" si="40"/>
        <v>45</v>
      </c>
      <c r="D1685" s="1369" t="s">
        <v>5640</v>
      </c>
      <c r="E1685" s="1370" t="s">
        <v>5641</v>
      </c>
      <c r="F1685" s="2806" t="s">
        <v>1764</v>
      </c>
      <c r="G1685" s="2802" t="s">
        <v>1764</v>
      </c>
      <c r="H1685" s="2274">
        <v>702</v>
      </c>
      <c r="I1685" s="137" t="s">
        <v>5642</v>
      </c>
      <c r="J1685" s="2493"/>
      <c r="K1685" s="2257" t="s">
        <v>114</v>
      </c>
      <c r="L1685" s="1356" t="s">
        <v>37</v>
      </c>
      <c r="M1685" s="1356"/>
      <c r="N1685" s="1356"/>
      <c r="O1685" s="1356"/>
      <c r="P1685" s="1356"/>
      <c r="Q1685" s="76"/>
      <c r="R1685" s="76"/>
      <c r="S1685" s="1356"/>
      <c r="T1685" s="1356"/>
      <c r="U1685" s="2506" t="s">
        <v>5643</v>
      </c>
      <c r="V1685" s="3077"/>
    </row>
    <row r="1686" spans="1:22">
      <c r="A1686" s="2176" t="s">
        <v>5146</v>
      </c>
      <c r="B1686" s="1300">
        <v>45601</v>
      </c>
      <c r="C1686" s="468">
        <f t="shared" ref="C1686:C1709" si="41">_xlfn.ISOWEEKNUM(B1686)</f>
        <v>45</v>
      </c>
      <c r="D1686" s="1477" t="s">
        <v>2750</v>
      </c>
      <c r="E1686" s="1479" t="s">
        <v>4440</v>
      </c>
      <c r="F1686" s="2489" t="s">
        <v>1199</v>
      </c>
      <c r="G1686" s="2803" t="s">
        <v>1199</v>
      </c>
      <c r="H1686" s="2274">
        <v>702</v>
      </c>
      <c r="I1686" s="1360" t="s">
        <v>5626</v>
      </c>
      <c r="J1686" s="2493"/>
      <c r="K1686" s="2811" t="s">
        <v>1199</v>
      </c>
      <c r="L1686" s="1356" t="s">
        <v>37</v>
      </c>
      <c r="M1686" s="1356"/>
      <c r="N1686" s="1356"/>
      <c r="O1686" s="1356"/>
      <c r="P1686" s="1356"/>
      <c r="Q1686" s="76"/>
      <c r="R1686" s="105">
        <v>1</v>
      </c>
      <c r="S1686" s="1356"/>
      <c r="T1686" s="1356"/>
      <c r="U1686" s="2834"/>
      <c r="V1686" s="2834"/>
    </row>
    <row r="1687" spans="1:22">
      <c r="A1687" s="2176" t="s">
        <v>5146</v>
      </c>
      <c r="B1687" s="1300">
        <v>45601</v>
      </c>
      <c r="C1687" s="468">
        <f t="shared" si="41"/>
        <v>45</v>
      </c>
      <c r="D1687" s="1477" t="s">
        <v>4440</v>
      </c>
      <c r="E1687" s="1479" t="s">
        <v>1220</v>
      </c>
      <c r="F1687" s="2779" t="s">
        <v>1199</v>
      </c>
      <c r="G1687" s="2804" t="s">
        <v>1199</v>
      </c>
      <c r="H1687" s="2274"/>
      <c r="I1687" s="1360" t="s">
        <v>5626</v>
      </c>
      <c r="J1687" s="2493"/>
      <c r="K1687" s="2811" t="s">
        <v>1199</v>
      </c>
      <c r="L1687" s="1356" t="s">
        <v>37</v>
      </c>
      <c r="M1687" s="1356"/>
      <c r="N1687" s="1356"/>
      <c r="O1687" s="1356"/>
      <c r="P1687" s="1356"/>
      <c r="Q1687" s="76"/>
      <c r="R1687" s="105"/>
      <c r="S1687" s="1356"/>
      <c r="T1687" s="1356"/>
      <c r="U1687" s="2834"/>
      <c r="V1687" s="2834"/>
    </row>
    <row r="1688" spans="1:22">
      <c r="A1688" s="2176" t="s">
        <v>5146</v>
      </c>
      <c r="B1688" s="1300">
        <v>45601</v>
      </c>
      <c r="C1688" s="468">
        <f t="shared" si="41"/>
        <v>45</v>
      </c>
      <c r="D1688" s="1299" t="s">
        <v>5644</v>
      </c>
      <c r="E1688" s="1387" t="s">
        <v>2328</v>
      </c>
      <c r="F1688" s="2794" t="s">
        <v>1199</v>
      </c>
      <c r="G1688" s="2785" t="s">
        <v>1199</v>
      </c>
      <c r="H1688" s="2274">
        <v>705</v>
      </c>
      <c r="I1688" s="1360" t="s">
        <v>5645</v>
      </c>
      <c r="J1688" s="2789"/>
      <c r="K1688" s="2811" t="s">
        <v>1199</v>
      </c>
      <c r="L1688" s="1300" t="s">
        <v>37</v>
      </c>
      <c r="M1688" s="1300"/>
      <c r="N1688" s="1300"/>
      <c r="O1688" s="1300"/>
      <c r="P1688" s="1300"/>
      <c r="Q1688" s="68"/>
      <c r="R1688" s="68"/>
      <c r="S1688" s="1300"/>
      <c r="T1688" s="1300"/>
      <c r="U1688" s="2151"/>
      <c r="V1688" s="2151"/>
    </row>
    <row r="1689" spans="1:22">
      <c r="A1689" s="2176" t="s">
        <v>5146</v>
      </c>
      <c r="B1689" s="1300">
        <v>45601</v>
      </c>
      <c r="C1689" s="468">
        <f t="shared" si="41"/>
        <v>45</v>
      </c>
      <c r="D1689" s="2263" t="s">
        <v>1698</v>
      </c>
      <c r="E1689" s="2272" t="s">
        <v>684</v>
      </c>
      <c r="F1689" s="2793" t="s">
        <v>1764</v>
      </c>
      <c r="G1689" s="2784" t="s">
        <v>1764</v>
      </c>
      <c r="H1689" s="2274">
        <v>702</v>
      </c>
      <c r="I1689" s="1360" t="s">
        <v>5646</v>
      </c>
      <c r="J1689" s="2789"/>
      <c r="K1689" s="2811" t="s">
        <v>1199</v>
      </c>
      <c r="L1689" s="1300" t="s">
        <v>37</v>
      </c>
      <c r="M1689" s="1300"/>
      <c r="N1689" s="1300"/>
      <c r="O1689" s="1300"/>
      <c r="P1689" s="1300"/>
      <c r="Q1689" s="68"/>
      <c r="R1689" s="68"/>
      <c r="S1689" s="1300"/>
      <c r="T1689" s="1300"/>
      <c r="U1689" s="2151"/>
      <c r="V1689" s="2151"/>
    </row>
    <row r="1690" spans="1:22">
      <c r="A1690" s="2176" t="s">
        <v>5146</v>
      </c>
      <c r="B1690" s="1300">
        <v>45601</v>
      </c>
      <c r="C1690" s="468">
        <f t="shared" si="41"/>
        <v>45</v>
      </c>
      <c r="D1690" s="2263" t="s">
        <v>392</v>
      </c>
      <c r="E1690" s="2272" t="s">
        <v>2461</v>
      </c>
      <c r="F1690" s="2793" t="s">
        <v>1764</v>
      </c>
      <c r="G1690" s="2784" t="s">
        <v>1764</v>
      </c>
      <c r="H1690" s="2274">
        <v>702</v>
      </c>
      <c r="I1690" s="1360" t="s">
        <v>5647</v>
      </c>
      <c r="J1690" s="2789"/>
      <c r="K1690" s="2811" t="s">
        <v>1199</v>
      </c>
      <c r="L1690" s="1300" t="s">
        <v>37</v>
      </c>
      <c r="M1690" s="1300"/>
      <c r="N1690" s="1300"/>
      <c r="O1690" s="1300"/>
      <c r="P1690" s="1300"/>
      <c r="Q1690" s="68"/>
      <c r="R1690" s="68"/>
      <c r="S1690" s="1300"/>
      <c r="T1690" s="1300"/>
      <c r="U1690" s="2151"/>
      <c r="V1690" s="2151"/>
    </row>
    <row r="1691" spans="1:22" ht="27" thickBot="1">
      <c r="A1691" s="2182" t="s">
        <v>5146</v>
      </c>
      <c r="B1691" s="1390">
        <v>45601</v>
      </c>
      <c r="C1691" s="471">
        <f t="shared" si="41"/>
        <v>45</v>
      </c>
      <c r="D1691" s="1390" t="s">
        <v>1740</v>
      </c>
      <c r="E1691" s="1391" t="s">
        <v>258</v>
      </c>
      <c r="F1691" s="2807" t="s">
        <v>1199</v>
      </c>
      <c r="G1691" s="2805" t="s">
        <v>1199</v>
      </c>
      <c r="H1691" s="2258">
        <v>704</v>
      </c>
      <c r="I1691" s="2423" t="s">
        <v>5648</v>
      </c>
      <c r="J1691" s="2808"/>
      <c r="K1691" s="2820" t="s">
        <v>1199</v>
      </c>
      <c r="L1691" s="1390" t="s">
        <v>37</v>
      </c>
      <c r="M1691" s="1390"/>
      <c r="N1691" s="1390"/>
      <c r="O1691" s="1390"/>
      <c r="P1691" s="1390"/>
      <c r="Q1691" s="30"/>
      <c r="R1691" s="30"/>
      <c r="S1691" s="1390"/>
      <c r="T1691" s="1390"/>
      <c r="U1691" s="2833"/>
      <c r="V1691" s="2833"/>
    </row>
    <row r="1692" spans="1:22">
      <c r="A1692" s="2780" t="s">
        <v>5649</v>
      </c>
      <c r="B1692" s="1936">
        <v>45602</v>
      </c>
      <c r="C1692" s="465">
        <f t="shared" si="41"/>
        <v>45</v>
      </c>
      <c r="D1692" s="2781" t="s">
        <v>5650</v>
      </c>
      <c r="E1692" s="2821" t="s">
        <v>5651</v>
      </c>
      <c r="F1692" s="2815" t="s">
        <v>1199</v>
      </c>
      <c r="G1692" s="2812" t="s">
        <v>1199</v>
      </c>
      <c r="H1692" s="2249">
        <v>702</v>
      </c>
      <c r="I1692" s="2470" t="s">
        <v>5532</v>
      </c>
      <c r="J1692" s="2818"/>
      <c r="K1692" s="2255" t="s">
        <v>114</v>
      </c>
      <c r="L1692" s="1936" t="s">
        <v>37</v>
      </c>
      <c r="M1692" s="1936"/>
      <c r="N1692" s="1936"/>
      <c r="O1692" s="1936"/>
      <c r="P1692" s="1936"/>
      <c r="Q1692" s="60"/>
      <c r="R1692" s="60"/>
      <c r="S1692" s="1936"/>
      <c r="T1692" s="1936"/>
      <c r="U1692" s="2835"/>
      <c r="V1692" s="2311"/>
    </row>
    <row r="1693" spans="1:22">
      <c r="A1693" s="2176" t="s">
        <v>5649</v>
      </c>
      <c r="B1693" s="1300">
        <v>45602</v>
      </c>
      <c r="C1693" s="468">
        <f t="shared" si="41"/>
        <v>45</v>
      </c>
      <c r="D1693" s="1300" t="s">
        <v>412</v>
      </c>
      <c r="E1693" s="1328" t="s">
        <v>5652</v>
      </c>
      <c r="F1693" s="2744" t="s">
        <v>1199</v>
      </c>
      <c r="G1693" s="2760" t="s">
        <v>1199</v>
      </c>
      <c r="H1693" s="2274">
        <v>701</v>
      </c>
      <c r="I1693" s="1360" t="s">
        <v>151</v>
      </c>
      <c r="J1693" s="2789"/>
      <c r="K1693" s="2811" t="s">
        <v>1199</v>
      </c>
      <c r="L1693" s="1300" t="s">
        <v>37</v>
      </c>
      <c r="M1693" s="1300"/>
      <c r="N1693" s="1300"/>
      <c r="O1693" s="1300"/>
      <c r="P1693" s="1300"/>
      <c r="Q1693" s="68"/>
      <c r="R1693" s="68"/>
      <c r="S1693" s="1300"/>
      <c r="T1693" s="1300"/>
      <c r="U1693" s="2151"/>
      <c r="V1693" s="2151"/>
    </row>
    <row r="1694" spans="1:22">
      <c r="A1694" s="2176" t="s">
        <v>5649</v>
      </c>
      <c r="B1694" s="1300">
        <v>45602</v>
      </c>
      <c r="C1694" s="468">
        <f t="shared" si="41"/>
        <v>45</v>
      </c>
      <c r="D1694" s="1299" t="s">
        <v>3523</v>
      </c>
      <c r="E1694" s="1387" t="s">
        <v>5653</v>
      </c>
      <c r="F1694" s="2816" t="s">
        <v>1199</v>
      </c>
      <c r="G1694" s="2813" t="s">
        <v>1199</v>
      </c>
      <c r="H1694" s="2274">
        <v>705</v>
      </c>
      <c r="I1694" s="1360" t="s">
        <v>5645</v>
      </c>
      <c r="J1694" s="2789"/>
      <c r="K1694" s="2822" t="s">
        <v>29</v>
      </c>
      <c r="L1694" s="1300" t="s">
        <v>37</v>
      </c>
      <c r="M1694" s="1300"/>
      <c r="N1694" s="1300"/>
      <c r="O1694" s="1300"/>
      <c r="P1694" s="1300"/>
      <c r="Q1694" s="68"/>
      <c r="R1694" s="68"/>
      <c r="S1694" s="1300"/>
      <c r="T1694" s="1300"/>
      <c r="U1694" s="2151"/>
      <c r="V1694" s="2151"/>
    </row>
    <row r="1695" spans="1:22">
      <c r="A1695" s="2176" t="s">
        <v>5649</v>
      </c>
      <c r="B1695" s="1300">
        <v>45602</v>
      </c>
      <c r="C1695" s="468">
        <f t="shared" si="41"/>
        <v>45</v>
      </c>
      <c r="D1695" s="1300" t="s">
        <v>169</v>
      </c>
      <c r="E1695" s="1328" t="s">
        <v>1065</v>
      </c>
      <c r="F1695" s="2744" t="s">
        <v>1199</v>
      </c>
      <c r="G1695" s="2760" t="s">
        <v>1199</v>
      </c>
      <c r="H1695" s="2274">
        <v>706</v>
      </c>
      <c r="I1695" s="1360" t="s">
        <v>5525</v>
      </c>
      <c r="J1695" s="2789"/>
      <c r="K1695" s="2257" t="s">
        <v>174</v>
      </c>
      <c r="L1695" s="1300" t="s">
        <v>37</v>
      </c>
      <c r="M1695" s="1300"/>
      <c r="N1695" s="1300"/>
      <c r="O1695" s="1300"/>
      <c r="P1695" s="1300"/>
      <c r="Q1695" s="68"/>
      <c r="R1695" s="68"/>
      <c r="S1695" s="1300"/>
      <c r="T1695" s="1300"/>
      <c r="U1695" s="2151"/>
      <c r="V1695" s="2151"/>
    </row>
    <row r="1696" spans="1:22">
      <c r="A1696" s="2176" t="s">
        <v>5649</v>
      </c>
      <c r="B1696" s="1300">
        <v>45602</v>
      </c>
      <c r="C1696" s="468">
        <f t="shared" si="41"/>
        <v>45</v>
      </c>
      <c r="D1696" s="1300" t="s">
        <v>80</v>
      </c>
      <c r="E1696" s="1328" t="s">
        <v>5652</v>
      </c>
      <c r="F1696" s="2613" t="s">
        <v>1764</v>
      </c>
      <c r="G1696" s="2484" t="s">
        <v>1764</v>
      </c>
      <c r="H1696" s="2274">
        <v>701</v>
      </c>
      <c r="I1696" s="1360" t="s">
        <v>5654</v>
      </c>
      <c r="J1696" s="2789"/>
      <c r="K1696" s="2257" t="s">
        <v>114</v>
      </c>
      <c r="L1696" s="1300" t="s">
        <v>37</v>
      </c>
      <c r="M1696" s="1300"/>
      <c r="N1696" s="1300"/>
      <c r="O1696" s="1300"/>
      <c r="P1696" s="1300"/>
      <c r="Q1696" s="68"/>
      <c r="R1696" s="68"/>
      <c r="S1696" s="1300"/>
      <c r="T1696" s="1300"/>
      <c r="U1696" s="2151"/>
      <c r="V1696" s="2151"/>
    </row>
    <row r="1697" spans="1:23" ht="105.75" thickBot="1">
      <c r="A1697" s="2182" t="s">
        <v>5649</v>
      </c>
      <c r="B1697" s="1390">
        <v>45602</v>
      </c>
      <c r="C1697" s="471">
        <f t="shared" si="41"/>
        <v>45</v>
      </c>
      <c r="D1697" s="2441" t="s">
        <v>348</v>
      </c>
      <c r="E1697" s="2442" t="s">
        <v>3404</v>
      </c>
      <c r="F1697" s="2817" t="s">
        <v>1199</v>
      </c>
      <c r="G1697" s="2814" t="s">
        <v>1199</v>
      </c>
      <c r="H1697" s="2258">
        <v>705</v>
      </c>
      <c r="I1697" s="2423" t="s">
        <v>5645</v>
      </c>
      <c r="J1697" s="2819"/>
      <c r="K1697" s="2431"/>
      <c r="L1697" s="1390"/>
      <c r="M1697" s="1390" t="s">
        <v>37</v>
      </c>
      <c r="N1697" s="20" t="s">
        <v>109</v>
      </c>
      <c r="O1697" s="20" t="s">
        <v>213</v>
      </c>
      <c r="P1697" s="20" t="s">
        <v>4330</v>
      </c>
      <c r="Q1697" s="30"/>
      <c r="R1697" s="30"/>
      <c r="S1697" s="1390"/>
      <c r="T1697" s="1390"/>
      <c r="U1697" s="2836" t="s">
        <v>5655</v>
      </c>
      <c r="V1697" s="2836"/>
    </row>
    <row r="1698" spans="1:23">
      <c r="A1698" s="2780" t="s">
        <v>1437</v>
      </c>
      <c r="B1698" s="1936">
        <v>45603</v>
      </c>
      <c r="C1698" s="465">
        <f t="shared" si="41"/>
        <v>45</v>
      </c>
      <c r="D1698" s="2826" t="s">
        <v>1698</v>
      </c>
      <c r="E1698" s="2827" t="s">
        <v>5656</v>
      </c>
      <c r="F1698" s="2824" t="s">
        <v>1199</v>
      </c>
      <c r="G1698" s="2823" t="s">
        <v>1199</v>
      </c>
      <c r="H1698" s="2249">
        <v>701</v>
      </c>
      <c r="I1698" s="2470" t="s">
        <v>639</v>
      </c>
      <c r="J1698" s="2825"/>
      <c r="K1698" s="2801"/>
      <c r="L1698" s="1936" t="s">
        <v>37</v>
      </c>
      <c r="M1698" s="1936"/>
      <c r="N1698" s="1936"/>
      <c r="O1698" s="1936"/>
      <c r="P1698" s="1936"/>
      <c r="Q1698" s="60"/>
      <c r="R1698" s="60"/>
      <c r="S1698" s="1936"/>
      <c r="T1698" s="1936"/>
      <c r="U1698" s="2835"/>
      <c r="V1698" s="2311"/>
    </row>
    <row r="1699" spans="1:23" ht="131.25">
      <c r="A1699" s="2176" t="s">
        <v>1437</v>
      </c>
      <c r="B1699" s="1300">
        <v>45603</v>
      </c>
      <c r="C1699" s="468">
        <f t="shared" si="41"/>
        <v>45</v>
      </c>
      <c r="D1699" s="1369" t="s">
        <v>4609</v>
      </c>
      <c r="E1699" s="1370" t="s">
        <v>5534</v>
      </c>
      <c r="F1699" s="2793" t="s">
        <v>1199</v>
      </c>
      <c r="G1699" s="2784" t="s">
        <v>1199</v>
      </c>
      <c r="H1699" s="2274">
        <v>702</v>
      </c>
      <c r="I1699" s="1360" t="s">
        <v>5532</v>
      </c>
      <c r="J1699" s="2789"/>
      <c r="K1699" s="2409"/>
      <c r="L1699" s="1300"/>
      <c r="M1699" s="1300" t="s">
        <v>37</v>
      </c>
      <c r="N1699" s="20" t="s">
        <v>122</v>
      </c>
      <c r="O1699" s="20" t="s">
        <v>174</v>
      </c>
      <c r="P1699" s="20" t="s">
        <v>4082</v>
      </c>
      <c r="Q1699" s="68"/>
      <c r="R1699" s="68"/>
      <c r="S1699" s="1300"/>
      <c r="T1699" s="1300"/>
      <c r="U1699" s="2837" t="s">
        <v>5657</v>
      </c>
      <c r="V1699" s="2837"/>
    </row>
    <row r="1700" spans="1:23" ht="52.5">
      <c r="A1700" s="2176" t="s">
        <v>1437</v>
      </c>
      <c r="B1700" s="1300">
        <v>45603</v>
      </c>
      <c r="C1700" s="468">
        <f t="shared" si="41"/>
        <v>45</v>
      </c>
      <c r="D1700" s="1300" t="s">
        <v>5652</v>
      </c>
      <c r="E1700" s="1328" t="s">
        <v>537</v>
      </c>
      <c r="F1700" s="2795" t="s">
        <v>1199</v>
      </c>
      <c r="G1700" s="2761" t="s">
        <v>1199</v>
      </c>
      <c r="H1700" s="2274">
        <v>701</v>
      </c>
      <c r="I1700" s="1360" t="s">
        <v>5658</v>
      </c>
      <c r="J1700" s="2789"/>
      <c r="K1700" s="2409"/>
      <c r="L1700" s="1300"/>
      <c r="M1700" s="1300" t="s">
        <v>37</v>
      </c>
      <c r="N1700" s="20" t="s">
        <v>0</v>
      </c>
      <c r="O1700" s="20" t="s">
        <v>31</v>
      </c>
      <c r="P1700" s="20" t="s">
        <v>4080</v>
      </c>
      <c r="Q1700" s="126">
        <v>2</v>
      </c>
      <c r="R1700" s="68"/>
      <c r="S1700" s="1300"/>
      <c r="T1700" s="1300"/>
      <c r="U1700" s="2837" t="s">
        <v>5659</v>
      </c>
      <c r="V1700" s="2837"/>
    </row>
    <row r="1701" spans="1:23" ht="53.25" thickBot="1">
      <c r="A1701" s="2182" t="s">
        <v>1437</v>
      </c>
      <c r="B1701" s="1390">
        <v>45603</v>
      </c>
      <c r="C1701" s="471">
        <f t="shared" si="41"/>
        <v>45</v>
      </c>
      <c r="D1701" s="1390" t="s">
        <v>537</v>
      </c>
      <c r="E1701" s="1391" t="s">
        <v>671</v>
      </c>
      <c r="F1701" s="2817" t="s">
        <v>1199</v>
      </c>
      <c r="G1701" s="2814"/>
      <c r="H1701" s="2258">
        <v>702</v>
      </c>
      <c r="I1701" s="2423" t="s">
        <v>864</v>
      </c>
      <c r="J1701" s="2511"/>
      <c r="K1701" s="2125" t="s">
        <v>114</v>
      </c>
      <c r="L1701" s="1390"/>
      <c r="M1701" s="1390" t="s">
        <v>37</v>
      </c>
      <c r="N1701" s="20" t="s">
        <v>0</v>
      </c>
      <c r="O1701" s="20" t="s">
        <v>31</v>
      </c>
      <c r="P1701" s="20" t="s">
        <v>4080</v>
      </c>
      <c r="Q1701" s="30"/>
      <c r="R1701" s="30"/>
      <c r="S1701" s="1390"/>
      <c r="T1701" s="1390"/>
      <c r="U1701" s="2833" t="s">
        <v>5660</v>
      </c>
      <c r="V1701" s="2833"/>
    </row>
    <row r="1702" spans="1:23">
      <c r="A1702" s="2780" t="s">
        <v>4149</v>
      </c>
      <c r="B1702" s="1936">
        <v>45604</v>
      </c>
      <c r="C1702" s="465">
        <f t="shared" si="41"/>
        <v>45</v>
      </c>
      <c r="D1702" s="2826" t="s">
        <v>5652</v>
      </c>
      <c r="E1702" s="2827" t="s">
        <v>571</v>
      </c>
      <c r="F1702" s="2829" t="s">
        <v>1199</v>
      </c>
      <c r="G1702" s="2828" t="s">
        <v>1199</v>
      </c>
      <c r="H1702" s="2249">
        <v>701</v>
      </c>
      <c r="I1702" s="2470" t="s">
        <v>639</v>
      </c>
      <c r="J1702" s="2825"/>
      <c r="K1702" s="2801"/>
      <c r="L1702" s="1936" t="s">
        <v>37</v>
      </c>
      <c r="M1702" s="1936"/>
      <c r="N1702" s="1936"/>
      <c r="O1702" s="1936"/>
      <c r="P1702" s="1936"/>
      <c r="Q1702" s="60"/>
      <c r="R1702" s="60"/>
      <c r="S1702" s="1936"/>
      <c r="T1702" s="1936"/>
      <c r="U1702" s="2835"/>
      <c r="V1702" s="2311"/>
    </row>
    <row r="1703" spans="1:23">
      <c r="A1703" s="2176" t="s">
        <v>4149</v>
      </c>
      <c r="B1703" s="1300">
        <v>45604</v>
      </c>
      <c r="C1703" s="468">
        <f t="shared" si="41"/>
        <v>45</v>
      </c>
      <c r="D1703" s="1300" t="s">
        <v>3682</v>
      </c>
      <c r="E1703" s="1328" t="s">
        <v>840</v>
      </c>
      <c r="F1703" s="2744" t="s">
        <v>1199</v>
      </c>
      <c r="G1703" s="2760" t="s">
        <v>1199</v>
      </c>
      <c r="H1703" s="2274">
        <v>701</v>
      </c>
      <c r="I1703" s="1360" t="s">
        <v>94</v>
      </c>
      <c r="J1703" s="2789"/>
      <c r="K1703" s="2409"/>
      <c r="L1703" s="1300"/>
      <c r="M1703" s="1300"/>
      <c r="N1703" s="1300"/>
      <c r="O1703" s="1300"/>
      <c r="P1703" s="1300"/>
      <c r="Q1703" s="68"/>
      <c r="R1703" s="68"/>
      <c r="S1703" s="1300"/>
      <c r="T1703" s="1300"/>
      <c r="U1703" s="2151"/>
      <c r="V1703" s="2151"/>
    </row>
    <row r="1704" spans="1:23">
      <c r="A1704" s="2176" t="s">
        <v>4149</v>
      </c>
      <c r="B1704" s="1300">
        <v>45604</v>
      </c>
      <c r="C1704" s="468">
        <f t="shared" si="41"/>
        <v>45</v>
      </c>
      <c r="D1704" s="1300" t="s">
        <v>48</v>
      </c>
      <c r="E1704" s="1328" t="s">
        <v>1698</v>
      </c>
      <c r="F1704" s="2744" t="s">
        <v>1199</v>
      </c>
      <c r="G1704" s="2760" t="s">
        <v>1199</v>
      </c>
      <c r="H1704" s="2274">
        <v>702</v>
      </c>
      <c r="I1704" s="1360" t="s">
        <v>5661</v>
      </c>
      <c r="J1704" s="2789"/>
      <c r="K1704" s="2409"/>
      <c r="L1704" s="1300" t="s">
        <v>37</v>
      </c>
      <c r="M1704" s="1300"/>
      <c r="N1704" s="1300"/>
      <c r="O1704" s="1300"/>
      <c r="P1704" s="1300"/>
      <c r="Q1704" s="68"/>
      <c r="R1704" s="68"/>
      <c r="S1704" s="1300"/>
      <c r="T1704" s="1300"/>
      <c r="U1704" s="2151"/>
      <c r="V1704" s="2151"/>
    </row>
    <row r="1705" spans="1:23">
      <c r="A1705" s="2176" t="s">
        <v>4149</v>
      </c>
      <c r="B1705" s="1300">
        <v>45604</v>
      </c>
      <c r="C1705" s="468">
        <f t="shared" si="41"/>
        <v>45</v>
      </c>
      <c r="D1705" s="1300" t="s">
        <v>5403</v>
      </c>
      <c r="E1705" s="1328" t="s">
        <v>537</v>
      </c>
      <c r="F1705" s="2744" t="s">
        <v>1199</v>
      </c>
      <c r="G1705" s="2760" t="s">
        <v>1199</v>
      </c>
      <c r="H1705" s="2274">
        <v>701</v>
      </c>
      <c r="I1705" s="1360" t="s">
        <v>585</v>
      </c>
      <c r="J1705" s="2789"/>
      <c r="K1705" s="2409"/>
      <c r="L1705" s="1300" t="s">
        <v>37</v>
      </c>
      <c r="M1705" s="1300"/>
      <c r="N1705" s="1300"/>
      <c r="O1705" s="1300"/>
      <c r="P1705" s="1300"/>
      <c r="Q1705" s="68"/>
      <c r="R1705" s="68"/>
      <c r="S1705" s="1300"/>
      <c r="T1705" s="1300"/>
      <c r="U1705" s="2151"/>
      <c r="V1705" s="2151"/>
    </row>
    <row r="1706" spans="1:23">
      <c r="A1706" s="2176" t="s">
        <v>4149</v>
      </c>
      <c r="B1706" s="1300">
        <v>45604</v>
      </c>
      <c r="C1706" s="468">
        <f t="shared" si="41"/>
        <v>45</v>
      </c>
      <c r="D1706" s="1300" t="s">
        <v>1256</v>
      </c>
      <c r="E1706" s="1328" t="s">
        <v>169</v>
      </c>
      <c r="F1706" s="2824" t="s">
        <v>1199</v>
      </c>
      <c r="G1706" s="2823" t="s">
        <v>1764</v>
      </c>
      <c r="H1706" s="2274">
        <v>706</v>
      </c>
      <c r="I1706" s="1360" t="s">
        <v>5525</v>
      </c>
      <c r="J1706" s="2525"/>
      <c r="K1706" s="2257" t="s">
        <v>174</v>
      </c>
      <c r="L1706" s="1300" t="s">
        <v>37</v>
      </c>
      <c r="M1706" s="1300"/>
      <c r="N1706" s="1300"/>
      <c r="O1706" s="1300"/>
      <c r="P1706" s="1300"/>
      <c r="Q1706" s="68"/>
      <c r="R1706" s="68"/>
      <c r="S1706" s="1300"/>
      <c r="T1706" s="1300"/>
      <c r="U1706" s="2151"/>
      <c r="V1706" s="2151"/>
    </row>
    <row r="1707" spans="1:23">
      <c r="A1707" s="2176" t="s">
        <v>4149</v>
      </c>
      <c r="B1707" s="1300">
        <v>45604</v>
      </c>
      <c r="C1707" s="468">
        <f t="shared" si="41"/>
        <v>45</v>
      </c>
      <c r="D1707" s="1300" t="s">
        <v>2750</v>
      </c>
      <c r="E1707" s="1328" t="s">
        <v>4195</v>
      </c>
      <c r="F1707" s="2824" t="s">
        <v>1199</v>
      </c>
      <c r="G1707" s="2823" t="s">
        <v>1199</v>
      </c>
      <c r="H1707" s="2274">
        <v>707</v>
      </c>
      <c r="I1707" s="1360" t="s">
        <v>5662</v>
      </c>
      <c r="J1707" s="2525"/>
      <c r="K1707" s="2257" t="s">
        <v>4266</v>
      </c>
      <c r="L1707" s="1300" t="s">
        <v>37</v>
      </c>
      <c r="M1707" s="1300"/>
      <c r="N1707" s="1300"/>
      <c r="O1707" s="1300"/>
      <c r="P1707" s="1300"/>
      <c r="Q1707" s="68"/>
      <c r="R1707" s="68"/>
      <c r="S1707" s="1300"/>
      <c r="T1707" s="1300"/>
      <c r="U1707" s="2151"/>
      <c r="V1707" s="2151"/>
    </row>
    <row r="1708" spans="1:23" ht="27" thickBot="1">
      <c r="A1708" s="2201" t="s">
        <v>4149</v>
      </c>
      <c r="B1708" s="1312">
        <v>45604</v>
      </c>
      <c r="C1708" s="480">
        <f t="shared" si="41"/>
        <v>45</v>
      </c>
      <c r="D1708" s="1312" t="s">
        <v>530</v>
      </c>
      <c r="E1708" s="1330" t="s">
        <v>1736</v>
      </c>
      <c r="F1708" s="2807" t="s">
        <v>1199</v>
      </c>
      <c r="G1708" s="2805" t="s">
        <v>1199</v>
      </c>
      <c r="H1708" s="2253">
        <v>701</v>
      </c>
      <c r="I1708" s="2832">
        <v>60015</v>
      </c>
      <c r="J1708" s="2525"/>
      <c r="K1708" s="2121" t="s">
        <v>84</v>
      </c>
      <c r="L1708" s="1312" t="s">
        <v>37</v>
      </c>
      <c r="M1708" s="1312"/>
      <c r="N1708" s="1312"/>
      <c r="O1708" s="1312"/>
      <c r="P1708" s="1312"/>
      <c r="Q1708" s="108"/>
      <c r="R1708" s="108"/>
      <c r="S1708" s="1312"/>
      <c r="T1708" s="1312"/>
      <c r="U1708" s="2708"/>
      <c r="V1708" s="2833"/>
    </row>
    <row r="1709" spans="1:23" ht="53.25" thickBot="1">
      <c r="A1709" s="2830" t="s">
        <v>1697</v>
      </c>
      <c r="B1709" s="2141">
        <v>45605</v>
      </c>
      <c r="C1709" s="520">
        <f t="shared" si="41"/>
        <v>45</v>
      </c>
      <c r="D1709" s="2141" t="s">
        <v>3046</v>
      </c>
      <c r="E1709" s="2141" t="s">
        <v>1238</v>
      </c>
      <c r="F1709" s="2782" t="s">
        <v>1768</v>
      </c>
      <c r="G1709" s="2782" t="s">
        <v>1768</v>
      </c>
      <c r="H1709" s="2345">
        <v>706</v>
      </c>
      <c r="I1709" s="2480" t="s">
        <v>377</v>
      </c>
      <c r="J1709" s="1395"/>
      <c r="K1709" s="2831" t="s">
        <v>29</v>
      </c>
      <c r="L1709" s="2141"/>
      <c r="M1709" s="2141"/>
      <c r="N1709" s="4413" t="s">
        <v>0</v>
      </c>
      <c r="O1709" s="4413" t="s">
        <v>187</v>
      </c>
      <c r="P1709" s="4413" t="s">
        <v>4102</v>
      </c>
      <c r="Q1709" s="166"/>
      <c r="R1709" s="166"/>
      <c r="S1709" s="2141"/>
      <c r="T1709" s="2141"/>
      <c r="U1709" s="2589"/>
      <c r="V1709" s="2970"/>
    </row>
    <row r="1710" spans="1:23" ht="27" thickBot="1">
      <c r="A1710" s="118" t="s">
        <v>1280</v>
      </c>
      <c r="B1710" s="1390">
        <v>45607</v>
      </c>
      <c r="C1710" s="572">
        <f t="shared" ref="C1710:C1750" si="42">_xlfn.ISOWEEKNUM(B1710)</f>
        <v>46</v>
      </c>
      <c r="D1710" s="2422" t="s">
        <v>1698</v>
      </c>
      <c r="E1710" s="2422" t="s">
        <v>183</v>
      </c>
      <c r="F1710" s="2726" t="s">
        <v>1199</v>
      </c>
      <c r="G1710" s="2839" t="s">
        <v>1199</v>
      </c>
      <c r="H1710" s="30">
        <v>702</v>
      </c>
      <c r="I1710" s="30" t="s">
        <v>5663</v>
      </c>
      <c r="J1710" s="68"/>
      <c r="K1710" s="30"/>
      <c r="L1710" s="1390" t="s">
        <v>37</v>
      </c>
      <c r="M1710" s="1390"/>
      <c r="N1710" s="1390"/>
      <c r="O1710" s="1390"/>
      <c r="P1710" s="1390"/>
      <c r="Q1710" s="1390"/>
      <c r="R1710" s="1390"/>
      <c r="S1710" s="1390"/>
      <c r="T1710" s="1390"/>
      <c r="U1710" s="1390"/>
      <c r="V1710" s="1390"/>
    </row>
    <row r="1711" spans="1:23" ht="28.5">
      <c r="A1711" s="1935" t="s">
        <v>4300</v>
      </c>
      <c r="B1711" s="1936">
        <v>45608</v>
      </c>
      <c r="C1711" s="465">
        <f t="shared" si="42"/>
        <v>46</v>
      </c>
      <c r="D1711" s="2910" t="s">
        <v>5664</v>
      </c>
      <c r="E1711" s="2911" t="s">
        <v>5665</v>
      </c>
      <c r="F1711" s="2889" t="s">
        <v>1199</v>
      </c>
      <c r="G1711" s="2884" t="s">
        <v>1199</v>
      </c>
      <c r="H1711" s="2780">
        <v>702</v>
      </c>
      <c r="I1711" s="130" t="s">
        <v>5666</v>
      </c>
      <c r="J1711" s="328"/>
      <c r="K1711" s="2900" t="s">
        <v>84</v>
      </c>
      <c r="L1711" s="1936" t="s">
        <v>37</v>
      </c>
      <c r="M1711" s="55"/>
      <c r="N1711" s="55"/>
      <c r="O1711" s="55"/>
      <c r="P1711" s="55"/>
      <c r="Q1711" s="55"/>
      <c r="R1711" s="55"/>
      <c r="S1711" s="55"/>
      <c r="T1711" s="55"/>
      <c r="U1711" s="56"/>
      <c r="V1711" s="355"/>
      <c r="W1711" s="2898"/>
    </row>
    <row r="1712" spans="1:23">
      <c r="A1712" s="1941" t="s">
        <v>4300</v>
      </c>
      <c r="B1712" s="1300">
        <v>45608</v>
      </c>
      <c r="C1712" s="468">
        <f t="shared" si="42"/>
        <v>46</v>
      </c>
      <c r="D1712" s="1356" t="s">
        <v>169</v>
      </c>
      <c r="E1712" s="1360" t="s">
        <v>5667</v>
      </c>
      <c r="F1712" s="2890" t="s">
        <v>1199</v>
      </c>
      <c r="G1712" s="2813" t="s">
        <v>1199</v>
      </c>
      <c r="H1712" s="2176">
        <v>702</v>
      </c>
      <c r="I1712" s="128" t="s">
        <v>5663</v>
      </c>
      <c r="J1712" s="2789"/>
      <c r="K1712" s="2901"/>
      <c r="L1712" s="1300" t="s">
        <v>37</v>
      </c>
      <c r="M1712" s="1300"/>
      <c r="N1712" s="1300"/>
      <c r="O1712" s="1300"/>
      <c r="P1712" s="1300"/>
      <c r="Q1712" s="1300"/>
      <c r="R1712" s="1300"/>
      <c r="S1712" s="1300"/>
      <c r="T1712" s="1300"/>
      <c r="U1712" s="1328"/>
      <c r="V1712" s="2789"/>
      <c r="W1712" s="2898"/>
    </row>
    <row r="1713" spans="1:23">
      <c r="A1713" s="1941" t="s">
        <v>4300</v>
      </c>
      <c r="B1713" s="1300">
        <v>45608</v>
      </c>
      <c r="C1713" s="468">
        <f t="shared" si="42"/>
        <v>46</v>
      </c>
      <c r="D1713" s="1356" t="s">
        <v>537</v>
      </c>
      <c r="E1713" s="1360" t="s">
        <v>1071</v>
      </c>
      <c r="F1713" s="2891" t="s">
        <v>1199</v>
      </c>
      <c r="G1713" s="2885" t="s">
        <v>1199</v>
      </c>
      <c r="H1713" s="2176">
        <v>701</v>
      </c>
      <c r="I1713" s="128" t="s">
        <v>585</v>
      </c>
      <c r="J1713" s="353"/>
      <c r="K1713" s="231"/>
      <c r="L1713" s="1300" t="s">
        <v>37</v>
      </c>
      <c r="M1713" s="1300"/>
      <c r="N1713" s="49"/>
      <c r="O1713" s="49"/>
      <c r="P1713" s="49"/>
      <c r="Q1713" s="49"/>
      <c r="R1713" s="49"/>
      <c r="S1713" s="49"/>
      <c r="T1713" s="49"/>
      <c r="U1713" s="50"/>
      <c r="V1713" s="353"/>
      <c r="W1713" s="2898"/>
    </row>
    <row r="1714" spans="1:23">
      <c r="A1714" s="1941" t="s">
        <v>4300</v>
      </c>
      <c r="B1714" s="1300">
        <v>45608</v>
      </c>
      <c r="C1714" s="468">
        <f t="shared" si="42"/>
        <v>46</v>
      </c>
      <c r="D1714" s="1356" t="s">
        <v>500</v>
      </c>
      <c r="E1714" s="1360" t="s">
        <v>5392</v>
      </c>
      <c r="F1714" s="2793" t="s">
        <v>1199</v>
      </c>
      <c r="G1714" s="2813" t="s">
        <v>1199</v>
      </c>
      <c r="H1714" s="2176">
        <v>701</v>
      </c>
      <c r="I1714" s="128" t="s">
        <v>1093</v>
      </c>
      <c r="J1714" s="353"/>
      <c r="K1714" s="2822" t="s">
        <v>10</v>
      </c>
      <c r="L1714" s="1300" t="s">
        <v>37</v>
      </c>
      <c r="M1714" s="1300"/>
      <c r="N1714" s="49"/>
      <c r="O1714" s="49"/>
      <c r="P1714" s="49"/>
      <c r="Q1714" s="49"/>
      <c r="R1714" s="49"/>
      <c r="S1714" s="49"/>
      <c r="T1714" s="49"/>
      <c r="U1714" s="50"/>
      <c r="V1714" s="353"/>
      <c r="W1714" s="2898"/>
    </row>
    <row r="1715" spans="1:23">
      <c r="A1715" s="1941" t="s">
        <v>4300</v>
      </c>
      <c r="B1715" s="1300">
        <v>45608</v>
      </c>
      <c r="C1715" s="468">
        <f t="shared" si="42"/>
        <v>46</v>
      </c>
      <c r="D1715" s="1356" t="s">
        <v>169</v>
      </c>
      <c r="E1715" s="1360" t="s">
        <v>5668</v>
      </c>
      <c r="F1715" s="2793" t="s">
        <v>1199</v>
      </c>
      <c r="G1715" s="2813" t="s">
        <v>1199</v>
      </c>
      <c r="H1715" s="2176">
        <v>701</v>
      </c>
      <c r="I1715" s="128" t="s">
        <v>1237</v>
      </c>
      <c r="J1715" s="353"/>
      <c r="K1715" s="2822" t="s">
        <v>174</v>
      </c>
      <c r="L1715" s="1300" t="s">
        <v>37</v>
      </c>
      <c r="M1715" s="1300"/>
      <c r="N1715" s="49"/>
      <c r="O1715" s="49"/>
      <c r="P1715" s="49"/>
      <c r="Q1715" s="49"/>
      <c r="R1715" s="49"/>
      <c r="S1715" s="49"/>
      <c r="T1715" s="49"/>
      <c r="U1715" s="50"/>
      <c r="V1715" s="353"/>
      <c r="W1715" s="2898"/>
    </row>
    <row r="1716" spans="1:23" ht="52.5">
      <c r="A1716" s="1941" t="s">
        <v>4300</v>
      </c>
      <c r="B1716" s="1300">
        <v>45608</v>
      </c>
      <c r="C1716" s="468">
        <f t="shared" si="42"/>
        <v>46</v>
      </c>
      <c r="D1716" s="2881" t="s">
        <v>5669</v>
      </c>
      <c r="E1716" s="1360" t="s">
        <v>3291</v>
      </c>
      <c r="F1716" s="2892" t="s">
        <v>1199</v>
      </c>
      <c r="G1716" s="2886" t="s">
        <v>1199</v>
      </c>
      <c r="H1716" s="2176">
        <v>705</v>
      </c>
      <c r="I1716" s="128" t="s">
        <v>5670</v>
      </c>
      <c r="J1716" s="353"/>
      <c r="K1716" s="2822" t="s">
        <v>4266</v>
      </c>
      <c r="L1716" s="1300" t="s">
        <v>37</v>
      </c>
      <c r="M1716" s="1300"/>
      <c r="N1716" s="49"/>
      <c r="O1716" s="49"/>
      <c r="P1716" s="49"/>
      <c r="Q1716" s="49"/>
      <c r="R1716" s="49"/>
      <c r="S1716" s="49"/>
      <c r="T1716" s="49"/>
      <c r="U1716" s="1654" t="s">
        <v>5671</v>
      </c>
      <c r="V1716" s="3078"/>
      <c r="W1716" s="2898"/>
    </row>
    <row r="1717" spans="1:23" ht="28.5">
      <c r="A1717" s="1941" t="s">
        <v>4300</v>
      </c>
      <c r="B1717" s="1300">
        <v>45608</v>
      </c>
      <c r="C1717" s="468">
        <f t="shared" si="42"/>
        <v>46</v>
      </c>
      <c r="D1717" s="1356" t="s">
        <v>1698</v>
      </c>
      <c r="E1717" s="1360" t="s">
        <v>1238</v>
      </c>
      <c r="F1717" s="2893" t="s">
        <v>1199</v>
      </c>
      <c r="G1717" s="2841" t="s">
        <v>1199</v>
      </c>
      <c r="H1717" s="2176">
        <v>707</v>
      </c>
      <c r="I1717" s="128" t="s">
        <v>5672</v>
      </c>
      <c r="J1717" s="2896"/>
      <c r="K1717" s="2176"/>
      <c r="L1717" s="1300" t="s">
        <v>37</v>
      </c>
      <c r="M1717" s="1300"/>
      <c r="N1717" s="49"/>
      <c r="O1717" s="49"/>
      <c r="P1717" s="49"/>
      <c r="Q1717" s="49"/>
      <c r="R1717" s="49"/>
      <c r="S1717" s="49"/>
      <c r="T1717" s="49"/>
      <c r="U1717" s="1654"/>
      <c r="V1717" s="3078"/>
      <c r="W1717" s="2898"/>
    </row>
    <row r="1718" spans="1:23" ht="52.5">
      <c r="A1718" s="1941" t="s">
        <v>4300</v>
      </c>
      <c r="B1718" s="1300">
        <v>45608</v>
      </c>
      <c r="C1718" s="468">
        <f t="shared" si="42"/>
        <v>46</v>
      </c>
      <c r="D1718" s="1356" t="s">
        <v>1238</v>
      </c>
      <c r="E1718" s="1360" t="s">
        <v>1145</v>
      </c>
      <c r="F1718" s="2894" t="s">
        <v>1199</v>
      </c>
      <c r="G1718" s="2887" t="s">
        <v>1199</v>
      </c>
      <c r="H1718" s="2176">
        <v>707</v>
      </c>
      <c r="I1718" s="128" t="s">
        <v>1895</v>
      </c>
      <c r="J1718" s="2896"/>
      <c r="K1718" s="2822" t="s">
        <v>84</v>
      </c>
      <c r="L1718" s="1300"/>
      <c r="M1718" s="1300" t="s">
        <v>37</v>
      </c>
      <c r="N1718" s="20" t="s">
        <v>109</v>
      </c>
      <c r="O1718" s="20" t="s">
        <v>300</v>
      </c>
      <c r="P1718" s="20" t="s">
        <v>4082</v>
      </c>
      <c r="Q1718" s="49"/>
      <c r="R1718" s="49"/>
      <c r="S1718" s="49"/>
      <c r="T1718" s="49"/>
      <c r="U1718" s="1654" t="s">
        <v>5673</v>
      </c>
      <c r="V1718" s="3078"/>
      <c r="W1718" s="2898"/>
    </row>
    <row r="1719" spans="1:23">
      <c r="A1719" s="1941" t="s">
        <v>4300</v>
      </c>
      <c r="B1719" s="1300">
        <v>45608</v>
      </c>
      <c r="C1719" s="468">
        <f t="shared" si="42"/>
        <v>46</v>
      </c>
      <c r="D1719" s="1356" t="s">
        <v>5674</v>
      </c>
      <c r="E1719" s="1360" t="s">
        <v>1073</v>
      </c>
      <c r="F1719" s="2793" t="s">
        <v>1199</v>
      </c>
      <c r="G1719" s="2813" t="s">
        <v>1199</v>
      </c>
      <c r="H1719" s="2176">
        <v>706</v>
      </c>
      <c r="I1719" s="128" t="s">
        <v>99</v>
      </c>
      <c r="J1719" s="2896"/>
      <c r="K1719" s="2176"/>
      <c r="L1719" s="1300" t="s">
        <v>37</v>
      </c>
      <c r="M1719" s="1300"/>
      <c r="N1719" s="49"/>
      <c r="O1719" s="49"/>
      <c r="P1719" s="49"/>
      <c r="Q1719" s="49"/>
      <c r="R1719" s="49"/>
      <c r="S1719" s="49"/>
      <c r="T1719" s="49"/>
      <c r="U1719" s="1654"/>
      <c r="V1719" s="3078"/>
      <c r="W1719" s="2898"/>
    </row>
    <row r="1720" spans="1:23">
      <c r="A1720" s="1941" t="s">
        <v>4300</v>
      </c>
      <c r="B1720" s="1300">
        <v>45608</v>
      </c>
      <c r="C1720" s="468">
        <f t="shared" si="42"/>
        <v>46</v>
      </c>
      <c r="D1720" s="1356" t="s">
        <v>671</v>
      </c>
      <c r="E1720" s="1360" t="s">
        <v>169</v>
      </c>
      <c r="F1720" s="2895" t="s">
        <v>1199</v>
      </c>
      <c r="G1720" s="2888" t="s">
        <v>1199</v>
      </c>
      <c r="H1720" s="2176">
        <v>702</v>
      </c>
      <c r="I1720" s="128" t="s">
        <v>5675</v>
      </c>
      <c r="J1720" s="2896"/>
      <c r="K1720" s="2176"/>
      <c r="L1720" s="1300" t="s">
        <v>37</v>
      </c>
      <c r="M1720" s="1300"/>
      <c r="N1720" s="49"/>
      <c r="O1720" s="49"/>
      <c r="P1720" s="49"/>
      <c r="Q1720" s="49"/>
      <c r="R1720" s="49"/>
      <c r="S1720" s="49"/>
      <c r="T1720" s="49"/>
      <c r="U1720" s="1654"/>
      <c r="V1720" s="3078"/>
      <c r="W1720" s="2898"/>
    </row>
    <row r="1721" spans="1:23" ht="78.75">
      <c r="A1721" s="1941" t="s">
        <v>4300</v>
      </c>
      <c r="B1721" s="1300">
        <v>45608</v>
      </c>
      <c r="C1721" s="468">
        <f t="shared" si="42"/>
        <v>46</v>
      </c>
      <c r="D1721" s="1356" t="s">
        <v>169</v>
      </c>
      <c r="E1721" s="1360" t="s">
        <v>43</v>
      </c>
      <c r="F1721" s="2795" t="s">
        <v>1199</v>
      </c>
      <c r="G1721" s="2761" t="s">
        <v>1199</v>
      </c>
      <c r="H1721" s="2176">
        <v>702</v>
      </c>
      <c r="I1721" s="128" t="s">
        <v>5675</v>
      </c>
      <c r="J1721" s="2896"/>
      <c r="K1721" s="2176"/>
      <c r="L1721" s="1300"/>
      <c r="M1721" s="1300" t="s">
        <v>37</v>
      </c>
      <c r="N1721" s="252" t="s">
        <v>71</v>
      </c>
      <c r="O1721" s="121" t="s">
        <v>720</v>
      </c>
      <c r="P1721" s="29" t="s">
        <v>4082</v>
      </c>
      <c r="Q1721" s="2846">
        <v>1</v>
      </c>
      <c r="R1721" s="49"/>
      <c r="S1721" s="49"/>
      <c r="T1721" s="49"/>
      <c r="U1721" s="1659" t="s">
        <v>5676</v>
      </c>
      <c r="V1721" s="3079"/>
      <c r="W1721" s="2908" t="s">
        <v>5677</v>
      </c>
    </row>
    <row r="1722" spans="1:23" ht="79.5" thickBot="1">
      <c r="A1722" s="1938" t="s">
        <v>4300</v>
      </c>
      <c r="B1722" s="1312">
        <v>45608</v>
      </c>
      <c r="C1722" s="480">
        <f t="shared" si="42"/>
        <v>46</v>
      </c>
      <c r="D1722" s="1894" t="s">
        <v>43</v>
      </c>
      <c r="E1722" s="2475" t="s">
        <v>169</v>
      </c>
      <c r="F1722" s="2817" t="s">
        <v>1199</v>
      </c>
      <c r="G1722" s="2814" t="s">
        <v>1199</v>
      </c>
      <c r="H1722" s="2201">
        <v>702</v>
      </c>
      <c r="I1722" s="129" t="s">
        <v>1255</v>
      </c>
      <c r="J1722" s="2897"/>
      <c r="K1722" s="2902" t="s">
        <v>84</v>
      </c>
      <c r="L1722" s="1312"/>
      <c r="M1722" s="1312" t="s">
        <v>37</v>
      </c>
      <c r="N1722" s="252" t="s">
        <v>71</v>
      </c>
      <c r="O1722" s="121" t="s">
        <v>720</v>
      </c>
      <c r="P1722" s="29" t="s">
        <v>4082</v>
      </c>
      <c r="Q1722" s="57"/>
      <c r="R1722" s="57"/>
      <c r="S1722" s="57"/>
      <c r="T1722" s="57"/>
      <c r="U1722" s="2909" t="s">
        <v>5678</v>
      </c>
      <c r="V1722" s="3080"/>
      <c r="W1722" s="2898"/>
    </row>
    <row r="1723" spans="1:23" ht="27" thickBot="1">
      <c r="A1723" s="1939" t="s">
        <v>1314</v>
      </c>
      <c r="B1723" s="1940">
        <v>45609</v>
      </c>
      <c r="C1723" s="520">
        <f t="shared" si="42"/>
        <v>46</v>
      </c>
      <c r="D1723" s="2882" t="s">
        <v>2750</v>
      </c>
      <c r="E1723" s="2882" t="s">
        <v>5667</v>
      </c>
      <c r="F1723" s="2847" t="s">
        <v>1199</v>
      </c>
      <c r="G1723" s="2847" t="s">
        <v>1199</v>
      </c>
      <c r="H1723" s="180">
        <v>702</v>
      </c>
      <c r="I1723" s="180" t="s">
        <v>5666</v>
      </c>
      <c r="J1723" s="191"/>
      <c r="K1723" s="2843" t="s">
        <v>84</v>
      </c>
      <c r="L1723" s="1301" t="s">
        <v>37</v>
      </c>
      <c r="M1723" s="1301"/>
      <c r="N1723" s="190"/>
      <c r="O1723" s="190"/>
      <c r="P1723" s="190"/>
      <c r="Q1723" s="190"/>
      <c r="R1723" s="190"/>
      <c r="S1723" s="190"/>
      <c r="T1723" s="190"/>
      <c r="U1723" s="2899"/>
      <c r="V1723" s="3081"/>
    </row>
    <row r="1724" spans="1:23" ht="29.25" thickBot="1">
      <c r="A1724" s="1941" t="s">
        <v>1314</v>
      </c>
      <c r="B1724" s="1300">
        <v>45609</v>
      </c>
      <c r="C1724" s="520">
        <f t="shared" si="42"/>
        <v>46</v>
      </c>
      <c r="D1724" s="1356" t="s">
        <v>3353</v>
      </c>
      <c r="E1724" s="1356" t="s">
        <v>671</v>
      </c>
      <c r="F1724" s="2842" t="s">
        <v>1764</v>
      </c>
      <c r="G1724" s="2842" t="s">
        <v>1764</v>
      </c>
      <c r="H1724" s="68">
        <v>702</v>
      </c>
      <c r="I1724" s="68" t="s">
        <v>1255</v>
      </c>
      <c r="J1724" s="68"/>
      <c r="K1724" s="68"/>
      <c r="L1724" s="1300" t="s">
        <v>37</v>
      </c>
      <c r="M1724" s="1300"/>
      <c r="N1724" s="49"/>
      <c r="O1724" s="49"/>
      <c r="P1724" s="49"/>
      <c r="Q1724" s="49"/>
      <c r="R1724" s="2846">
        <v>1</v>
      </c>
      <c r="S1724" s="49"/>
      <c r="T1724" s="49"/>
      <c r="U1724" s="2848" t="s">
        <v>5679</v>
      </c>
      <c r="V1724" s="3082"/>
      <c r="W1724" s="2908" t="s">
        <v>5680</v>
      </c>
    </row>
    <row r="1725" spans="1:23" ht="75.599999999999994" customHeight="1" thickBot="1">
      <c r="A1725" s="1941" t="s">
        <v>1314</v>
      </c>
      <c r="B1725" s="1300">
        <v>45609</v>
      </c>
      <c r="C1725" s="520">
        <f t="shared" si="42"/>
        <v>46</v>
      </c>
      <c r="D1725" s="1356" t="s">
        <v>671</v>
      </c>
      <c r="E1725" s="1356" t="s">
        <v>3351</v>
      </c>
      <c r="F1725" s="2849" t="s">
        <v>1764</v>
      </c>
      <c r="G1725" s="2849" t="s">
        <v>1764</v>
      </c>
      <c r="H1725" s="68">
        <v>702</v>
      </c>
      <c r="I1725" s="68" t="s">
        <v>5663</v>
      </c>
      <c r="J1725" s="68"/>
      <c r="K1725" s="2850" t="s">
        <v>5681</v>
      </c>
      <c r="L1725" s="1300"/>
      <c r="M1725" s="2311" t="s">
        <v>37</v>
      </c>
      <c r="N1725" s="2904" t="s">
        <v>122</v>
      </c>
      <c r="O1725" s="119" t="s">
        <v>123</v>
      </c>
      <c r="P1725" s="2904" t="s">
        <v>4082</v>
      </c>
      <c r="Q1725" s="213"/>
      <c r="R1725" s="2851">
        <v>2</v>
      </c>
      <c r="S1725" s="49"/>
      <c r="T1725" s="49"/>
      <c r="U1725" s="2852" t="s">
        <v>5682</v>
      </c>
      <c r="V1725" s="1925"/>
    </row>
    <row r="1726" spans="1:23" ht="27" thickBot="1">
      <c r="A1726" s="1941" t="s">
        <v>1314</v>
      </c>
      <c r="B1726" s="1300">
        <v>45609</v>
      </c>
      <c r="C1726" s="520">
        <f t="shared" si="42"/>
        <v>46</v>
      </c>
      <c r="D1726" s="1052" t="s">
        <v>1064</v>
      </c>
      <c r="E1726" s="1052" t="s">
        <v>80</v>
      </c>
      <c r="F1726" s="2853" t="s">
        <v>1199</v>
      </c>
      <c r="G1726" s="2853" t="s">
        <v>1199</v>
      </c>
      <c r="H1726" s="68">
        <v>701</v>
      </c>
      <c r="I1726" s="68" t="s">
        <v>1627</v>
      </c>
      <c r="J1726" s="68"/>
      <c r="K1726" s="68"/>
      <c r="L1726" s="1300" t="s">
        <v>37</v>
      </c>
      <c r="M1726" s="1300"/>
      <c r="N1726" s="111"/>
      <c r="O1726" s="111"/>
      <c r="P1726" s="111"/>
      <c r="Q1726" s="111"/>
      <c r="R1726" s="49"/>
      <c r="S1726" s="82" t="s">
        <v>37</v>
      </c>
      <c r="T1726" s="49"/>
      <c r="U1726" s="1654"/>
      <c r="V1726" s="3083"/>
    </row>
    <row r="1727" spans="1:23" ht="27" thickBot="1">
      <c r="A1727" s="1941" t="s">
        <v>1314</v>
      </c>
      <c r="B1727" s="1300">
        <v>45609</v>
      </c>
      <c r="C1727" s="520">
        <f t="shared" si="42"/>
        <v>46</v>
      </c>
      <c r="D1727" s="1052" t="s">
        <v>80</v>
      </c>
      <c r="E1727" s="1052" t="s">
        <v>1527</v>
      </c>
      <c r="F1727" s="2853" t="s">
        <v>1199</v>
      </c>
      <c r="G1727" s="2853" t="s">
        <v>1199</v>
      </c>
      <c r="H1727" s="68">
        <v>701</v>
      </c>
      <c r="I1727" s="68" t="s">
        <v>1627</v>
      </c>
      <c r="J1727" s="68"/>
      <c r="K1727" s="68"/>
      <c r="L1727" s="1300" t="s">
        <v>37</v>
      </c>
      <c r="M1727" s="1300"/>
      <c r="N1727" s="49"/>
      <c r="O1727" s="49"/>
      <c r="P1727" s="49"/>
      <c r="Q1727" s="49"/>
      <c r="R1727" s="49"/>
      <c r="S1727" s="82" t="s">
        <v>37</v>
      </c>
      <c r="T1727" s="49"/>
      <c r="U1727" s="1654"/>
      <c r="V1727" s="3083"/>
    </row>
    <row r="1728" spans="1:23" ht="27" thickBot="1">
      <c r="A1728" s="1941" t="s">
        <v>1314</v>
      </c>
      <c r="B1728" s="1300">
        <v>45609</v>
      </c>
      <c r="C1728" s="520">
        <f t="shared" si="42"/>
        <v>46</v>
      </c>
      <c r="D1728" s="1356" t="s">
        <v>840</v>
      </c>
      <c r="E1728" s="1356" t="s">
        <v>148</v>
      </c>
      <c r="F1728" s="2839" t="s">
        <v>1199</v>
      </c>
      <c r="G1728" s="2839" t="s">
        <v>1199</v>
      </c>
      <c r="H1728" s="68">
        <v>701</v>
      </c>
      <c r="I1728" s="68" t="s">
        <v>1808</v>
      </c>
      <c r="J1728" s="68"/>
      <c r="K1728" s="68"/>
      <c r="L1728" s="1300" t="s">
        <v>37</v>
      </c>
      <c r="M1728" s="1300"/>
      <c r="N1728" s="1745"/>
      <c r="O1728" s="1745"/>
      <c r="P1728" s="1745"/>
      <c r="Q1728" s="1745"/>
      <c r="R1728" s="1745"/>
      <c r="S1728" s="1745"/>
      <c r="T1728" s="1745"/>
      <c r="U1728" s="2854"/>
      <c r="V1728" s="3084"/>
    </row>
    <row r="1729" spans="1:22" ht="29.25" thickBot="1">
      <c r="A1729" s="1942" t="s">
        <v>1314</v>
      </c>
      <c r="B1729" s="1301">
        <v>45609</v>
      </c>
      <c r="C1729" s="520">
        <f t="shared" si="42"/>
        <v>46</v>
      </c>
      <c r="D1729" s="1302" t="s">
        <v>1005</v>
      </c>
      <c r="E1729" s="1302" t="s">
        <v>183</v>
      </c>
      <c r="F1729" s="2849" t="s">
        <v>1199</v>
      </c>
      <c r="G1729" s="2849" t="s">
        <v>1199</v>
      </c>
      <c r="H1729" s="107">
        <v>701</v>
      </c>
      <c r="I1729" s="107" t="s">
        <v>5683</v>
      </c>
      <c r="J1729" s="107"/>
      <c r="K1729" s="107"/>
      <c r="L1729" s="1300" t="s">
        <v>37</v>
      </c>
      <c r="M1729" s="1300"/>
      <c r="N1729" s="1814"/>
      <c r="O1729" s="1814"/>
      <c r="P1729" s="1814"/>
      <c r="Q1729" s="1814"/>
      <c r="R1729" s="1814"/>
      <c r="S1729" s="1814"/>
      <c r="T1729" s="1814"/>
      <c r="U1729" s="2855"/>
      <c r="V1729" s="3085"/>
    </row>
    <row r="1730" spans="1:22" ht="27" thickBot="1">
      <c r="A1730" s="1937" t="s">
        <v>1314</v>
      </c>
      <c r="B1730" s="1390">
        <v>45609</v>
      </c>
      <c r="C1730" s="520">
        <f t="shared" si="42"/>
        <v>46</v>
      </c>
      <c r="D1730" s="2422" t="s">
        <v>169</v>
      </c>
      <c r="E1730" s="2422" t="s">
        <v>4663</v>
      </c>
      <c r="F1730" s="2856" t="s">
        <v>1199</v>
      </c>
      <c r="G1730" s="2856" t="s">
        <v>1199</v>
      </c>
      <c r="H1730" s="30">
        <v>701</v>
      </c>
      <c r="I1730" s="30" t="s">
        <v>5684</v>
      </c>
      <c r="J1730" s="30"/>
      <c r="K1730" s="30"/>
      <c r="L1730" s="1390" t="s">
        <v>37</v>
      </c>
      <c r="M1730" s="1390"/>
      <c r="N1730" s="1775"/>
      <c r="O1730" s="1775"/>
      <c r="P1730" s="1775"/>
      <c r="Q1730" s="1775"/>
      <c r="R1730" s="1775"/>
      <c r="S1730" s="1775"/>
      <c r="T1730" s="1775"/>
      <c r="U1730" s="2857"/>
      <c r="V1730" s="3086"/>
    </row>
    <row r="1731" spans="1:22" ht="27" thickBot="1">
      <c r="A1731" s="2858" t="s">
        <v>1437</v>
      </c>
      <c r="B1731" s="2859">
        <v>45610</v>
      </c>
      <c r="C1731" s="520">
        <f t="shared" si="42"/>
        <v>46</v>
      </c>
      <c r="D1731" s="2469" t="s">
        <v>5242</v>
      </c>
      <c r="E1731" s="2469" t="s">
        <v>5685</v>
      </c>
      <c r="F1731" s="2860" t="s">
        <v>1199</v>
      </c>
      <c r="G1731" s="2861" t="s">
        <v>1199</v>
      </c>
      <c r="H1731" s="60">
        <v>702</v>
      </c>
      <c r="I1731" s="60" t="s">
        <v>5663</v>
      </c>
      <c r="J1731" s="191"/>
      <c r="K1731" s="191"/>
      <c r="L1731" s="1936" t="s">
        <v>37</v>
      </c>
      <c r="M1731" s="1936"/>
      <c r="N1731" s="2862"/>
      <c r="O1731" s="2862"/>
      <c r="P1731" s="2862"/>
      <c r="Q1731" s="2862"/>
      <c r="R1731" s="2862"/>
      <c r="S1731" s="2862"/>
      <c r="T1731" s="2862"/>
      <c r="U1731" s="2863"/>
      <c r="V1731" s="3087"/>
    </row>
    <row r="1732" spans="1:22" ht="27" thickBot="1">
      <c r="A1732" s="2864" t="s">
        <v>1437</v>
      </c>
      <c r="B1732" s="2865">
        <v>45610</v>
      </c>
      <c r="C1732" s="520">
        <f t="shared" si="42"/>
        <v>46</v>
      </c>
      <c r="D1732" s="1302" t="s">
        <v>204</v>
      </c>
      <c r="E1732" s="1302" t="s">
        <v>917</v>
      </c>
      <c r="F1732" s="2853" t="s">
        <v>1764</v>
      </c>
      <c r="G1732" s="2853" t="s">
        <v>1764</v>
      </c>
      <c r="H1732" s="107">
        <v>702</v>
      </c>
      <c r="I1732" s="107" t="s">
        <v>5663</v>
      </c>
      <c r="J1732" s="107"/>
      <c r="K1732" s="2866"/>
      <c r="L1732" s="1300" t="s">
        <v>37</v>
      </c>
      <c r="M1732" s="1300"/>
      <c r="N1732" s="2867"/>
      <c r="O1732" s="2867"/>
      <c r="P1732" s="2867"/>
      <c r="Q1732" s="2867"/>
      <c r="R1732" s="2867"/>
      <c r="S1732" s="2867"/>
      <c r="T1732" s="2867"/>
      <c r="U1732" s="2868"/>
      <c r="V1732"/>
    </row>
    <row r="1733" spans="1:22" ht="27" thickBot="1">
      <c r="A1733" s="2864" t="s">
        <v>1437</v>
      </c>
      <c r="B1733" s="2869">
        <v>45610</v>
      </c>
      <c r="C1733" s="520">
        <f t="shared" si="42"/>
        <v>46</v>
      </c>
      <c r="D1733" s="1046" t="s">
        <v>671</v>
      </c>
      <c r="E1733" s="1046" t="s">
        <v>5686</v>
      </c>
      <c r="F1733" s="2839" t="s">
        <v>1199</v>
      </c>
      <c r="G1733" s="2839" t="s">
        <v>1199</v>
      </c>
      <c r="H1733" s="107">
        <v>707</v>
      </c>
      <c r="I1733" s="107" t="s">
        <v>5687</v>
      </c>
      <c r="J1733" s="107"/>
      <c r="K1733" s="107"/>
      <c r="L1733" s="1300" t="s">
        <v>37</v>
      </c>
      <c r="M1733" s="1300"/>
      <c r="N1733" s="1814"/>
      <c r="O1733" s="1814"/>
      <c r="P1733" s="1814"/>
      <c r="Q1733" s="1814"/>
      <c r="R1733" s="1814"/>
      <c r="S1733" s="1814"/>
      <c r="T1733" s="1814"/>
      <c r="U1733" s="1835"/>
      <c r="V1733" s="3088"/>
    </row>
    <row r="1734" spans="1:22" ht="27" thickBot="1">
      <c r="A1734" s="2864" t="s">
        <v>1437</v>
      </c>
      <c r="B1734" s="2869">
        <v>45610</v>
      </c>
      <c r="C1734" s="520">
        <f t="shared" si="42"/>
        <v>46</v>
      </c>
      <c r="D1734" s="1046" t="s">
        <v>671</v>
      </c>
      <c r="E1734" s="1046" t="s">
        <v>3545</v>
      </c>
      <c r="F1734" s="2853" t="s">
        <v>1199</v>
      </c>
      <c r="G1734" s="2853" t="s">
        <v>1199</v>
      </c>
      <c r="H1734" s="107">
        <v>707</v>
      </c>
      <c r="I1734" s="107" t="s">
        <v>1436</v>
      </c>
      <c r="J1734" s="107"/>
      <c r="K1734" s="2850" t="s">
        <v>5011</v>
      </c>
      <c r="L1734" s="1300" t="s">
        <v>37</v>
      </c>
      <c r="M1734" s="1300"/>
      <c r="N1734" s="1814"/>
      <c r="O1734" s="1814"/>
      <c r="P1734" s="1814"/>
      <c r="Q1734" s="1814"/>
      <c r="R1734" s="1814"/>
      <c r="S1734" s="1814"/>
      <c r="T1734" s="1814"/>
      <c r="U1734" s="1835"/>
      <c r="V1734" s="3088"/>
    </row>
    <row r="1735" spans="1:22" ht="53.25" thickBot="1">
      <c r="A1735" s="2864" t="s">
        <v>1437</v>
      </c>
      <c r="B1735" s="2869">
        <v>45610</v>
      </c>
      <c r="C1735" s="520">
        <f t="shared" si="42"/>
        <v>46</v>
      </c>
      <c r="D1735" s="1046" t="s">
        <v>655</v>
      </c>
      <c r="E1735" s="1046" t="s">
        <v>5667</v>
      </c>
      <c r="F1735" s="2853" t="s">
        <v>1199</v>
      </c>
      <c r="G1735" s="2853" t="s">
        <v>1199</v>
      </c>
      <c r="H1735" s="107">
        <v>707</v>
      </c>
      <c r="I1735" s="107" t="s">
        <v>1436</v>
      </c>
      <c r="J1735" s="107"/>
      <c r="K1735" s="2850" t="s">
        <v>5011</v>
      </c>
      <c r="L1735" s="1300"/>
      <c r="M1735" s="1300" t="s">
        <v>37</v>
      </c>
      <c r="N1735" s="21" t="s">
        <v>122</v>
      </c>
      <c r="O1735" s="21" t="s">
        <v>123</v>
      </c>
      <c r="P1735" s="21" t="s">
        <v>4082</v>
      </c>
      <c r="Q1735" s="1814"/>
      <c r="R1735" s="1814"/>
      <c r="S1735" s="1814"/>
      <c r="T1735" s="1814"/>
      <c r="U1735" s="1835" t="s">
        <v>5688</v>
      </c>
      <c r="V1735" s="3088"/>
    </row>
    <row r="1736" spans="1:22" ht="27" thickBot="1">
      <c r="A1736" s="2864" t="s">
        <v>1437</v>
      </c>
      <c r="B1736" s="2869">
        <v>45610</v>
      </c>
      <c r="C1736" s="520">
        <f t="shared" si="42"/>
        <v>46</v>
      </c>
      <c r="D1736" s="1356" t="s">
        <v>5342</v>
      </c>
      <c r="E1736" s="1356" t="s">
        <v>1145</v>
      </c>
      <c r="F1736" s="2760" t="s">
        <v>1199</v>
      </c>
      <c r="G1736" s="2853" t="s">
        <v>1199</v>
      </c>
      <c r="H1736" s="2845">
        <v>706</v>
      </c>
      <c r="I1736" s="68" t="s">
        <v>5689</v>
      </c>
      <c r="J1736" s="68"/>
      <c r="K1736" s="68"/>
      <c r="L1736" s="1300" t="s">
        <v>37</v>
      </c>
      <c r="M1736" s="1300"/>
      <c r="N1736" s="49"/>
      <c r="O1736" s="49"/>
      <c r="P1736" s="49"/>
      <c r="Q1736" s="49"/>
      <c r="R1736" s="49"/>
      <c r="S1736" s="49"/>
      <c r="T1736" s="49"/>
      <c r="U1736" s="50"/>
      <c r="V1736" s="211"/>
    </row>
    <row r="1737" spans="1:22" ht="53.25" thickBot="1">
      <c r="A1737" s="2870" t="s">
        <v>1437</v>
      </c>
      <c r="B1737" s="2871">
        <v>45610</v>
      </c>
      <c r="C1737" s="520">
        <f t="shared" si="42"/>
        <v>46</v>
      </c>
      <c r="D1737" s="2422" t="s">
        <v>5690</v>
      </c>
      <c r="E1737" s="2422" t="s">
        <v>183</v>
      </c>
      <c r="F1737" s="2844" t="s">
        <v>1199</v>
      </c>
      <c r="G1737" s="2872" t="s">
        <v>1199</v>
      </c>
      <c r="H1737" s="30">
        <v>701</v>
      </c>
      <c r="I1737" s="30" t="s">
        <v>5691</v>
      </c>
      <c r="J1737" s="30"/>
      <c r="K1737" s="30"/>
      <c r="L1737" s="1390"/>
      <c r="M1737" s="2833" t="s">
        <v>37</v>
      </c>
      <c r="N1737" s="21" t="s">
        <v>231</v>
      </c>
      <c r="O1737" s="20" t="s">
        <v>782</v>
      </c>
      <c r="P1737" s="20" t="s">
        <v>4080</v>
      </c>
      <c r="Q1737" s="51"/>
      <c r="R1737" s="51"/>
      <c r="S1737" s="51"/>
      <c r="T1737" s="51"/>
      <c r="U1737" s="53" t="s">
        <v>5692</v>
      </c>
      <c r="V1737" s="227"/>
    </row>
    <row r="1738" spans="1:22" ht="27" thickBot="1">
      <c r="A1738" s="2858" t="s">
        <v>1193</v>
      </c>
      <c r="B1738" s="2859">
        <v>45611</v>
      </c>
      <c r="C1738" s="520">
        <f t="shared" si="42"/>
        <v>46</v>
      </c>
      <c r="D1738" s="2469" t="s">
        <v>4155</v>
      </c>
      <c r="E1738" s="2469" t="s">
        <v>1145</v>
      </c>
      <c r="F1738" s="2873" t="s">
        <v>1199</v>
      </c>
      <c r="G1738" s="2722" t="s">
        <v>1199</v>
      </c>
      <c r="H1738" s="60">
        <v>702</v>
      </c>
      <c r="I1738" s="60" t="s">
        <v>5693</v>
      </c>
      <c r="J1738" s="60"/>
      <c r="K1738" s="60"/>
      <c r="L1738" s="1936" t="s">
        <v>37</v>
      </c>
      <c r="M1738" s="55"/>
      <c r="N1738" s="111"/>
      <c r="O1738" s="55"/>
      <c r="P1738" s="55"/>
      <c r="Q1738" s="55"/>
      <c r="R1738" s="55"/>
      <c r="S1738" s="272" t="s">
        <v>37</v>
      </c>
      <c r="T1738" s="55"/>
      <c r="U1738" s="56"/>
      <c r="V1738" s="235"/>
    </row>
    <row r="1739" spans="1:22" ht="27" thickBot="1">
      <c r="A1739" s="2864" t="s">
        <v>1193</v>
      </c>
      <c r="B1739" s="2869">
        <v>45611</v>
      </c>
      <c r="C1739" s="520">
        <f t="shared" si="42"/>
        <v>46</v>
      </c>
      <c r="D1739" s="1046" t="s">
        <v>1654</v>
      </c>
      <c r="E1739" s="1046" t="s">
        <v>5667</v>
      </c>
      <c r="F1739" s="2853" t="s">
        <v>1199</v>
      </c>
      <c r="G1739" s="2853" t="s">
        <v>1199</v>
      </c>
      <c r="H1739" s="107">
        <v>707</v>
      </c>
      <c r="I1739" s="107" t="s">
        <v>922</v>
      </c>
      <c r="J1739" s="107"/>
      <c r="K1739" s="107"/>
      <c r="L1739" s="1300" t="s">
        <v>37</v>
      </c>
      <c r="M1739" s="1814"/>
      <c r="N1739" s="1814"/>
      <c r="O1739" s="1814"/>
      <c r="P1739" s="1814"/>
      <c r="Q1739" s="1814"/>
      <c r="R1739" s="1814"/>
      <c r="S1739" s="1814"/>
      <c r="T1739" s="1814"/>
      <c r="U1739" s="1835"/>
      <c r="V1739" s="3088"/>
    </row>
    <row r="1740" spans="1:22" ht="27" thickBot="1">
      <c r="A1740" s="2874" t="s">
        <v>1193</v>
      </c>
      <c r="B1740" s="2875">
        <v>45611</v>
      </c>
      <c r="C1740" s="520">
        <f t="shared" si="42"/>
        <v>46</v>
      </c>
      <c r="D1740" s="1302" t="s">
        <v>3603</v>
      </c>
      <c r="E1740" s="1302" t="s">
        <v>671</v>
      </c>
      <c r="F1740" s="2853" t="s">
        <v>1199</v>
      </c>
      <c r="G1740" s="2853" t="s">
        <v>1199</v>
      </c>
      <c r="H1740" s="107">
        <v>702</v>
      </c>
      <c r="I1740" s="107">
        <v>1547</v>
      </c>
      <c r="J1740" s="107"/>
      <c r="K1740" s="107"/>
      <c r="L1740" s="1300" t="s">
        <v>37</v>
      </c>
      <c r="M1740" s="111"/>
      <c r="N1740" s="111"/>
      <c r="O1740" s="111"/>
      <c r="P1740" s="111"/>
      <c r="Q1740" s="111"/>
      <c r="R1740" s="111"/>
      <c r="S1740" s="111"/>
      <c r="T1740" s="111"/>
      <c r="U1740" s="112"/>
      <c r="V1740" s="235"/>
    </row>
    <row r="1741" spans="1:22" ht="29.25" thickBot="1">
      <c r="A1741" s="2874" t="s">
        <v>1193</v>
      </c>
      <c r="B1741" s="2875">
        <v>45611</v>
      </c>
      <c r="C1741" s="520">
        <f t="shared" si="42"/>
        <v>46</v>
      </c>
      <c r="D1741" s="1356" t="s">
        <v>615</v>
      </c>
      <c r="E1741" s="1356" t="s">
        <v>5536</v>
      </c>
      <c r="F1741" s="2849" t="s">
        <v>1764</v>
      </c>
      <c r="G1741" s="2849" t="s">
        <v>1764</v>
      </c>
      <c r="H1741" s="68">
        <v>702</v>
      </c>
      <c r="I1741" s="68" t="s">
        <v>5663</v>
      </c>
      <c r="J1741" s="68"/>
      <c r="K1741" s="68"/>
      <c r="L1741" s="1300" t="s">
        <v>37</v>
      </c>
      <c r="M1741" s="49"/>
      <c r="N1741" s="49"/>
      <c r="O1741" s="49"/>
      <c r="P1741" s="49"/>
      <c r="Q1741" s="49"/>
      <c r="R1741" s="49"/>
      <c r="S1741" s="49"/>
      <c r="T1741" s="49"/>
      <c r="U1741" s="50"/>
      <c r="V1741" s="211"/>
    </row>
    <row r="1742" spans="1:22" ht="27" thickBot="1">
      <c r="A1742" s="2874" t="s">
        <v>1193</v>
      </c>
      <c r="B1742" s="2875">
        <v>45611</v>
      </c>
      <c r="C1742" s="520">
        <f t="shared" si="42"/>
        <v>46</v>
      </c>
      <c r="D1742" s="1356" t="s">
        <v>148</v>
      </c>
      <c r="E1742" s="1356" t="s">
        <v>1527</v>
      </c>
      <c r="F1742" s="2853" t="s">
        <v>1199</v>
      </c>
      <c r="G1742" s="2853" t="s">
        <v>1199</v>
      </c>
      <c r="H1742" s="68">
        <v>701</v>
      </c>
      <c r="I1742" s="68" t="s">
        <v>1808</v>
      </c>
      <c r="J1742" s="68"/>
      <c r="K1742" s="68"/>
      <c r="L1742" s="1300" t="s">
        <v>37</v>
      </c>
      <c r="M1742" s="49"/>
      <c r="N1742" s="49"/>
      <c r="O1742" s="49"/>
      <c r="P1742" s="49"/>
      <c r="Q1742" s="49"/>
      <c r="R1742" s="49"/>
      <c r="S1742" s="49"/>
      <c r="T1742" s="49"/>
      <c r="U1742" s="50"/>
      <c r="V1742" s="211"/>
    </row>
    <row r="1743" spans="1:22" ht="60.75" thickBot="1">
      <c r="A1743" s="2874" t="s">
        <v>1193</v>
      </c>
      <c r="B1743" s="2875">
        <v>45611</v>
      </c>
      <c r="C1743" s="520">
        <f t="shared" si="42"/>
        <v>46</v>
      </c>
      <c r="D1743" s="1052" t="s">
        <v>5392</v>
      </c>
      <c r="E1743" s="1052" t="s">
        <v>450</v>
      </c>
      <c r="F1743" s="2840" t="s">
        <v>1199</v>
      </c>
      <c r="G1743" s="2840" t="s">
        <v>1199</v>
      </c>
      <c r="H1743" s="68">
        <v>706</v>
      </c>
      <c r="I1743" s="68" t="s">
        <v>5694</v>
      </c>
      <c r="J1743" s="68"/>
      <c r="K1743" s="2850" t="s">
        <v>84</v>
      </c>
      <c r="L1743" s="49"/>
      <c r="M1743" s="1300" t="s">
        <v>37</v>
      </c>
      <c r="N1743" s="20" t="s">
        <v>231</v>
      </c>
      <c r="O1743" s="20" t="s">
        <v>782</v>
      </c>
      <c r="P1743" s="20" t="s">
        <v>4102</v>
      </c>
      <c r="Q1743" s="2903">
        <v>3</v>
      </c>
      <c r="R1743" s="49"/>
      <c r="S1743" s="49"/>
      <c r="T1743" s="49"/>
      <c r="U1743" s="66" t="s">
        <v>5695</v>
      </c>
      <c r="V1743" s="3089"/>
    </row>
    <row r="1744" spans="1:22" ht="27" thickBot="1">
      <c r="A1744" s="2874" t="s">
        <v>1193</v>
      </c>
      <c r="B1744" s="2875">
        <v>45611</v>
      </c>
      <c r="C1744" s="520">
        <f t="shared" si="42"/>
        <v>46</v>
      </c>
      <c r="D1744" s="76" t="s">
        <v>1810</v>
      </c>
      <c r="E1744" s="76" t="s">
        <v>5696</v>
      </c>
      <c r="F1744" s="2053" t="s">
        <v>1764</v>
      </c>
      <c r="G1744" s="2053" t="s">
        <v>1764</v>
      </c>
      <c r="H1744" s="76">
        <v>706</v>
      </c>
      <c r="I1744" s="76" t="s">
        <v>5697</v>
      </c>
      <c r="J1744" s="76"/>
      <c r="K1744" s="2850" t="s">
        <v>84</v>
      </c>
      <c r="L1744" s="76" t="s">
        <v>37</v>
      </c>
      <c r="M1744" s="76"/>
      <c r="N1744" s="76"/>
      <c r="O1744" s="76"/>
      <c r="P1744" s="76"/>
      <c r="Q1744" s="76"/>
      <c r="R1744" s="76"/>
      <c r="S1744" s="76"/>
      <c r="T1744" s="76"/>
      <c r="U1744" s="137"/>
      <c r="V1744" s="1959"/>
    </row>
    <row r="1745" spans="1:23" ht="27" thickBot="1">
      <c r="A1745" s="2874" t="s">
        <v>1193</v>
      </c>
      <c r="B1745" s="2875">
        <v>45611</v>
      </c>
      <c r="C1745" s="520">
        <f t="shared" si="42"/>
        <v>46</v>
      </c>
      <c r="D1745" s="76" t="s">
        <v>5696</v>
      </c>
      <c r="E1745" s="76" t="s">
        <v>1810</v>
      </c>
      <c r="F1745" s="2053" t="s">
        <v>1764</v>
      </c>
      <c r="G1745" s="2053" t="s">
        <v>1764</v>
      </c>
      <c r="H1745" s="76">
        <v>706</v>
      </c>
      <c r="I1745" s="76" t="s">
        <v>5697</v>
      </c>
      <c r="J1745" s="76"/>
      <c r="K1745" s="2850" t="s">
        <v>84</v>
      </c>
      <c r="L1745" s="76" t="s">
        <v>37</v>
      </c>
      <c r="M1745" s="76"/>
      <c r="N1745" s="76"/>
      <c r="O1745" s="76"/>
      <c r="P1745" s="76"/>
      <c r="Q1745" s="76"/>
      <c r="R1745" s="76"/>
      <c r="S1745" s="76"/>
      <c r="T1745" s="76"/>
      <c r="U1745" s="137"/>
      <c r="V1745" s="1959"/>
    </row>
    <row r="1746" spans="1:23" ht="27" thickBot="1">
      <c r="A1746" s="2874" t="s">
        <v>1193</v>
      </c>
      <c r="B1746" s="2875">
        <v>45611</v>
      </c>
      <c r="C1746" s="520">
        <f t="shared" si="42"/>
        <v>46</v>
      </c>
      <c r="D1746" s="118" t="s">
        <v>4155</v>
      </c>
      <c r="E1746" s="118" t="s">
        <v>3291</v>
      </c>
      <c r="F1746" s="2053" t="s">
        <v>1764</v>
      </c>
      <c r="G1746" s="2053" t="s">
        <v>1764</v>
      </c>
      <c r="H1746" s="118">
        <v>705</v>
      </c>
      <c r="I1746" s="118" t="s">
        <v>2798</v>
      </c>
      <c r="J1746" s="118"/>
      <c r="K1746" s="2850" t="s">
        <v>84</v>
      </c>
      <c r="L1746" s="118" t="s">
        <v>37</v>
      </c>
      <c r="M1746" s="118"/>
      <c r="N1746" s="118"/>
      <c r="O1746" s="118"/>
      <c r="P1746" s="118"/>
      <c r="Q1746" s="118"/>
      <c r="R1746" s="118"/>
      <c r="S1746" s="118"/>
      <c r="T1746" s="118"/>
      <c r="U1746" s="2079"/>
      <c r="V1746" s="1945"/>
    </row>
    <row r="1747" spans="1:23" ht="53.25" thickBot="1">
      <c r="A1747" s="1962" t="s">
        <v>1193</v>
      </c>
      <c r="B1747" s="2876">
        <v>45611</v>
      </c>
      <c r="C1747" s="520">
        <f t="shared" si="42"/>
        <v>46</v>
      </c>
      <c r="D1747" s="710" t="s">
        <v>48</v>
      </c>
      <c r="E1747" s="710" t="s">
        <v>1091</v>
      </c>
      <c r="F1747" s="2877" t="s">
        <v>1199</v>
      </c>
      <c r="G1747" s="2877" t="s">
        <v>1199</v>
      </c>
      <c r="H1747" s="710">
        <v>705</v>
      </c>
      <c r="I1747" s="710" t="s">
        <v>922</v>
      </c>
      <c r="J1747" s="710"/>
      <c r="K1747" s="710"/>
      <c r="L1747" s="710"/>
      <c r="M1747" s="710" t="s">
        <v>37</v>
      </c>
      <c r="N1747" s="20" t="s">
        <v>0</v>
      </c>
      <c r="O1747" s="20" t="s">
        <v>187</v>
      </c>
      <c r="P1747" s="20" t="s">
        <v>4330</v>
      </c>
      <c r="Q1747" s="710"/>
      <c r="R1747" s="710"/>
      <c r="S1747" s="710"/>
      <c r="T1747" s="710"/>
      <c r="U1747" s="2905" t="s">
        <v>5698</v>
      </c>
      <c r="V1747" s="3090"/>
    </row>
    <row r="1748" spans="1:23" ht="29.25" thickBot="1">
      <c r="A1748" s="162" t="s">
        <v>4114</v>
      </c>
      <c r="B1748" s="1301">
        <v>45612</v>
      </c>
      <c r="C1748" s="520">
        <f t="shared" si="42"/>
        <v>46</v>
      </c>
      <c r="D1748" s="1046" t="s">
        <v>450</v>
      </c>
      <c r="E1748" s="1046" t="s">
        <v>4391</v>
      </c>
      <c r="F1748" s="2879" t="s">
        <v>1199</v>
      </c>
      <c r="G1748" s="2879" t="s">
        <v>1199</v>
      </c>
      <c r="H1748" s="107">
        <v>706</v>
      </c>
      <c r="I1748" s="107" t="s">
        <v>5699</v>
      </c>
      <c r="J1748" s="162"/>
      <c r="K1748" s="2878" t="s">
        <v>84</v>
      </c>
      <c r="L1748" s="162"/>
      <c r="M1748" s="162"/>
      <c r="N1748" s="162"/>
      <c r="O1748" s="162"/>
      <c r="P1748" s="162"/>
      <c r="Q1748" s="162"/>
      <c r="R1748" s="162"/>
      <c r="S1748" s="162"/>
      <c r="T1748" s="162"/>
      <c r="U1748" s="2906"/>
      <c r="V1748" s="3091"/>
      <c r="W1748" s="2898"/>
    </row>
    <row r="1749" spans="1:23" ht="27" thickBot="1">
      <c r="A1749" s="2052" t="s">
        <v>4114</v>
      </c>
      <c r="B1749" s="1940">
        <v>45612</v>
      </c>
      <c r="C1749" s="520">
        <f t="shared" si="42"/>
        <v>46</v>
      </c>
      <c r="D1749" s="2882" t="s">
        <v>1760</v>
      </c>
      <c r="E1749" s="2882" t="s">
        <v>5700</v>
      </c>
      <c r="F1749" s="2180" t="s">
        <v>1199</v>
      </c>
      <c r="G1749" s="2180" t="s">
        <v>1199</v>
      </c>
      <c r="H1749" s="180">
        <v>706</v>
      </c>
      <c r="I1749" s="180">
        <v>6490</v>
      </c>
      <c r="J1749" s="2052"/>
      <c r="K1749" s="2843" t="s">
        <v>1274</v>
      </c>
      <c r="L1749" s="2052" t="s">
        <v>37</v>
      </c>
      <c r="M1749" s="2052"/>
      <c r="N1749" s="2052"/>
      <c r="O1749" s="2052"/>
      <c r="P1749" s="2052"/>
      <c r="Q1749" s="2052"/>
      <c r="R1749" s="2052"/>
      <c r="S1749" s="2052"/>
      <c r="T1749" s="2052"/>
      <c r="U1749" s="2907"/>
      <c r="V1749" s="1922"/>
      <c r="W1749" s="2898"/>
    </row>
    <row r="1750" spans="1:23" ht="79.5" thickBot="1">
      <c r="A1750" s="2082" t="s">
        <v>4227</v>
      </c>
      <c r="B1750" s="1395">
        <v>45613</v>
      </c>
      <c r="C1750" s="520">
        <f t="shared" si="42"/>
        <v>46</v>
      </c>
      <c r="D1750" s="2883" t="s">
        <v>1145</v>
      </c>
      <c r="E1750" s="2883" t="s">
        <v>5701</v>
      </c>
      <c r="F1750" s="2083"/>
      <c r="G1750" s="2083"/>
      <c r="H1750" s="142">
        <v>702</v>
      </c>
      <c r="I1750" s="142" t="s">
        <v>5702</v>
      </c>
      <c r="J1750" s="2083"/>
      <c r="K1750" s="2880" t="s">
        <v>4266</v>
      </c>
      <c r="L1750" s="710"/>
      <c r="M1750" s="710" t="s">
        <v>37</v>
      </c>
      <c r="N1750" s="24" t="s">
        <v>109</v>
      </c>
      <c r="O1750" s="20" t="s">
        <v>300</v>
      </c>
      <c r="P1750" s="20" t="s">
        <v>4082</v>
      </c>
      <c r="Q1750" s="2083"/>
      <c r="R1750" s="2083"/>
      <c r="S1750" s="2083"/>
      <c r="T1750" s="2083"/>
      <c r="U1750" s="2090" t="s">
        <v>5703</v>
      </c>
      <c r="V1750" s="3092"/>
    </row>
    <row r="1751" spans="1:23" ht="27" thickBot="1">
      <c r="A1751" s="1935" t="s">
        <v>1280</v>
      </c>
      <c r="B1751" s="1936">
        <v>45614</v>
      </c>
      <c r="C1751" s="2925">
        <v>47</v>
      </c>
      <c r="D1751" s="1263" t="s">
        <v>442</v>
      </c>
      <c r="E1751" s="1263" t="s">
        <v>5704</v>
      </c>
      <c r="H1751" s="60">
        <v>706</v>
      </c>
      <c r="I1751" s="60" t="s">
        <v>2197</v>
      </c>
      <c r="J1751" s="60"/>
      <c r="K1751" s="2976"/>
      <c r="L1751" s="1936" t="s">
        <v>30</v>
      </c>
      <c r="M1751" s="2835"/>
      <c r="N1751" s="49"/>
      <c r="O1751" s="49"/>
      <c r="P1751" s="49"/>
      <c r="Q1751" s="2963"/>
      <c r="R1751" s="1936"/>
      <c r="S1751" s="1936"/>
      <c r="T1751" s="1936"/>
      <c r="U1751" s="2246" t="s">
        <v>5705</v>
      </c>
      <c r="V1751" s="2311"/>
      <c r="W1751" s="2838" t="s">
        <v>5706</v>
      </c>
    </row>
    <row r="1752" spans="1:23">
      <c r="A1752" s="1941" t="s">
        <v>1280</v>
      </c>
      <c r="B1752" s="1300">
        <v>45614</v>
      </c>
      <c r="C1752" s="2925">
        <v>47</v>
      </c>
      <c r="D1752" s="1115" t="s">
        <v>5696</v>
      </c>
      <c r="E1752" s="1115" t="s">
        <v>1810</v>
      </c>
      <c r="H1752" s="68">
        <v>706</v>
      </c>
      <c r="I1752" s="68" t="s">
        <v>5707</v>
      </c>
      <c r="J1752" s="49"/>
      <c r="K1752" s="110" t="s">
        <v>10</v>
      </c>
      <c r="L1752" s="1300" t="s">
        <v>30</v>
      </c>
      <c r="M1752" s="211"/>
      <c r="N1752" s="49"/>
      <c r="O1752" s="49"/>
      <c r="P1752" s="49"/>
      <c r="Q1752" s="213"/>
      <c r="R1752" s="49"/>
      <c r="S1752" s="49"/>
      <c r="T1752" s="49"/>
      <c r="U1752" s="2246" t="s">
        <v>5708</v>
      </c>
      <c r="V1752" s="2311"/>
    </row>
    <row r="1753" spans="1:23" ht="105">
      <c r="A1753" s="1941" t="s">
        <v>1280</v>
      </c>
      <c r="B1753" s="1300">
        <v>45614</v>
      </c>
      <c r="C1753" s="2925">
        <v>47</v>
      </c>
      <c r="D1753" s="2912" t="s">
        <v>3046</v>
      </c>
      <c r="E1753" s="2912" t="s">
        <v>5709</v>
      </c>
      <c r="H1753" s="68">
        <v>706</v>
      </c>
      <c r="I1753" s="2947" t="s">
        <v>5710</v>
      </c>
      <c r="J1753" s="68"/>
      <c r="K1753" s="110" t="s">
        <v>84</v>
      </c>
      <c r="L1753" s="1300"/>
      <c r="M1753" s="1300" t="s">
        <v>30</v>
      </c>
      <c r="N1753" s="21" t="s">
        <v>122</v>
      </c>
      <c r="O1753" s="21" t="s">
        <v>110</v>
      </c>
      <c r="P1753" s="21" t="s">
        <v>4102</v>
      </c>
      <c r="Q1753" s="2964"/>
      <c r="R1753" s="68">
        <v>3</v>
      </c>
      <c r="S1753" s="49"/>
      <c r="T1753" s="49"/>
      <c r="U1753" s="2992" t="s">
        <v>5711</v>
      </c>
      <c r="V1753" s="3093"/>
    </row>
    <row r="1754" spans="1:23" ht="105">
      <c r="A1754" s="1941" t="s">
        <v>1280</v>
      </c>
      <c r="B1754" s="1300">
        <v>45614</v>
      </c>
      <c r="C1754" s="2925">
        <v>47</v>
      </c>
      <c r="D1754" s="2912" t="s">
        <v>5709</v>
      </c>
      <c r="E1754" s="2912" t="s">
        <v>1307</v>
      </c>
      <c r="H1754" s="68">
        <v>706</v>
      </c>
      <c r="I1754" s="2947" t="s">
        <v>5710</v>
      </c>
      <c r="J1754" s="68"/>
      <c r="K1754" s="110" t="s">
        <v>1274</v>
      </c>
      <c r="L1754" s="1300"/>
      <c r="M1754" s="1300" t="s">
        <v>30</v>
      </c>
      <c r="N1754" s="21" t="s">
        <v>122</v>
      </c>
      <c r="O1754" s="21" t="s">
        <v>110</v>
      </c>
      <c r="P1754" s="21" t="s">
        <v>4102</v>
      </c>
      <c r="Q1754" s="2964"/>
      <c r="R1754" s="1751"/>
      <c r="S1754" s="49"/>
      <c r="T1754" s="49"/>
      <c r="U1754" s="2992" t="s">
        <v>5711</v>
      </c>
      <c r="V1754" s="3093"/>
    </row>
    <row r="1755" spans="1:23" ht="52.5">
      <c r="A1755" s="1941" t="s">
        <v>1280</v>
      </c>
      <c r="B1755" s="1300">
        <v>45614</v>
      </c>
      <c r="C1755" s="2925">
        <v>47</v>
      </c>
      <c r="D1755" s="2912" t="s">
        <v>1307</v>
      </c>
      <c r="E1755" s="2912" t="s">
        <v>1153</v>
      </c>
      <c r="H1755" s="68">
        <v>706</v>
      </c>
      <c r="I1755" s="2947" t="s">
        <v>5710</v>
      </c>
      <c r="J1755" s="68"/>
      <c r="K1755" s="2977" t="s">
        <v>1274</v>
      </c>
      <c r="L1755" s="1300" t="s">
        <v>30</v>
      </c>
      <c r="M1755" s="1300"/>
      <c r="N1755" s="21"/>
      <c r="O1755" s="21"/>
      <c r="P1755" s="21"/>
      <c r="Q1755" s="2964"/>
      <c r="R1755" s="1751"/>
      <c r="S1755" s="49"/>
      <c r="T1755" s="49"/>
      <c r="U1755" s="2992"/>
      <c r="V1755" s="3093"/>
    </row>
    <row r="1756" spans="1:23" ht="52.5">
      <c r="A1756" s="1941" t="s">
        <v>1280</v>
      </c>
      <c r="B1756" s="1300">
        <v>45614</v>
      </c>
      <c r="C1756" s="2925">
        <v>47</v>
      </c>
      <c r="D1756" s="1115" t="s">
        <v>671</v>
      </c>
      <c r="E1756" s="1115" t="s">
        <v>306</v>
      </c>
      <c r="H1756" s="68">
        <v>702</v>
      </c>
      <c r="I1756" s="68" t="s">
        <v>2502</v>
      </c>
      <c r="J1756" s="1300"/>
      <c r="K1756" s="110" t="s">
        <v>84</v>
      </c>
      <c r="L1756" s="1300"/>
      <c r="M1756" s="2151" t="s">
        <v>37</v>
      </c>
      <c r="N1756" s="21" t="s">
        <v>0</v>
      </c>
      <c r="O1756" s="21" t="s">
        <v>187</v>
      </c>
      <c r="P1756" s="21" t="s">
        <v>4082</v>
      </c>
      <c r="Q1756" s="2965" t="s">
        <v>37</v>
      </c>
      <c r="R1756" s="1300"/>
      <c r="S1756" s="1300"/>
      <c r="T1756" s="1300"/>
      <c r="U1756" s="2365" t="s">
        <v>5712</v>
      </c>
      <c r="V1756" s="3094"/>
    </row>
    <row r="1757" spans="1:23" ht="33.75">
      <c r="A1757" s="1941" t="s">
        <v>1280</v>
      </c>
      <c r="B1757" s="1300">
        <v>45614</v>
      </c>
      <c r="C1757" s="2925">
        <v>47</v>
      </c>
      <c r="D1757" s="2913" t="s">
        <v>537</v>
      </c>
      <c r="E1757" s="2913" t="s">
        <v>5713</v>
      </c>
      <c r="H1757" s="68">
        <v>701</v>
      </c>
      <c r="I1757" s="68" t="s">
        <v>5714</v>
      </c>
      <c r="J1757" s="49"/>
      <c r="K1757" s="664"/>
      <c r="L1757" s="2949" t="s">
        <v>37</v>
      </c>
      <c r="M1757" s="2151"/>
      <c r="N1757" s="49"/>
      <c r="O1757" s="49"/>
      <c r="P1757" s="49"/>
      <c r="Q1757" s="213"/>
      <c r="R1757" s="49"/>
      <c r="S1757" s="49"/>
      <c r="T1757" s="49"/>
      <c r="U1757" s="2365"/>
      <c r="V1757" s="3094"/>
    </row>
    <row r="1758" spans="1:23" ht="78.75">
      <c r="A1758" s="1941" t="s">
        <v>1280</v>
      </c>
      <c r="B1758" s="1300">
        <v>45614</v>
      </c>
      <c r="C1758" s="2925">
        <v>47</v>
      </c>
      <c r="D1758" s="1300" t="s">
        <v>1527</v>
      </c>
      <c r="E1758" s="1300" t="s">
        <v>5715</v>
      </c>
      <c r="H1758" s="68">
        <v>701</v>
      </c>
      <c r="I1758" s="68" t="s">
        <v>5716</v>
      </c>
      <c r="J1758" s="49"/>
      <c r="K1758" s="664"/>
      <c r="L1758" s="2949"/>
      <c r="M1758" s="2151" t="s">
        <v>30</v>
      </c>
      <c r="N1758" s="21" t="s">
        <v>71</v>
      </c>
      <c r="O1758" s="21" t="s">
        <v>371</v>
      </c>
      <c r="P1758" s="21" t="s">
        <v>4339</v>
      </c>
      <c r="Q1758" s="213"/>
      <c r="R1758" s="49"/>
      <c r="S1758" s="49"/>
      <c r="T1758" s="49"/>
      <c r="U1758" s="1981" t="s">
        <v>5717</v>
      </c>
      <c r="V1758" s="3095"/>
    </row>
    <row r="1759" spans="1:23" ht="33.75">
      <c r="A1759" s="1941" t="s">
        <v>1280</v>
      </c>
      <c r="B1759" s="1300">
        <v>45614</v>
      </c>
      <c r="C1759" s="2925">
        <v>47</v>
      </c>
      <c r="D1759" s="2354" t="s">
        <v>1527</v>
      </c>
      <c r="E1759" s="2354" t="s">
        <v>140</v>
      </c>
      <c r="H1759" s="68">
        <v>701</v>
      </c>
      <c r="I1759" s="68" t="s">
        <v>1627</v>
      </c>
      <c r="J1759" s="49"/>
      <c r="K1759" s="664"/>
      <c r="L1759" s="2949" t="s">
        <v>37</v>
      </c>
      <c r="M1759" s="2151"/>
      <c r="N1759" s="49"/>
      <c r="O1759" s="49"/>
      <c r="P1759" s="49"/>
      <c r="Q1759" s="213"/>
      <c r="R1759" s="49"/>
      <c r="S1759" s="49"/>
      <c r="T1759" s="49"/>
      <c r="U1759" s="2365"/>
      <c r="V1759" s="3094"/>
    </row>
    <row r="1760" spans="1:23" ht="33.75">
      <c r="A1760" s="1941" t="s">
        <v>1280</v>
      </c>
      <c r="B1760" s="2151">
        <v>45614</v>
      </c>
      <c r="C1760" s="505">
        <v>47</v>
      </c>
      <c r="D1760" s="2926" t="s">
        <v>80</v>
      </c>
      <c r="E1760" s="2354" t="s">
        <v>61</v>
      </c>
      <c r="H1760" s="68">
        <v>701</v>
      </c>
      <c r="I1760" s="68" t="s">
        <v>1627</v>
      </c>
      <c r="J1760" s="49"/>
      <c r="K1760" s="664"/>
      <c r="L1760" s="2949" t="s">
        <v>37</v>
      </c>
      <c r="M1760" s="2151"/>
      <c r="N1760" s="49"/>
      <c r="O1760" s="49"/>
      <c r="P1760" s="49"/>
      <c r="Q1760" s="213"/>
      <c r="R1760" s="49"/>
      <c r="S1760" s="49"/>
      <c r="T1760" s="49"/>
      <c r="U1760" s="2365"/>
      <c r="V1760" s="3094"/>
    </row>
    <row r="1761" spans="1:23" ht="33.75">
      <c r="A1761" s="1941" t="s">
        <v>1280</v>
      </c>
      <c r="B1761" s="2151">
        <v>45614</v>
      </c>
      <c r="C1761" s="505">
        <v>47</v>
      </c>
      <c r="D1761" s="2927" t="s">
        <v>169</v>
      </c>
      <c r="E1761" s="1300" t="s">
        <v>1571</v>
      </c>
      <c r="H1761" s="68">
        <v>706</v>
      </c>
      <c r="I1761" s="2948" t="s">
        <v>5718</v>
      </c>
      <c r="J1761" s="49"/>
      <c r="K1761" s="664"/>
      <c r="L1761" s="2949" t="s">
        <v>37</v>
      </c>
      <c r="M1761" s="2151"/>
      <c r="N1761" s="49"/>
      <c r="O1761" s="49"/>
      <c r="P1761" s="49"/>
      <c r="Q1761" s="213"/>
      <c r="R1761" s="49"/>
      <c r="S1761" s="49"/>
      <c r="T1761" s="49"/>
      <c r="U1761" s="2365"/>
      <c r="V1761" s="3094"/>
    </row>
    <row r="1762" spans="1:23" ht="52.5">
      <c r="A1762" s="1941" t="s">
        <v>1280</v>
      </c>
      <c r="B1762" s="2151">
        <v>45614</v>
      </c>
      <c r="C1762" s="505">
        <v>47</v>
      </c>
      <c r="D1762" s="2927" t="s">
        <v>530</v>
      </c>
      <c r="E1762" s="1300" t="s">
        <v>1905</v>
      </c>
      <c r="H1762" s="68">
        <v>705</v>
      </c>
      <c r="I1762" s="68" t="s">
        <v>5719</v>
      </c>
      <c r="J1762" s="49"/>
      <c r="K1762" s="135"/>
      <c r="L1762" s="1300"/>
      <c r="M1762" s="2969" t="s">
        <v>37</v>
      </c>
      <c r="N1762" s="21" t="s">
        <v>231</v>
      </c>
      <c r="O1762" s="21" t="s">
        <v>1048</v>
      </c>
      <c r="P1762" s="21" t="s">
        <v>4080</v>
      </c>
      <c r="Q1762" s="213"/>
      <c r="R1762" s="49"/>
      <c r="S1762" s="49"/>
      <c r="T1762" s="49"/>
      <c r="U1762" s="2994" t="s">
        <v>5720</v>
      </c>
      <c r="V1762" s="3096"/>
    </row>
    <row r="1763" spans="1:23" ht="52.5">
      <c r="A1763" s="1941" t="s">
        <v>1280</v>
      </c>
      <c r="B1763" s="2151">
        <v>45614</v>
      </c>
      <c r="C1763" s="505">
        <v>47</v>
      </c>
      <c r="D1763" s="2927" t="s">
        <v>3291</v>
      </c>
      <c r="E1763" s="1300" t="s">
        <v>1145</v>
      </c>
      <c r="H1763" s="68">
        <v>705</v>
      </c>
      <c r="I1763" s="68">
        <v>1776</v>
      </c>
      <c r="J1763" s="49"/>
      <c r="K1763" s="135"/>
      <c r="L1763" s="1300"/>
      <c r="M1763" s="2969" t="s">
        <v>37</v>
      </c>
      <c r="N1763" s="76" t="s">
        <v>109</v>
      </c>
      <c r="O1763" s="1909" t="s">
        <v>5721</v>
      </c>
      <c r="P1763" s="76">
        <v>705</v>
      </c>
      <c r="Q1763" s="213"/>
      <c r="R1763" s="1986">
        <v>1</v>
      </c>
      <c r="S1763" s="49"/>
      <c r="T1763" s="49"/>
      <c r="U1763" s="1343" t="s">
        <v>5722</v>
      </c>
      <c r="V1763" s="2311"/>
    </row>
    <row r="1764" spans="1:23" ht="33.75">
      <c r="A1764" s="1941" t="s">
        <v>1280</v>
      </c>
      <c r="B1764" s="2151">
        <v>45614</v>
      </c>
      <c r="C1764" s="505">
        <v>47</v>
      </c>
      <c r="D1764" s="2928" t="s">
        <v>1073</v>
      </c>
      <c r="E1764" s="2398" t="s">
        <v>5723</v>
      </c>
      <c r="H1764" s="68">
        <v>702</v>
      </c>
      <c r="I1764" s="68" t="s">
        <v>5724</v>
      </c>
      <c r="J1764" s="49"/>
      <c r="K1764" s="135"/>
      <c r="L1764" s="2949" t="s">
        <v>37</v>
      </c>
      <c r="M1764" s="2151"/>
      <c r="N1764" s="49"/>
      <c r="O1764" s="49"/>
      <c r="P1764" s="49"/>
      <c r="Q1764" s="213"/>
      <c r="R1764" s="49"/>
      <c r="S1764" s="49"/>
      <c r="T1764" s="49"/>
      <c r="U1764" s="2365"/>
      <c r="V1764" s="3094"/>
    </row>
    <row r="1765" spans="1:23" ht="34.5" thickBot="1">
      <c r="A1765" s="1938" t="s">
        <v>1280</v>
      </c>
      <c r="B1765" s="2708">
        <v>45614</v>
      </c>
      <c r="C1765" s="481">
        <v>47</v>
      </c>
      <c r="D1765" s="2929" t="s">
        <v>5725</v>
      </c>
      <c r="E1765" s="2914" t="s">
        <v>1073</v>
      </c>
      <c r="H1765" s="108">
        <v>702</v>
      </c>
      <c r="I1765" s="108" t="s">
        <v>5724</v>
      </c>
      <c r="J1765" s="57"/>
      <c r="K1765" s="2978"/>
      <c r="L1765" s="2969" t="s">
        <v>37</v>
      </c>
      <c r="M1765" s="2708"/>
      <c r="N1765" s="57"/>
      <c r="O1765" s="57"/>
      <c r="P1765" s="57"/>
      <c r="Q1765" s="218"/>
      <c r="R1765" s="57"/>
      <c r="S1765" s="218"/>
      <c r="T1765" s="57"/>
      <c r="U1765" s="2995"/>
      <c r="V1765" s="3097"/>
    </row>
    <row r="1766" spans="1:23" ht="183.75">
      <c r="A1766" s="162" t="s">
        <v>4300</v>
      </c>
      <c r="B1766" s="2311">
        <v>45615</v>
      </c>
      <c r="C1766" s="2944">
        <v>47</v>
      </c>
      <c r="D1766" s="2930" t="s">
        <v>156</v>
      </c>
      <c r="E1766" s="2915" t="s">
        <v>1457</v>
      </c>
      <c r="H1766" s="60">
        <v>701</v>
      </c>
      <c r="I1766" s="60" t="s">
        <v>5714</v>
      </c>
      <c r="J1766" s="55"/>
      <c r="K1766" s="2979"/>
      <c r="L1766" s="1936"/>
      <c r="M1766" s="2311" t="s">
        <v>30</v>
      </c>
      <c r="N1766" s="21" t="s">
        <v>109</v>
      </c>
      <c r="O1766" s="21" t="s">
        <v>1268</v>
      </c>
      <c r="P1766" s="21" t="s">
        <v>4339</v>
      </c>
      <c r="Q1766" s="2973" t="s">
        <v>37</v>
      </c>
      <c r="R1766" s="2974">
        <v>2</v>
      </c>
      <c r="S1766" s="55"/>
      <c r="T1766" s="55"/>
      <c r="U1766" s="2975" t="s">
        <v>5726</v>
      </c>
      <c r="V1766" s="1933"/>
    </row>
    <row r="1767" spans="1:23" ht="30">
      <c r="A1767" s="118" t="s">
        <v>4300</v>
      </c>
      <c r="B1767" s="2833">
        <v>45615</v>
      </c>
      <c r="C1767" s="505">
        <v>47</v>
      </c>
      <c r="D1767" s="2931" t="s">
        <v>1071</v>
      </c>
      <c r="E1767" s="2916" t="s">
        <v>728</v>
      </c>
      <c r="H1767" s="30">
        <v>701</v>
      </c>
      <c r="I1767" s="30" t="s">
        <v>585</v>
      </c>
      <c r="J1767" s="51"/>
      <c r="K1767" s="2980"/>
      <c r="L1767" s="1390" t="s">
        <v>30</v>
      </c>
      <c r="M1767" s="2833"/>
      <c r="N1767" s="49"/>
      <c r="O1767" s="49"/>
      <c r="P1767" s="49"/>
      <c r="Q1767" s="214"/>
      <c r="R1767" s="51"/>
      <c r="S1767" s="51"/>
      <c r="T1767" s="51"/>
      <c r="U1767" s="2996"/>
      <c r="V1767" s="2996"/>
      <c r="W1767" s="2838" t="s">
        <v>5727</v>
      </c>
    </row>
    <row r="1768" spans="1:23">
      <c r="A1768" s="118" t="s">
        <v>4300</v>
      </c>
      <c r="B1768" s="2833">
        <v>45615</v>
      </c>
      <c r="C1768" s="505">
        <v>47</v>
      </c>
      <c r="D1768" s="2931" t="s">
        <v>79</v>
      </c>
      <c r="E1768" s="2916" t="s">
        <v>220</v>
      </c>
      <c r="H1768" s="30">
        <v>701</v>
      </c>
      <c r="I1768" s="30" t="s">
        <v>585</v>
      </c>
      <c r="J1768" s="51"/>
      <c r="K1768" s="2980"/>
      <c r="L1768" s="1390" t="s">
        <v>37</v>
      </c>
      <c r="M1768" s="2833"/>
      <c r="N1768" s="49"/>
      <c r="O1768" s="49"/>
      <c r="P1768" s="49"/>
      <c r="Q1768" s="214"/>
      <c r="R1768" s="51"/>
      <c r="S1768" s="51"/>
      <c r="T1768" s="51"/>
      <c r="U1768" s="2996"/>
      <c r="V1768" s="2996"/>
    </row>
    <row r="1769" spans="1:23" ht="52.5">
      <c r="A1769" s="1941" t="s">
        <v>4300</v>
      </c>
      <c r="B1769" s="2151">
        <v>45615</v>
      </c>
      <c r="C1769" s="505">
        <v>47</v>
      </c>
      <c r="D1769" s="2932" t="s">
        <v>1307</v>
      </c>
      <c r="E1769" s="1369" t="s">
        <v>5728</v>
      </c>
      <c r="H1769" s="68">
        <v>706</v>
      </c>
      <c r="I1769" s="68" t="s">
        <v>5729</v>
      </c>
      <c r="J1769" s="49"/>
      <c r="K1769" s="2989" t="s">
        <v>2146</v>
      </c>
      <c r="L1769" s="1300"/>
      <c r="M1769" s="2151" t="s">
        <v>37</v>
      </c>
      <c r="N1769" s="21" t="s">
        <v>122</v>
      </c>
      <c r="O1769" s="21" t="s">
        <v>110</v>
      </c>
      <c r="P1769" s="21" t="s">
        <v>4102</v>
      </c>
      <c r="Q1769" s="213"/>
      <c r="R1769" s="2212">
        <v>4</v>
      </c>
      <c r="S1769" s="49"/>
      <c r="T1769" s="49"/>
      <c r="U1769" s="2955" t="s">
        <v>5730</v>
      </c>
      <c r="V1769" s="3098"/>
    </row>
    <row r="1770" spans="1:23">
      <c r="A1770" s="1941" t="s">
        <v>4300</v>
      </c>
      <c r="B1770" s="2151">
        <v>45615</v>
      </c>
      <c r="C1770" s="505">
        <v>47</v>
      </c>
      <c r="D1770" s="2927" t="s">
        <v>3291</v>
      </c>
      <c r="E1770" s="1300" t="s">
        <v>1145</v>
      </c>
      <c r="H1770" s="68">
        <v>705</v>
      </c>
      <c r="I1770" s="68">
        <v>1776</v>
      </c>
      <c r="J1770" s="49"/>
      <c r="K1770" s="135"/>
      <c r="L1770" s="1300" t="s">
        <v>37</v>
      </c>
      <c r="M1770" s="2151"/>
      <c r="N1770" s="2971"/>
      <c r="O1770" s="2971"/>
      <c r="P1770" s="2971"/>
      <c r="Q1770" s="2966"/>
      <c r="R1770" s="1986">
        <v>1</v>
      </c>
      <c r="S1770" s="1745"/>
      <c r="T1770" s="1745"/>
      <c r="U1770" s="2956"/>
      <c r="V1770" s="3099"/>
    </row>
    <row r="1771" spans="1:23" ht="52.5">
      <c r="A1771" s="1941" t="s">
        <v>4300</v>
      </c>
      <c r="B1771" s="2151">
        <v>45615</v>
      </c>
      <c r="C1771" s="505">
        <v>47</v>
      </c>
      <c r="D1771" s="2932" t="s">
        <v>5731</v>
      </c>
      <c r="E1771" s="1369" t="s">
        <v>5732</v>
      </c>
      <c r="H1771" s="2845">
        <v>706</v>
      </c>
      <c r="I1771" s="68" t="s">
        <v>5733</v>
      </c>
      <c r="J1771" s="49"/>
      <c r="K1771" s="2989" t="s">
        <v>2146</v>
      </c>
      <c r="L1771" s="1300"/>
      <c r="M1771" s="2151" t="s">
        <v>37</v>
      </c>
      <c r="N1771" s="21" t="s">
        <v>122</v>
      </c>
      <c r="O1771" s="21" t="s">
        <v>110</v>
      </c>
      <c r="P1771" s="21" t="s">
        <v>4102</v>
      </c>
      <c r="Q1771" s="213"/>
      <c r="R1771" s="49"/>
      <c r="S1771" s="49"/>
      <c r="T1771" s="49"/>
      <c r="U1771" s="1343" t="s">
        <v>5734</v>
      </c>
      <c r="V1771" s="2311"/>
    </row>
    <row r="1772" spans="1:23" ht="53.25" thickBot="1">
      <c r="A1772" s="2140" t="s">
        <v>4300</v>
      </c>
      <c r="B1772" s="2589">
        <v>45615</v>
      </c>
      <c r="C1772" s="481">
        <v>47</v>
      </c>
      <c r="D1772" s="2917" t="s">
        <v>1369</v>
      </c>
      <c r="E1772" s="2918" t="s">
        <v>5735</v>
      </c>
      <c r="H1772" s="166">
        <v>706</v>
      </c>
      <c r="I1772" s="166" t="s">
        <v>5733</v>
      </c>
      <c r="J1772" s="181"/>
      <c r="K1772" s="2981"/>
      <c r="L1772" s="2589"/>
      <c r="M1772" s="2708" t="s">
        <v>37</v>
      </c>
      <c r="N1772" s="35" t="s">
        <v>122</v>
      </c>
      <c r="O1772" s="35" t="s">
        <v>110</v>
      </c>
      <c r="P1772" s="35" t="s">
        <v>4102</v>
      </c>
      <c r="Q1772" s="218"/>
      <c r="R1772" s="2967"/>
      <c r="S1772" s="181"/>
      <c r="T1772" s="181"/>
      <c r="U1772" s="2957" t="s">
        <v>5734</v>
      </c>
      <c r="V1772" s="2970"/>
    </row>
    <row r="1773" spans="1:23">
      <c r="A1773" s="118" t="s">
        <v>1314</v>
      </c>
      <c r="B1773" s="2833">
        <v>45616</v>
      </c>
      <c r="C1773" s="2944">
        <v>47</v>
      </c>
      <c r="D1773" s="2933" t="s">
        <v>169</v>
      </c>
      <c r="E1773" s="2919" t="s">
        <v>5736</v>
      </c>
      <c r="H1773" s="191">
        <v>701</v>
      </c>
      <c r="I1773" s="191" t="s">
        <v>585</v>
      </c>
      <c r="J1773" s="192"/>
      <c r="K1773" s="2982" t="s">
        <v>1199</v>
      </c>
      <c r="L1773" s="2068" t="s">
        <v>37</v>
      </c>
      <c r="M1773" s="2970"/>
      <c r="N1773" s="111"/>
      <c r="O1773" s="111"/>
      <c r="P1773" s="111"/>
      <c r="Q1773" s="2968"/>
      <c r="R1773" s="192"/>
      <c r="S1773" s="192"/>
      <c r="T1773" s="292"/>
      <c r="U1773" s="2997"/>
      <c r="V1773" s="1967"/>
    </row>
    <row r="1774" spans="1:23" ht="52.5">
      <c r="A1774" s="76" t="s">
        <v>1314</v>
      </c>
      <c r="B1774" s="2151">
        <v>45616</v>
      </c>
      <c r="C1774" s="505">
        <v>47</v>
      </c>
      <c r="D1774" s="2932" t="s">
        <v>1714</v>
      </c>
      <c r="E1774" s="1369" t="s">
        <v>5737</v>
      </c>
      <c r="H1774" s="68">
        <v>701</v>
      </c>
      <c r="I1774" s="68" t="s">
        <v>5733</v>
      </c>
      <c r="J1774" s="49"/>
      <c r="K1774" s="2982"/>
      <c r="L1774" s="1300"/>
      <c r="M1774" s="2151" t="s">
        <v>37</v>
      </c>
      <c r="N1774" s="21" t="s">
        <v>122</v>
      </c>
      <c r="O1774" s="21" t="s">
        <v>110</v>
      </c>
      <c r="P1774" s="21" t="s">
        <v>4102</v>
      </c>
      <c r="Q1774" s="213"/>
      <c r="R1774" s="49"/>
      <c r="S1774" s="49"/>
      <c r="T1774" s="49"/>
      <c r="U1774" s="1343" t="s">
        <v>5738</v>
      </c>
      <c r="V1774" s="2311"/>
    </row>
    <row r="1775" spans="1:23">
      <c r="A1775" s="76" t="s">
        <v>1314</v>
      </c>
      <c r="B1775" s="2151">
        <v>45616</v>
      </c>
      <c r="C1775" s="505">
        <v>47</v>
      </c>
      <c r="D1775" s="2934" t="s">
        <v>77</v>
      </c>
      <c r="E1775" s="2913" t="s">
        <v>1457</v>
      </c>
      <c r="H1775" s="68">
        <v>701</v>
      </c>
      <c r="I1775" s="68" t="s">
        <v>5714</v>
      </c>
      <c r="J1775" s="49"/>
      <c r="K1775" s="2982" t="s">
        <v>1199</v>
      </c>
      <c r="L1775" s="1300" t="s">
        <v>30</v>
      </c>
      <c r="M1775" s="2151"/>
      <c r="N1775" s="49"/>
      <c r="O1775" s="49"/>
      <c r="P1775" s="49"/>
      <c r="Q1775" s="213"/>
      <c r="R1775" s="2952">
        <v>2</v>
      </c>
      <c r="S1775" s="49"/>
      <c r="T1775" s="49"/>
      <c r="U1775" s="79"/>
      <c r="V1775" s="79"/>
    </row>
    <row r="1776" spans="1:23" ht="28.5">
      <c r="A1776" s="162" t="s">
        <v>1314</v>
      </c>
      <c r="B1776" s="2311">
        <v>45616</v>
      </c>
      <c r="C1776" s="505">
        <v>47</v>
      </c>
      <c r="D1776" s="2935" t="s">
        <v>436</v>
      </c>
      <c r="E1776" s="1301" t="s">
        <v>148</v>
      </c>
      <c r="H1776" s="107">
        <v>704</v>
      </c>
      <c r="I1776" s="107" t="s">
        <v>5739</v>
      </c>
      <c r="J1776" s="111"/>
      <c r="K1776" s="2982" t="s">
        <v>1199</v>
      </c>
      <c r="L1776" s="1301" t="s">
        <v>30</v>
      </c>
      <c r="M1776" s="2311"/>
      <c r="N1776" s="49"/>
      <c r="O1776" s="49"/>
      <c r="P1776" s="49"/>
      <c r="Q1776" s="213"/>
      <c r="R1776" s="1991"/>
      <c r="S1776" s="2958"/>
      <c r="T1776" s="111"/>
      <c r="U1776" s="1343"/>
      <c r="V1776" s="2311"/>
    </row>
    <row r="1777" spans="1:23" ht="28.5">
      <c r="A1777" s="76" t="s">
        <v>1314</v>
      </c>
      <c r="B1777" s="2151">
        <v>45616</v>
      </c>
      <c r="C1777" s="505">
        <v>47</v>
      </c>
      <c r="D1777" s="2927" t="s">
        <v>258</v>
      </c>
      <c r="E1777" s="1300" t="s">
        <v>1740</v>
      </c>
      <c r="H1777" s="68">
        <v>704</v>
      </c>
      <c r="I1777" s="68" t="s">
        <v>5740</v>
      </c>
      <c r="J1777" s="49"/>
      <c r="K1777" s="2982" t="s">
        <v>1199</v>
      </c>
      <c r="L1777" s="1300" t="s">
        <v>30</v>
      </c>
      <c r="M1777" s="2151"/>
      <c r="N1777" s="49"/>
      <c r="O1777" s="49"/>
      <c r="P1777" s="49"/>
      <c r="R1777" s="2951"/>
      <c r="S1777" s="2959" t="s">
        <v>37</v>
      </c>
      <c r="T1777" s="49"/>
      <c r="U1777" s="1343"/>
      <c r="V1777" s="2311"/>
      <c r="W1777" s="2838" t="s">
        <v>5741</v>
      </c>
    </row>
    <row r="1778" spans="1:23">
      <c r="A1778" s="162" t="s">
        <v>1314</v>
      </c>
      <c r="B1778" s="2311">
        <v>45616</v>
      </c>
      <c r="C1778" s="505">
        <v>47</v>
      </c>
      <c r="D1778" s="2932" t="s">
        <v>204</v>
      </c>
      <c r="E1778" s="1369" t="s">
        <v>5742</v>
      </c>
      <c r="H1778" s="68">
        <v>706</v>
      </c>
      <c r="I1778" s="68" t="s">
        <v>5729</v>
      </c>
      <c r="J1778" s="49"/>
      <c r="K1778" s="2989" t="s">
        <v>1119</v>
      </c>
      <c r="L1778" s="1300" t="s">
        <v>37</v>
      </c>
      <c r="M1778" s="2151"/>
      <c r="N1778" s="49"/>
      <c r="O1778" s="49"/>
      <c r="P1778" s="49"/>
      <c r="Q1778" s="213"/>
      <c r="R1778" s="2212">
        <v>4</v>
      </c>
      <c r="S1778" s="49"/>
      <c r="T1778" s="49"/>
      <c r="U1778" s="2955"/>
      <c r="V1778" s="3098"/>
    </row>
    <row r="1779" spans="1:23">
      <c r="A1779" s="76" t="s">
        <v>1314</v>
      </c>
      <c r="B1779" s="2151">
        <v>45616</v>
      </c>
      <c r="C1779" s="505">
        <v>47</v>
      </c>
      <c r="D1779" s="2932" t="s">
        <v>89</v>
      </c>
      <c r="E1779" s="1369" t="s">
        <v>5743</v>
      </c>
      <c r="H1779" s="68">
        <v>706</v>
      </c>
      <c r="I1779" s="68" t="s">
        <v>5729</v>
      </c>
      <c r="J1779" s="49"/>
      <c r="K1779" s="2989" t="s">
        <v>1119</v>
      </c>
      <c r="L1779" s="1300" t="s">
        <v>37</v>
      </c>
      <c r="M1779" s="2151"/>
      <c r="N1779" s="49"/>
      <c r="O1779" s="49"/>
      <c r="P1779" s="49"/>
      <c r="Q1779" s="213"/>
      <c r="R1779" s="2212">
        <v>4</v>
      </c>
      <c r="S1779" s="49"/>
      <c r="T1779" s="49"/>
      <c r="U1779" s="2955"/>
      <c r="V1779" s="3098"/>
    </row>
    <row r="1780" spans="1:23">
      <c r="A1780" s="76" t="s">
        <v>1314</v>
      </c>
      <c r="B1780" s="2151">
        <v>45616</v>
      </c>
      <c r="C1780" s="505">
        <v>47</v>
      </c>
      <c r="D1780" s="2936" t="s">
        <v>5744</v>
      </c>
      <c r="E1780" s="1355" t="s">
        <v>2035</v>
      </c>
      <c r="H1780" s="68">
        <v>706</v>
      </c>
      <c r="I1780" s="68" t="s">
        <v>5745</v>
      </c>
      <c r="J1780" s="49"/>
      <c r="K1780" s="110" t="s">
        <v>84</v>
      </c>
      <c r="L1780" s="1300" t="s">
        <v>37</v>
      </c>
      <c r="M1780" s="2151"/>
      <c r="N1780" s="49"/>
      <c r="O1780" s="49"/>
      <c r="P1780" s="49"/>
      <c r="Q1780" s="213"/>
      <c r="R1780" s="49"/>
      <c r="S1780" s="49"/>
      <c r="T1780" s="49"/>
      <c r="U1780" s="79"/>
      <c r="V1780" s="79"/>
    </row>
    <row r="1781" spans="1:23" ht="28.5">
      <c r="A1781" s="76" t="s">
        <v>1314</v>
      </c>
      <c r="B1781" s="2151">
        <v>45616</v>
      </c>
      <c r="C1781" s="505">
        <v>47</v>
      </c>
      <c r="D1781" s="2927" t="s">
        <v>169</v>
      </c>
      <c r="E1781" s="1300" t="s">
        <v>5746</v>
      </c>
      <c r="H1781" s="68">
        <v>701</v>
      </c>
      <c r="I1781" s="68" t="s">
        <v>1282</v>
      </c>
      <c r="J1781" s="49"/>
      <c r="K1781" s="2983" t="s">
        <v>1199</v>
      </c>
      <c r="L1781" s="1300" t="s">
        <v>30</v>
      </c>
      <c r="M1781" s="2151"/>
      <c r="N1781" s="49"/>
      <c r="O1781" s="49"/>
      <c r="P1781" s="49"/>
      <c r="Q1781" s="213"/>
      <c r="R1781" s="49"/>
      <c r="S1781" s="2959" t="s">
        <v>37</v>
      </c>
      <c r="T1781" s="49"/>
      <c r="U1781" s="1343" t="s">
        <v>5747</v>
      </c>
      <c r="V1781" s="2311"/>
    </row>
    <row r="1782" spans="1:23" ht="53.25" thickBot="1">
      <c r="A1782" s="2144" t="s">
        <v>1314</v>
      </c>
      <c r="B1782" s="2589">
        <v>45616</v>
      </c>
      <c r="C1782" s="481">
        <v>47</v>
      </c>
      <c r="D1782" s="2937" t="s">
        <v>1073</v>
      </c>
      <c r="E1782" s="2920" t="s">
        <v>5748</v>
      </c>
      <c r="H1782" s="166">
        <v>701</v>
      </c>
      <c r="I1782" s="166" t="s">
        <v>269</v>
      </c>
      <c r="J1782" s="294"/>
      <c r="K1782" s="2984" t="s">
        <v>1199</v>
      </c>
      <c r="L1782" s="2527"/>
      <c r="M1782" s="2708" t="s">
        <v>30</v>
      </c>
      <c r="N1782" s="35" t="s">
        <v>0</v>
      </c>
      <c r="O1782" s="35" t="s">
        <v>31</v>
      </c>
      <c r="P1782" s="35" t="s">
        <v>4080</v>
      </c>
      <c r="Q1782" s="218"/>
      <c r="R1782" s="2972">
        <v>5</v>
      </c>
      <c r="S1782" s="2967"/>
      <c r="T1782" s="181"/>
      <c r="U1782" s="1330" t="s">
        <v>5749</v>
      </c>
      <c r="V1782" s="2833"/>
    </row>
    <row r="1783" spans="1:23" ht="27" thickBot="1">
      <c r="A1783" s="162" t="s">
        <v>1437</v>
      </c>
      <c r="B1783" s="2311">
        <v>45617</v>
      </c>
      <c r="C1783" s="2944">
        <v>47</v>
      </c>
      <c r="D1783" s="2938" t="s">
        <v>1073</v>
      </c>
      <c r="E1783" s="2777" t="s">
        <v>5748</v>
      </c>
      <c r="H1783" s="107">
        <v>701</v>
      </c>
      <c r="I1783" s="107" t="s">
        <v>269</v>
      </c>
      <c r="J1783" s="111"/>
      <c r="K1783" s="110" t="s">
        <v>1119</v>
      </c>
      <c r="L1783" s="1301" t="s">
        <v>30</v>
      </c>
      <c r="M1783" s="2311"/>
      <c r="N1783" s="111"/>
      <c r="O1783" s="111"/>
      <c r="P1783" s="111"/>
      <c r="Q1783" s="224"/>
      <c r="R1783" s="2953">
        <v>5</v>
      </c>
      <c r="S1783" s="111"/>
      <c r="T1783" s="111"/>
      <c r="U1783" s="1343"/>
      <c r="V1783" s="2311"/>
    </row>
    <row r="1784" spans="1:23" ht="78.75">
      <c r="A1784" s="162" t="s">
        <v>1437</v>
      </c>
      <c r="B1784" s="2151">
        <v>45617</v>
      </c>
      <c r="C1784" s="505">
        <v>47</v>
      </c>
      <c r="D1784" s="2939" t="s">
        <v>4520</v>
      </c>
      <c r="E1784" s="1302" t="s">
        <v>879</v>
      </c>
      <c r="H1784" s="107">
        <v>704</v>
      </c>
      <c r="I1784" s="107" t="s">
        <v>5750</v>
      </c>
      <c r="J1784" s="111"/>
      <c r="K1784" s="2985"/>
      <c r="L1784" s="1301"/>
      <c r="M1784" s="2311" t="s">
        <v>30</v>
      </c>
      <c r="N1784" s="21" t="s">
        <v>71</v>
      </c>
      <c r="O1784" s="21" t="s">
        <v>720</v>
      </c>
      <c r="P1784" s="21" t="s">
        <v>4128</v>
      </c>
      <c r="Q1784" s="224"/>
      <c r="R1784" s="2954"/>
      <c r="S1784" s="1891" t="s">
        <v>37</v>
      </c>
      <c r="T1784" s="111"/>
      <c r="U1784" s="2311" t="s">
        <v>5751</v>
      </c>
      <c r="V1784" s="2311"/>
    </row>
    <row r="1785" spans="1:23">
      <c r="A1785" s="76" t="s">
        <v>4144</v>
      </c>
      <c r="B1785" s="2151">
        <v>45617</v>
      </c>
      <c r="C1785" s="505">
        <v>47</v>
      </c>
      <c r="D1785" s="2941" t="s">
        <v>80</v>
      </c>
      <c r="E1785" s="2921" t="s">
        <v>263</v>
      </c>
      <c r="H1785" s="2845">
        <v>702</v>
      </c>
      <c r="I1785" s="68" t="s">
        <v>1627</v>
      </c>
      <c r="J1785" s="49"/>
      <c r="K1785" s="664"/>
      <c r="L1785" s="1300" t="s">
        <v>30</v>
      </c>
      <c r="M1785" s="2151"/>
      <c r="N1785" s="49"/>
      <c r="O1785" s="49"/>
      <c r="P1785" s="49"/>
      <c r="Q1785" s="213"/>
      <c r="R1785" s="49"/>
      <c r="S1785" s="49"/>
      <c r="T1785" s="49"/>
      <c r="U1785" s="79"/>
      <c r="V1785" s="79"/>
    </row>
    <row r="1786" spans="1:23" ht="53.25" thickBot="1">
      <c r="A1786" s="710" t="s">
        <v>4144</v>
      </c>
      <c r="B1786" s="2708">
        <v>45617</v>
      </c>
      <c r="C1786" s="481">
        <v>47</v>
      </c>
      <c r="D1786" s="2941" t="s">
        <v>148</v>
      </c>
      <c r="E1786" s="2472" t="s">
        <v>5667</v>
      </c>
      <c r="H1786" s="68">
        <v>702</v>
      </c>
      <c r="I1786" s="68" t="s">
        <v>1627</v>
      </c>
      <c r="J1786" s="49"/>
      <c r="K1786" s="664"/>
      <c r="L1786" s="1300" t="s">
        <v>37</v>
      </c>
      <c r="M1786" s="2151"/>
      <c r="N1786" s="49"/>
      <c r="O1786" s="49"/>
      <c r="P1786" s="49"/>
      <c r="Q1786" s="213"/>
      <c r="R1786" s="49"/>
      <c r="S1786" s="49"/>
      <c r="T1786" s="49"/>
      <c r="U1786" s="1909" t="s">
        <v>5752</v>
      </c>
      <c r="V1786" s="1909"/>
    </row>
    <row r="1787" spans="1:23">
      <c r="A1787" s="76" t="s">
        <v>4144</v>
      </c>
      <c r="B1787" s="2151">
        <v>45617</v>
      </c>
      <c r="C1787" s="2944">
        <v>47</v>
      </c>
      <c r="D1787" s="2927" t="s">
        <v>1238</v>
      </c>
      <c r="E1787" s="2151" t="s">
        <v>1486</v>
      </c>
      <c r="H1787" s="2845">
        <v>707</v>
      </c>
      <c r="I1787" s="68" t="s">
        <v>2999</v>
      </c>
      <c r="J1787" s="49"/>
      <c r="K1787" s="664"/>
      <c r="L1787" s="1390" t="s">
        <v>30</v>
      </c>
      <c r="M1787" s="2833"/>
      <c r="N1787" s="49"/>
      <c r="O1787" s="49"/>
      <c r="P1787" s="49"/>
      <c r="Q1787" s="214"/>
      <c r="R1787" s="51"/>
      <c r="S1787" s="51"/>
      <c r="T1787" s="51"/>
      <c r="U1787" s="79"/>
      <c r="V1787" s="79"/>
    </row>
    <row r="1788" spans="1:23" ht="28.5">
      <c r="A1788" s="76" t="s">
        <v>4144</v>
      </c>
      <c r="B1788" s="2151">
        <v>45617</v>
      </c>
      <c r="C1788" s="505">
        <v>47</v>
      </c>
      <c r="D1788" s="2927" t="s">
        <v>5664</v>
      </c>
      <c r="E1788" s="1300" t="s">
        <v>5753</v>
      </c>
      <c r="H1788" s="68">
        <v>706</v>
      </c>
      <c r="I1788" s="68" t="s">
        <v>99</v>
      </c>
      <c r="J1788" s="277"/>
      <c r="K1788" s="2986"/>
      <c r="L1788" s="1300" t="s">
        <v>37</v>
      </c>
      <c r="M1788" s="2151"/>
      <c r="N1788" s="49"/>
      <c r="O1788" s="49"/>
      <c r="P1788" s="49"/>
      <c r="Q1788" s="213"/>
      <c r="R1788" s="49"/>
      <c r="S1788" s="2959" t="s">
        <v>37</v>
      </c>
      <c r="T1788" s="49"/>
      <c r="U1788" s="1328"/>
      <c r="V1788" s="2151"/>
    </row>
    <row r="1789" spans="1:23" ht="52.5">
      <c r="A1789" s="76" t="s">
        <v>4144</v>
      </c>
      <c r="B1789" s="2151">
        <v>45617</v>
      </c>
      <c r="C1789" s="505">
        <v>47</v>
      </c>
      <c r="D1789" s="2927" t="s">
        <v>5753</v>
      </c>
      <c r="E1789" s="1300" t="s">
        <v>5664</v>
      </c>
      <c r="H1789" s="68">
        <v>706</v>
      </c>
      <c r="I1789" s="68" t="s">
        <v>99</v>
      </c>
      <c r="J1789" s="277"/>
      <c r="K1789" s="2983"/>
      <c r="L1789" s="2950"/>
      <c r="M1789" s="2970" t="s">
        <v>30</v>
      </c>
      <c r="N1789" s="21" t="s">
        <v>71</v>
      </c>
      <c r="O1789" s="21" t="s">
        <v>138</v>
      </c>
      <c r="P1789" s="21" t="s">
        <v>4082</v>
      </c>
      <c r="Q1789" s="2968"/>
      <c r="R1789" s="190"/>
      <c r="S1789" s="2961" t="s">
        <v>37</v>
      </c>
      <c r="T1789" s="190"/>
      <c r="U1789" s="2957" t="s">
        <v>5754</v>
      </c>
      <c r="V1789" s="2970"/>
    </row>
    <row r="1790" spans="1:23" ht="27" thickBot="1">
      <c r="A1790" s="710" t="s">
        <v>4144</v>
      </c>
      <c r="B1790" s="2708">
        <v>45617</v>
      </c>
      <c r="C1790" s="481">
        <v>47</v>
      </c>
      <c r="D1790" s="2924" t="s">
        <v>5755</v>
      </c>
      <c r="E1790" s="2708" t="s">
        <v>282</v>
      </c>
      <c r="H1790" s="690">
        <v>701</v>
      </c>
      <c r="I1790" s="108" t="s">
        <v>94</v>
      </c>
      <c r="J1790" s="57"/>
      <c r="K1790" s="2987"/>
      <c r="L1790" s="2708"/>
      <c r="M1790" s="2708"/>
      <c r="N1790" s="57"/>
      <c r="O1790" s="57"/>
      <c r="P1790" s="57"/>
      <c r="Q1790" s="218"/>
      <c r="R1790" s="218"/>
      <c r="S1790" s="57"/>
      <c r="T1790" s="2962">
        <v>3</v>
      </c>
      <c r="U1790" s="481" t="s">
        <v>5756</v>
      </c>
      <c r="V1790" s="3100"/>
    </row>
    <row r="1791" spans="1:23">
      <c r="A1791" s="162" t="s">
        <v>1193</v>
      </c>
      <c r="B1791" s="2311">
        <v>45618</v>
      </c>
      <c r="C1791" s="2944">
        <v>47</v>
      </c>
      <c r="D1791" s="2942" t="s">
        <v>1116</v>
      </c>
      <c r="E1791" s="2922" t="s">
        <v>518</v>
      </c>
      <c r="H1791" s="107">
        <v>701</v>
      </c>
      <c r="I1791" s="107" t="s">
        <v>269</v>
      </c>
      <c r="J1791" s="111"/>
      <c r="K1791" s="110" t="s">
        <v>1119</v>
      </c>
      <c r="L1791" s="1301" t="s">
        <v>37</v>
      </c>
      <c r="M1791" s="2311"/>
      <c r="N1791" s="111"/>
      <c r="O1791" s="111"/>
      <c r="P1791" s="111"/>
      <c r="Q1791" s="224"/>
      <c r="R1791" s="111"/>
      <c r="S1791" s="111"/>
      <c r="T1791" s="111"/>
      <c r="U1791" s="1343"/>
      <c r="V1791" s="2311"/>
    </row>
    <row r="1792" spans="1:23">
      <c r="A1792" s="162" t="s">
        <v>1193</v>
      </c>
      <c r="B1792" s="2311">
        <v>45618</v>
      </c>
      <c r="C1792" s="505">
        <v>47</v>
      </c>
      <c r="D1792" s="2942" t="s">
        <v>148</v>
      </c>
      <c r="E1792" s="2922" t="s">
        <v>5757</v>
      </c>
      <c r="H1792" s="107">
        <v>701</v>
      </c>
      <c r="I1792" s="107" t="s">
        <v>269</v>
      </c>
      <c r="J1792" s="111"/>
      <c r="K1792" s="2985"/>
      <c r="L1792" s="1301" t="s">
        <v>30</v>
      </c>
      <c r="M1792" s="2311"/>
      <c r="N1792" s="49"/>
      <c r="O1792" s="49"/>
      <c r="P1792" s="49"/>
      <c r="Q1792" s="224"/>
      <c r="R1792" s="111"/>
      <c r="S1792" s="111"/>
      <c r="T1792" s="111"/>
      <c r="U1792" s="1343"/>
      <c r="V1792" s="2311"/>
    </row>
    <row r="1793" spans="1:23">
      <c r="A1793" s="76" t="s">
        <v>1193</v>
      </c>
      <c r="B1793" s="2151">
        <v>45618</v>
      </c>
      <c r="C1793" s="505">
        <v>47</v>
      </c>
      <c r="D1793" s="2943" t="s">
        <v>1571</v>
      </c>
      <c r="E1793" s="2923" t="s">
        <v>1145</v>
      </c>
      <c r="H1793" s="68">
        <v>706</v>
      </c>
      <c r="I1793" s="2948" t="s">
        <v>5758</v>
      </c>
      <c r="J1793" s="49"/>
      <c r="K1793" s="664"/>
      <c r="L1793" s="1300" t="s">
        <v>37</v>
      </c>
      <c r="M1793" s="2151"/>
      <c r="N1793" s="49"/>
      <c r="O1793" s="49"/>
      <c r="P1793" s="49"/>
      <c r="Q1793" s="213"/>
      <c r="R1793" s="49"/>
      <c r="S1793" s="49"/>
      <c r="T1793" s="49"/>
      <c r="U1793" s="505"/>
      <c r="V1793" s="505"/>
    </row>
    <row r="1794" spans="1:23" ht="166.5" customHeight="1">
      <c r="A1794" s="76" t="s">
        <v>1193</v>
      </c>
      <c r="B1794" s="2151">
        <v>45618</v>
      </c>
      <c r="C1794" s="505">
        <v>47</v>
      </c>
      <c r="D1794" s="2940" t="s">
        <v>1011</v>
      </c>
      <c r="E1794" s="2709" t="s">
        <v>5759</v>
      </c>
      <c r="H1794" s="68">
        <v>706</v>
      </c>
      <c r="I1794" s="68" t="s">
        <v>5745</v>
      </c>
      <c r="J1794" s="49"/>
      <c r="K1794" s="110" t="s">
        <v>84</v>
      </c>
      <c r="L1794" s="1300"/>
      <c r="M1794" s="2151" t="s">
        <v>37</v>
      </c>
      <c r="N1794" s="21" t="s">
        <v>71</v>
      </c>
      <c r="O1794" s="21" t="s">
        <v>371</v>
      </c>
      <c r="P1794" s="21" t="s">
        <v>4102</v>
      </c>
      <c r="Q1794" s="213"/>
      <c r="R1794" s="2990">
        <v>7</v>
      </c>
      <c r="S1794" s="49"/>
      <c r="T1794" s="2960">
        <v>6</v>
      </c>
      <c r="U1794" s="2998" t="s">
        <v>5760</v>
      </c>
      <c r="V1794" s="2998"/>
    </row>
    <row r="1795" spans="1:23" ht="52.5">
      <c r="A1795" s="118" t="s">
        <v>1193</v>
      </c>
      <c r="B1795" s="2833">
        <v>45618</v>
      </c>
      <c r="C1795" s="505">
        <v>47</v>
      </c>
      <c r="D1795" s="2943" t="s">
        <v>1140</v>
      </c>
      <c r="E1795" s="2923" t="s">
        <v>5761</v>
      </c>
      <c r="H1795" s="68">
        <v>704</v>
      </c>
      <c r="I1795" s="68" t="s">
        <v>5762</v>
      </c>
      <c r="J1795" s="49"/>
      <c r="K1795" s="664"/>
      <c r="L1795" s="1300"/>
      <c r="M1795" s="2151" t="s">
        <v>37</v>
      </c>
      <c r="N1795" s="21" t="s">
        <v>71</v>
      </c>
      <c r="O1795" s="21" t="s">
        <v>3109</v>
      </c>
      <c r="P1795" s="21" t="s">
        <v>4128</v>
      </c>
      <c r="Q1795" s="49"/>
      <c r="R1795" s="49"/>
      <c r="S1795" s="49"/>
      <c r="T1795" s="49"/>
      <c r="U1795" s="1909" t="s">
        <v>5763</v>
      </c>
      <c r="V1795" s="1909"/>
    </row>
    <row r="1796" spans="1:23" ht="27" thickBot="1">
      <c r="A1796" s="76" t="s">
        <v>1193</v>
      </c>
      <c r="B1796" s="1300">
        <v>45618</v>
      </c>
      <c r="C1796" s="505">
        <v>47</v>
      </c>
      <c r="D1796" s="1300" t="s">
        <v>1005</v>
      </c>
      <c r="E1796" s="1300" t="s">
        <v>2276</v>
      </c>
      <c r="H1796" s="68">
        <v>701</v>
      </c>
      <c r="I1796" s="68" t="s">
        <v>149</v>
      </c>
      <c r="J1796" s="228"/>
      <c r="K1796" s="664"/>
      <c r="L1796" s="1300" t="s">
        <v>30</v>
      </c>
      <c r="M1796" s="1300"/>
      <c r="N1796" s="49"/>
      <c r="O1796" s="49"/>
      <c r="P1796" s="49"/>
      <c r="Q1796" s="49"/>
      <c r="R1796" s="49"/>
      <c r="S1796" s="49"/>
      <c r="T1796" s="3001">
        <v>3</v>
      </c>
      <c r="U1796" s="1909" t="s">
        <v>5764</v>
      </c>
      <c r="V1796" s="1909"/>
    </row>
    <row r="1797" spans="1:23" ht="158.25" thickBot="1">
      <c r="A1797" s="2144" t="s">
        <v>1193</v>
      </c>
      <c r="B1797" s="2589">
        <v>45618</v>
      </c>
      <c r="C1797" s="2945">
        <v>47</v>
      </c>
      <c r="D1797" s="2946" t="s">
        <v>339</v>
      </c>
      <c r="E1797" s="2141" t="s">
        <v>49</v>
      </c>
      <c r="H1797" s="166">
        <v>701</v>
      </c>
      <c r="I1797" s="166" t="s">
        <v>149</v>
      </c>
      <c r="J1797" s="57"/>
      <c r="K1797" s="2988"/>
      <c r="L1797" s="2141"/>
      <c r="M1797" s="2141" t="s">
        <v>37</v>
      </c>
      <c r="N1797" s="35" t="s">
        <v>71</v>
      </c>
      <c r="O1797" s="35" t="s">
        <v>72</v>
      </c>
      <c r="P1797" s="35" t="s">
        <v>4080</v>
      </c>
      <c r="Q1797" s="181"/>
      <c r="R1797" s="181"/>
      <c r="S1797" s="2967"/>
      <c r="T1797" s="2999">
        <v>3</v>
      </c>
      <c r="U1797" s="3000" t="s">
        <v>5765</v>
      </c>
      <c r="V1797" s="3101"/>
    </row>
    <row r="1798" spans="1:23" ht="27" thickBot="1">
      <c r="A1798" s="1935" t="s">
        <v>1280</v>
      </c>
      <c r="B1798" s="1936">
        <v>45621</v>
      </c>
      <c r="C1798" s="2945">
        <v>48</v>
      </c>
      <c r="D1798" s="445" t="s">
        <v>5766</v>
      </c>
      <c r="E1798" s="445" t="s">
        <v>1140</v>
      </c>
      <c r="H1798" s="918">
        <v>704</v>
      </c>
      <c r="I1798" s="918" t="s">
        <v>5767</v>
      </c>
      <c r="J1798" s="918"/>
      <c r="K1798" s="918"/>
      <c r="L1798" s="918" t="s">
        <v>30</v>
      </c>
      <c r="M1798" s="64"/>
      <c r="N1798" s="64"/>
      <c r="O1798" s="64"/>
      <c r="P1798" s="64"/>
      <c r="Q1798" s="64"/>
      <c r="R1798" s="64"/>
      <c r="S1798" s="64"/>
      <c r="T1798" s="64"/>
      <c r="U1798" s="1515"/>
      <c r="V1798" s="1041"/>
    </row>
    <row r="1799" spans="1:23" ht="27" thickBot="1">
      <c r="A1799" s="1941" t="s">
        <v>1280</v>
      </c>
      <c r="B1799" s="1300">
        <v>45621</v>
      </c>
      <c r="C1799" s="2945">
        <v>48</v>
      </c>
      <c r="D1799" s="439" t="s">
        <v>2367</v>
      </c>
      <c r="E1799" s="439" t="s">
        <v>258</v>
      </c>
      <c r="H1799" s="923">
        <v>704</v>
      </c>
      <c r="I1799" s="923">
        <v>60049</v>
      </c>
      <c r="J1799" s="923"/>
      <c r="K1799" s="923"/>
      <c r="L1799" s="923" t="s">
        <v>30</v>
      </c>
      <c r="M1799" s="71"/>
      <c r="N1799" s="71"/>
      <c r="O1799" s="71"/>
      <c r="P1799" s="71"/>
      <c r="Q1799" s="71"/>
      <c r="R1799" s="71"/>
      <c r="S1799" s="71"/>
      <c r="T1799" s="71"/>
      <c r="U1799" s="93"/>
      <c r="V1799" s="593"/>
    </row>
    <row r="1800" spans="1:23" ht="27" thickBot="1">
      <c r="A1800" s="1941" t="s">
        <v>1280</v>
      </c>
      <c r="B1800" s="1300">
        <v>45621</v>
      </c>
      <c r="C1800" s="2945">
        <v>48</v>
      </c>
      <c r="D1800" s="1115" t="s">
        <v>530</v>
      </c>
      <c r="E1800" s="1115" t="s">
        <v>5768</v>
      </c>
      <c r="H1800" s="68">
        <v>701</v>
      </c>
      <c r="I1800" s="68" t="s">
        <v>5769</v>
      </c>
      <c r="J1800" s="68"/>
      <c r="K1800" s="68"/>
      <c r="L1800" s="1300" t="s">
        <v>30</v>
      </c>
      <c r="M1800" s="1300"/>
      <c r="N1800" s="1300"/>
      <c r="O1800" s="1300"/>
      <c r="P1800" s="1300"/>
      <c r="Q1800" s="1300"/>
      <c r="R1800" s="1300"/>
      <c r="S1800" s="1300"/>
      <c r="T1800" s="1300"/>
      <c r="U1800" s="1328"/>
      <c r="V1800" s="2151"/>
    </row>
    <row r="1801" spans="1:23" ht="27" thickBot="1">
      <c r="A1801" s="1941" t="s">
        <v>1280</v>
      </c>
      <c r="B1801" s="1300">
        <v>45621</v>
      </c>
      <c r="C1801" s="2945">
        <v>48</v>
      </c>
      <c r="D1801" s="1115" t="s">
        <v>169</v>
      </c>
      <c r="E1801" s="1115" t="s">
        <v>2346</v>
      </c>
      <c r="H1801" s="68">
        <v>701</v>
      </c>
      <c r="I1801" s="68" t="s">
        <v>5769</v>
      </c>
      <c r="J1801" s="68"/>
      <c r="K1801" s="3002" t="s">
        <v>84</v>
      </c>
      <c r="L1801" s="1300" t="s">
        <v>30</v>
      </c>
      <c r="M1801" s="1300"/>
      <c r="N1801" s="1300"/>
      <c r="O1801" s="1300"/>
      <c r="P1801" s="1300"/>
      <c r="Q1801" s="1300"/>
      <c r="R1801" s="1300"/>
      <c r="S1801" s="1300"/>
      <c r="T1801" s="1300"/>
      <c r="U1801" s="1328"/>
      <c r="V1801" s="2151"/>
    </row>
    <row r="1802" spans="1:23" ht="27" thickBot="1">
      <c r="A1802" s="1941" t="s">
        <v>1280</v>
      </c>
      <c r="B1802" s="1300">
        <v>45621</v>
      </c>
      <c r="C1802" s="2945">
        <v>48</v>
      </c>
      <c r="D1802" s="1115" t="s">
        <v>2549</v>
      </c>
      <c r="E1802" s="1115" t="s">
        <v>1064</v>
      </c>
      <c r="H1802" s="68">
        <v>706</v>
      </c>
      <c r="I1802" s="68" t="s">
        <v>1499</v>
      </c>
      <c r="J1802" s="68"/>
      <c r="K1802" s="68"/>
      <c r="L1802" s="1300" t="s">
        <v>30</v>
      </c>
      <c r="M1802" s="1300"/>
      <c r="N1802" s="1300"/>
      <c r="O1802" s="1300"/>
      <c r="P1802" s="1300"/>
      <c r="Q1802" s="1300"/>
      <c r="R1802" s="1300"/>
      <c r="S1802" s="1300"/>
      <c r="T1802" s="1300"/>
      <c r="U1802" s="1328"/>
      <c r="V1802" s="2151"/>
    </row>
    <row r="1803" spans="1:23" ht="132" thickBot="1">
      <c r="A1803" s="1941" t="s">
        <v>1280</v>
      </c>
      <c r="B1803" s="1300">
        <v>45621</v>
      </c>
      <c r="C1803" s="2945">
        <v>48</v>
      </c>
      <c r="D1803" s="1115" t="s">
        <v>2549</v>
      </c>
      <c r="E1803" s="1115" t="s">
        <v>5770</v>
      </c>
      <c r="H1803" s="68">
        <v>702</v>
      </c>
      <c r="I1803" s="68" t="s">
        <v>5771</v>
      </c>
      <c r="J1803" s="68"/>
      <c r="K1803" s="68"/>
      <c r="L1803" s="1300"/>
      <c r="M1803" s="1300" t="s">
        <v>37</v>
      </c>
      <c r="N1803" s="21" t="s">
        <v>231</v>
      </c>
      <c r="O1803" s="21" t="s">
        <v>1048</v>
      </c>
      <c r="P1803" s="21" t="s">
        <v>4082</v>
      </c>
      <c r="Q1803" s="1300" t="s">
        <v>30</v>
      </c>
      <c r="R1803" s="1300"/>
      <c r="S1803" s="1300"/>
      <c r="T1803" s="1300"/>
      <c r="U1803" s="3003" t="s">
        <v>5772</v>
      </c>
      <c r="V1803" s="2837"/>
    </row>
    <row r="1804" spans="1:23" ht="27" thickBot="1">
      <c r="A1804" s="1938" t="s">
        <v>1280</v>
      </c>
      <c r="B1804" s="1312">
        <v>45621</v>
      </c>
      <c r="C1804" s="2945">
        <v>48</v>
      </c>
      <c r="D1804" s="1253" t="s">
        <v>169</v>
      </c>
      <c r="E1804" s="1253" t="s">
        <v>5773</v>
      </c>
      <c r="H1804" s="108">
        <v>702</v>
      </c>
      <c r="I1804" s="108" t="s">
        <v>5771</v>
      </c>
      <c r="J1804" s="108"/>
      <c r="K1804" s="108"/>
      <c r="L1804" s="1312"/>
      <c r="M1804" s="1312"/>
      <c r="N1804" s="1312"/>
      <c r="O1804" s="1312"/>
      <c r="P1804" s="1312"/>
      <c r="Q1804" s="1312" t="s">
        <v>30</v>
      </c>
      <c r="R1804" s="1312"/>
      <c r="S1804" s="1312"/>
      <c r="T1804" s="1312"/>
      <c r="U1804" s="1330"/>
      <c r="V1804" s="2833"/>
    </row>
    <row r="1805" spans="1:23" ht="27" thickBot="1">
      <c r="A1805" s="1939" t="s">
        <v>180</v>
      </c>
      <c r="B1805" s="1940">
        <v>45622</v>
      </c>
      <c r="C1805" s="2945">
        <v>48</v>
      </c>
      <c r="D1805" s="1229" t="s">
        <v>4155</v>
      </c>
      <c r="E1805" s="1229" t="s">
        <v>169</v>
      </c>
      <c r="H1805" s="107">
        <v>701</v>
      </c>
      <c r="I1805" s="107" t="s">
        <v>5771</v>
      </c>
      <c r="J1805" s="180"/>
      <c r="K1805" s="172" t="s">
        <v>1199</v>
      </c>
      <c r="L1805" s="1940" t="s">
        <v>30</v>
      </c>
      <c r="M1805" s="1940"/>
      <c r="N1805" s="1940"/>
      <c r="O1805" s="1940"/>
      <c r="P1805" s="1940"/>
      <c r="Q1805" s="1940"/>
      <c r="R1805" s="1940"/>
      <c r="S1805" s="1940"/>
      <c r="T1805" s="1940"/>
      <c r="U1805" s="2957"/>
      <c r="V1805" s="2970"/>
    </row>
    <row r="1806" spans="1:23" ht="27" thickBot="1">
      <c r="A1806" s="76" t="s">
        <v>180</v>
      </c>
      <c r="B1806" s="1300">
        <v>45622</v>
      </c>
      <c r="C1806" s="2945">
        <v>48</v>
      </c>
      <c r="D1806" s="1115" t="s">
        <v>169</v>
      </c>
      <c r="E1806" s="1115" t="s">
        <v>5774</v>
      </c>
      <c r="H1806" s="68">
        <v>701</v>
      </c>
      <c r="I1806" s="68" t="s">
        <v>5771</v>
      </c>
      <c r="J1806" s="68"/>
      <c r="K1806" s="900" t="s">
        <v>1199</v>
      </c>
      <c r="L1806" s="1300"/>
      <c r="M1806" s="1300"/>
      <c r="N1806" s="1300"/>
      <c r="O1806" s="1300"/>
      <c r="P1806" s="1300"/>
      <c r="Q1806" s="1300"/>
      <c r="R1806" s="1300" t="s">
        <v>30</v>
      </c>
      <c r="S1806" s="1300"/>
      <c r="T1806" s="1300"/>
      <c r="U1806" s="1300"/>
      <c r="V1806" s="1300"/>
    </row>
    <row r="1807" spans="1:23" ht="165" customHeight="1" thickBot="1">
      <c r="A1807" s="76" t="s">
        <v>180</v>
      </c>
      <c r="B1807" s="1300">
        <v>45622</v>
      </c>
      <c r="C1807" s="2945">
        <v>48</v>
      </c>
      <c r="D1807" s="1115" t="s">
        <v>530</v>
      </c>
      <c r="E1807" s="1115" t="s">
        <v>5775</v>
      </c>
      <c r="H1807" s="68">
        <v>702</v>
      </c>
      <c r="I1807" s="68" t="s">
        <v>5776</v>
      </c>
      <c r="J1807" s="68"/>
      <c r="K1807" s="900" t="s">
        <v>1199</v>
      </c>
      <c r="L1807" s="1300"/>
      <c r="M1807" s="1300" t="s">
        <v>37</v>
      </c>
      <c r="N1807" s="21" t="s">
        <v>231</v>
      </c>
      <c r="O1807" s="21" t="s">
        <v>232</v>
      </c>
      <c r="P1807" s="21" t="s">
        <v>4082</v>
      </c>
      <c r="Q1807" s="1300"/>
      <c r="R1807" s="1300"/>
      <c r="S1807" s="1300"/>
      <c r="T1807" s="1300"/>
      <c r="U1807" s="3004" t="s">
        <v>5777</v>
      </c>
      <c r="V1807" s="3004"/>
      <c r="W1807" s="2838" t="s">
        <v>5778</v>
      </c>
    </row>
    <row r="1808" spans="1:23" ht="27" thickBot="1">
      <c r="A1808" s="76" t="s">
        <v>180</v>
      </c>
      <c r="B1808" s="1300">
        <v>45622</v>
      </c>
      <c r="C1808" s="2945">
        <v>48</v>
      </c>
      <c r="D1808" s="1115" t="s">
        <v>1148</v>
      </c>
      <c r="E1808" s="1115" t="s">
        <v>878</v>
      </c>
      <c r="H1808" s="68">
        <v>701</v>
      </c>
      <c r="I1808" s="68" t="s">
        <v>5779</v>
      </c>
      <c r="J1808" s="68"/>
      <c r="K1808" s="900"/>
      <c r="L1808" s="1300"/>
      <c r="M1808" s="1300"/>
      <c r="N1808" s="1300"/>
      <c r="O1808" s="1300"/>
      <c r="P1808" s="1300"/>
      <c r="Q1808" s="1300"/>
      <c r="R1808" s="1300"/>
      <c r="S1808" s="1300"/>
      <c r="T1808" s="1300"/>
      <c r="U1808" s="1300"/>
      <c r="V1808" s="1300"/>
    </row>
    <row r="1809" spans="1:23" ht="53.25" thickBot="1">
      <c r="A1809" s="76" t="s">
        <v>5780</v>
      </c>
      <c r="B1809" s="1300">
        <v>45622</v>
      </c>
      <c r="C1809" s="2945">
        <v>48</v>
      </c>
      <c r="D1809" s="1115" t="s">
        <v>671</v>
      </c>
      <c r="E1809" s="1115" t="s">
        <v>1050</v>
      </c>
      <c r="H1809" s="68">
        <v>701</v>
      </c>
      <c r="I1809" s="68" t="s">
        <v>5779</v>
      </c>
      <c r="J1809" s="68"/>
      <c r="K1809" s="900" t="s">
        <v>1199</v>
      </c>
      <c r="L1809" s="1300"/>
      <c r="M1809" s="1300" t="s">
        <v>30</v>
      </c>
      <c r="N1809" s="21" t="s">
        <v>231</v>
      </c>
      <c r="O1809" s="21" t="s">
        <v>1048</v>
      </c>
      <c r="P1809" s="21" t="s">
        <v>4080</v>
      </c>
      <c r="Q1809" s="1300"/>
      <c r="R1809" s="1300"/>
      <c r="S1809" s="1300" t="s">
        <v>30</v>
      </c>
      <c r="T1809" s="1300"/>
      <c r="U1809" s="3004" t="s">
        <v>5781</v>
      </c>
      <c r="V1809" s="3004"/>
    </row>
    <row r="1810" spans="1:23" ht="27" thickBot="1">
      <c r="A1810" s="76" t="s">
        <v>180</v>
      </c>
      <c r="B1810" s="1300">
        <v>45622</v>
      </c>
      <c r="C1810" s="2945">
        <v>48</v>
      </c>
      <c r="D1810" s="1115" t="s">
        <v>163</v>
      </c>
      <c r="E1810" s="1115" t="s">
        <v>1201</v>
      </c>
      <c r="H1810" s="68">
        <v>701</v>
      </c>
      <c r="I1810" s="68">
        <v>60093</v>
      </c>
      <c r="J1810" s="68"/>
      <c r="K1810" s="900" t="s">
        <v>1199</v>
      </c>
      <c r="L1810" s="1300" t="s">
        <v>30</v>
      </c>
      <c r="M1810" s="1300"/>
      <c r="N1810" s="1300"/>
      <c r="O1810" s="1300"/>
      <c r="P1810" s="1300"/>
      <c r="Q1810" s="1300"/>
      <c r="R1810" s="1300"/>
      <c r="S1810" s="1300"/>
      <c r="T1810" s="1300"/>
      <c r="U1810" s="1300"/>
      <c r="V1810" s="1300"/>
    </row>
    <row r="1811" spans="1:23" ht="27" thickBot="1">
      <c r="A1811" s="76" t="s">
        <v>180</v>
      </c>
      <c r="B1811" s="1300">
        <v>45622</v>
      </c>
      <c r="C1811" s="2945">
        <v>48</v>
      </c>
      <c r="D1811" s="1115" t="s">
        <v>943</v>
      </c>
      <c r="E1811" s="1115" t="s">
        <v>5782</v>
      </c>
      <c r="H1811" s="68">
        <v>701</v>
      </c>
      <c r="I1811" s="68" t="s">
        <v>2892</v>
      </c>
      <c r="J1811" s="68"/>
      <c r="K1811" s="900" t="s">
        <v>1199</v>
      </c>
      <c r="L1811" s="1300" t="s">
        <v>30</v>
      </c>
      <c r="M1811" s="1300"/>
      <c r="N1811" s="1300"/>
      <c r="O1811" s="1300"/>
      <c r="P1811" s="1300"/>
      <c r="Q1811" s="1300"/>
      <c r="R1811" s="1300"/>
      <c r="S1811" s="1300"/>
      <c r="T1811" s="1300"/>
      <c r="U1811" s="1300"/>
      <c r="V1811" s="1300"/>
    </row>
    <row r="1812" spans="1:23" ht="27" thickBot="1">
      <c r="A1812" s="76" t="s">
        <v>180</v>
      </c>
      <c r="B1812" s="1300">
        <v>45622</v>
      </c>
      <c r="C1812" s="2945">
        <v>48</v>
      </c>
      <c r="D1812" s="1115" t="s">
        <v>5783</v>
      </c>
      <c r="E1812" s="1115" t="s">
        <v>5784</v>
      </c>
      <c r="H1812" s="68">
        <v>701</v>
      </c>
      <c r="I1812" s="68">
        <v>60093</v>
      </c>
      <c r="J1812" s="68"/>
      <c r="K1812" s="900" t="s">
        <v>1199</v>
      </c>
      <c r="L1812" s="1300" t="s">
        <v>30</v>
      </c>
      <c r="M1812" s="1300"/>
      <c r="N1812" s="1300"/>
      <c r="O1812" s="1300"/>
      <c r="P1812" s="1300"/>
      <c r="Q1812" s="1300"/>
      <c r="R1812" s="1300"/>
      <c r="S1812" s="1300"/>
      <c r="T1812" s="1300"/>
      <c r="U1812" s="1300"/>
      <c r="V1812" s="1300"/>
    </row>
    <row r="1813" spans="1:23" ht="27" thickBot="1">
      <c r="A1813" s="76" t="s">
        <v>180</v>
      </c>
      <c r="B1813" s="1300">
        <v>45622</v>
      </c>
      <c r="C1813" s="2945">
        <v>48</v>
      </c>
      <c r="D1813" s="1115" t="s">
        <v>5392</v>
      </c>
      <c r="E1813" s="1115" t="s">
        <v>5785</v>
      </c>
      <c r="H1813" s="68">
        <v>706</v>
      </c>
      <c r="I1813" s="68" t="s">
        <v>5786</v>
      </c>
      <c r="J1813" s="68"/>
      <c r="K1813" s="900" t="s">
        <v>1199</v>
      </c>
      <c r="L1813" s="1300" t="s">
        <v>30</v>
      </c>
      <c r="M1813" s="1300"/>
      <c r="N1813" s="1300"/>
      <c r="O1813" s="1300"/>
      <c r="P1813" s="1300"/>
      <c r="Q1813" s="1300"/>
      <c r="R1813" s="1300"/>
      <c r="S1813" s="1300"/>
      <c r="T1813" s="1300"/>
      <c r="U1813" s="1300"/>
      <c r="V1813" s="1300"/>
    </row>
    <row r="1814" spans="1:23" ht="27" thickBot="1">
      <c r="A1814" s="162" t="s">
        <v>180</v>
      </c>
      <c r="B1814" s="1301">
        <v>45622</v>
      </c>
      <c r="C1814" s="2945">
        <v>48</v>
      </c>
      <c r="D1814" s="1157" t="s">
        <v>1168</v>
      </c>
      <c r="E1814" s="1157" t="s">
        <v>1300</v>
      </c>
      <c r="H1814" s="107">
        <v>706</v>
      </c>
      <c r="I1814" s="107" t="s">
        <v>5786</v>
      </c>
      <c r="J1814" s="107"/>
      <c r="K1814" s="3005" t="s">
        <v>1274</v>
      </c>
      <c r="L1814" s="1301" t="s">
        <v>30</v>
      </c>
      <c r="M1814" s="1301"/>
      <c r="N1814" s="1301"/>
      <c r="O1814" s="1301"/>
      <c r="P1814" s="1301"/>
      <c r="Q1814" s="1301"/>
      <c r="R1814" s="1301"/>
      <c r="S1814" s="1301"/>
      <c r="T1814" s="1301"/>
      <c r="U1814" s="1301"/>
      <c r="V1814" s="1301"/>
    </row>
    <row r="1815" spans="1:23" ht="27" thickBot="1">
      <c r="A1815" s="76" t="s">
        <v>180</v>
      </c>
      <c r="B1815" s="1300">
        <v>45622</v>
      </c>
      <c r="C1815" s="2945">
        <v>48</v>
      </c>
      <c r="D1815" s="1115" t="s">
        <v>1153</v>
      </c>
      <c r="E1815" s="1115" t="s">
        <v>744</v>
      </c>
      <c r="H1815" s="68">
        <v>706</v>
      </c>
      <c r="I1815" s="68" t="s">
        <v>5786</v>
      </c>
      <c r="J1815" s="68"/>
      <c r="K1815" s="3002" t="s">
        <v>1274</v>
      </c>
      <c r="L1815" s="1300" t="s">
        <v>30</v>
      </c>
      <c r="M1815" s="1300"/>
      <c r="N1815" s="1300"/>
      <c r="O1815" s="1300"/>
      <c r="P1815" s="1300"/>
      <c r="Q1815" s="1300"/>
      <c r="R1815" s="1300"/>
      <c r="S1815" s="1300"/>
      <c r="T1815" s="1300"/>
      <c r="U1815" s="1300"/>
      <c r="V1815" s="1300"/>
    </row>
    <row r="1816" spans="1:23" ht="53.25" thickBot="1">
      <c r="A1816" s="76" t="s">
        <v>180</v>
      </c>
      <c r="B1816" s="1300">
        <v>45622</v>
      </c>
      <c r="C1816" s="2945">
        <v>48</v>
      </c>
      <c r="D1816" s="1115" t="s">
        <v>5787</v>
      </c>
      <c r="E1816" s="1115" t="s">
        <v>5788</v>
      </c>
      <c r="H1816" s="68">
        <v>701</v>
      </c>
      <c r="I1816" s="68" t="s">
        <v>5789</v>
      </c>
      <c r="J1816" s="68"/>
      <c r="K1816" s="3002" t="s">
        <v>1613</v>
      </c>
      <c r="L1816" s="1300"/>
      <c r="M1816" s="1300" t="s">
        <v>37</v>
      </c>
      <c r="N1816" s="21" t="s">
        <v>122</v>
      </c>
      <c r="O1816" s="21" t="s">
        <v>123</v>
      </c>
      <c r="P1816" s="21" t="s">
        <v>4108</v>
      </c>
      <c r="Q1816" s="1300"/>
      <c r="R1816" s="1300"/>
      <c r="S1816" s="1300"/>
      <c r="T1816" s="1300"/>
      <c r="U1816" s="3003" t="s">
        <v>5790</v>
      </c>
      <c r="V1816" s="2837"/>
    </row>
    <row r="1817" spans="1:23" ht="53.25" thickBot="1">
      <c r="A1817" s="76" t="s">
        <v>180</v>
      </c>
      <c r="B1817" s="1300">
        <v>45622</v>
      </c>
      <c r="C1817" s="2945">
        <v>48</v>
      </c>
      <c r="D1817" s="1115" t="s">
        <v>5291</v>
      </c>
      <c r="E1817" s="1115" t="s">
        <v>5791</v>
      </c>
      <c r="H1817" s="68">
        <v>701</v>
      </c>
      <c r="I1817" s="68" t="s">
        <v>5789</v>
      </c>
      <c r="J1817" s="68"/>
      <c r="K1817" s="3002" t="s">
        <v>1613</v>
      </c>
      <c r="L1817" s="1300"/>
      <c r="M1817" s="1300"/>
      <c r="N1817" s="1300"/>
      <c r="O1817" s="1300"/>
      <c r="P1817" s="1300"/>
      <c r="Q1817" s="1300"/>
      <c r="R1817" s="1300"/>
      <c r="S1817" s="1300"/>
      <c r="T1817" s="2151"/>
      <c r="U1817" s="3003" t="s">
        <v>5790</v>
      </c>
      <c r="V1817" s="2837"/>
    </row>
    <row r="1818" spans="1:23" ht="53.25" thickBot="1">
      <c r="A1818" s="76" t="s">
        <v>180</v>
      </c>
      <c r="B1818" s="1300">
        <v>45622</v>
      </c>
      <c r="C1818" s="2945">
        <v>48</v>
      </c>
      <c r="D1818" s="1115" t="s">
        <v>273</v>
      </c>
      <c r="E1818" s="1115" t="s">
        <v>5792</v>
      </c>
      <c r="H1818" s="68">
        <v>703</v>
      </c>
      <c r="I1818" s="68" t="s">
        <v>5793</v>
      </c>
      <c r="J1818" s="68"/>
      <c r="K1818" s="900" t="s">
        <v>1199</v>
      </c>
      <c r="L1818" s="1300"/>
      <c r="M1818" s="1300" t="s">
        <v>30</v>
      </c>
      <c r="N1818" s="21" t="s">
        <v>0</v>
      </c>
      <c r="O1818" s="21" t="s">
        <v>31</v>
      </c>
      <c r="P1818" s="21" t="s">
        <v>4561</v>
      </c>
      <c r="Q1818" s="1300" t="s">
        <v>37</v>
      </c>
      <c r="R1818" s="1300"/>
      <c r="S1818" s="1300"/>
      <c r="T1818" s="1300"/>
      <c r="U1818" s="1300" t="s">
        <v>5794</v>
      </c>
      <c r="V1818" s="1300"/>
    </row>
    <row r="1819" spans="1:23" ht="27" thickBot="1">
      <c r="A1819" s="76" t="s">
        <v>180</v>
      </c>
      <c r="B1819" s="1300">
        <v>45622</v>
      </c>
      <c r="C1819" s="2945">
        <v>48</v>
      </c>
      <c r="D1819" s="1115" t="s">
        <v>1564</v>
      </c>
      <c r="E1819" s="1115" t="s">
        <v>389</v>
      </c>
      <c r="H1819" s="68">
        <v>703</v>
      </c>
      <c r="I1819" s="68" t="s">
        <v>5793</v>
      </c>
      <c r="J1819" s="68"/>
      <c r="K1819" s="900" t="s">
        <v>1199</v>
      </c>
      <c r="L1819" s="1300"/>
      <c r="M1819" s="1300"/>
      <c r="N1819" s="1300"/>
      <c r="O1819" s="1300"/>
      <c r="P1819" s="1300"/>
      <c r="Q1819" s="1300" t="s">
        <v>37</v>
      </c>
      <c r="R1819" s="1300"/>
      <c r="S1819" s="1300"/>
      <c r="T1819" s="1300"/>
      <c r="U1819" s="1300" t="s">
        <v>5794</v>
      </c>
      <c r="V1819" s="1300"/>
    </row>
    <row r="1820" spans="1:23" ht="27" thickBot="1">
      <c r="A1820" s="76" t="s">
        <v>180</v>
      </c>
      <c r="B1820" s="1300">
        <v>45622</v>
      </c>
      <c r="C1820" s="2945">
        <v>48</v>
      </c>
      <c r="D1820" s="1157" t="s">
        <v>2140</v>
      </c>
      <c r="E1820" s="1157" t="s">
        <v>1140</v>
      </c>
      <c r="H1820" s="107">
        <v>704</v>
      </c>
      <c r="I1820" s="107" t="s">
        <v>5795</v>
      </c>
      <c r="J1820" s="107"/>
      <c r="K1820" s="900" t="s">
        <v>5796</v>
      </c>
      <c r="L1820" s="1301" t="s">
        <v>30</v>
      </c>
      <c r="M1820" s="1301"/>
      <c r="N1820" s="1301"/>
      <c r="O1820" s="1301"/>
      <c r="P1820" s="1301"/>
      <c r="Q1820" s="1301"/>
      <c r="R1820" s="1301"/>
      <c r="S1820" s="1301"/>
      <c r="T1820" s="1301"/>
      <c r="U1820" s="2311"/>
      <c r="V1820" s="2311"/>
    </row>
    <row r="1821" spans="1:23" ht="27" thickBot="1">
      <c r="A1821" s="1939" t="s">
        <v>180</v>
      </c>
      <c r="B1821" s="1940">
        <v>45622</v>
      </c>
      <c r="C1821" s="3012">
        <v>48</v>
      </c>
      <c r="D1821" s="3007" t="s">
        <v>5664</v>
      </c>
      <c r="E1821" s="3007" t="s">
        <v>5797</v>
      </c>
      <c r="H1821" s="180">
        <v>702</v>
      </c>
      <c r="I1821" s="180" t="s">
        <v>1147</v>
      </c>
      <c r="J1821" s="180"/>
      <c r="K1821" s="3013" t="s">
        <v>1199</v>
      </c>
      <c r="L1821" s="1940" t="s">
        <v>30</v>
      </c>
      <c r="M1821" s="1940"/>
      <c r="N1821" s="1940"/>
      <c r="O1821" s="1940"/>
      <c r="P1821" s="1940"/>
      <c r="Q1821" s="1940"/>
      <c r="R1821" s="1940"/>
      <c r="S1821" s="1940"/>
      <c r="T1821" s="1940"/>
      <c r="U1821" s="2957"/>
      <c r="V1821" s="2970"/>
    </row>
    <row r="1822" spans="1:23" ht="27" thickBot="1">
      <c r="A1822" s="1935" t="s">
        <v>1323</v>
      </c>
      <c r="B1822" s="1936">
        <v>45623</v>
      </c>
      <c r="C1822" s="3014">
        <v>48</v>
      </c>
      <c r="D1822" s="3006" t="s">
        <v>1223</v>
      </c>
      <c r="E1822" s="3015" t="s">
        <v>314</v>
      </c>
      <c r="H1822" s="2780">
        <v>702</v>
      </c>
      <c r="I1822" s="60" t="s">
        <v>5798</v>
      </c>
      <c r="J1822" s="60"/>
      <c r="K1822" s="60"/>
      <c r="L1822" s="1936" t="s">
        <v>30</v>
      </c>
      <c r="M1822" s="1936"/>
      <c r="N1822" s="1936"/>
      <c r="O1822" s="1936"/>
      <c r="P1822" s="1936"/>
      <c r="Q1822" s="1936"/>
      <c r="R1822" s="1936"/>
      <c r="S1822" s="1936"/>
      <c r="T1822" s="1936"/>
      <c r="U1822" s="2246"/>
      <c r="V1822" s="2825"/>
      <c r="W1822" s="2898"/>
    </row>
    <row r="1823" spans="1:23" ht="53.25" thickBot="1">
      <c r="A1823" s="1939" t="s">
        <v>1323</v>
      </c>
      <c r="B1823" s="1940">
        <v>45623</v>
      </c>
      <c r="C1823" s="2945">
        <v>48</v>
      </c>
      <c r="D1823" s="3007" t="s">
        <v>204</v>
      </c>
      <c r="E1823" s="3016" t="s">
        <v>3747</v>
      </c>
      <c r="H1823" s="3021">
        <v>702</v>
      </c>
      <c r="I1823" s="180" t="s">
        <v>5798</v>
      </c>
      <c r="J1823" s="180"/>
      <c r="K1823" s="180"/>
      <c r="L1823" s="1940"/>
      <c r="M1823" s="1940" t="s">
        <v>37</v>
      </c>
      <c r="N1823" s="21" t="s">
        <v>109</v>
      </c>
      <c r="O1823" s="21" t="s">
        <v>1268</v>
      </c>
      <c r="P1823" s="21" t="s">
        <v>4082</v>
      </c>
      <c r="Q1823" s="1940"/>
      <c r="R1823" s="1940"/>
      <c r="S1823" s="1940"/>
      <c r="T1823" s="1940"/>
      <c r="U1823" s="3008" t="s">
        <v>5799</v>
      </c>
      <c r="V1823" s="3102"/>
      <c r="W1823" s="2898"/>
    </row>
    <row r="1824" spans="1:23" ht="27" thickBot="1">
      <c r="A1824" s="1941" t="s">
        <v>1323</v>
      </c>
      <c r="B1824" s="1300">
        <v>45623</v>
      </c>
      <c r="C1824" s="2945">
        <v>48</v>
      </c>
      <c r="D1824" s="1115" t="s">
        <v>1146</v>
      </c>
      <c r="E1824" s="3017" t="s">
        <v>2549</v>
      </c>
      <c r="H1824" s="2176">
        <v>703</v>
      </c>
      <c r="I1824" s="68" t="s">
        <v>269</v>
      </c>
      <c r="J1824" s="68"/>
      <c r="K1824" s="68"/>
      <c r="L1824" s="1300" t="s">
        <v>30</v>
      </c>
      <c r="M1824" s="1300"/>
      <c r="N1824" s="1300"/>
      <c r="O1824" s="1300"/>
      <c r="P1824" s="1300"/>
      <c r="Q1824" s="1300"/>
      <c r="R1824" s="1300"/>
      <c r="S1824" s="1300"/>
      <c r="T1824" s="1300"/>
      <c r="U1824" s="1328"/>
      <c r="V1824" s="2789"/>
      <c r="W1824" s="2898"/>
    </row>
    <row r="1825" spans="1:23" ht="105.75" thickBot="1">
      <c r="A1825" s="1941" t="s">
        <v>1323</v>
      </c>
      <c r="B1825" s="1300">
        <v>45623</v>
      </c>
      <c r="C1825" s="2945">
        <v>48</v>
      </c>
      <c r="D1825" s="1115" t="s">
        <v>3964</v>
      </c>
      <c r="E1825" s="3017" t="s">
        <v>4437</v>
      </c>
      <c r="H1825" s="2176">
        <v>701</v>
      </c>
      <c r="I1825" s="68" t="s">
        <v>5800</v>
      </c>
      <c r="J1825" s="68"/>
      <c r="K1825" s="68"/>
      <c r="L1825" s="1300"/>
      <c r="M1825" s="1300" t="s">
        <v>37</v>
      </c>
      <c r="N1825" s="21" t="s">
        <v>71</v>
      </c>
      <c r="O1825" s="21" t="s">
        <v>138</v>
      </c>
      <c r="P1825" s="21" t="s">
        <v>4080</v>
      </c>
      <c r="Q1825" s="1300"/>
      <c r="R1825" s="1300" t="s">
        <v>37</v>
      </c>
      <c r="S1825" s="1300"/>
      <c r="T1825" s="1300"/>
      <c r="U1825" s="3003" t="s">
        <v>5801</v>
      </c>
      <c r="V1825" s="3103"/>
      <c r="W1825" s="2898"/>
    </row>
    <row r="1826" spans="1:23" ht="27" thickBot="1">
      <c r="A1826" s="1941" t="s">
        <v>1323</v>
      </c>
      <c r="B1826" s="1300">
        <v>45623</v>
      </c>
      <c r="C1826" s="2945">
        <v>48</v>
      </c>
      <c r="D1826" s="1115" t="s">
        <v>671</v>
      </c>
      <c r="E1826" s="3017" t="s">
        <v>1654</v>
      </c>
      <c r="H1826" s="2176">
        <v>707</v>
      </c>
      <c r="I1826" s="68">
        <v>1552</v>
      </c>
      <c r="J1826" s="68"/>
      <c r="K1826" s="3002" t="s">
        <v>84</v>
      </c>
      <c r="L1826" s="1300" t="s">
        <v>30</v>
      </c>
      <c r="M1826" s="1300"/>
      <c r="N1826" s="1300"/>
      <c r="O1826" s="1300"/>
      <c r="P1826" s="1300"/>
      <c r="Q1826" s="1300"/>
      <c r="R1826" s="1300"/>
      <c r="S1826" s="1300" t="s">
        <v>30</v>
      </c>
      <c r="T1826" s="1300"/>
      <c r="U1826" s="3003"/>
      <c r="V1826" s="3103"/>
      <c r="W1826" s="2898"/>
    </row>
    <row r="1827" spans="1:23" ht="27" thickBot="1">
      <c r="A1827" s="1941" t="s">
        <v>1323</v>
      </c>
      <c r="B1827" s="1300">
        <v>45623</v>
      </c>
      <c r="C1827" s="2945">
        <v>48</v>
      </c>
      <c r="D1827" s="1241" t="s">
        <v>5787</v>
      </c>
      <c r="E1827" s="3018" t="s">
        <v>5802</v>
      </c>
      <c r="H1827" s="2176">
        <v>701</v>
      </c>
      <c r="I1827" s="68" t="s">
        <v>5789</v>
      </c>
      <c r="J1827" s="68"/>
      <c r="K1827" s="3002" t="s">
        <v>1613</v>
      </c>
      <c r="L1827" s="1300" t="s">
        <v>30</v>
      </c>
      <c r="M1827" s="1300"/>
      <c r="N1827" s="1300"/>
      <c r="O1827" s="1300"/>
      <c r="P1827" s="1300"/>
      <c r="Q1827" s="1300"/>
      <c r="R1827" s="1300" t="s">
        <v>37</v>
      </c>
      <c r="S1827" s="1300"/>
      <c r="T1827" s="1300"/>
      <c r="U1827" s="3003"/>
      <c r="V1827" s="3103"/>
      <c r="W1827" s="2898"/>
    </row>
    <row r="1828" spans="1:23" ht="27" thickBot="1">
      <c r="A1828" s="1941" t="s">
        <v>1323</v>
      </c>
      <c r="B1828" s="1300">
        <v>45623</v>
      </c>
      <c r="C1828" s="2945">
        <v>48</v>
      </c>
      <c r="D1828" s="1241" t="s">
        <v>5291</v>
      </c>
      <c r="E1828" s="3018" t="s">
        <v>5803</v>
      </c>
      <c r="H1828" s="2176">
        <v>701</v>
      </c>
      <c r="I1828" s="68" t="s">
        <v>5789</v>
      </c>
      <c r="J1828" s="68"/>
      <c r="K1828" s="3002" t="s">
        <v>1613</v>
      </c>
      <c r="L1828" s="1300" t="s">
        <v>30</v>
      </c>
      <c r="M1828" s="1300"/>
      <c r="N1828" s="1300"/>
      <c r="O1828" s="1300"/>
      <c r="P1828" s="1300"/>
      <c r="Q1828" s="1300"/>
      <c r="R1828" s="1300" t="s">
        <v>37</v>
      </c>
      <c r="S1828" s="1300"/>
      <c r="T1828" s="2151"/>
      <c r="U1828" s="3003"/>
      <c r="V1828" s="3103"/>
      <c r="W1828" s="2898"/>
    </row>
    <row r="1829" spans="1:23" ht="27" thickBot="1">
      <c r="A1829" s="1941" t="s">
        <v>1323</v>
      </c>
      <c r="B1829" s="1300">
        <v>45623</v>
      </c>
      <c r="C1829" s="2945">
        <v>48</v>
      </c>
      <c r="D1829" s="1115" t="s">
        <v>1293</v>
      </c>
      <c r="E1829" s="3017" t="s">
        <v>5804</v>
      </c>
      <c r="H1829" s="2176">
        <v>701</v>
      </c>
      <c r="I1829" s="68" t="s">
        <v>5805</v>
      </c>
      <c r="J1829" s="68"/>
      <c r="K1829" s="68"/>
      <c r="L1829" s="1300"/>
      <c r="M1829" s="1300"/>
      <c r="N1829" s="1300"/>
      <c r="O1829" s="1300"/>
      <c r="P1829" s="1300"/>
      <c r="Q1829" s="1300"/>
      <c r="R1829" s="1300" t="s">
        <v>37</v>
      </c>
      <c r="S1829" s="1300"/>
      <c r="T1829" s="1300"/>
      <c r="U1829" s="1328" t="s">
        <v>5806</v>
      </c>
      <c r="V1829" s="2789"/>
      <c r="W1829" s="2898"/>
    </row>
    <row r="1830" spans="1:23" ht="105.75" thickBot="1">
      <c r="A1830" s="1941" t="s">
        <v>1323</v>
      </c>
      <c r="B1830" s="1300">
        <v>45623</v>
      </c>
      <c r="C1830" s="2945">
        <v>48</v>
      </c>
      <c r="D1830" s="1115" t="s">
        <v>204</v>
      </c>
      <c r="E1830" s="3017" t="s">
        <v>5807</v>
      </c>
      <c r="H1830" s="2176">
        <v>706</v>
      </c>
      <c r="I1830" s="68" t="s">
        <v>3815</v>
      </c>
      <c r="J1830" s="68"/>
      <c r="K1830" s="68"/>
      <c r="L1830" s="1300"/>
      <c r="M1830" s="1300" t="s">
        <v>37</v>
      </c>
      <c r="N1830" s="21" t="s">
        <v>109</v>
      </c>
      <c r="O1830" s="21" t="s">
        <v>1367</v>
      </c>
      <c r="P1830" s="21" t="s">
        <v>4102</v>
      </c>
      <c r="Q1830" s="1300"/>
      <c r="R1830" s="1300"/>
      <c r="S1830" s="1300"/>
      <c r="T1830" s="1300"/>
      <c r="U1830" s="3003" t="s">
        <v>5808</v>
      </c>
      <c r="V1830" s="3103"/>
      <c r="W1830" s="2898"/>
    </row>
    <row r="1831" spans="1:23" ht="27" thickBot="1">
      <c r="A1831" s="2140" t="s">
        <v>1323</v>
      </c>
      <c r="B1831" s="2141">
        <v>45623</v>
      </c>
      <c r="C1831" s="2945">
        <v>48</v>
      </c>
      <c r="D1831" s="3019" t="s">
        <v>1196</v>
      </c>
      <c r="E1831" s="3020" t="s">
        <v>5497</v>
      </c>
      <c r="H1831" s="2830">
        <v>706</v>
      </c>
      <c r="I1831" s="166" t="s">
        <v>5809</v>
      </c>
      <c r="J1831" s="166"/>
      <c r="K1831" s="3022" t="s">
        <v>84</v>
      </c>
      <c r="L1831" s="2141" t="s">
        <v>30</v>
      </c>
      <c r="M1831" s="2141"/>
      <c r="N1831" s="2141"/>
      <c r="O1831" s="2141"/>
      <c r="P1831" s="2141"/>
      <c r="Q1831" s="2141"/>
      <c r="R1831" s="2141"/>
      <c r="S1831" s="2141"/>
      <c r="T1831" s="2141"/>
      <c r="U1831" s="3010"/>
      <c r="V1831" s="2522"/>
      <c r="W1831" s="2898"/>
    </row>
    <row r="1832" spans="1:23" ht="27" thickBot="1">
      <c r="A1832" s="2070" t="s">
        <v>1495</v>
      </c>
      <c r="B1832" s="2068">
        <v>45624</v>
      </c>
      <c r="C1832" s="2945">
        <v>48</v>
      </c>
      <c r="D1832" s="1249" t="s">
        <v>204</v>
      </c>
      <c r="E1832" s="1249" t="s">
        <v>5810</v>
      </c>
      <c r="H1832" s="191">
        <v>706</v>
      </c>
      <c r="I1832" s="191" t="s">
        <v>5811</v>
      </c>
      <c r="J1832" s="191"/>
      <c r="K1832" s="191"/>
      <c r="L1832" s="2068" t="s">
        <v>30</v>
      </c>
      <c r="M1832" s="2068"/>
      <c r="N1832" s="2068"/>
      <c r="O1832" s="2068"/>
      <c r="P1832" s="2068"/>
      <c r="Q1832" s="2068"/>
      <c r="R1832" s="2068"/>
      <c r="S1832" s="2068"/>
      <c r="T1832" s="2068"/>
      <c r="U1832" s="2550"/>
      <c r="V1832" s="2970"/>
    </row>
    <row r="1833" spans="1:23" ht="27" thickBot="1">
      <c r="A1833" s="1941" t="s">
        <v>1495</v>
      </c>
      <c r="B1833" s="1300">
        <v>45624</v>
      </c>
      <c r="C1833" s="2945">
        <v>48</v>
      </c>
      <c r="D1833" s="1115" t="s">
        <v>204</v>
      </c>
      <c r="E1833" s="1115" t="s">
        <v>5812</v>
      </c>
      <c r="H1833" s="68">
        <v>706</v>
      </c>
      <c r="I1833" s="68" t="s">
        <v>5811</v>
      </c>
      <c r="J1833" s="68"/>
      <c r="K1833" s="68"/>
      <c r="L1833" s="1300" t="s">
        <v>30</v>
      </c>
      <c r="M1833" s="1300"/>
      <c r="N1833" s="1300"/>
      <c r="O1833" s="1300"/>
      <c r="P1833" s="1300"/>
      <c r="Q1833" s="1300"/>
      <c r="R1833" s="1300"/>
      <c r="S1833" s="1300"/>
      <c r="T1833" s="1300"/>
      <c r="U1833" s="1328"/>
      <c r="V1833" s="2151"/>
    </row>
    <row r="1834" spans="1:23" ht="27" thickBot="1">
      <c r="A1834" s="1941" t="s">
        <v>1495</v>
      </c>
      <c r="B1834" s="1300">
        <v>45624</v>
      </c>
      <c r="C1834" s="2945">
        <v>48</v>
      </c>
      <c r="D1834" s="1115" t="s">
        <v>1780</v>
      </c>
      <c r="E1834" s="1115" t="s">
        <v>5813</v>
      </c>
      <c r="H1834" s="68">
        <v>706</v>
      </c>
      <c r="I1834" s="68" t="s">
        <v>3815</v>
      </c>
      <c r="J1834" s="68"/>
      <c r="K1834" s="68"/>
      <c r="L1834" s="1300" t="s">
        <v>30</v>
      </c>
      <c r="M1834" s="1300"/>
      <c r="N1834" s="1300"/>
      <c r="O1834" s="1300"/>
      <c r="P1834" s="1300"/>
      <c r="Q1834" s="1300"/>
      <c r="R1834" s="1300"/>
      <c r="S1834" s="1300"/>
      <c r="T1834" s="1300"/>
      <c r="U1834" s="1328"/>
      <c r="V1834" s="2151"/>
    </row>
    <row r="1835" spans="1:23" ht="53.25" thickBot="1">
      <c r="A1835" s="1941" t="s">
        <v>1495</v>
      </c>
      <c r="B1835" s="1300">
        <v>45624</v>
      </c>
      <c r="C1835" s="2945">
        <v>48</v>
      </c>
      <c r="D1835" s="1115" t="s">
        <v>4180</v>
      </c>
      <c r="E1835" s="1115" t="s">
        <v>4391</v>
      </c>
      <c r="H1835" s="68">
        <v>706</v>
      </c>
      <c r="I1835" s="68" t="s">
        <v>5814</v>
      </c>
      <c r="J1835" s="68"/>
      <c r="K1835" s="68"/>
      <c r="L1835" s="1300" t="s">
        <v>30</v>
      </c>
      <c r="M1835" s="1300"/>
      <c r="N1835" s="1300"/>
      <c r="O1835" s="1300"/>
      <c r="P1835" s="1300"/>
      <c r="Q1835" s="1300"/>
      <c r="R1835" s="1300"/>
      <c r="S1835" s="1300" t="s">
        <v>37</v>
      </c>
      <c r="T1835" s="1300"/>
      <c r="U1835" s="3003" t="s">
        <v>5815</v>
      </c>
      <c r="V1835" s="2837"/>
      <c r="W1835" s="3011" t="s">
        <v>1673</v>
      </c>
    </row>
    <row r="1836" spans="1:23" ht="27" thickBot="1">
      <c r="A1836" s="1941" t="s">
        <v>1495</v>
      </c>
      <c r="B1836" s="1300">
        <v>45624</v>
      </c>
      <c r="C1836" s="2945">
        <v>48</v>
      </c>
      <c r="D1836" s="1115" t="s">
        <v>1413</v>
      </c>
      <c r="E1836" s="1115" t="s">
        <v>3207</v>
      </c>
      <c r="H1836" s="68">
        <v>705</v>
      </c>
      <c r="I1836" s="68" t="s">
        <v>1499</v>
      </c>
      <c r="J1836" s="68"/>
      <c r="K1836" s="68"/>
      <c r="L1836" s="1300" t="s">
        <v>30</v>
      </c>
      <c r="M1836" s="1300"/>
      <c r="N1836" s="1300"/>
      <c r="O1836" s="1300"/>
      <c r="P1836" s="1300"/>
      <c r="Q1836" s="1300"/>
      <c r="R1836" s="1300"/>
      <c r="S1836" s="1300"/>
      <c r="T1836" s="1300"/>
      <c r="U1836" s="1328"/>
      <c r="V1836" s="2151"/>
    </row>
    <row r="1837" spans="1:23" ht="27" thickBot="1">
      <c r="A1837" s="1941" t="s">
        <v>1495</v>
      </c>
      <c r="B1837" s="1300">
        <v>45624</v>
      </c>
      <c r="C1837" s="2945">
        <v>48</v>
      </c>
      <c r="D1837" s="1115" t="s">
        <v>2695</v>
      </c>
      <c r="E1837" s="1115" t="s">
        <v>3207</v>
      </c>
      <c r="H1837" s="68">
        <v>705</v>
      </c>
      <c r="I1837" s="68" t="s">
        <v>566</v>
      </c>
      <c r="J1837" s="68"/>
      <c r="K1837" s="68"/>
      <c r="L1837" s="1300" t="s">
        <v>30</v>
      </c>
      <c r="M1837" s="1300"/>
      <c r="N1837" s="1300"/>
      <c r="O1837" s="1300"/>
      <c r="P1837" s="1300"/>
      <c r="Q1837" s="1300"/>
      <c r="R1837" s="1300"/>
      <c r="S1837" s="1300"/>
      <c r="T1837" s="1300"/>
      <c r="U1837" s="1328"/>
      <c r="V1837" s="2151"/>
    </row>
    <row r="1838" spans="1:23" ht="27" thickBot="1">
      <c r="A1838" s="1941" t="s">
        <v>1495</v>
      </c>
      <c r="B1838" s="1300">
        <v>45624</v>
      </c>
      <c r="C1838" s="2945">
        <v>48</v>
      </c>
      <c r="D1838" s="1115" t="s">
        <v>870</v>
      </c>
      <c r="E1838" s="1115" t="s">
        <v>1160</v>
      </c>
      <c r="H1838" s="68">
        <v>705</v>
      </c>
      <c r="I1838" s="68" t="s">
        <v>566</v>
      </c>
      <c r="J1838" s="68"/>
      <c r="K1838" s="68"/>
      <c r="L1838" s="1300" t="s">
        <v>30</v>
      </c>
      <c r="M1838" s="1300"/>
      <c r="N1838" s="1300"/>
      <c r="O1838" s="1300"/>
      <c r="P1838" s="1300"/>
      <c r="Q1838" s="1300"/>
      <c r="R1838" s="1300"/>
      <c r="S1838" s="1300"/>
      <c r="T1838" s="1300"/>
      <c r="U1838" s="1328"/>
      <c r="V1838" s="2151"/>
    </row>
    <row r="1839" spans="1:23" ht="27" thickBot="1">
      <c r="A1839" s="1941" t="s">
        <v>1495</v>
      </c>
      <c r="B1839" s="1300">
        <v>45624</v>
      </c>
      <c r="C1839" s="2945">
        <v>48</v>
      </c>
      <c r="D1839" s="1115" t="s">
        <v>169</v>
      </c>
      <c r="E1839" s="1115" t="s">
        <v>1256</v>
      </c>
      <c r="H1839" s="68">
        <v>706</v>
      </c>
      <c r="I1839" s="68" t="s">
        <v>5718</v>
      </c>
      <c r="J1839" s="68"/>
      <c r="K1839" s="3002" t="s">
        <v>174</v>
      </c>
      <c r="L1839" s="1300" t="s">
        <v>30</v>
      </c>
      <c r="M1839" s="1300"/>
      <c r="N1839" s="1300"/>
      <c r="O1839" s="1300"/>
      <c r="P1839" s="1300"/>
      <c r="Q1839" s="1300"/>
      <c r="R1839" s="1300"/>
      <c r="S1839" s="1300"/>
      <c r="T1839" s="1300"/>
      <c r="U1839" s="1328"/>
      <c r="V1839" s="2151"/>
    </row>
    <row r="1840" spans="1:23" ht="27" thickBot="1">
      <c r="A1840" s="1941" t="s">
        <v>1495</v>
      </c>
      <c r="B1840" s="1300">
        <v>45624</v>
      </c>
      <c r="C1840" s="2945">
        <v>48</v>
      </c>
      <c r="D1840" s="1241" t="s">
        <v>156</v>
      </c>
      <c r="E1840" s="1241" t="s">
        <v>5816</v>
      </c>
      <c r="H1840" s="68">
        <v>701</v>
      </c>
      <c r="I1840" s="68" t="s">
        <v>5789</v>
      </c>
      <c r="J1840" s="68"/>
      <c r="K1840" s="3002" t="s">
        <v>1613</v>
      </c>
      <c r="L1840" s="1300" t="s">
        <v>30</v>
      </c>
      <c r="M1840" s="1300"/>
      <c r="N1840" s="1300"/>
      <c r="O1840" s="1300"/>
      <c r="P1840" s="1300"/>
      <c r="Q1840" s="1300"/>
      <c r="R1840" s="1300"/>
      <c r="S1840" s="1300"/>
      <c r="T1840" s="2151"/>
      <c r="U1840" s="3003"/>
      <c r="V1840" s="2837"/>
    </row>
    <row r="1841" spans="1:23" ht="27" thickBot="1">
      <c r="A1841" s="1941" t="s">
        <v>1495</v>
      </c>
      <c r="B1841" s="1300">
        <v>45624</v>
      </c>
      <c r="C1841" s="2945">
        <v>48</v>
      </c>
      <c r="D1841" s="1241" t="s">
        <v>3964</v>
      </c>
      <c r="E1841" s="1241" t="s">
        <v>1293</v>
      </c>
      <c r="H1841" s="68">
        <v>701</v>
      </c>
      <c r="I1841" s="68" t="s">
        <v>5800</v>
      </c>
      <c r="J1841" s="68"/>
      <c r="K1841" s="3002" t="s">
        <v>84</v>
      </c>
      <c r="L1841" s="1300" t="s">
        <v>30</v>
      </c>
      <c r="M1841" s="1300"/>
      <c r="N1841" s="1300"/>
      <c r="O1841" s="1300"/>
      <c r="P1841" s="1300"/>
      <c r="Q1841" s="1300"/>
      <c r="R1841" s="1300" t="s">
        <v>37</v>
      </c>
      <c r="S1841" s="1300"/>
      <c r="T1841" s="2151"/>
      <c r="U1841" s="3003"/>
      <c r="V1841" s="2837"/>
    </row>
    <row r="1842" spans="1:23" ht="45.75" thickBot="1">
      <c r="A1842" s="1941" t="s">
        <v>1495</v>
      </c>
      <c r="B1842" s="1300">
        <v>45624</v>
      </c>
      <c r="C1842" s="2945">
        <v>48</v>
      </c>
      <c r="D1842" s="1241" t="s">
        <v>1293</v>
      </c>
      <c r="E1842" s="1241" t="s">
        <v>5817</v>
      </c>
      <c r="H1842" s="68">
        <v>701</v>
      </c>
      <c r="I1842" s="68" t="s">
        <v>5805</v>
      </c>
      <c r="J1842" s="68"/>
      <c r="K1842" s="3009"/>
      <c r="L1842" s="1300" t="s">
        <v>30</v>
      </c>
      <c r="M1842" s="1300"/>
      <c r="N1842" s="1300"/>
      <c r="O1842" s="1300"/>
      <c r="P1842" s="1300"/>
      <c r="Q1842" s="1300"/>
      <c r="R1842" s="1300" t="s">
        <v>37</v>
      </c>
      <c r="S1842" s="1300"/>
      <c r="T1842" s="2151"/>
      <c r="U1842" s="3003"/>
      <c r="V1842" s="2837"/>
      <c r="W1842" s="2838" t="s">
        <v>5818</v>
      </c>
    </row>
    <row r="1843" spans="1:23" ht="27" thickBot="1">
      <c r="A1843" s="1942" t="s">
        <v>1495</v>
      </c>
      <c r="B1843" s="1301">
        <v>45624</v>
      </c>
      <c r="C1843" s="2945">
        <v>48</v>
      </c>
      <c r="D1843" s="1157" t="s">
        <v>2876</v>
      </c>
      <c r="E1843" s="1158" t="s">
        <v>5819</v>
      </c>
      <c r="H1843" s="107">
        <v>701</v>
      </c>
      <c r="I1843" s="107" t="s">
        <v>245</v>
      </c>
      <c r="J1843" s="107"/>
      <c r="K1843" s="107"/>
      <c r="L1843" s="1301" t="s">
        <v>30</v>
      </c>
      <c r="M1843" s="1301"/>
      <c r="N1843" s="1301"/>
      <c r="O1843" s="1301"/>
      <c r="P1843" s="1301"/>
      <c r="Q1843" s="1301"/>
      <c r="R1843" s="1301"/>
      <c r="S1843" s="1301"/>
      <c r="T1843" s="1301"/>
      <c r="U1843" s="1343"/>
      <c r="V1843" s="2311"/>
    </row>
    <row r="1844" spans="1:23" ht="27" thickBot="1">
      <c r="A1844" s="2140" t="s">
        <v>1495</v>
      </c>
      <c r="B1844" s="2141">
        <v>45624</v>
      </c>
      <c r="C1844" s="2945">
        <v>48</v>
      </c>
      <c r="D1844" s="1253" t="s">
        <v>3479</v>
      </c>
      <c r="E1844" s="1253" t="s">
        <v>5820</v>
      </c>
      <c r="H1844" s="166">
        <v>701</v>
      </c>
      <c r="I1844" s="166" t="s">
        <v>245</v>
      </c>
      <c r="J1844" s="166"/>
      <c r="K1844" s="166"/>
      <c r="L1844" s="2141" t="s">
        <v>30</v>
      </c>
      <c r="M1844" s="2141"/>
      <c r="N1844" s="2141"/>
      <c r="O1844" s="2141"/>
      <c r="P1844" s="2141"/>
      <c r="Q1844" s="2141"/>
      <c r="R1844" s="2141"/>
      <c r="S1844" s="2141"/>
      <c r="T1844" s="2141"/>
      <c r="U1844" s="3010"/>
      <c r="V1844" s="2970"/>
    </row>
    <row r="1845" spans="1:23" ht="27" thickBot="1">
      <c r="A1845" s="1939" t="s">
        <v>1857</v>
      </c>
      <c r="B1845" s="1940">
        <v>45625</v>
      </c>
      <c r="C1845" s="2945">
        <v>48</v>
      </c>
      <c r="D1845" s="3007" t="s">
        <v>1160</v>
      </c>
      <c r="E1845" s="3007" t="s">
        <v>535</v>
      </c>
      <c r="H1845" s="180">
        <v>703</v>
      </c>
      <c r="I1845" s="180" t="s">
        <v>5798</v>
      </c>
      <c r="J1845" s="180"/>
      <c r="K1845" s="180"/>
      <c r="L1845" s="1940" t="s">
        <v>37</v>
      </c>
      <c r="M1845" s="1940"/>
      <c r="N1845" s="1940"/>
      <c r="O1845" s="1940"/>
      <c r="P1845" s="1940"/>
      <c r="Q1845" s="1940"/>
      <c r="R1845" s="1940"/>
      <c r="S1845" s="1940"/>
      <c r="T1845" s="1940"/>
      <c r="U1845" s="2957"/>
      <c r="V1845" s="2970"/>
    </row>
    <row r="1846" spans="1:23" ht="27" thickBot="1">
      <c r="A1846" s="76" t="s">
        <v>1857</v>
      </c>
      <c r="B1846" s="1300">
        <v>45625</v>
      </c>
      <c r="C1846" s="2945">
        <v>48</v>
      </c>
      <c r="D1846" s="1115" t="s">
        <v>5821</v>
      </c>
      <c r="E1846" s="1115" t="s">
        <v>1196</v>
      </c>
      <c r="H1846" s="68">
        <v>706</v>
      </c>
      <c r="I1846" s="68" t="s">
        <v>5822</v>
      </c>
      <c r="J1846" s="68"/>
      <c r="K1846" s="3002" t="s">
        <v>84</v>
      </c>
      <c r="L1846" s="1300" t="s">
        <v>37</v>
      </c>
      <c r="M1846" s="1300"/>
      <c r="N1846" s="1300"/>
      <c r="O1846" s="1300"/>
      <c r="P1846" s="1300"/>
      <c r="Q1846" s="1300"/>
      <c r="R1846" s="1300"/>
      <c r="S1846" s="1300"/>
      <c r="T1846" s="1300"/>
      <c r="U1846" s="1300"/>
      <c r="V1846" s="1300"/>
    </row>
    <row r="1847" spans="1:23" ht="53.25" thickBot="1">
      <c r="A1847" s="76" t="s">
        <v>1857</v>
      </c>
      <c r="B1847" s="1300">
        <v>45625</v>
      </c>
      <c r="C1847" s="2945">
        <v>48</v>
      </c>
      <c r="D1847" s="1115" t="s">
        <v>5823</v>
      </c>
      <c r="E1847" s="1115" t="s">
        <v>5824</v>
      </c>
      <c r="H1847" s="68">
        <v>705</v>
      </c>
      <c r="I1847" s="68" t="s">
        <v>566</v>
      </c>
      <c r="J1847" s="68"/>
      <c r="K1847" s="68"/>
      <c r="L1847" s="1300"/>
      <c r="M1847" s="1300" t="s">
        <v>30</v>
      </c>
      <c r="N1847" s="21" t="s">
        <v>71</v>
      </c>
      <c r="O1847" s="21" t="s">
        <v>2989</v>
      </c>
      <c r="P1847" s="21" t="s">
        <v>4330</v>
      </c>
      <c r="Q1847" s="1300"/>
      <c r="R1847" s="1300" t="s">
        <v>37</v>
      </c>
      <c r="S1847" s="1300"/>
      <c r="T1847" s="1300"/>
      <c r="U1847" s="1300" t="s">
        <v>5825</v>
      </c>
      <c r="V1847" s="1300"/>
    </row>
    <row r="1848" spans="1:23" ht="27" thickBot="1">
      <c r="A1848" s="76" t="s">
        <v>1857</v>
      </c>
      <c r="B1848" s="1300">
        <v>45625</v>
      </c>
      <c r="C1848" s="2945">
        <v>48</v>
      </c>
      <c r="D1848" s="1115" t="s">
        <v>2549</v>
      </c>
      <c r="E1848" s="1115" t="s">
        <v>169</v>
      </c>
      <c r="H1848" s="68">
        <v>701</v>
      </c>
      <c r="I1848" s="68" t="s">
        <v>5826</v>
      </c>
      <c r="J1848" s="68"/>
      <c r="K1848" s="68"/>
      <c r="L1848" s="1300" t="s">
        <v>37</v>
      </c>
      <c r="M1848" s="1300"/>
      <c r="N1848" s="1300"/>
      <c r="O1848" s="1300"/>
      <c r="P1848" s="1300"/>
      <c r="Q1848" s="1300"/>
      <c r="R1848" s="1300"/>
      <c r="S1848" s="1300"/>
      <c r="T1848" s="1300"/>
      <c r="U1848" s="1300"/>
      <c r="V1848" s="1300"/>
    </row>
    <row r="1849" spans="1:23" ht="27" thickBot="1">
      <c r="A1849" s="76" t="s">
        <v>1857</v>
      </c>
      <c r="B1849" s="1300">
        <v>45625</v>
      </c>
      <c r="C1849" s="2945">
        <v>48</v>
      </c>
      <c r="D1849" s="1115" t="s">
        <v>3207</v>
      </c>
      <c r="E1849" s="1115" t="s">
        <v>5135</v>
      </c>
      <c r="H1849" s="68">
        <v>705</v>
      </c>
      <c r="I1849" s="68" t="s">
        <v>1706</v>
      </c>
      <c r="J1849" s="68"/>
      <c r="K1849" s="68"/>
      <c r="L1849" s="1300" t="s">
        <v>37</v>
      </c>
      <c r="M1849" s="1300"/>
      <c r="N1849" s="1300"/>
      <c r="O1849" s="1300"/>
      <c r="P1849" s="1300"/>
      <c r="Q1849" s="1300"/>
      <c r="R1849" s="1300"/>
      <c r="S1849" s="1300"/>
      <c r="T1849" s="1300"/>
      <c r="U1849" s="1300"/>
      <c r="V1849" s="1300"/>
    </row>
    <row r="1850" spans="1:23" ht="27" thickBot="1">
      <c r="A1850" s="76" t="s">
        <v>1857</v>
      </c>
      <c r="B1850" s="1300">
        <v>45625</v>
      </c>
      <c r="C1850" s="2945">
        <v>48</v>
      </c>
      <c r="D1850" s="1115" t="s">
        <v>1187</v>
      </c>
      <c r="E1850" s="1115" t="s">
        <v>1169</v>
      </c>
      <c r="H1850" s="68">
        <v>705</v>
      </c>
      <c r="I1850" s="68" t="s">
        <v>1706</v>
      </c>
      <c r="J1850" s="68"/>
      <c r="K1850" s="3002" t="s">
        <v>1274</v>
      </c>
      <c r="L1850" s="1300" t="s">
        <v>37</v>
      </c>
      <c r="M1850" s="1300"/>
      <c r="N1850" s="1300"/>
      <c r="O1850" s="1300"/>
      <c r="P1850" s="1300"/>
      <c r="Q1850" s="1300"/>
      <c r="R1850" s="1300"/>
      <c r="S1850" s="1300"/>
      <c r="T1850" s="1300"/>
      <c r="U1850" s="1300"/>
      <c r="V1850" s="1300"/>
    </row>
    <row r="1851" spans="1:23" ht="27" thickBot="1">
      <c r="A1851" s="76" t="s">
        <v>1857</v>
      </c>
      <c r="B1851" s="1300">
        <v>45625</v>
      </c>
      <c r="C1851" s="2945">
        <v>48</v>
      </c>
      <c r="D1851" s="1115" t="s">
        <v>52</v>
      </c>
      <c r="E1851" s="1115" t="s">
        <v>273</v>
      </c>
      <c r="H1851" s="68">
        <v>705</v>
      </c>
      <c r="I1851" s="68" t="s">
        <v>2854</v>
      </c>
      <c r="J1851" s="68"/>
      <c r="K1851" s="68"/>
      <c r="L1851" s="1300" t="s">
        <v>37</v>
      </c>
      <c r="M1851" s="1300"/>
      <c r="N1851" s="1300"/>
      <c r="O1851" s="1300"/>
      <c r="P1851" s="1300"/>
      <c r="Q1851" s="1300"/>
      <c r="R1851" s="1300"/>
      <c r="S1851" s="1300"/>
      <c r="T1851" s="1300"/>
      <c r="U1851" s="1300"/>
      <c r="V1851" s="1300"/>
    </row>
    <row r="1852" spans="1:23" ht="27" thickBot="1">
      <c r="A1852" s="76" t="s">
        <v>1857</v>
      </c>
      <c r="B1852" s="1300">
        <v>45625</v>
      </c>
      <c r="C1852" s="2945">
        <v>48</v>
      </c>
      <c r="D1852" s="1115" t="s">
        <v>1369</v>
      </c>
      <c r="E1852" s="1115" t="s">
        <v>1780</v>
      </c>
      <c r="H1852" s="68">
        <v>706</v>
      </c>
      <c r="I1852" s="68" t="s">
        <v>5827</v>
      </c>
      <c r="J1852" s="68"/>
      <c r="K1852" s="68"/>
      <c r="L1852" s="1300"/>
      <c r="M1852" s="1300"/>
      <c r="N1852" s="1300"/>
      <c r="O1852" s="1300"/>
      <c r="P1852" s="1300"/>
      <c r="Q1852" s="1300"/>
      <c r="R1852" s="1300"/>
      <c r="S1852" s="1300"/>
      <c r="T1852" s="1300"/>
      <c r="U1852" s="1300" t="s">
        <v>5828</v>
      </c>
      <c r="V1852" s="1300"/>
    </row>
    <row r="1853" spans="1:23">
      <c r="A1853" s="1935" t="s">
        <v>25</v>
      </c>
      <c r="B1853" s="1936">
        <v>45628</v>
      </c>
      <c r="C1853" s="3012">
        <v>49</v>
      </c>
      <c r="D1853" s="445" t="s">
        <v>671</v>
      </c>
      <c r="E1853" s="445" t="s">
        <v>148</v>
      </c>
      <c r="H1853" s="918">
        <v>701</v>
      </c>
      <c r="I1853" s="3031" t="s">
        <v>5829</v>
      </c>
      <c r="K1853" s="1447" t="s">
        <v>84</v>
      </c>
      <c r="L1853" s="918" t="s">
        <v>37</v>
      </c>
      <c r="M1853" s="64"/>
      <c r="N1853" s="1300"/>
      <c r="O1853" s="1300"/>
      <c r="P1853" s="1300"/>
      <c r="Q1853" s="1300"/>
      <c r="R1853" s="1300"/>
      <c r="S1853" s="1300"/>
      <c r="T1853" s="1300"/>
      <c r="U1853" s="1515"/>
      <c r="V1853" s="1041"/>
    </row>
    <row r="1854" spans="1:23">
      <c r="A1854" s="1941" t="s">
        <v>25</v>
      </c>
      <c r="B1854" s="1300">
        <v>45628</v>
      </c>
      <c r="C1854" s="3012">
        <v>49</v>
      </c>
      <c r="D1854" s="988" t="s">
        <v>537</v>
      </c>
      <c r="E1854" s="988" t="s">
        <v>5830</v>
      </c>
      <c r="H1854" s="923">
        <v>701</v>
      </c>
      <c r="I1854" s="3032" t="s">
        <v>5831</v>
      </c>
      <c r="K1854" s="925" t="s">
        <v>1206</v>
      </c>
      <c r="L1854" s="923" t="s">
        <v>37</v>
      </c>
      <c r="M1854" s="71"/>
      <c r="N1854" s="1300"/>
      <c r="O1854" s="1300"/>
      <c r="P1854" s="1300"/>
      <c r="Q1854" s="1300"/>
      <c r="R1854" s="1300"/>
      <c r="S1854" s="1300"/>
      <c r="T1854" s="1300"/>
      <c r="U1854" s="93"/>
      <c r="V1854" s="593"/>
    </row>
    <row r="1855" spans="1:23">
      <c r="A1855" s="1941" t="s">
        <v>25</v>
      </c>
      <c r="B1855" s="1300">
        <v>45628</v>
      </c>
      <c r="C1855" s="3012">
        <v>49</v>
      </c>
      <c r="D1855" s="988" t="s">
        <v>296</v>
      </c>
      <c r="E1855" s="988" t="s">
        <v>1614</v>
      </c>
      <c r="H1855" s="923">
        <v>701</v>
      </c>
      <c r="I1855" s="3032" t="s">
        <v>5831</v>
      </c>
      <c r="K1855" s="925"/>
      <c r="L1855" s="923" t="s">
        <v>37</v>
      </c>
      <c r="M1855" s="71"/>
      <c r="N1855" s="1300"/>
      <c r="O1855" s="1300"/>
      <c r="P1855" s="1300"/>
      <c r="Q1855" s="1300"/>
      <c r="R1855" s="1300"/>
      <c r="S1855" s="1300"/>
      <c r="T1855" s="1300"/>
      <c r="U1855" s="93"/>
      <c r="V1855" s="593"/>
    </row>
    <row r="1856" spans="1:23">
      <c r="A1856" s="1941" t="s">
        <v>25</v>
      </c>
      <c r="B1856" s="1300">
        <v>45628</v>
      </c>
      <c r="C1856" s="3012">
        <v>49</v>
      </c>
      <c r="D1856" s="439" t="s">
        <v>80</v>
      </c>
      <c r="E1856" s="439" t="s">
        <v>1201</v>
      </c>
      <c r="H1856" s="923">
        <v>701</v>
      </c>
      <c r="I1856" s="1414" t="s">
        <v>5832</v>
      </c>
      <c r="K1856" s="925" t="s">
        <v>1206</v>
      </c>
      <c r="L1856" s="923" t="s">
        <v>37</v>
      </c>
      <c r="M1856" s="71"/>
      <c r="N1856" s="1300"/>
      <c r="O1856" s="1300"/>
      <c r="P1856" s="1300"/>
      <c r="Q1856" s="1300"/>
      <c r="R1856" s="1300"/>
      <c r="S1856" s="1300"/>
      <c r="T1856" s="1300"/>
      <c r="U1856" s="93"/>
      <c r="V1856" s="593"/>
    </row>
    <row r="1857" spans="1:22">
      <c r="A1857" s="1941" t="s">
        <v>25</v>
      </c>
      <c r="B1857" s="1300">
        <v>45628</v>
      </c>
      <c r="C1857" s="3012">
        <v>49</v>
      </c>
      <c r="D1857" s="439" t="s">
        <v>943</v>
      </c>
      <c r="E1857" s="439" t="s">
        <v>5833</v>
      </c>
      <c r="H1857" s="923">
        <v>701</v>
      </c>
      <c r="I1857" s="1414">
        <v>60093</v>
      </c>
      <c r="K1857" s="925" t="s">
        <v>1206</v>
      </c>
      <c r="L1857" s="923" t="s">
        <v>37</v>
      </c>
      <c r="M1857" s="71"/>
      <c r="N1857" s="1300"/>
      <c r="O1857" s="1300"/>
      <c r="P1857" s="1300"/>
      <c r="Q1857" s="1300"/>
      <c r="R1857" s="1300"/>
      <c r="S1857" s="1300"/>
      <c r="T1857" s="1300"/>
      <c r="U1857" s="93"/>
      <c r="V1857" s="593"/>
    </row>
    <row r="1858" spans="1:22">
      <c r="A1858" s="1941" t="s">
        <v>25</v>
      </c>
      <c r="B1858" s="1300">
        <v>45628</v>
      </c>
      <c r="C1858" s="3012">
        <v>49</v>
      </c>
      <c r="D1858" s="439" t="s">
        <v>1527</v>
      </c>
      <c r="E1858" s="439" t="s">
        <v>1659</v>
      </c>
      <c r="H1858" s="923">
        <v>701</v>
      </c>
      <c r="I1858" s="1414">
        <v>60093</v>
      </c>
      <c r="K1858" s="923"/>
      <c r="L1858" s="923" t="s">
        <v>37</v>
      </c>
      <c r="M1858" s="71"/>
      <c r="N1858" s="1300"/>
      <c r="O1858" s="1300"/>
      <c r="P1858" s="1300"/>
      <c r="Q1858" s="1300"/>
      <c r="R1858" s="1300"/>
      <c r="S1858" s="1300"/>
      <c r="T1858" s="1300"/>
      <c r="U1858" s="93"/>
      <c r="V1858" s="593"/>
    </row>
    <row r="1859" spans="1:22">
      <c r="A1859" s="1941" t="s">
        <v>25</v>
      </c>
      <c r="B1859" s="1300">
        <v>45628</v>
      </c>
      <c r="C1859" s="3012">
        <v>49</v>
      </c>
      <c r="D1859" s="439" t="s">
        <v>282</v>
      </c>
      <c r="E1859" s="439" t="s">
        <v>169</v>
      </c>
      <c r="H1859" s="923">
        <v>701</v>
      </c>
      <c r="I1859" s="1414" t="s">
        <v>5834</v>
      </c>
      <c r="K1859" s="925" t="s">
        <v>1206</v>
      </c>
      <c r="L1859" s="923" t="s">
        <v>37</v>
      </c>
      <c r="M1859" s="71"/>
      <c r="N1859" s="1300"/>
      <c r="O1859" s="1300"/>
      <c r="P1859" s="1300"/>
      <c r="Q1859" s="1300"/>
      <c r="R1859" s="1300"/>
      <c r="S1859" s="1300"/>
      <c r="T1859" s="1300"/>
      <c r="U1859" s="93"/>
      <c r="V1859" s="593"/>
    </row>
    <row r="1860" spans="1:22">
      <c r="A1860" s="1941" t="s">
        <v>25</v>
      </c>
      <c r="B1860" s="1300">
        <v>45628</v>
      </c>
      <c r="C1860" s="3012">
        <v>49</v>
      </c>
      <c r="D1860" s="439" t="s">
        <v>537</v>
      </c>
      <c r="E1860" s="439" t="s">
        <v>3764</v>
      </c>
      <c r="H1860" s="923">
        <v>701</v>
      </c>
      <c r="I1860" s="1414" t="s">
        <v>245</v>
      </c>
      <c r="K1860" s="925" t="s">
        <v>1206</v>
      </c>
      <c r="L1860" s="923" t="s">
        <v>37</v>
      </c>
      <c r="M1860" s="71"/>
      <c r="N1860" s="1300"/>
      <c r="O1860" s="1300"/>
      <c r="P1860" s="1300"/>
      <c r="Q1860" s="1300"/>
      <c r="R1860" s="1300"/>
      <c r="S1860" s="1300"/>
      <c r="T1860" s="1300"/>
      <c r="U1860" s="93"/>
      <c r="V1860" s="593"/>
    </row>
    <row r="1861" spans="1:22">
      <c r="A1861" s="1941" t="s">
        <v>25</v>
      </c>
      <c r="B1861" s="1300">
        <v>45628</v>
      </c>
      <c r="C1861" s="3012">
        <v>49</v>
      </c>
      <c r="D1861" s="993" t="s">
        <v>89</v>
      </c>
      <c r="E1861" s="993" t="s">
        <v>183</v>
      </c>
      <c r="H1861" s="923">
        <v>706</v>
      </c>
      <c r="I1861" s="1414" t="s">
        <v>5835</v>
      </c>
      <c r="K1861" s="923"/>
      <c r="L1861" s="923" t="s">
        <v>37</v>
      </c>
      <c r="M1861" s="71"/>
      <c r="N1861" s="1300"/>
      <c r="O1861" s="1300"/>
      <c r="P1861" s="1300"/>
      <c r="Q1861" s="1300"/>
      <c r="R1861" s="1300"/>
      <c r="S1861" s="1300"/>
      <c r="T1861" s="1300"/>
      <c r="U1861" s="93"/>
      <c r="V1861" s="593"/>
    </row>
    <row r="1862" spans="1:22">
      <c r="A1862" s="1941" t="s">
        <v>25</v>
      </c>
      <c r="B1862" s="1300">
        <v>45628</v>
      </c>
      <c r="C1862" s="3012">
        <v>49</v>
      </c>
      <c r="D1862" s="1194" t="s">
        <v>258</v>
      </c>
      <c r="E1862" s="1194" t="s">
        <v>168</v>
      </c>
      <c r="H1862" s="923">
        <v>705</v>
      </c>
      <c r="I1862" s="1414" t="s">
        <v>566</v>
      </c>
      <c r="K1862" s="923"/>
      <c r="L1862" s="923" t="s">
        <v>37</v>
      </c>
      <c r="M1862" s="71"/>
      <c r="N1862" s="1300"/>
      <c r="O1862" s="1300"/>
      <c r="P1862" s="1300"/>
      <c r="Q1862" s="1300"/>
      <c r="R1862" s="1300"/>
      <c r="S1862" s="1300"/>
      <c r="T1862" s="1300"/>
      <c r="U1862" s="93"/>
      <c r="V1862" s="593"/>
    </row>
    <row r="1863" spans="1:22">
      <c r="A1863" s="1941" t="s">
        <v>25</v>
      </c>
      <c r="B1863" s="2151">
        <v>45628</v>
      </c>
      <c r="C1863" s="3012">
        <v>49</v>
      </c>
      <c r="D1863" s="3023" t="s">
        <v>169</v>
      </c>
      <c r="E1863" s="439" t="s">
        <v>596</v>
      </c>
      <c r="H1863" s="923">
        <v>705</v>
      </c>
      <c r="I1863" s="1414" t="s">
        <v>2105</v>
      </c>
      <c r="K1863" s="1442" t="s">
        <v>84</v>
      </c>
      <c r="L1863" s="923" t="s">
        <v>37</v>
      </c>
      <c r="M1863" s="71"/>
      <c r="N1863" s="1300"/>
      <c r="O1863" s="1300"/>
      <c r="P1863" s="1300"/>
      <c r="Q1863" s="1300"/>
      <c r="R1863" s="1300"/>
      <c r="S1863" s="1300"/>
      <c r="T1863" s="1300"/>
      <c r="U1863" s="93"/>
      <c r="V1863" s="593"/>
    </row>
    <row r="1864" spans="1:22">
      <c r="A1864" s="1941" t="s">
        <v>25</v>
      </c>
      <c r="B1864" s="1300">
        <v>45628</v>
      </c>
      <c r="C1864" s="3012">
        <v>49</v>
      </c>
      <c r="D1864" s="439" t="s">
        <v>1811</v>
      </c>
      <c r="E1864" s="439" t="s">
        <v>264</v>
      </c>
      <c r="H1864" s="923">
        <v>706</v>
      </c>
      <c r="I1864" s="1414" t="s">
        <v>121</v>
      </c>
      <c r="K1864" s="1442" t="s">
        <v>29</v>
      </c>
      <c r="L1864" s="923" t="s">
        <v>37</v>
      </c>
      <c r="M1864" s="71"/>
      <c r="N1864" s="1300"/>
      <c r="O1864" s="1300"/>
      <c r="P1864" s="1300"/>
      <c r="Q1864" s="1300"/>
      <c r="R1864" s="1300"/>
      <c r="S1864" s="1300"/>
      <c r="T1864" s="1300"/>
      <c r="U1864" s="93"/>
      <c r="V1864" s="593"/>
    </row>
    <row r="1865" spans="1:22" ht="53.25" thickBot="1">
      <c r="A1865" s="1938" t="s">
        <v>25</v>
      </c>
      <c r="B1865" s="1312">
        <v>45628</v>
      </c>
      <c r="C1865" s="3012">
        <v>49</v>
      </c>
      <c r="D1865" s="449" t="s">
        <v>1740</v>
      </c>
      <c r="E1865" s="449" t="s">
        <v>258</v>
      </c>
      <c r="H1865" s="957">
        <v>704</v>
      </c>
      <c r="I1865" s="2662" t="s">
        <v>5836</v>
      </c>
      <c r="K1865" s="925" t="s">
        <v>1206</v>
      </c>
      <c r="L1865" s="923"/>
      <c r="M1865" s="71" t="s">
        <v>37</v>
      </c>
      <c r="N1865" s="21" t="s">
        <v>0</v>
      </c>
      <c r="O1865" s="21" t="s">
        <v>187</v>
      </c>
      <c r="P1865" s="21" t="s">
        <v>4128</v>
      </c>
      <c r="Q1865" s="1300"/>
      <c r="R1865" s="1300"/>
      <c r="S1865" s="1300"/>
      <c r="T1865" s="1300"/>
      <c r="U1865" s="93" t="s">
        <v>5837</v>
      </c>
      <c r="V1865" s="593"/>
    </row>
    <row r="1866" spans="1:22">
      <c r="A1866" s="1935" t="s">
        <v>67</v>
      </c>
      <c r="B1866" s="1936">
        <v>45629</v>
      </c>
      <c r="C1866" s="3012">
        <v>49</v>
      </c>
      <c r="D1866" s="3024" t="s">
        <v>847</v>
      </c>
      <c r="E1866" s="3024" t="s">
        <v>5838</v>
      </c>
      <c r="H1866" s="918">
        <v>701</v>
      </c>
      <c r="I1866" s="2659" t="s">
        <v>5839</v>
      </c>
      <c r="K1866" s="923"/>
      <c r="L1866" s="923" t="s">
        <v>30</v>
      </c>
      <c r="M1866" s="71"/>
      <c r="N1866" s="21"/>
      <c r="O1866" s="21"/>
      <c r="P1866" s="21"/>
      <c r="Q1866" s="1300"/>
      <c r="R1866" s="1300"/>
      <c r="S1866" s="1300"/>
      <c r="T1866" s="1300"/>
      <c r="U1866" s="93"/>
      <c r="V1866" s="593"/>
    </row>
    <row r="1867" spans="1:22" ht="52.5">
      <c r="A1867" s="1942" t="s">
        <v>67</v>
      </c>
      <c r="B1867" s="2311">
        <v>45629</v>
      </c>
      <c r="C1867" s="3012">
        <v>49</v>
      </c>
      <c r="D1867" s="3025" t="s">
        <v>169</v>
      </c>
      <c r="E1867" s="993" t="s">
        <v>1123</v>
      </c>
      <c r="H1867" s="923">
        <v>706</v>
      </c>
      <c r="I1867" s="1414" t="s">
        <v>5835</v>
      </c>
      <c r="K1867" s="1569"/>
      <c r="L1867" s="923"/>
      <c r="M1867" s="71" t="s">
        <v>30</v>
      </c>
      <c r="N1867" s="21" t="s">
        <v>0</v>
      </c>
      <c r="O1867" s="21" t="s">
        <v>31</v>
      </c>
      <c r="P1867" s="21" t="s">
        <v>4102</v>
      </c>
      <c r="Q1867" s="1300"/>
      <c r="R1867" s="1300"/>
      <c r="S1867" s="1300"/>
      <c r="T1867" s="1300"/>
      <c r="U1867" s="93" t="s">
        <v>5840</v>
      </c>
      <c r="V1867" s="593"/>
    </row>
    <row r="1868" spans="1:22">
      <c r="A1868" s="1942" t="s">
        <v>67</v>
      </c>
      <c r="B1868" s="1301">
        <v>45629</v>
      </c>
      <c r="C1868" s="3012">
        <v>49</v>
      </c>
      <c r="D1868" s="1194" t="s">
        <v>3046</v>
      </c>
      <c r="E1868" s="1194" t="s">
        <v>4209</v>
      </c>
      <c r="H1868" s="923">
        <v>706</v>
      </c>
      <c r="I1868" s="1414" t="s">
        <v>356</v>
      </c>
      <c r="K1868" s="1442" t="s">
        <v>29</v>
      </c>
      <c r="L1868" s="923" t="s">
        <v>37</v>
      </c>
      <c r="M1868" s="71"/>
      <c r="N1868" s="1300"/>
      <c r="O1868" s="1300"/>
      <c r="P1868" s="1300"/>
      <c r="Q1868" s="1300"/>
      <c r="R1868" s="1300"/>
      <c r="S1868" s="1300"/>
      <c r="T1868" s="1300"/>
      <c r="U1868" s="93"/>
      <c r="V1868" s="593"/>
    </row>
    <row r="1869" spans="1:22">
      <c r="A1869" s="1942" t="s">
        <v>67</v>
      </c>
      <c r="B1869" s="1301">
        <v>45629</v>
      </c>
      <c r="C1869" s="3012">
        <v>49</v>
      </c>
      <c r="D1869" s="3026" t="s">
        <v>148</v>
      </c>
      <c r="E1869" s="3026" t="s">
        <v>5841</v>
      </c>
      <c r="H1869" s="923">
        <v>702</v>
      </c>
      <c r="I1869" s="1414" t="s">
        <v>1627</v>
      </c>
      <c r="K1869" s="1442" t="s">
        <v>84</v>
      </c>
      <c r="L1869" s="923" t="s">
        <v>37</v>
      </c>
      <c r="M1869" s="71"/>
      <c r="N1869" s="1300"/>
      <c r="O1869" s="1300"/>
      <c r="P1869" s="1300"/>
      <c r="Q1869" s="1300"/>
      <c r="R1869" s="1300"/>
      <c r="S1869" s="1300"/>
      <c r="T1869" s="1300"/>
      <c r="U1869" s="93"/>
      <c r="V1869" s="593"/>
    </row>
    <row r="1870" spans="1:22">
      <c r="A1870" s="1942" t="s">
        <v>67</v>
      </c>
      <c r="B1870" s="1301">
        <v>45629</v>
      </c>
      <c r="C1870" s="3012">
        <v>49</v>
      </c>
      <c r="D1870" s="441" t="s">
        <v>148</v>
      </c>
      <c r="E1870" s="441" t="s">
        <v>4020</v>
      </c>
      <c r="H1870" s="923">
        <v>702</v>
      </c>
      <c r="I1870" s="1414" t="s">
        <v>318</v>
      </c>
      <c r="K1870" s="923"/>
      <c r="L1870" s="923" t="s">
        <v>37</v>
      </c>
      <c r="M1870" s="71"/>
      <c r="N1870" s="1300"/>
      <c r="O1870" s="1300"/>
      <c r="P1870" s="1300"/>
      <c r="Q1870" s="1300"/>
      <c r="R1870" s="1300"/>
      <c r="S1870" s="1300"/>
      <c r="T1870" s="1300"/>
      <c r="U1870" s="93"/>
      <c r="V1870" s="593"/>
    </row>
    <row r="1871" spans="1:22">
      <c r="A1871" s="1942" t="s">
        <v>67</v>
      </c>
      <c r="B1871" s="1301">
        <v>45629</v>
      </c>
      <c r="C1871" s="3012">
        <v>49</v>
      </c>
      <c r="D1871" s="439" t="s">
        <v>1571</v>
      </c>
      <c r="E1871" s="439" t="s">
        <v>169</v>
      </c>
      <c r="H1871" s="923">
        <v>706</v>
      </c>
      <c r="I1871" s="1414" t="s">
        <v>5842</v>
      </c>
      <c r="K1871" s="1442" t="s">
        <v>174</v>
      </c>
      <c r="L1871" s="923" t="s">
        <v>37</v>
      </c>
      <c r="M1871" s="71"/>
      <c r="N1871" s="1300"/>
      <c r="O1871" s="1300"/>
      <c r="P1871" s="1300"/>
      <c r="Q1871" s="1300"/>
      <c r="R1871" s="1300"/>
      <c r="S1871" s="1300"/>
      <c r="T1871" s="1300"/>
      <c r="U1871" s="93"/>
      <c r="V1871" s="593"/>
    </row>
    <row r="1872" spans="1:22">
      <c r="A1872" s="1942" t="s">
        <v>67</v>
      </c>
      <c r="B1872" s="1301">
        <v>45629</v>
      </c>
      <c r="C1872" s="3012">
        <v>49</v>
      </c>
      <c r="D1872" s="439" t="s">
        <v>1225</v>
      </c>
      <c r="E1872" s="439" t="s">
        <v>80</v>
      </c>
      <c r="H1872" s="923">
        <v>701</v>
      </c>
      <c r="I1872" s="1414">
        <v>60015</v>
      </c>
      <c r="K1872" s="923"/>
      <c r="L1872" s="923" t="s">
        <v>37</v>
      </c>
      <c r="M1872" s="71"/>
      <c r="N1872" s="1300"/>
      <c r="O1872" s="1300"/>
      <c r="P1872" s="1300"/>
      <c r="Q1872" s="1300"/>
      <c r="R1872" s="1300"/>
      <c r="S1872" s="1300"/>
      <c r="T1872" s="1300"/>
      <c r="U1872" s="93"/>
      <c r="V1872" s="593"/>
    </row>
    <row r="1873" spans="1:22">
      <c r="A1873" s="1942" t="s">
        <v>67</v>
      </c>
      <c r="B1873" s="1301">
        <v>45629</v>
      </c>
      <c r="C1873" s="3012">
        <v>49</v>
      </c>
      <c r="D1873" s="1521" t="s">
        <v>43</v>
      </c>
      <c r="E1873" s="1521" t="s">
        <v>584</v>
      </c>
      <c r="H1873" s="923">
        <v>703</v>
      </c>
      <c r="I1873" s="1414" t="s">
        <v>902</v>
      </c>
      <c r="K1873" s="923"/>
      <c r="L1873" s="923" t="s">
        <v>37</v>
      </c>
      <c r="M1873" s="71"/>
      <c r="N1873" s="1300"/>
      <c r="O1873" s="1300"/>
      <c r="P1873" s="1300"/>
      <c r="Q1873" s="1300"/>
      <c r="R1873" s="1300"/>
      <c r="S1873" s="1300"/>
      <c r="T1873" s="1300"/>
      <c r="U1873" s="93"/>
      <c r="V1873" s="593"/>
    </row>
    <row r="1874" spans="1:22">
      <c r="A1874" s="1942" t="s">
        <v>67</v>
      </c>
      <c r="B1874" s="1301">
        <v>45629</v>
      </c>
      <c r="C1874" s="3012">
        <v>49</v>
      </c>
      <c r="D1874" s="1521" t="s">
        <v>586</v>
      </c>
      <c r="E1874" s="1521" t="s">
        <v>830</v>
      </c>
      <c r="H1874" s="923">
        <v>703</v>
      </c>
      <c r="I1874" s="1414" t="s">
        <v>902</v>
      </c>
      <c r="K1874" s="923"/>
      <c r="L1874" s="923" t="s">
        <v>37</v>
      </c>
      <c r="M1874" s="71"/>
      <c r="N1874" s="1300"/>
      <c r="O1874" s="1300"/>
      <c r="P1874" s="1300"/>
      <c r="Q1874" s="1300"/>
      <c r="R1874" s="1300"/>
      <c r="S1874" s="1300"/>
      <c r="T1874" s="1300"/>
      <c r="U1874" s="93"/>
      <c r="V1874" s="593"/>
    </row>
    <row r="1875" spans="1:22">
      <c r="A1875" s="1942" t="s">
        <v>67</v>
      </c>
      <c r="B1875" s="1301">
        <v>45629</v>
      </c>
      <c r="C1875" s="3012">
        <v>49</v>
      </c>
      <c r="D1875" s="993" t="s">
        <v>1073</v>
      </c>
      <c r="E1875" s="993" t="s">
        <v>1223</v>
      </c>
      <c r="H1875" s="923">
        <v>702</v>
      </c>
      <c r="I1875" s="1414" t="s">
        <v>5843</v>
      </c>
      <c r="K1875" s="923"/>
      <c r="L1875" s="923" t="s">
        <v>37</v>
      </c>
      <c r="M1875" s="71"/>
      <c r="N1875" s="1300"/>
      <c r="O1875" s="1300"/>
      <c r="P1875" s="1300"/>
      <c r="Q1875" s="1300"/>
      <c r="R1875" s="1300"/>
      <c r="S1875" s="1300"/>
      <c r="T1875" s="1300"/>
      <c r="U1875" s="93"/>
      <c r="V1875" s="593"/>
    </row>
    <row r="1876" spans="1:22">
      <c r="A1876" s="1942" t="s">
        <v>67</v>
      </c>
      <c r="B1876" s="1301">
        <v>45629</v>
      </c>
      <c r="C1876" s="3012">
        <v>49</v>
      </c>
      <c r="D1876" s="3027" t="s">
        <v>5844</v>
      </c>
      <c r="E1876" s="3027" t="s">
        <v>2750</v>
      </c>
      <c r="H1876" s="1001"/>
      <c r="I1876" s="1414" t="s">
        <v>5843</v>
      </c>
      <c r="K1876" s="1442" t="s">
        <v>84</v>
      </c>
      <c r="L1876" s="923" t="s">
        <v>37</v>
      </c>
      <c r="M1876" s="71"/>
      <c r="N1876" s="1300"/>
      <c r="O1876" s="1300"/>
      <c r="P1876" s="1300"/>
      <c r="Q1876" s="1300"/>
      <c r="R1876" s="1300"/>
      <c r="S1876" s="1300"/>
      <c r="T1876" s="1300"/>
      <c r="U1876" s="93"/>
      <c r="V1876" s="593"/>
    </row>
    <row r="1877" spans="1:22" ht="27" thickBot="1">
      <c r="A1877" s="2140" t="s">
        <v>67</v>
      </c>
      <c r="B1877" s="2141">
        <v>45629</v>
      </c>
      <c r="C1877" s="3012">
        <v>49</v>
      </c>
      <c r="D1877" s="3028" t="s">
        <v>264</v>
      </c>
      <c r="E1877" s="3028" t="s">
        <v>263</v>
      </c>
      <c r="H1877" s="957">
        <v>706</v>
      </c>
      <c r="I1877" s="2662" t="s">
        <v>5845</v>
      </c>
      <c r="K1877" s="923"/>
      <c r="L1877" s="923" t="s">
        <v>37</v>
      </c>
      <c r="M1877" s="71"/>
      <c r="N1877" s="1300"/>
      <c r="O1877" s="1300"/>
      <c r="P1877" s="1300"/>
      <c r="Q1877" s="1300"/>
      <c r="R1877" s="1300"/>
      <c r="S1877" s="1300"/>
      <c r="T1877" s="1300"/>
      <c r="U1877" s="93"/>
      <c r="V1877" s="593"/>
    </row>
    <row r="1878" spans="1:22">
      <c r="A1878" s="1935" t="s">
        <v>85</v>
      </c>
      <c r="B1878" s="1936">
        <v>45630</v>
      </c>
      <c r="C1878" s="3012">
        <v>49</v>
      </c>
      <c r="D1878" s="3029" t="s">
        <v>1153</v>
      </c>
      <c r="E1878" s="3029" t="s">
        <v>5552</v>
      </c>
      <c r="H1878" s="918">
        <v>702</v>
      </c>
      <c r="I1878" s="2659" t="s">
        <v>1627</v>
      </c>
      <c r="K1878" s="1442" t="s">
        <v>84</v>
      </c>
      <c r="L1878" s="923" t="s">
        <v>37</v>
      </c>
      <c r="M1878" s="71"/>
      <c r="N1878" s="1300"/>
      <c r="O1878" s="1300"/>
      <c r="P1878" s="1300"/>
      <c r="Q1878" s="1300"/>
      <c r="R1878" s="1300"/>
      <c r="S1878" s="1300"/>
      <c r="T1878" s="1300"/>
      <c r="U1878" s="93"/>
      <c r="V1878" s="593"/>
    </row>
    <row r="1879" spans="1:22">
      <c r="A1879" s="1942" t="s">
        <v>85</v>
      </c>
      <c r="B1879" s="1301">
        <v>45630</v>
      </c>
      <c r="C1879" s="3012">
        <v>49</v>
      </c>
      <c r="D1879" s="441" t="s">
        <v>1091</v>
      </c>
      <c r="E1879" s="441" t="s">
        <v>142</v>
      </c>
      <c r="H1879" s="923">
        <v>702</v>
      </c>
      <c r="I1879" s="1414" t="s">
        <v>318</v>
      </c>
      <c r="K1879" s="923"/>
      <c r="L1879" s="923" t="s">
        <v>37</v>
      </c>
      <c r="M1879" s="71"/>
      <c r="N1879" s="1300"/>
      <c r="O1879" s="1300"/>
      <c r="P1879" s="1300"/>
      <c r="Q1879" s="1300"/>
      <c r="R1879" s="1300"/>
      <c r="S1879" s="1300"/>
      <c r="T1879" s="1300"/>
      <c r="U1879" s="93"/>
      <c r="V1879" s="593"/>
    </row>
    <row r="1880" spans="1:22" ht="131.25">
      <c r="A1880" s="1942" t="s">
        <v>85</v>
      </c>
      <c r="B1880" s="1301">
        <v>45630</v>
      </c>
      <c r="C1880" s="3012">
        <v>49</v>
      </c>
      <c r="D1880" s="1555" t="s">
        <v>148</v>
      </c>
      <c r="E1880" s="1555" t="s">
        <v>463</v>
      </c>
      <c r="H1880" s="923">
        <v>706</v>
      </c>
      <c r="I1880" s="1414" t="s">
        <v>5845</v>
      </c>
      <c r="K1880" s="1001"/>
      <c r="L1880" s="923"/>
      <c r="M1880" s="71" t="s">
        <v>37</v>
      </c>
      <c r="N1880" s="21" t="s">
        <v>122</v>
      </c>
      <c r="O1880" s="21" t="s">
        <v>123</v>
      </c>
      <c r="P1880" s="21" t="s">
        <v>4102</v>
      </c>
      <c r="Q1880" s="1300"/>
      <c r="R1880" s="1300"/>
      <c r="S1880" s="1300"/>
      <c r="T1880" s="1300"/>
      <c r="U1880" s="93" t="s">
        <v>5846</v>
      </c>
      <c r="V1880" s="593"/>
    </row>
    <row r="1881" spans="1:22" ht="52.5">
      <c r="A1881" s="1942" t="s">
        <v>85</v>
      </c>
      <c r="B1881" s="1301">
        <v>45630</v>
      </c>
      <c r="C1881" s="3012">
        <v>49</v>
      </c>
      <c r="D1881" s="3025" t="s">
        <v>169</v>
      </c>
      <c r="E1881" s="993" t="s">
        <v>1123</v>
      </c>
      <c r="H1881" s="923">
        <v>706</v>
      </c>
      <c r="I1881" s="1414" t="s">
        <v>5835</v>
      </c>
      <c r="K1881" s="923"/>
      <c r="L1881" s="1569"/>
      <c r="M1881" s="71" t="s">
        <v>37</v>
      </c>
      <c r="N1881" s="21" t="s">
        <v>0</v>
      </c>
      <c r="O1881" s="21" t="s">
        <v>31</v>
      </c>
      <c r="P1881" s="21" t="s">
        <v>4102</v>
      </c>
      <c r="Q1881" s="1300"/>
      <c r="R1881" s="1300"/>
      <c r="S1881" s="1300"/>
      <c r="T1881" s="1300"/>
      <c r="U1881" s="93" t="s">
        <v>5847</v>
      </c>
      <c r="V1881" s="593"/>
    </row>
    <row r="1882" spans="1:22" ht="27" thickBot="1">
      <c r="A1882" s="2140" t="s">
        <v>85</v>
      </c>
      <c r="B1882" s="2141">
        <v>45630</v>
      </c>
      <c r="C1882" s="3012">
        <v>49</v>
      </c>
      <c r="D1882" s="449" t="s">
        <v>264</v>
      </c>
      <c r="E1882" s="449" t="s">
        <v>258</v>
      </c>
      <c r="H1882" s="957">
        <v>706</v>
      </c>
      <c r="I1882" s="2662" t="s">
        <v>3815</v>
      </c>
      <c r="K1882" s="1009"/>
      <c r="L1882" s="923" t="s">
        <v>37</v>
      </c>
      <c r="M1882" s="71"/>
      <c r="N1882" s="1300"/>
      <c r="O1882" s="1300"/>
      <c r="P1882" s="1300"/>
      <c r="Q1882" s="1300"/>
      <c r="R1882" s="1300"/>
      <c r="S1882" s="1300"/>
      <c r="T1882" s="1300"/>
      <c r="U1882" s="93"/>
      <c r="V1882" s="593"/>
    </row>
    <row r="1883" spans="1:22" ht="52.5">
      <c r="A1883" s="1935" t="s">
        <v>105</v>
      </c>
      <c r="B1883" s="1936">
        <v>45631</v>
      </c>
      <c r="C1883" s="3012">
        <v>49</v>
      </c>
      <c r="D1883" s="445" t="s">
        <v>840</v>
      </c>
      <c r="E1883" s="445" t="s">
        <v>48</v>
      </c>
      <c r="H1883" s="918">
        <v>705</v>
      </c>
      <c r="I1883" s="2659" t="s">
        <v>318</v>
      </c>
      <c r="K1883" s="923"/>
      <c r="L1883" s="923"/>
      <c r="M1883" s="71" t="s">
        <v>37</v>
      </c>
      <c r="N1883" s="21" t="s">
        <v>0</v>
      </c>
      <c r="O1883" s="21" t="s">
        <v>187</v>
      </c>
      <c r="P1883" s="21" t="s">
        <v>4330</v>
      </c>
      <c r="Q1883" s="1300"/>
      <c r="R1883" s="1300"/>
      <c r="S1883" s="1300"/>
      <c r="T1883" s="1300"/>
      <c r="U1883" s="93" t="s">
        <v>5848</v>
      </c>
      <c r="V1883" s="593"/>
    </row>
    <row r="1884" spans="1:22">
      <c r="A1884" s="1942" t="s">
        <v>105</v>
      </c>
      <c r="B1884" s="1301">
        <v>45631</v>
      </c>
      <c r="C1884" s="3012">
        <v>49</v>
      </c>
      <c r="D1884" s="439" t="s">
        <v>2750</v>
      </c>
      <c r="E1884" s="439" t="s">
        <v>304</v>
      </c>
      <c r="H1884" s="923">
        <v>706</v>
      </c>
      <c r="I1884" s="1414" t="s">
        <v>5453</v>
      </c>
      <c r="K1884" s="1442" t="s">
        <v>4632</v>
      </c>
      <c r="L1884" s="923" t="s">
        <v>37</v>
      </c>
      <c r="M1884" s="71"/>
      <c r="N1884" s="1300"/>
      <c r="O1884" s="1300"/>
      <c r="P1884" s="1300"/>
      <c r="Q1884" s="1300"/>
      <c r="R1884" s="1300"/>
      <c r="S1884" s="1300"/>
      <c r="T1884" s="1300"/>
      <c r="U1884" s="93"/>
      <c r="V1884" s="593"/>
    </row>
    <row r="1885" spans="1:22" ht="78.75">
      <c r="A1885" s="1942" t="s">
        <v>105</v>
      </c>
      <c r="B1885" s="1301">
        <v>45631</v>
      </c>
      <c r="C1885" s="3012">
        <v>49</v>
      </c>
      <c r="D1885" s="1776" t="s">
        <v>5704</v>
      </c>
      <c r="E1885" s="1776" t="s">
        <v>2384</v>
      </c>
      <c r="H1885" s="923">
        <v>706</v>
      </c>
      <c r="I1885" s="1414" t="s">
        <v>2197</v>
      </c>
      <c r="K1885" s="923"/>
      <c r="L1885" s="923"/>
      <c r="M1885" s="71" t="s">
        <v>37</v>
      </c>
      <c r="N1885" s="21" t="s">
        <v>231</v>
      </c>
      <c r="O1885" s="21" t="s">
        <v>232</v>
      </c>
      <c r="P1885" s="21" t="s">
        <v>4102</v>
      </c>
      <c r="Q1885" s="1300"/>
      <c r="R1885" s="1300"/>
      <c r="S1885" s="1300"/>
      <c r="T1885" s="1300"/>
      <c r="U1885" s="93" t="s">
        <v>5849</v>
      </c>
      <c r="V1885" s="593"/>
    </row>
    <row r="1886" spans="1:22">
      <c r="A1886" s="1942" t="s">
        <v>105</v>
      </c>
      <c r="B1886" s="1301">
        <v>45631</v>
      </c>
      <c r="C1886" s="3012">
        <v>49</v>
      </c>
      <c r="D1886" s="1776" t="s">
        <v>4254</v>
      </c>
      <c r="E1886" s="1776" t="s">
        <v>5850</v>
      </c>
      <c r="H1886" s="923">
        <v>706</v>
      </c>
      <c r="I1886" s="1414" t="s">
        <v>2197</v>
      </c>
      <c r="K1886" s="1442" t="s">
        <v>29</v>
      </c>
      <c r="L1886" s="923" t="s">
        <v>37</v>
      </c>
      <c r="M1886" s="71"/>
      <c r="N1886" s="21"/>
      <c r="O1886" s="21"/>
      <c r="P1886" s="21"/>
      <c r="Q1886" s="1300"/>
      <c r="R1886" s="1300"/>
      <c r="S1886" s="1300"/>
      <c r="T1886" s="1300"/>
      <c r="U1886" s="93" t="s">
        <v>5851</v>
      </c>
      <c r="V1886" s="593"/>
    </row>
    <row r="1887" spans="1:22">
      <c r="A1887" s="1942" t="s">
        <v>105</v>
      </c>
      <c r="B1887" s="1301">
        <v>45631</v>
      </c>
      <c r="C1887" s="3012">
        <v>49</v>
      </c>
      <c r="D1887" s="1746" t="s">
        <v>2739</v>
      </c>
      <c r="E1887" s="1746" t="s">
        <v>1074</v>
      </c>
      <c r="H1887" s="923">
        <v>706</v>
      </c>
      <c r="I1887" s="1414" t="s">
        <v>1248</v>
      </c>
      <c r="K1887" s="923"/>
      <c r="L1887" s="923" t="s">
        <v>37</v>
      </c>
      <c r="M1887" s="71"/>
      <c r="Q1887" s="1300"/>
      <c r="R1887" s="1300"/>
      <c r="S1887" s="1300"/>
      <c r="T1887" s="1300"/>
      <c r="U1887" s="93"/>
      <c r="V1887" s="593"/>
    </row>
    <row r="1888" spans="1:22" ht="105.75" thickBot="1">
      <c r="A1888" s="1939" t="s">
        <v>105</v>
      </c>
      <c r="B1888" s="1940">
        <v>45631</v>
      </c>
      <c r="C1888" s="3012">
        <v>49</v>
      </c>
      <c r="D1888" s="3030" t="s">
        <v>2750</v>
      </c>
      <c r="E1888" s="3030" t="s">
        <v>1834</v>
      </c>
      <c r="H1888" s="1001">
        <v>706</v>
      </c>
      <c r="I1888" s="1601" t="s">
        <v>5852</v>
      </c>
      <c r="K1888" s="923"/>
      <c r="L1888" s="923"/>
      <c r="M1888" s="71" t="s">
        <v>37</v>
      </c>
      <c r="N1888" s="21" t="s">
        <v>109</v>
      </c>
      <c r="O1888" s="21" t="s">
        <v>1847</v>
      </c>
      <c r="P1888" s="21" t="s">
        <v>4102</v>
      </c>
      <c r="Q1888" s="1300"/>
      <c r="R1888" s="1300"/>
      <c r="S1888" s="1300"/>
      <c r="T1888" s="1300"/>
      <c r="U1888" s="93" t="s">
        <v>5853</v>
      </c>
      <c r="V1888" s="593"/>
    </row>
    <row r="1889" spans="1:23">
      <c r="A1889" s="1935" t="s">
        <v>132</v>
      </c>
      <c r="B1889" s="1936">
        <v>45632</v>
      </c>
      <c r="C1889" s="3012">
        <v>49</v>
      </c>
      <c r="D1889" s="445" t="s">
        <v>169</v>
      </c>
      <c r="E1889" s="445" t="s">
        <v>1571</v>
      </c>
      <c r="H1889" s="918">
        <v>706</v>
      </c>
      <c r="I1889" s="2659" t="s">
        <v>5854</v>
      </c>
      <c r="K1889" s="1442" t="s">
        <v>174</v>
      </c>
      <c r="L1889" s="923" t="s">
        <v>37</v>
      </c>
      <c r="M1889" s="71"/>
      <c r="N1889" s="1300"/>
      <c r="O1889" s="1300"/>
      <c r="P1889" s="1300"/>
      <c r="Q1889" s="1300"/>
      <c r="R1889" s="1300"/>
      <c r="S1889" s="1300"/>
      <c r="T1889" s="1300"/>
      <c r="U1889" s="93"/>
      <c r="V1889" s="593"/>
    </row>
    <row r="1890" spans="1:23">
      <c r="A1890" s="1942" t="s">
        <v>132</v>
      </c>
      <c r="B1890" s="1301">
        <v>45632</v>
      </c>
      <c r="C1890" s="3012">
        <v>49</v>
      </c>
      <c r="D1890" s="439" t="s">
        <v>5855</v>
      </c>
      <c r="E1890" s="439" t="s">
        <v>1071</v>
      </c>
      <c r="H1890" s="923">
        <v>701</v>
      </c>
      <c r="I1890" s="1414" t="s">
        <v>245</v>
      </c>
      <c r="K1890" s="923"/>
      <c r="L1890" s="923" t="s">
        <v>37</v>
      </c>
      <c r="M1890" s="71"/>
      <c r="N1890" s="1300"/>
      <c r="O1890" s="1300"/>
      <c r="P1890" s="1300"/>
      <c r="Q1890" s="1300"/>
      <c r="R1890" s="1300"/>
      <c r="S1890" s="1300"/>
      <c r="T1890" s="1300"/>
      <c r="U1890" s="93"/>
      <c r="V1890" s="593"/>
    </row>
    <row r="1891" spans="1:23">
      <c r="A1891" s="1942" t="s">
        <v>132</v>
      </c>
      <c r="B1891" s="1301">
        <v>45632</v>
      </c>
      <c r="C1891" s="3012">
        <v>49</v>
      </c>
      <c r="D1891" s="1776" t="s">
        <v>4254</v>
      </c>
      <c r="E1891" s="1776" t="s">
        <v>5850</v>
      </c>
      <c r="H1891" s="923">
        <v>706</v>
      </c>
      <c r="I1891" s="1414" t="s">
        <v>2197</v>
      </c>
      <c r="K1891" s="1442" t="s">
        <v>29</v>
      </c>
      <c r="L1891" s="923" t="s">
        <v>37</v>
      </c>
      <c r="M1891" s="71"/>
      <c r="N1891" s="1300"/>
      <c r="O1891" s="1300"/>
      <c r="P1891" s="1300"/>
      <c r="Q1891" s="1300"/>
      <c r="R1891" s="1300"/>
      <c r="S1891" s="1300"/>
      <c r="T1891" s="1300"/>
      <c r="U1891" s="93"/>
      <c r="V1891" s="593"/>
    </row>
    <row r="1892" spans="1:23" ht="78.75">
      <c r="A1892" s="1942" t="s">
        <v>132</v>
      </c>
      <c r="B1892" s="1301">
        <v>45632</v>
      </c>
      <c r="C1892" s="3012">
        <v>49</v>
      </c>
      <c r="D1892" s="439" t="s">
        <v>48</v>
      </c>
      <c r="E1892" s="439" t="s">
        <v>296</v>
      </c>
      <c r="H1892" s="923">
        <v>705</v>
      </c>
      <c r="I1892" s="1414" t="s">
        <v>5856</v>
      </c>
      <c r="K1892" s="923"/>
      <c r="L1892" s="923"/>
      <c r="M1892" s="71" t="s">
        <v>37</v>
      </c>
      <c r="N1892" s="21" t="s">
        <v>71</v>
      </c>
      <c r="O1892" s="21" t="s">
        <v>138</v>
      </c>
      <c r="P1892" s="21" t="s">
        <v>4330</v>
      </c>
      <c r="Q1892" s="1300"/>
      <c r="R1892" s="1300"/>
      <c r="S1892" s="1300"/>
      <c r="T1892" s="1300"/>
      <c r="U1892" s="93" t="s">
        <v>5857</v>
      </c>
      <c r="V1892" s="593"/>
    </row>
    <row r="1893" spans="1:23" ht="27" thickBot="1">
      <c r="A1893" s="1937" t="s">
        <v>132</v>
      </c>
      <c r="B1893" s="1390">
        <v>45632</v>
      </c>
      <c r="C1893" s="3012">
        <v>49</v>
      </c>
      <c r="D1893" s="1000" t="s">
        <v>4209</v>
      </c>
      <c r="E1893" s="1000" t="s">
        <v>306</v>
      </c>
      <c r="H1893" s="1001">
        <v>705</v>
      </c>
      <c r="I1893" s="1601" t="s">
        <v>5856</v>
      </c>
      <c r="K1893" s="1001"/>
      <c r="L1893" s="1001" t="s">
        <v>37</v>
      </c>
      <c r="M1893" s="33"/>
      <c r="N1893" s="1300"/>
      <c r="O1893" s="1300"/>
      <c r="P1893" s="1300"/>
      <c r="Q1893" s="1300"/>
      <c r="R1893" s="1300"/>
      <c r="S1893" s="1300"/>
      <c r="T1893" s="1300"/>
      <c r="U1893" s="1429"/>
      <c r="V1893" s="1040"/>
    </row>
    <row r="1894" spans="1:23" ht="53.25" thickBot="1">
      <c r="A1894" s="1935" t="s">
        <v>3770</v>
      </c>
      <c r="B1894" s="1936">
        <v>45634</v>
      </c>
      <c r="C1894" s="3012">
        <v>49</v>
      </c>
      <c r="D1894" s="445" t="s">
        <v>1073</v>
      </c>
      <c r="E1894" s="445" t="s">
        <v>5048</v>
      </c>
      <c r="H1894" s="918">
        <v>702</v>
      </c>
      <c r="I1894" s="918" t="s">
        <v>5858</v>
      </c>
      <c r="K1894" s="918"/>
      <c r="L1894" s="918"/>
      <c r="M1894" s="64" t="s">
        <v>37</v>
      </c>
      <c r="N1894" s="21" t="s">
        <v>231</v>
      </c>
      <c r="O1894" s="21" t="s">
        <v>232</v>
      </c>
      <c r="P1894" s="21" t="s">
        <v>4082</v>
      </c>
      <c r="Q1894" s="1300"/>
      <c r="R1894" s="1300"/>
      <c r="S1894" s="1300"/>
      <c r="T1894" s="1300"/>
      <c r="U1894" s="1515" t="s">
        <v>5859</v>
      </c>
      <c r="V1894" s="1041"/>
    </row>
    <row r="1895" spans="1:23" ht="53.25" thickBot="1">
      <c r="A1895" s="1938" t="s">
        <v>3770</v>
      </c>
      <c r="B1895" s="1936">
        <v>45634</v>
      </c>
      <c r="C1895" s="3012">
        <v>49</v>
      </c>
      <c r="D1895" s="449" t="s">
        <v>5048</v>
      </c>
      <c r="E1895" s="449" t="s">
        <v>4556</v>
      </c>
      <c r="H1895" s="957">
        <v>702</v>
      </c>
      <c r="I1895" s="957" t="s">
        <v>5858</v>
      </c>
      <c r="K1895" s="1970" t="s">
        <v>2418</v>
      </c>
      <c r="L1895" s="957"/>
      <c r="M1895" s="91" t="s">
        <v>37</v>
      </c>
      <c r="N1895" s="21" t="s">
        <v>0</v>
      </c>
      <c r="O1895" s="21" t="s">
        <v>31</v>
      </c>
      <c r="P1895" s="21" t="s">
        <v>4082</v>
      </c>
      <c r="Q1895" s="1300"/>
      <c r="R1895" s="1300"/>
      <c r="S1895" s="1300"/>
      <c r="T1895" s="1300"/>
      <c r="U1895" s="116" t="s">
        <v>5860</v>
      </c>
      <c r="V1895" s="1040"/>
    </row>
    <row r="1896" spans="1:23" ht="78.75">
      <c r="A1896" s="162" t="s">
        <v>25</v>
      </c>
      <c r="B1896" s="1301">
        <v>45635</v>
      </c>
      <c r="C1896" s="3012">
        <v>50</v>
      </c>
      <c r="D1896" s="4414" t="s">
        <v>5861</v>
      </c>
      <c r="E1896" s="4414" t="s">
        <v>497</v>
      </c>
      <c r="F1896" s="2385" t="s">
        <v>1206</v>
      </c>
      <c r="G1896" s="1200" t="s">
        <v>1206</v>
      </c>
      <c r="H1896" s="1009">
        <v>701</v>
      </c>
      <c r="I1896" s="1009" t="s">
        <v>5862</v>
      </c>
      <c r="J1896" s="1009"/>
      <c r="K1896" s="1009"/>
      <c r="L1896" s="1009"/>
      <c r="M1896" s="97" t="s">
        <v>37</v>
      </c>
      <c r="N1896" s="21" t="s">
        <v>231</v>
      </c>
      <c r="O1896" s="21" t="s">
        <v>1048</v>
      </c>
      <c r="P1896" s="21" t="s">
        <v>4080</v>
      </c>
      <c r="Q1896" s="97"/>
      <c r="R1896" s="97"/>
      <c r="S1896" s="97"/>
      <c r="T1896" s="97"/>
      <c r="U1896" s="71" t="s">
        <v>5863</v>
      </c>
      <c r="V1896" s="2464" t="s">
        <v>5864</v>
      </c>
      <c r="W1896"/>
    </row>
    <row r="1897" spans="1:23" ht="183.75">
      <c r="A1897" s="76" t="s">
        <v>25</v>
      </c>
      <c r="B1897" s="1300">
        <v>45635</v>
      </c>
      <c r="C1897" s="3012">
        <v>50</v>
      </c>
      <c r="D1897" s="988" t="s">
        <v>348</v>
      </c>
      <c r="E1897" s="988" t="s">
        <v>5865</v>
      </c>
      <c r="F1897" s="927" t="s">
        <v>1206</v>
      </c>
      <c r="G1897" s="927" t="s">
        <v>1206</v>
      </c>
      <c r="H1897" s="923">
        <v>707</v>
      </c>
      <c r="I1897" s="923" t="s">
        <v>5866</v>
      </c>
      <c r="J1897" s="923"/>
      <c r="K1897" s="925"/>
      <c r="L1897" s="923"/>
      <c r="M1897" s="71" t="s">
        <v>30</v>
      </c>
      <c r="N1897" s="21" t="s">
        <v>109</v>
      </c>
      <c r="O1897" s="21" t="s">
        <v>1109</v>
      </c>
      <c r="P1897" s="21" t="s">
        <v>4674</v>
      </c>
      <c r="Q1897" s="71"/>
      <c r="R1897" s="71"/>
      <c r="S1897" s="71"/>
      <c r="T1897" s="71"/>
      <c r="U1897" s="71" t="s">
        <v>5867</v>
      </c>
      <c r="V1897" s="2464" t="s">
        <v>5868</v>
      </c>
      <c r="W1897" s="1919" t="s">
        <v>5869</v>
      </c>
    </row>
    <row r="1898" spans="1:23">
      <c r="A1898" s="76" t="s">
        <v>25</v>
      </c>
      <c r="B1898" s="1300">
        <v>45635</v>
      </c>
      <c r="C1898" s="3012">
        <v>50</v>
      </c>
      <c r="D1898" s="1194" t="s">
        <v>2345</v>
      </c>
      <c r="E1898" s="1194" t="s">
        <v>5870</v>
      </c>
      <c r="F1898" s="935" t="s">
        <v>1199</v>
      </c>
      <c r="G1898" s="935" t="s">
        <v>1199</v>
      </c>
      <c r="H1898" s="923">
        <v>705</v>
      </c>
      <c r="I1898" s="923" t="s">
        <v>3882</v>
      </c>
      <c r="J1898" s="923"/>
      <c r="K1898" s="925"/>
      <c r="L1898" s="923" t="s">
        <v>37</v>
      </c>
      <c r="M1898" s="71"/>
      <c r="N1898" s="71"/>
      <c r="O1898" s="71"/>
      <c r="P1898" s="71"/>
      <c r="Q1898" s="71"/>
      <c r="R1898" s="71"/>
      <c r="S1898" s="71"/>
      <c r="T1898" s="71"/>
      <c r="U1898" s="71"/>
      <c r="V1898" s="2464"/>
      <c r="W1898"/>
    </row>
    <row r="1899" spans="1:23">
      <c r="A1899" s="76" t="s">
        <v>25</v>
      </c>
      <c r="B1899" s="1300">
        <v>45635</v>
      </c>
      <c r="C1899" s="3012">
        <v>50</v>
      </c>
      <c r="D1899" s="928" t="s">
        <v>4440</v>
      </c>
      <c r="E1899" s="928" t="s">
        <v>3351</v>
      </c>
      <c r="F1899" s="925" t="s">
        <v>1199</v>
      </c>
      <c r="G1899" s="927"/>
      <c r="H1899" s="923">
        <v>702</v>
      </c>
      <c r="I1899" s="923" t="s">
        <v>5858</v>
      </c>
      <c r="J1899" s="923"/>
      <c r="K1899" s="1443" t="s">
        <v>5231</v>
      </c>
      <c r="L1899" s="923" t="s">
        <v>37</v>
      </c>
      <c r="M1899" s="71"/>
      <c r="N1899" s="71"/>
      <c r="O1899" s="71"/>
      <c r="P1899" s="71"/>
      <c r="Q1899" s="71"/>
      <c r="R1899" s="71" t="s">
        <v>37</v>
      </c>
      <c r="S1899" s="71"/>
      <c r="T1899" s="71"/>
      <c r="U1899" s="71"/>
      <c r="V1899" s="2464"/>
      <c r="W1899"/>
    </row>
    <row r="1900" spans="1:23">
      <c r="A1900" s="76" t="s">
        <v>25</v>
      </c>
      <c r="B1900" s="1300">
        <v>45635</v>
      </c>
      <c r="C1900" s="3012">
        <v>50</v>
      </c>
      <c r="D1900" s="928" t="s">
        <v>204</v>
      </c>
      <c r="E1900" s="928" t="s">
        <v>1300</v>
      </c>
      <c r="F1900" s="925" t="s">
        <v>1199</v>
      </c>
      <c r="G1900" s="927"/>
      <c r="H1900" s="923">
        <v>702</v>
      </c>
      <c r="I1900" s="923" t="s">
        <v>5858</v>
      </c>
      <c r="J1900" s="923"/>
      <c r="K1900" s="1443" t="s">
        <v>1274</v>
      </c>
      <c r="L1900" s="923" t="s">
        <v>37</v>
      </c>
      <c r="M1900" s="71"/>
      <c r="N1900" s="71"/>
      <c r="O1900" s="71"/>
      <c r="P1900" s="71"/>
      <c r="Q1900" s="71"/>
      <c r="R1900" s="71" t="s">
        <v>37</v>
      </c>
      <c r="S1900" s="71"/>
      <c r="T1900" s="71"/>
      <c r="U1900" s="71"/>
      <c r="V1900" s="2464"/>
      <c r="W1900"/>
    </row>
    <row r="1901" spans="1:23" ht="52.5">
      <c r="A1901" s="76" t="s">
        <v>25</v>
      </c>
      <c r="B1901" s="1300">
        <v>45635</v>
      </c>
      <c r="C1901" s="3012">
        <v>50</v>
      </c>
      <c r="D1901" s="982" t="s">
        <v>1654</v>
      </c>
      <c r="E1901" s="982" t="s">
        <v>4944</v>
      </c>
      <c r="F1901" s="935" t="s">
        <v>1199</v>
      </c>
      <c r="G1901" s="935" t="s">
        <v>1199</v>
      </c>
      <c r="H1901" s="923">
        <v>702</v>
      </c>
      <c r="I1901" s="923" t="s">
        <v>1852</v>
      </c>
      <c r="J1901" s="923"/>
      <c r="K1901" s="1443" t="s">
        <v>29</v>
      </c>
      <c r="L1901" s="923"/>
      <c r="M1901" s="923" t="s">
        <v>37</v>
      </c>
      <c r="N1901" s="21" t="s">
        <v>109</v>
      </c>
      <c r="O1901" s="21" t="s">
        <v>1048</v>
      </c>
      <c r="P1901" s="21" t="s">
        <v>4082</v>
      </c>
      <c r="Q1901" s="71"/>
      <c r="R1901" s="71"/>
      <c r="S1901" s="71"/>
      <c r="T1901" s="71"/>
      <c r="U1901" s="71" t="s">
        <v>5871</v>
      </c>
      <c r="V1901" s="2464" t="s">
        <v>5872</v>
      </c>
      <c r="W1901"/>
    </row>
    <row r="1902" spans="1:23" ht="52.5">
      <c r="A1902" s="76" t="s">
        <v>25</v>
      </c>
      <c r="B1902" s="1300">
        <v>45635</v>
      </c>
      <c r="C1902" s="3012">
        <v>50</v>
      </c>
      <c r="D1902" s="982" t="s">
        <v>1160</v>
      </c>
      <c r="E1902" s="982" t="s">
        <v>4009</v>
      </c>
      <c r="F1902" s="935" t="s">
        <v>5873</v>
      </c>
      <c r="G1902" s="935" t="s">
        <v>5874</v>
      </c>
      <c r="H1902" s="923">
        <v>702</v>
      </c>
      <c r="I1902" s="923" t="s">
        <v>1852</v>
      </c>
      <c r="J1902" s="923"/>
      <c r="K1902" s="925"/>
      <c r="L1902" s="71"/>
      <c r="M1902" s="71"/>
      <c r="N1902" s="71"/>
      <c r="O1902" s="71"/>
      <c r="P1902" s="71"/>
      <c r="Q1902" s="71" t="s">
        <v>30</v>
      </c>
      <c r="R1902" s="71"/>
      <c r="S1902" s="71"/>
      <c r="T1902" s="71"/>
      <c r="U1902" s="593" t="s">
        <v>5875</v>
      </c>
      <c r="V1902" s="2464"/>
      <c r="W1902"/>
    </row>
    <row r="1903" spans="1:23">
      <c r="A1903" s="76" t="s">
        <v>25</v>
      </c>
      <c r="B1903" s="1300">
        <v>45635</v>
      </c>
      <c r="C1903" s="3012">
        <v>50</v>
      </c>
      <c r="D1903" s="1194" t="s">
        <v>258</v>
      </c>
      <c r="E1903" s="1194" t="s">
        <v>1064</v>
      </c>
      <c r="F1903" s="3109" t="s">
        <v>1206</v>
      </c>
      <c r="G1903" s="927" t="s">
        <v>1206</v>
      </c>
      <c r="H1903" s="923">
        <v>706</v>
      </c>
      <c r="I1903" s="923" t="s">
        <v>1141</v>
      </c>
      <c r="J1903" s="923"/>
      <c r="K1903" s="925"/>
      <c r="L1903" s="71" t="s">
        <v>37</v>
      </c>
      <c r="M1903" s="71"/>
      <c r="N1903" s="71"/>
      <c r="O1903" s="71"/>
      <c r="P1903" s="71"/>
      <c r="Q1903" s="71"/>
      <c r="R1903" s="71"/>
      <c r="S1903" s="71"/>
      <c r="T1903" s="71"/>
      <c r="U1903" s="593"/>
      <c r="V1903" s="2464"/>
      <c r="W1903"/>
    </row>
    <row r="1904" spans="1:23">
      <c r="A1904" s="76" t="s">
        <v>25</v>
      </c>
      <c r="B1904" s="1300">
        <v>45635</v>
      </c>
      <c r="C1904" s="3012">
        <v>50</v>
      </c>
      <c r="D1904" s="1194" t="s">
        <v>348</v>
      </c>
      <c r="E1904" s="1194" t="s">
        <v>4572</v>
      </c>
      <c r="F1904" s="935" t="s">
        <v>1199</v>
      </c>
      <c r="G1904" s="935" t="s">
        <v>1206</v>
      </c>
      <c r="H1904" s="923">
        <v>707</v>
      </c>
      <c r="I1904" s="923" t="s">
        <v>248</v>
      </c>
      <c r="J1904" s="923"/>
      <c r="K1904" s="1443" t="s">
        <v>84</v>
      </c>
      <c r="L1904" s="71" t="s">
        <v>37</v>
      </c>
      <c r="M1904" s="71"/>
      <c r="N1904" s="71"/>
      <c r="O1904" s="71"/>
      <c r="P1904" s="71"/>
      <c r="Q1904" s="71"/>
      <c r="R1904" s="71"/>
      <c r="S1904" s="71"/>
      <c r="T1904" s="71"/>
      <c r="U1904" s="593"/>
      <c r="V1904" s="2464"/>
      <c r="W1904"/>
    </row>
    <row r="1905" spans="1:24" ht="53.25" thickBot="1">
      <c r="A1905" s="710" t="s">
        <v>25</v>
      </c>
      <c r="B1905" s="1312">
        <v>45635</v>
      </c>
      <c r="C1905" s="3012">
        <v>50</v>
      </c>
      <c r="D1905" s="3290" t="s">
        <v>671</v>
      </c>
      <c r="E1905" s="3290" t="s">
        <v>3143</v>
      </c>
      <c r="F1905" s="970" t="s">
        <v>1206</v>
      </c>
      <c r="G1905" s="970" t="s">
        <v>1206</v>
      </c>
      <c r="H1905" s="957">
        <v>702</v>
      </c>
      <c r="I1905" s="957" t="s">
        <v>5876</v>
      </c>
      <c r="J1905" s="957"/>
      <c r="K1905" s="1970" t="s">
        <v>29</v>
      </c>
      <c r="L1905" s="957"/>
      <c r="M1905" s="957" t="s">
        <v>37</v>
      </c>
      <c r="N1905" s="21" t="s">
        <v>0</v>
      </c>
      <c r="O1905" s="21" t="s">
        <v>187</v>
      </c>
      <c r="P1905" s="21" t="s">
        <v>4082</v>
      </c>
      <c r="Q1905" s="957" t="s">
        <v>37</v>
      </c>
      <c r="R1905" s="957"/>
      <c r="S1905" s="957"/>
      <c r="T1905" s="957"/>
      <c r="U1905" s="1043" t="s">
        <v>5877</v>
      </c>
      <c r="V1905" s="2128"/>
      <c r="W1905" s="2128"/>
      <c r="X1905" s="2128"/>
    </row>
    <row r="1906" spans="1:24">
      <c r="A1906" s="162" t="s">
        <v>67</v>
      </c>
      <c r="B1906" s="1301">
        <v>45636</v>
      </c>
      <c r="C1906" s="3012">
        <v>50</v>
      </c>
      <c r="D1906" s="982" t="s">
        <v>1160</v>
      </c>
      <c r="E1906" s="982" t="s">
        <v>4009</v>
      </c>
      <c r="F1906" s="3115" t="s">
        <v>1206</v>
      </c>
      <c r="G1906" s="3115" t="s">
        <v>1206</v>
      </c>
      <c r="H1906" s="923">
        <v>702</v>
      </c>
      <c r="I1906" s="923" t="s">
        <v>1852</v>
      </c>
      <c r="J1906" s="923"/>
      <c r="K1906" s="925"/>
      <c r="L1906" s="923" t="s">
        <v>37</v>
      </c>
      <c r="M1906" s="71"/>
      <c r="N1906" s="71"/>
      <c r="O1906" s="71"/>
      <c r="P1906" s="71"/>
      <c r="Q1906" s="71"/>
      <c r="R1906" s="71"/>
      <c r="S1906" s="71"/>
      <c r="T1906" s="71"/>
      <c r="U1906" s="593"/>
      <c r="V1906" s="2464"/>
      <c r="W1906"/>
    </row>
    <row r="1907" spans="1:24">
      <c r="A1907" s="162" t="s">
        <v>67</v>
      </c>
      <c r="B1907" s="1301">
        <v>45636</v>
      </c>
      <c r="C1907" s="3012">
        <v>50</v>
      </c>
      <c r="D1907" s="4414" t="s">
        <v>491</v>
      </c>
      <c r="E1907" s="4414" t="s">
        <v>488</v>
      </c>
      <c r="F1907" s="2385" t="s">
        <v>1206</v>
      </c>
      <c r="G1907" s="1200" t="s">
        <v>1206</v>
      </c>
      <c r="H1907" s="1009">
        <v>701</v>
      </c>
      <c r="I1907" s="1009" t="s">
        <v>5862</v>
      </c>
      <c r="J1907" s="1009"/>
      <c r="K1907" s="1009"/>
      <c r="L1907" s="1009" t="s">
        <v>37</v>
      </c>
      <c r="M1907" s="97"/>
      <c r="N1907" s="97"/>
      <c r="O1907" s="97"/>
      <c r="P1907" s="97"/>
      <c r="Q1907" s="97"/>
      <c r="R1907" s="97"/>
      <c r="S1907" s="97"/>
      <c r="T1907" s="97"/>
      <c r="U1907" s="1667" t="s">
        <v>5878</v>
      </c>
      <c r="V1907" s="4415"/>
      <c r="W1907"/>
    </row>
    <row r="1908" spans="1:24">
      <c r="A1908" s="76" t="s">
        <v>67</v>
      </c>
      <c r="B1908" s="1300">
        <v>45636</v>
      </c>
      <c r="C1908" s="3012">
        <v>50</v>
      </c>
      <c r="D1908" s="988" t="s">
        <v>1148</v>
      </c>
      <c r="E1908" s="988" t="s">
        <v>5667</v>
      </c>
      <c r="F1908" s="2385" t="s">
        <v>1206</v>
      </c>
      <c r="G1908" s="935" t="s">
        <v>1199</v>
      </c>
      <c r="H1908" s="923">
        <v>707</v>
      </c>
      <c r="I1908" s="923" t="s">
        <v>1255</v>
      </c>
      <c r="J1908" s="923"/>
      <c r="K1908" s="1443" t="s">
        <v>84</v>
      </c>
      <c r="L1908" s="923" t="s">
        <v>37</v>
      </c>
      <c r="M1908" s="71"/>
      <c r="N1908" s="71"/>
      <c r="O1908" s="71"/>
      <c r="P1908" s="71"/>
      <c r="Q1908" s="71"/>
      <c r="R1908" s="71"/>
      <c r="S1908" s="71"/>
      <c r="T1908" s="71"/>
      <c r="U1908" s="593"/>
      <c r="V1908" s="2464"/>
      <c r="W1908"/>
    </row>
    <row r="1909" spans="1:24" ht="52.5">
      <c r="A1909" s="76" t="s">
        <v>67</v>
      </c>
      <c r="B1909" s="1300">
        <v>45636</v>
      </c>
      <c r="C1909" s="3012">
        <v>50</v>
      </c>
      <c r="D1909" s="440" t="s">
        <v>450</v>
      </c>
      <c r="E1909" s="440" t="s">
        <v>1267</v>
      </c>
      <c r="F1909" s="935" t="s">
        <v>5879</v>
      </c>
      <c r="G1909" s="979"/>
      <c r="H1909" s="923">
        <v>702</v>
      </c>
      <c r="I1909" s="923" t="s">
        <v>5876</v>
      </c>
      <c r="J1909" s="923"/>
      <c r="K1909" s="1443" t="s">
        <v>1076</v>
      </c>
      <c r="L1909" s="923"/>
      <c r="M1909" s="71"/>
      <c r="N1909" s="21" t="s">
        <v>0</v>
      </c>
      <c r="O1909" s="21" t="s">
        <v>187</v>
      </c>
      <c r="P1909" s="21" t="s">
        <v>4082</v>
      </c>
      <c r="Q1909" s="923"/>
      <c r="R1909" s="923"/>
      <c r="S1909" s="923"/>
      <c r="T1909" s="923"/>
      <c r="U1909" s="3182" t="s">
        <v>5880</v>
      </c>
      <c r="V1909" s="2128"/>
      <c r="W1909" s="2128"/>
      <c r="X1909" s="2128"/>
    </row>
    <row r="1910" spans="1:24">
      <c r="A1910" s="76" t="s">
        <v>67</v>
      </c>
      <c r="B1910" s="1300">
        <v>45636</v>
      </c>
      <c r="C1910" s="3012">
        <v>50</v>
      </c>
      <c r="D1910" s="1776" t="s">
        <v>306</v>
      </c>
      <c r="E1910" s="1776" t="s">
        <v>183</v>
      </c>
      <c r="F1910" s="3109" t="s">
        <v>1206</v>
      </c>
      <c r="G1910" s="927" t="s">
        <v>1206</v>
      </c>
      <c r="H1910" s="923">
        <v>701</v>
      </c>
      <c r="I1910" s="923" t="s">
        <v>1282</v>
      </c>
      <c r="J1910" s="923"/>
      <c r="K1910" s="923"/>
      <c r="L1910" s="923" t="s">
        <v>37</v>
      </c>
      <c r="M1910" s="71"/>
      <c r="N1910" s="71"/>
      <c r="O1910" s="71"/>
      <c r="P1910" s="71"/>
      <c r="Q1910" s="923"/>
      <c r="R1910" s="71"/>
      <c r="S1910" s="71"/>
      <c r="T1910" s="71"/>
      <c r="U1910" s="593" t="s">
        <v>5881</v>
      </c>
      <c r="V1910" s="2464"/>
      <c r="W1910"/>
    </row>
    <row r="1911" spans="1:24" ht="78.75">
      <c r="A1911" s="76" t="s">
        <v>67</v>
      </c>
      <c r="B1911" s="1300">
        <v>45636</v>
      </c>
      <c r="C1911" s="3012">
        <v>50</v>
      </c>
      <c r="D1911" s="1746" t="s">
        <v>671</v>
      </c>
      <c r="E1911" s="1746" t="s">
        <v>4944</v>
      </c>
      <c r="F1911" s="925" t="s">
        <v>1199</v>
      </c>
      <c r="G1911" s="3115" t="s">
        <v>1206</v>
      </c>
      <c r="H1911" s="923">
        <v>702</v>
      </c>
      <c r="I1911" s="923" t="s">
        <v>5882</v>
      </c>
      <c r="J1911" s="923"/>
      <c r="K1911" s="1443" t="s">
        <v>29</v>
      </c>
      <c r="L1911"/>
      <c r="M1911" s="71" t="s">
        <v>30</v>
      </c>
      <c r="N1911" s="21" t="s">
        <v>0</v>
      </c>
      <c r="O1911" s="21" t="s">
        <v>736</v>
      </c>
      <c r="P1911" s="21" t="s">
        <v>4082</v>
      </c>
      <c r="Q1911" s="71"/>
      <c r="R1911" s="71"/>
      <c r="S1911" s="71"/>
      <c r="T1911" s="71"/>
      <c r="U1911" s="593" t="s">
        <v>5883</v>
      </c>
      <c r="V1911" s="2464"/>
      <c r="W1911"/>
    </row>
    <row r="1912" spans="1:24">
      <c r="A1912" s="76" t="s">
        <v>67</v>
      </c>
      <c r="B1912" s="1300">
        <v>45636</v>
      </c>
      <c r="C1912" s="3012">
        <v>50</v>
      </c>
      <c r="D1912" s="1194" t="s">
        <v>1870</v>
      </c>
      <c r="E1912" s="1194" t="s">
        <v>1870</v>
      </c>
      <c r="F1912" s="3115" t="s">
        <v>1206</v>
      </c>
      <c r="G1912" s="3268" t="s">
        <v>1206</v>
      </c>
      <c r="H1912" s="923">
        <v>701</v>
      </c>
      <c r="I1912" s="923">
        <v>60015</v>
      </c>
      <c r="J1912" s="923"/>
      <c r="K1912" s="923"/>
      <c r="L1912" s="71" t="s">
        <v>30</v>
      </c>
      <c r="M1912" s="71"/>
      <c r="N1912" s="71"/>
      <c r="O1912" s="71"/>
      <c r="P1912" s="71"/>
      <c r="Q1912" s="71"/>
      <c r="R1912" s="71"/>
      <c r="S1912" s="71"/>
      <c r="T1912" s="71"/>
      <c r="U1912" s="593"/>
      <c r="V1912" s="2464"/>
      <c r="W1912"/>
    </row>
    <row r="1913" spans="1:24">
      <c r="A1913" s="76" t="s">
        <v>67</v>
      </c>
      <c r="B1913" s="1300">
        <v>45636</v>
      </c>
      <c r="C1913" s="3012">
        <v>50</v>
      </c>
      <c r="D1913" s="1194" t="s">
        <v>1870</v>
      </c>
      <c r="E1913" s="1194" t="s">
        <v>258</v>
      </c>
      <c r="F1913" s="3115" t="s">
        <v>1206</v>
      </c>
      <c r="G1913" s="3268" t="s">
        <v>1206</v>
      </c>
      <c r="H1913" s="923">
        <v>701</v>
      </c>
      <c r="I1913" s="923">
        <v>60015</v>
      </c>
      <c r="J1913" s="923"/>
      <c r="K1913" s="923"/>
      <c r="L1913" s="1001" t="s">
        <v>37</v>
      </c>
      <c r="M1913" s="33"/>
      <c r="N1913" s="33"/>
      <c r="O1913" s="33"/>
      <c r="P1913" s="33"/>
      <c r="Q1913" s="33"/>
      <c r="R1913" s="71"/>
      <c r="S1913" s="632" t="s">
        <v>30</v>
      </c>
      <c r="T1913" s="71"/>
      <c r="U1913" s="593"/>
      <c r="V1913" s="2464"/>
      <c r="W1913"/>
    </row>
    <row r="1914" spans="1:24" ht="79.5" thickBot="1">
      <c r="A1914" s="2144" t="s">
        <v>67</v>
      </c>
      <c r="B1914" s="2141">
        <v>45636</v>
      </c>
      <c r="C1914" s="3012">
        <v>50</v>
      </c>
      <c r="D1914" s="4416" t="s">
        <v>1153</v>
      </c>
      <c r="E1914" s="4416" t="s">
        <v>5884</v>
      </c>
      <c r="F1914" s="4417" t="s">
        <v>1206</v>
      </c>
      <c r="G1914" s="4417" t="s">
        <v>1206</v>
      </c>
      <c r="H1914" s="2346">
        <v>702</v>
      </c>
      <c r="I1914" s="2346" t="s">
        <v>5858</v>
      </c>
      <c r="J1914" s="4418"/>
      <c r="K1914" s="3327"/>
      <c r="L1914" s="957"/>
      <c r="M1914" s="91" t="s">
        <v>37</v>
      </c>
      <c r="N1914" s="35" t="s">
        <v>109</v>
      </c>
      <c r="O1914" s="35" t="s">
        <v>794</v>
      </c>
      <c r="P1914" s="35" t="s">
        <v>4082</v>
      </c>
      <c r="Q1914" s="957"/>
      <c r="R1914" s="3033" t="s">
        <v>37</v>
      </c>
      <c r="S1914" s="2346"/>
      <c r="T1914" s="2346"/>
      <c r="U1914" s="1043" t="s">
        <v>5885</v>
      </c>
      <c r="V1914" s="2128" t="s">
        <v>5886</v>
      </c>
      <c r="W1914" s="2128" t="s">
        <v>5887</v>
      </c>
    </row>
    <row r="1915" spans="1:24" ht="52.5">
      <c r="A1915" s="1939" t="s">
        <v>85</v>
      </c>
      <c r="B1915" s="1940">
        <v>45637</v>
      </c>
      <c r="C1915" s="3012">
        <v>50</v>
      </c>
      <c r="D1915" s="4419" t="s">
        <v>1287</v>
      </c>
      <c r="E1915" s="4419" t="s">
        <v>1073</v>
      </c>
      <c r="F1915" s="935" t="s">
        <v>5879</v>
      </c>
      <c r="G1915" s="4420"/>
      <c r="H1915" s="1593">
        <v>702</v>
      </c>
      <c r="I1915" s="4421" t="s">
        <v>5876</v>
      </c>
      <c r="J1915" s="4422"/>
      <c r="K1915" s="2091" t="s">
        <v>1076</v>
      </c>
      <c r="L1915" s="1593"/>
      <c r="M1915" s="71"/>
      <c r="N1915" s="21" t="s">
        <v>0</v>
      </c>
      <c r="O1915" s="21" t="s">
        <v>187</v>
      </c>
      <c r="P1915" s="21" t="s">
        <v>4082</v>
      </c>
      <c r="Q1915" s="1593"/>
      <c r="R1915" s="1593"/>
      <c r="S1915" s="1593"/>
      <c r="T1915" s="1593"/>
      <c r="U1915" s="3244" t="s">
        <v>1235</v>
      </c>
      <c r="V1915" s="2128"/>
      <c r="W1915" s="2128"/>
      <c r="X1915" s="2128"/>
    </row>
    <row r="1916" spans="1:24">
      <c r="A1916" s="76" t="s">
        <v>85</v>
      </c>
      <c r="B1916" s="1300">
        <v>45637</v>
      </c>
      <c r="C1916" s="3012">
        <v>50</v>
      </c>
      <c r="D1916" s="1776" t="s">
        <v>169</v>
      </c>
      <c r="E1916" s="1776" t="s">
        <v>61</v>
      </c>
      <c r="F1916" s="935" t="s">
        <v>1199</v>
      </c>
      <c r="G1916" s="935" t="s">
        <v>1199</v>
      </c>
      <c r="H1916" s="923">
        <v>701</v>
      </c>
      <c r="I1916" s="923" t="s">
        <v>1282</v>
      </c>
      <c r="J1916" s="1443"/>
      <c r="K1916" s="1443" t="s">
        <v>84</v>
      </c>
      <c r="L1916" s="923" t="s">
        <v>37</v>
      </c>
      <c r="M1916" s="71"/>
      <c r="N1916" s="71"/>
      <c r="O1916" s="71"/>
      <c r="P1916" s="71"/>
      <c r="Q1916" s="71"/>
      <c r="R1916" s="71"/>
      <c r="S1916" s="71"/>
      <c r="T1916" s="71"/>
      <c r="U1916" s="593"/>
      <c r="V1916" s="2464"/>
      <c r="W1916"/>
    </row>
    <row r="1917" spans="1:24">
      <c r="A1917" s="76" t="s">
        <v>85</v>
      </c>
      <c r="B1917" s="1300">
        <v>45637</v>
      </c>
      <c r="C1917" s="3012">
        <v>50</v>
      </c>
      <c r="D1917" s="3266" t="s">
        <v>1685</v>
      </c>
      <c r="E1917" s="3266" t="s">
        <v>183</v>
      </c>
      <c r="F1917" s="935" t="s">
        <v>5888</v>
      </c>
      <c r="G1917" s="935" t="s">
        <v>5889</v>
      </c>
      <c r="H1917" s="923">
        <v>707</v>
      </c>
      <c r="I1917" s="923" t="s">
        <v>1852</v>
      </c>
      <c r="J1917" s="923"/>
      <c r="K1917" s="1443" t="s">
        <v>29</v>
      </c>
      <c r="L1917" s="923"/>
      <c r="M1917" s="71" t="s">
        <v>37</v>
      </c>
      <c r="N1917" s="21"/>
      <c r="O1917" s="21"/>
      <c r="P1917" s="21" t="s">
        <v>4674</v>
      </c>
      <c r="Q1917" s="71"/>
      <c r="R1917" s="632">
        <v>1</v>
      </c>
      <c r="S1917" s="71"/>
      <c r="T1917" s="71"/>
      <c r="U1917" s="593" t="s">
        <v>5890</v>
      </c>
      <c r="V1917" s="2464"/>
      <c r="W1917"/>
    </row>
    <row r="1918" spans="1:24">
      <c r="A1918" s="76" t="s">
        <v>85</v>
      </c>
      <c r="B1918" s="1300">
        <v>45637</v>
      </c>
      <c r="C1918" s="3012">
        <v>50</v>
      </c>
      <c r="D1918" s="3266" t="s">
        <v>1145</v>
      </c>
      <c r="E1918" s="3266" t="s">
        <v>5891</v>
      </c>
      <c r="F1918" s="3115" t="s">
        <v>1206</v>
      </c>
      <c r="G1918" s="3115" t="s">
        <v>1206</v>
      </c>
      <c r="H1918" s="923">
        <v>707</v>
      </c>
      <c r="I1918" s="923" t="s">
        <v>1852</v>
      </c>
      <c r="J1918" s="923"/>
      <c r="K1918" s="1443" t="s">
        <v>84</v>
      </c>
      <c r="L1918" s="923"/>
      <c r="M1918" s="71" t="s">
        <v>37</v>
      </c>
      <c r="N1918" s="21"/>
      <c r="O1918" s="21"/>
      <c r="P1918" s="21" t="s">
        <v>4674</v>
      </c>
      <c r="Q1918" s="71"/>
      <c r="R1918" s="632">
        <v>1</v>
      </c>
      <c r="S1918" s="71"/>
      <c r="T1918" s="71"/>
      <c r="U1918" s="593"/>
      <c r="V1918" s="2464"/>
      <c r="W1918"/>
    </row>
    <row r="1919" spans="1:24">
      <c r="A1919" s="76" t="s">
        <v>85</v>
      </c>
      <c r="B1919" s="1300">
        <v>45637</v>
      </c>
      <c r="C1919" s="3012">
        <v>50</v>
      </c>
      <c r="D1919" s="2669" t="s">
        <v>306</v>
      </c>
      <c r="E1919" s="2669" t="s">
        <v>5892</v>
      </c>
      <c r="F1919" s="3115" t="s">
        <v>1199</v>
      </c>
      <c r="G1919" s="935" t="s">
        <v>1199</v>
      </c>
      <c r="H1919" s="923">
        <v>702</v>
      </c>
      <c r="I1919" s="923" t="s">
        <v>5893</v>
      </c>
      <c r="J1919" s="923"/>
      <c r="K1919" s="1443" t="s">
        <v>29</v>
      </c>
      <c r="L1919" s="923" t="s">
        <v>37</v>
      </c>
      <c r="M1919" s="71"/>
      <c r="N1919" s="71"/>
      <c r="O1919" s="71"/>
      <c r="P1919" s="71"/>
      <c r="Q1919" s="71"/>
      <c r="R1919" s="71"/>
      <c r="S1919" s="71"/>
      <c r="T1919" s="71"/>
      <c r="U1919" s="593"/>
      <c r="V1919" s="2464"/>
      <c r="W1919"/>
    </row>
    <row r="1920" spans="1:24" ht="27" thickBot="1">
      <c r="A1920" s="710" t="s">
        <v>85</v>
      </c>
      <c r="B1920" s="1312">
        <v>45637</v>
      </c>
      <c r="C1920" s="3012">
        <v>50</v>
      </c>
      <c r="D1920" s="1514" t="s">
        <v>5894</v>
      </c>
      <c r="E1920" s="1514" t="s">
        <v>169</v>
      </c>
      <c r="F1920" s="970" t="s">
        <v>1206</v>
      </c>
      <c r="G1920" s="970" t="s">
        <v>1206</v>
      </c>
      <c r="H1920" s="1070">
        <v>706</v>
      </c>
      <c r="I1920" s="957" t="s">
        <v>1066</v>
      </c>
      <c r="J1920" s="957"/>
      <c r="K1920" s="1970" t="s">
        <v>174</v>
      </c>
      <c r="L1920" s="91" t="s">
        <v>37</v>
      </c>
      <c r="M1920" s="91"/>
      <c r="N1920" s="91"/>
      <c r="O1920" s="91"/>
      <c r="P1920" s="91"/>
      <c r="Q1920" s="91"/>
      <c r="R1920" s="91"/>
      <c r="S1920" s="91"/>
      <c r="T1920" s="91"/>
      <c r="U1920" s="91"/>
      <c r="V1920" s="2464"/>
      <c r="W1920"/>
    </row>
    <row r="1921" spans="1:23">
      <c r="A1921" s="162" t="s">
        <v>105</v>
      </c>
      <c r="B1921" s="1301">
        <v>45638</v>
      </c>
      <c r="C1921" s="3012">
        <v>50</v>
      </c>
      <c r="D1921" s="4423" t="s">
        <v>1140</v>
      </c>
      <c r="E1921" s="4423" t="s">
        <v>5895</v>
      </c>
      <c r="F1921" s="1017" t="s">
        <v>1199</v>
      </c>
      <c r="G1921" s="1017" t="s">
        <v>1199</v>
      </c>
      <c r="H1921" s="1009">
        <v>702</v>
      </c>
      <c r="I1921" s="1009" t="s">
        <v>5882</v>
      </c>
      <c r="J1921" s="1009"/>
      <c r="K1921" s="1442" t="s">
        <v>29</v>
      </c>
      <c r="L1921" s="71" t="s">
        <v>37</v>
      </c>
      <c r="M1921" s="97"/>
      <c r="N1921" s="97"/>
      <c r="O1921" s="97"/>
      <c r="P1921" s="97"/>
      <c r="Q1921" s="97"/>
      <c r="R1921" s="97"/>
      <c r="S1921" s="97"/>
      <c r="T1921" s="97"/>
      <c r="U1921" s="97"/>
      <c r="V1921" s="2464"/>
      <c r="W1921"/>
    </row>
    <row r="1922" spans="1:23">
      <c r="A1922" s="76" t="s">
        <v>105</v>
      </c>
      <c r="B1922" s="1300">
        <v>45638</v>
      </c>
      <c r="C1922" s="3012">
        <v>50</v>
      </c>
      <c r="D1922" s="2669" t="s">
        <v>3493</v>
      </c>
      <c r="E1922" s="2669" t="s">
        <v>3376</v>
      </c>
      <c r="F1922" s="925" t="s">
        <v>1199</v>
      </c>
      <c r="G1922" s="925" t="s">
        <v>1199</v>
      </c>
      <c r="H1922" s="923">
        <v>702</v>
      </c>
      <c r="I1922" s="923" t="s">
        <v>5893</v>
      </c>
      <c r="J1922" s="923"/>
      <c r="K1922" s="923"/>
      <c r="L1922" s="923" t="s">
        <v>37</v>
      </c>
      <c r="M1922" s="71"/>
      <c r="N1922" s="71"/>
      <c r="O1922" s="71"/>
      <c r="P1922" s="71"/>
      <c r="Q1922" s="71"/>
      <c r="R1922" s="71"/>
      <c r="S1922" s="71"/>
      <c r="T1922" s="71"/>
      <c r="U1922" s="71"/>
      <c r="V1922" s="2464"/>
      <c r="W1922"/>
    </row>
    <row r="1923" spans="1:23">
      <c r="A1923" s="76" t="s">
        <v>105</v>
      </c>
      <c r="B1923" s="1300">
        <v>45638</v>
      </c>
      <c r="C1923" s="3012">
        <v>50</v>
      </c>
      <c r="D1923" s="2669" t="s">
        <v>80</v>
      </c>
      <c r="E1923" s="2669" t="s">
        <v>5896</v>
      </c>
      <c r="F1923" s="3115" t="s">
        <v>1206</v>
      </c>
      <c r="G1923" s="3115" t="s">
        <v>1206</v>
      </c>
      <c r="H1923" s="923">
        <v>702</v>
      </c>
      <c r="I1923" s="923" t="s">
        <v>5893</v>
      </c>
      <c r="J1923" s="923"/>
      <c r="K1923" s="923"/>
      <c r="L1923" s="923" t="s">
        <v>37</v>
      </c>
      <c r="M1923" s="71"/>
      <c r="N1923" s="71"/>
      <c r="O1923" s="71"/>
      <c r="P1923" s="71"/>
      <c r="Q1923" s="71"/>
      <c r="R1923" s="71"/>
      <c r="S1923" s="71"/>
      <c r="T1923" s="71"/>
      <c r="U1923" s="71"/>
      <c r="V1923" s="2464"/>
      <c r="W1923" t="s">
        <v>5897</v>
      </c>
    </row>
    <row r="1924" spans="1:23">
      <c r="A1924" s="76" t="s">
        <v>105</v>
      </c>
      <c r="B1924" s="1300">
        <v>45638</v>
      </c>
      <c r="C1924" s="3012">
        <v>50</v>
      </c>
      <c r="D1924" s="2669" t="s">
        <v>5898</v>
      </c>
      <c r="E1924" s="2669" t="s">
        <v>5027</v>
      </c>
      <c r="F1924" s="935" t="s">
        <v>1206</v>
      </c>
      <c r="G1924" s="3115" t="s">
        <v>1206</v>
      </c>
      <c r="H1924" s="923">
        <v>702</v>
      </c>
      <c r="I1924" s="923" t="s">
        <v>5893</v>
      </c>
      <c r="J1924" s="923"/>
      <c r="K1924" s="923"/>
      <c r="L1924" s="923" t="s">
        <v>37</v>
      </c>
      <c r="M1924" s="71"/>
      <c r="N1924" s="71"/>
      <c r="O1924" s="71"/>
      <c r="P1924" s="71"/>
      <c r="Q1924" s="71"/>
      <c r="R1924" s="71"/>
      <c r="S1924" s="71"/>
      <c r="T1924" s="71"/>
      <c r="U1924" s="71"/>
      <c r="V1924" s="2464"/>
      <c r="W1924"/>
    </row>
    <row r="1925" spans="1:23" ht="52.5">
      <c r="A1925" s="76" t="s">
        <v>105</v>
      </c>
      <c r="B1925" s="1300">
        <v>45638</v>
      </c>
      <c r="C1925" s="3012">
        <v>50</v>
      </c>
      <c r="D1925" s="3266" t="s">
        <v>1685</v>
      </c>
      <c r="E1925" s="3266" t="s">
        <v>263</v>
      </c>
      <c r="F1925" s="935" t="s">
        <v>5899</v>
      </c>
      <c r="G1925" s="979"/>
      <c r="H1925" s="923">
        <v>707</v>
      </c>
      <c r="I1925" s="923" t="s">
        <v>1852</v>
      </c>
      <c r="J1925" s="923"/>
      <c r="K1925" s="1443" t="s">
        <v>29</v>
      </c>
      <c r="L1925" s="923" t="s">
        <v>37</v>
      </c>
      <c r="M1925" s="71"/>
      <c r="N1925" s="71"/>
      <c r="O1925" s="71"/>
      <c r="P1925" s="71"/>
      <c r="Q1925" s="71"/>
      <c r="R1925" s="632">
        <v>1</v>
      </c>
      <c r="S1925" s="71"/>
      <c r="T1925" s="71"/>
      <c r="U1925" s="593"/>
      <c r="V1925" s="2464"/>
      <c r="W1925"/>
    </row>
    <row r="1926" spans="1:23" ht="52.5">
      <c r="A1926" s="76" t="s">
        <v>105</v>
      </c>
      <c r="B1926" s="1300">
        <v>45638</v>
      </c>
      <c r="C1926" s="3012">
        <v>50</v>
      </c>
      <c r="D1926" s="441" t="s">
        <v>1810</v>
      </c>
      <c r="E1926" s="441" t="s">
        <v>3540</v>
      </c>
      <c r="F1926" s="925" t="s">
        <v>1199</v>
      </c>
      <c r="G1926" s="3115" t="s">
        <v>5900</v>
      </c>
      <c r="H1926" s="923">
        <v>706</v>
      </c>
      <c r="I1926" s="923" t="s">
        <v>451</v>
      </c>
      <c r="J1926" s="923"/>
      <c r="K1926" s="1443" t="s">
        <v>84</v>
      </c>
      <c r="L1926" s="923"/>
      <c r="M1926" s="71" t="s">
        <v>30</v>
      </c>
      <c r="N1926" s="21" t="s">
        <v>71</v>
      </c>
      <c r="O1926" s="21" t="s">
        <v>178</v>
      </c>
      <c r="P1926" s="21" t="s">
        <v>4102</v>
      </c>
      <c r="Q1926" s="71"/>
      <c r="R1926" s="71"/>
      <c r="S1926" s="71"/>
      <c r="T1926" s="71"/>
      <c r="U1926" s="71" t="s">
        <v>5901</v>
      </c>
      <c r="V1926" s="2464" t="s">
        <v>5902</v>
      </c>
      <c r="W1926"/>
    </row>
    <row r="1927" spans="1:23" ht="52.5">
      <c r="A1927" s="76" t="s">
        <v>105</v>
      </c>
      <c r="B1927" s="1300">
        <v>45638</v>
      </c>
      <c r="C1927" s="3012">
        <v>50</v>
      </c>
      <c r="D1927" s="1194" t="s">
        <v>5903</v>
      </c>
      <c r="E1927" s="1194" t="s">
        <v>5904</v>
      </c>
      <c r="F1927" s="3178" t="s">
        <v>4972</v>
      </c>
      <c r="G1927" s="4424"/>
      <c r="H1927" s="923">
        <v>706</v>
      </c>
      <c r="I1927" s="923" t="s">
        <v>1141</v>
      </c>
      <c r="J1927" s="923"/>
      <c r="K1927" s="923"/>
      <c r="L1927" s="923"/>
      <c r="M1927" s="71" t="s">
        <v>37</v>
      </c>
      <c r="N1927" s="21" t="s">
        <v>231</v>
      </c>
      <c r="O1927" s="21" t="s">
        <v>232</v>
      </c>
      <c r="P1927" s="21" t="s">
        <v>4102</v>
      </c>
      <c r="Q1927" s="71"/>
      <c r="R1927" s="71"/>
      <c r="S1927" s="71"/>
      <c r="T1927" s="71"/>
      <c r="U1927" s="71" t="s">
        <v>5905</v>
      </c>
      <c r="V1927" s="2464"/>
      <c r="W1927"/>
    </row>
    <row r="1928" spans="1:23">
      <c r="A1928" s="76" t="s">
        <v>105</v>
      </c>
      <c r="B1928" s="1300">
        <v>45638</v>
      </c>
      <c r="C1928" s="3012">
        <v>50</v>
      </c>
      <c r="D1928" s="1650" t="s">
        <v>258</v>
      </c>
      <c r="E1928" s="1650" t="s">
        <v>5906</v>
      </c>
      <c r="F1928" s="4425" t="s">
        <v>1206</v>
      </c>
      <c r="G1928" s="4425" t="s">
        <v>1206</v>
      </c>
      <c r="H1928" s="923">
        <v>702</v>
      </c>
      <c r="I1928" s="923" t="s">
        <v>1176</v>
      </c>
      <c r="J1928" s="923"/>
      <c r="K1928" s="923"/>
      <c r="L1928" s="71" t="s">
        <v>30</v>
      </c>
      <c r="M1928" s="71"/>
      <c r="N1928" s="71"/>
      <c r="O1928" s="71"/>
      <c r="P1928" s="71"/>
      <c r="Q1928" s="71"/>
      <c r="R1928" s="71"/>
      <c r="S1928" s="71" t="s">
        <v>37</v>
      </c>
      <c r="T1928" s="71"/>
      <c r="U1928" s="71"/>
      <c r="V1928" s="2464"/>
      <c r="W1928"/>
    </row>
    <row r="1929" spans="1:23" ht="78.75">
      <c r="A1929" s="162" t="s">
        <v>105</v>
      </c>
      <c r="B1929" s="1301">
        <v>45638</v>
      </c>
      <c r="C1929" s="3012">
        <v>50</v>
      </c>
      <c r="D1929" s="1585" t="s">
        <v>5907</v>
      </c>
      <c r="E1929" s="1585" t="s">
        <v>5908</v>
      </c>
      <c r="F1929" s="4426" t="s">
        <v>1199</v>
      </c>
      <c r="G1929" s="4427" t="s">
        <v>1199</v>
      </c>
      <c r="H1929" s="923">
        <v>702</v>
      </c>
      <c r="I1929" s="1510" t="s">
        <v>5909</v>
      </c>
      <c r="J1929" s="1009"/>
      <c r="K1929" s="1009"/>
      <c r="L1929" s="1009"/>
      <c r="M1929" s="71" t="s">
        <v>37</v>
      </c>
      <c r="N1929" s="21" t="s">
        <v>109</v>
      </c>
      <c r="O1929" s="21" t="s">
        <v>1109</v>
      </c>
      <c r="P1929" s="21" t="s">
        <v>4082</v>
      </c>
      <c r="Q1929" s="97" t="s">
        <v>37</v>
      </c>
      <c r="R1929" s="97"/>
      <c r="S1929" s="97" t="s">
        <v>37</v>
      </c>
      <c r="T1929" s="97"/>
      <c r="U1929" s="97" t="s">
        <v>5910</v>
      </c>
      <c r="V1929" s="2464" t="s">
        <v>5911</v>
      </c>
      <c r="W1929" s="2464" t="s">
        <v>5912</v>
      </c>
    </row>
    <row r="1930" spans="1:23">
      <c r="A1930" s="162" t="s">
        <v>105</v>
      </c>
      <c r="B1930" s="1301">
        <v>45638</v>
      </c>
      <c r="C1930" s="3012">
        <v>50</v>
      </c>
      <c r="D1930" s="4428" t="s">
        <v>48</v>
      </c>
      <c r="E1930" s="4429" t="s">
        <v>3140</v>
      </c>
      <c r="F1930" s="4430" t="s">
        <v>1206</v>
      </c>
      <c r="G1930" s="4430" t="s">
        <v>1046</v>
      </c>
      <c r="H1930" s="1510">
        <v>705</v>
      </c>
      <c r="I1930" s="1009" t="s">
        <v>5913</v>
      </c>
      <c r="J1930" s="1009"/>
      <c r="K1930" s="71" t="s">
        <v>30</v>
      </c>
      <c r="L1930" s="1009"/>
      <c r="M1930" s="97"/>
      <c r="N1930" s="97"/>
      <c r="O1930" s="97"/>
      <c r="P1930" s="97"/>
      <c r="Q1930" s="97"/>
      <c r="R1930" s="97"/>
      <c r="S1930" s="97" t="s">
        <v>37</v>
      </c>
      <c r="T1930" s="97"/>
      <c r="U1930" s="97"/>
      <c r="V1930" s="2464"/>
      <c r="W1930"/>
    </row>
    <row r="1931" spans="1:23" ht="27" thickBot="1">
      <c r="A1931" s="2144" t="s">
        <v>105</v>
      </c>
      <c r="B1931" s="2141">
        <v>45638</v>
      </c>
      <c r="C1931" s="3012">
        <v>50</v>
      </c>
      <c r="D1931" s="3326" t="s">
        <v>3006</v>
      </c>
      <c r="E1931" s="3326" t="s">
        <v>142</v>
      </c>
      <c r="F1931" s="4431" t="s">
        <v>1206</v>
      </c>
      <c r="G1931" s="4432" t="s">
        <v>1046</v>
      </c>
      <c r="H1931" s="957">
        <v>705</v>
      </c>
      <c r="I1931" s="957" t="s">
        <v>5913</v>
      </c>
      <c r="J1931" s="2346"/>
      <c r="K1931" s="71" t="s">
        <v>30</v>
      </c>
      <c r="L1931" s="2346"/>
      <c r="M1931" s="2347"/>
      <c r="N1931" s="2347"/>
      <c r="O1931" s="2347"/>
      <c r="P1931" s="2347"/>
      <c r="Q1931" s="2347"/>
      <c r="R1931" s="2347"/>
      <c r="S1931" s="2347" t="s">
        <v>37</v>
      </c>
      <c r="T1931" s="2347"/>
      <c r="U1931" s="2347"/>
      <c r="V1931" s="2464"/>
      <c r="W1931"/>
    </row>
    <row r="1932" spans="1:23" ht="52.5">
      <c r="A1932" s="76" t="s">
        <v>5914</v>
      </c>
      <c r="B1932" s="1300">
        <v>45639</v>
      </c>
      <c r="C1932" s="3012">
        <v>50</v>
      </c>
      <c r="D1932" s="441" t="s">
        <v>1811</v>
      </c>
      <c r="E1932" s="441" t="s">
        <v>1624</v>
      </c>
      <c r="F1932" s="925" t="s">
        <v>1199</v>
      </c>
      <c r="G1932" s="925" t="s">
        <v>1199</v>
      </c>
      <c r="H1932" s="923">
        <v>706</v>
      </c>
      <c r="I1932" s="1009" t="s">
        <v>451</v>
      </c>
      <c r="J1932" s="923"/>
      <c r="K1932" s="1443" t="s">
        <v>29</v>
      </c>
      <c r="L1932" s="923"/>
      <c r="M1932" s="71"/>
      <c r="N1932" s="21" t="s">
        <v>71</v>
      </c>
      <c r="O1932" s="21" t="s">
        <v>178</v>
      </c>
      <c r="P1932" s="21" t="s">
        <v>4102</v>
      </c>
      <c r="Q1932" s="71"/>
      <c r="R1932" s="71"/>
      <c r="S1932" s="71"/>
      <c r="T1932" s="71"/>
      <c r="U1932" s="71" t="s">
        <v>5915</v>
      </c>
      <c r="V1932" s="2464"/>
      <c r="W1932"/>
    </row>
    <row r="1933" spans="1:23">
      <c r="A1933" s="76" t="s">
        <v>5914</v>
      </c>
      <c r="B1933" s="1300">
        <v>45639</v>
      </c>
      <c r="C1933" s="3012">
        <v>50</v>
      </c>
      <c r="D1933" s="441" t="s">
        <v>1191</v>
      </c>
      <c r="E1933" s="441" t="s">
        <v>5916</v>
      </c>
      <c r="F1933" s="925" t="s">
        <v>1199</v>
      </c>
      <c r="G1933" s="925" t="s">
        <v>1199</v>
      </c>
      <c r="H1933" s="923">
        <v>706</v>
      </c>
      <c r="I1933" s="923" t="s">
        <v>451</v>
      </c>
      <c r="J1933" s="923"/>
      <c r="K1933" s="1443" t="s">
        <v>84</v>
      </c>
      <c r="L1933" s="71" t="s">
        <v>30</v>
      </c>
      <c r="M1933" s="71"/>
      <c r="N1933" s="71"/>
      <c r="O1933" s="71"/>
      <c r="P1933" s="71"/>
      <c r="Q1933" s="71"/>
      <c r="R1933" s="71" t="s">
        <v>37</v>
      </c>
      <c r="S1933" s="71"/>
      <c r="T1933" s="71"/>
      <c r="U1933" s="71"/>
      <c r="V1933" s="2464"/>
      <c r="W1933"/>
    </row>
    <row r="1934" spans="1:23">
      <c r="A1934" s="76" t="s">
        <v>5914</v>
      </c>
      <c r="B1934" s="1300">
        <v>45639</v>
      </c>
      <c r="C1934" s="3012">
        <v>50</v>
      </c>
      <c r="D1934" s="1194" t="s">
        <v>1391</v>
      </c>
      <c r="E1934" s="1194" t="s">
        <v>216</v>
      </c>
      <c r="F1934" s="935" t="s">
        <v>1199</v>
      </c>
      <c r="G1934" s="3115"/>
      <c r="H1934" s="1009">
        <v>706</v>
      </c>
      <c r="I1934" s="923" t="s">
        <v>5917</v>
      </c>
      <c r="J1934" s="923"/>
      <c r="K1934" s="1443" t="s">
        <v>29</v>
      </c>
      <c r="L1934" s="71" t="s">
        <v>30</v>
      </c>
      <c r="M1934" s="71"/>
      <c r="N1934" s="71"/>
      <c r="O1934" s="71"/>
      <c r="P1934" s="71"/>
      <c r="Q1934" s="71"/>
      <c r="R1934" s="97"/>
      <c r="S1934" s="71"/>
      <c r="T1934" s="71"/>
      <c r="U1934" s="71"/>
      <c r="V1934" s="2464"/>
      <c r="W1934"/>
    </row>
    <row r="1935" spans="1:23">
      <c r="A1935" s="76" t="s">
        <v>5914</v>
      </c>
      <c r="B1935" s="1300">
        <v>45639</v>
      </c>
      <c r="C1935" s="3012">
        <v>50</v>
      </c>
      <c r="D1935" s="1194" t="s">
        <v>1806</v>
      </c>
      <c r="E1935" s="1195" t="s">
        <v>1094</v>
      </c>
      <c r="F1935" s="3115" t="s">
        <v>1206</v>
      </c>
      <c r="G1935" s="3115" t="s">
        <v>1206</v>
      </c>
      <c r="H1935" s="1569">
        <v>701</v>
      </c>
      <c r="I1935" s="923" t="s">
        <v>1095</v>
      </c>
      <c r="J1935" s="923"/>
      <c r="K1935" s="923"/>
      <c r="L1935" s="71" t="s">
        <v>30</v>
      </c>
      <c r="M1935" s="71"/>
      <c r="N1935" s="71"/>
      <c r="O1935" s="71"/>
      <c r="P1935" s="71"/>
      <c r="Q1935" s="71"/>
      <c r="R1935" s="71"/>
      <c r="S1935" s="71"/>
      <c r="T1935" s="71"/>
      <c r="U1935" s="71"/>
      <c r="V1935" s="2464"/>
      <c r="W1935"/>
    </row>
    <row r="1936" spans="1:23" ht="105">
      <c r="A1936" s="76" t="s">
        <v>5914</v>
      </c>
      <c r="B1936" s="1300">
        <v>45639</v>
      </c>
      <c r="C1936" s="3012">
        <v>50</v>
      </c>
      <c r="D1936" s="1194" t="s">
        <v>5903</v>
      </c>
      <c r="E1936" s="1194" t="s">
        <v>5904</v>
      </c>
      <c r="F1936" s="935" t="s">
        <v>1199</v>
      </c>
      <c r="G1936" s="935" t="s">
        <v>1199</v>
      </c>
      <c r="H1936" s="923">
        <v>706</v>
      </c>
      <c r="I1936" s="923" t="s">
        <v>1141</v>
      </c>
      <c r="J1936" s="923"/>
      <c r="K1936" s="923"/>
      <c r="L1936" s="923"/>
      <c r="M1936" s="71" t="s">
        <v>30</v>
      </c>
      <c r="N1936" s="21" t="s">
        <v>109</v>
      </c>
      <c r="O1936" s="21" t="s">
        <v>300</v>
      </c>
      <c r="P1936" s="21" t="s">
        <v>4102</v>
      </c>
      <c r="Q1936" s="71"/>
      <c r="R1936" s="71" t="s">
        <v>37</v>
      </c>
      <c r="S1936" s="71"/>
      <c r="T1936" s="71"/>
      <c r="U1936" s="71" t="s">
        <v>5918</v>
      </c>
      <c r="V1936" s="2464" t="s">
        <v>5919</v>
      </c>
      <c r="W1936"/>
    </row>
    <row r="1937" spans="1:23">
      <c r="A1937" s="76" t="s">
        <v>5914</v>
      </c>
      <c r="B1937" s="1300">
        <v>45639</v>
      </c>
      <c r="C1937" s="3012">
        <v>50</v>
      </c>
      <c r="D1937" s="3266" t="s">
        <v>148</v>
      </c>
      <c r="E1937" s="3266" t="s">
        <v>5920</v>
      </c>
      <c r="F1937" s="3109" t="s">
        <v>1206</v>
      </c>
      <c r="G1937" s="3109" t="s">
        <v>1046</v>
      </c>
      <c r="H1937" s="923">
        <v>707</v>
      </c>
      <c r="I1937" s="923" t="s">
        <v>1852</v>
      </c>
      <c r="J1937" s="923"/>
      <c r="K1937" s="1443" t="s">
        <v>84</v>
      </c>
      <c r="L1937" s="71" t="s">
        <v>30</v>
      </c>
      <c r="M1937" s="71"/>
      <c r="N1937" s="71"/>
      <c r="O1937" s="71"/>
      <c r="P1937" s="71"/>
      <c r="Q1937" s="71"/>
      <c r="R1937" s="632">
        <v>1</v>
      </c>
      <c r="S1937" s="71"/>
      <c r="T1937" s="71"/>
      <c r="U1937" s="593"/>
      <c r="V1937" s="2464"/>
      <c r="W1937"/>
    </row>
    <row r="1938" spans="1:23" ht="78.75">
      <c r="A1938" s="76" t="s">
        <v>5914</v>
      </c>
      <c r="B1938" s="2151">
        <v>45639</v>
      </c>
      <c r="C1938" s="3012">
        <v>50</v>
      </c>
      <c r="D1938" s="4433" t="s">
        <v>675</v>
      </c>
      <c r="E1938" s="1650" t="s">
        <v>5921</v>
      </c>
      <c r="F1938" s="935" t="s">
        <v>1199</v>
      </c>
      <c r="G1938" s="935" t="s">
        <v>1199</v>
      </c>
      <c r="H1938" s="923">
        <v>702</v>
      </c>
      <c r="I1938" s="923" t="s">
        <v>5922</v>
      </c>
      <c r="J1938" s="923"/>
      <c r="K1938" s="923"/>
      <c r="L1938" s="923"/>
      <c r="M1938" s="71" t="s">
        <v>37</v>
      </c>
      <c r="N1938" s="21"/>
      <c r="O1938" s="21"/>
      <c r="P1938" s="21" t="s">
        <v>4082</v>
      </c>
      <c r="Q1938" s="71"/>
      <c r="R1938" s="71"/>
      <c r="S1938" s="71" t="s">
        <v>37</v>
      </c>
      <c r="T1938" s="71"/>
      <c r="U1938" s="71" t="s">
        <v>5923</v>
      </c>
      <c r="V1938" s="2464"/>
      <c r="W1938" t="s">
        <v>5924</v>
      </c>
    </row>
    <row r="1939" spans="1:23" ht="52.5">
      <c r="A1939" s="76" t="s">
        <v>5914</v>
      </c>
      <c r="B1939" s="2151">
        <v>45639</v>
      </c>
      <c r="C1939" s="3012">
        <v>50</v>
      </c>
      <c r="D1939" s="4433" t="s">
        <v>4278</v>
      </c>
      <c r="E1939" s="1650" t="s">
        <v>5925</v>
      </c>
      <c r="F1939" s="4430" t="s">
        <v>1206</v>
      </c>
      <c r="G1939" s="4430" t="s">
        <v>1046</v>
      </c>
      <c r="H1939" s="923">
        <v>702</v>
      </c>
      <c r="I1939" s="923" t="s">
        <v>5922</v>
      </c>
      <c r="J1939" s="923"/>
      <c r="K1939" s="923"/>
      <c r="L1939" s="923"/>
      <c r="M1939" s="71" t="s">
        <v>37</v>
      </c>
      <c r="N1939" s="21"/>
      <c r="O1939" s="21"/>
      <c r="P1939" s="21" t="s">
        <v>4082</v>
      </c>
      <c r="Q1939" s="71"/>
      <c r="R1939" s="71"/>
      <c r="S1939" s="71" t="s">
        <v>37</v>
      </c>
      <c r="T1939" s="71"/>
      <c r="U1939" s="71" t="s">
        <v>5926</v>
      </c>
      <c r="V1939" s="2464"/>
      <c r="W1939"/>
    </row>
    <row r="1940" spans="1:23" ht="52.5">
      <c r="A1940" s="76" t="s">
        <v>5914</v>
      </c>
      <c r="B1940" s="2151">
        <v>45639</v>
      </c>
      <c r="C1940" s="3012">
        <v>50</v>
      </c>
      <c r="D1940" s="4433" t="s">
        <v>675</v>
      </c>
      <c r="E1940" s="1650" t="s">
        <v>2149</v>
      </c>
      <c r="F1940" s="4430" t="s">
        <v>1206</v>
      </c>
      <c r="G1940" s="4430" t="s">
        <v>1046</v>
      </c>
      <c r="H1940" s="923">
        <v>702</v>
      </c>
      <c r="I1940" s="923" t="s">
        <v>5927</v>
      </c>
      <c r="J1940" s="923"/>
      <c r="K1940" s="923"/>
      <c r="L1940" s="923"/>
      <c r="M1940" s="71" t="s">
        <v>37</v>
      </c>
      <c r="N1940" s="21"/>
      <c r="O1940" s="21"/>
      <c r="P1940" s="21" t="s">
        <v>4082</v>
      </c>
      <c r="Q1940" s="71"/>
      <c r="R1940" s="71"/>
      <c r="S1940" s="71" t="s">
        <v>37</v>
      </c>
      <c r="T1940" s="71"/>
      <c r="U1940" s="71" t="s">
        <v>5928</v>
      </c>
      <c r="V1940" s="2464"/>
      <c r="W1940" t="s">
        <v>5929</v>
      </c>
    </row>
    <row r="1941" spans="1:23">
      <c r="A1941" s="76" t="s">
        <v>5914</v>
      </c>
      <c r="B1941" s="1300">
        <v>45639</v>
      </c>
      <c r="C1941" s="3012">
        <v>50</v>
      </c>
      <c r="D1941" s="3180" t="s">
        <v>1073</v>
      </c>
      <c r="E1941" s="1194" t="s">
        <v>5930</v>
      </c>
      <c r="F1941" s="935" t="s">
        <v>1199</v>
      </c>
      <c r="G1941" s="935" t="s">
        <v>1199</v>
      </c>
      <c r="H1941" s="923">
        <v>701</v>
      </c>
      <c r="I1941" s="923" t="s">
        <v>157</v>
      </c>
      <c r="J1941" s="923"/>
      <c r="K1941" s="923"/>
      <c r="L1941" s="923" t="s">
        <v>37</v>
      </c>
      <c r="M1941" s="71"/>
      <c r="N1941" s="71"/>
      <c r="O1941" s="71"/>
      <c r="P1941" s="71"/>
      <c r="Q1941" s="71"/>
      <c r="R1941" s="71"/>
      <c r="S1941" s="71"/>
      <c r="T1941" s="71"/>
      <c r="U1941" s="71"/>
      <c r="V1941" s="2464"/>
      <c r="W1941"/>
    </row>
    <row r="1942" spans="1:23" ht="27" thickBot="1">
      <c r="A1942" s="710" t="s">
        <v>5914</v>
      </c>
      <c r="B1942" s="2708">
        <v>45639</v>
      </c>
      <c r="C1942" s="3012">
        <v>50</v>
      </c>
      <c r="D1942" s="3328" t="s">
        <v>5931</v>
      </c>
      <c r="E1942" s="1514" t="s">
        <v>5552</v>
      </c>
      <c r="F1942" s="3179" t="s">
        <v>1206</v>
      </c>
      <c r="G1942" s="3179" t="s">
        <v>1206</v>
      </c>
      <c r="H1942" s="957">
        <v>701</v>
      </c>
      <c r="I1942" s="957" t="s">
        <v>5932</v>
      </c>
      <c r="J1942" s="957"/>
      <c r="K1942" s="957"/>
      <c r="L1942" s="957" t="s">
        <v>37</v>
      </c>
      <c r="M1942" s="91"/>
      <c r="N1942" s="91"/>
      <c r="O1942" s="91"/>
      <c r="P1942" s="91"/>
      <c r="Q1942" s="91"/>
      <c r="R1942" s="91"/>
      <c r="S1942" s="91"/>
      <c r="T1942" s="91"/>
      <c r="U1942" s="91"/>
      <c r="V1942" s="2464"/>
      <c r="W1942"/>
    </row>
    <row r="1943" spans="1:23">
      <c r="A1943" s="1935" t="s">
        <v>25</v>
      </c>
      <c r="B1943" s="1936">
        <v>45642</v>
      </c>
      <c r="C1943" s="3012">
        <f>_xlfn.ISOWEEKNUM(B1943)</f>
        <v>51</v>
      </c>
      <c r="D1943" s="1528" t="s">
        <v>1527</v>
      </c>
      <c r="E1943" s="1571" t="s">
        <v>43</v>
      </c>
      <c r="F1943" s="3104" t="s">
        <v>1206</v>
      </c>
      <c r="G1943" s="3105" t="s">
        <v>1199</v>
      </c>
      <c r="H1943" s="1569">
        <v>701</v>
      </c>
      <c r="I1943" s="923" t="s">
        <v>5933</v>
      </c>
      <c r="J1943" s="923"/>
      <c r="K1943" s="923"/>
      <c r="L1943" s="923" t="s">
        <v>37</v>
      </c>
      <c r="M1943" s="71"/>
      <c r="N1943" s="71"/>
      <c r="O1943" s="71"/>
      <c r="P1943" s="71"/>
      <c r="Q1943" s="71"/>
      <c r="R1943" s="71"/>
      <c r="S1943" s="71"/>
      <c r="T1943" s="71"/>
      <c r="U1943" s="97"/>
    </row>
    <row r="1944" spans="1:23" ht="78.75">
      <c r="A1944" s="1941" t="s">
        <v>25</v>
      </c>
      <c r="B1944" s="1300">
        <v>45642</v>
      </c>
      <c r="C1944" s="3012">
        <f t="shared" ref="C1944:C1995" si="43">_xlfn.ISOWEEKNUM(B1944)</f>
        <v>51</v>
      </c>
      <c r="D1944" s="1776" t="s">
        <v>258</v>
      </c>
      <c r="E1944" s="3108" t="s">
        <v>684</v>
      </c>
      <c r="F1944" s="3106" t="s">
        <v>1206</v>
      </c>
      <c r="G1944" s="3107" t="s">
        <v>1199</v>
      </c>
      <c r="H1944" s="1569">
        <v>702</v>
      </c>
      <c r="I1944" s="923" t="s">
        <v>5934</v>
      </c>
      <c r="J1944" s="923"/>
      <c r="K1944" s="923"/>
      <c r="L1944" s="923"/>
      <c r="M1944" s="71" t="s">
        <v>37</v>
      </c>
      <c r="N1944" s="21" t="s">
        <v>0</v>
      </c>
      <c r="O1944" s="21" t="s">
        <v>526</v>
      </c>
      <c r="P1944" s="21" t="s">
        <v>4082</v>
      </c>
      <c r="Q1944" s="71"/>
      <c r="R1944" s="71"/>
      <c r="S1944" s="71"/>
      <c r="T1944" s="71"/>
      <c r="U1944" s="71" t="s">
        <v>5935</v>
      </c>
    </row>
    <row r="1945" spans="1:23">
      <c r="A1945" s="1941" t="s">
        <v>25</v>
      </c>
      <c r="B1945" s="1300">
        <v>45642</v>
      </c>
      <c r="C1945" s="3012">
        <f t="shared" si="43"/>
        <v>51</v>
      </c>
      <c r="D1945" s="1776" t="s">
        <v>392</v>
      </c>
      <c r="E1945" s="3108" t="s">
        <v>258</v>
      </c>
      <c r="F1945" s="3106" t="s">
        <v>1206</v>
      </c>
      <c r="G1945" s="3106" t="s">
        <v>1206</v>
      </c>
      <c r="H1945" s="1569"/>
      <c r="I1945" s="923"/>
      <c r="J1945" s="923"/>
      <c r="K1945" s="1001"/>
      <c r="L1945" s="923" t="s">
        <v>37</v>
      </c>
      <c r="M1945" s="71"/>
      <c r="N1945" s="71"/>
      <c r="O1945" s="71"/>
      <c r="P1945" s="71"/>
      <c r="Q1945" s="71"/>
      <c r="R1945" s="71"/>
      <c r="S1945" s="71"/>
      <c r="T1945" s="71"/>
      <c r="U1945" s="71"/>
    </row>
    <row r="1946" spans="1:23" ht="78.75">
      <c r="A1946" s="1941" t="s">
        <v>25</v>
      </c>
      <c r="B1946" s="1300">
        <v>45642</v>
      </c>
      <c r="C1946" s="3012">
        <f t="shared" si="43"/>
        <v>51</v>
      </c>
      <c r="D1946" s="1776" t="s">
        <v>258</v>
      </c>
      <c r="E1946" s="3108" t="s">
        <v>116</v>
      </c>
      <c r="F1946" s="1381" t="s">
        <v>1199</v>
      </c>
      <c r="G1946" s="927" t="s">
        <v>1199</v>
      </c>
      <c r="H1946" s="923">
        <v>702</v>
      </c>
      <c r="I1946" s="923" t="s">
        <v>5936</v>
      </c>
      <c r="J1946" s="923"/>
      <c r="K1946" s="1520"/>
      <c r="L1946" s="923"/>
      <c r="M1946" s="71" t="s">
        <v>37</v>
      </c>
      <c r="N1946" s="21" t="s">
        <v>0</v>
      </c>
      <c r="O1946" s="21" t="s">
        <v>891</v>
      </c>
      <c r="P1946" s="21" t="s">
        <v>4082</v>
      </c>
      <c r="Q1946" s="71"/>
      <c r="R1946" s="71"/>
      <c r="S1946" s="71"/>
      <c r="T1946" s="71"/>
      <c r="U1946" s="71" t="s">
        <v>5937</v>
      </c>
    </row>
    <row r="1947" spans="1:23">
      <c r="A1947" s="1941" t="s">
        <v>25</v>
      </c>
      <c r="B1947" s="1300">
        <v>45642</v>
      </c>
      <c r="C1947" s="3012">
        <f t="shared" si="43"/>
        <v>51</v>
      </c>
      <c r="D1947" s="1194" t="s">
        <v>258</v>
      </c>
      <c r="E1947" s="1557" t="s">
        <v>43</v>
      </c>
      <c r="F1947" s="3106" t="s">
        <v>1206</v>
      </c>
      <c r="G1947" s="935" t="s">
        <v>1199</v>
      </c>
      <c r="H1947" s="923">
        <v>702</v>
      </c>
      <c r="I1947" s="923" t="s">
        <v>2124</v>
      </c>
      <c r="J1947" s="923"/>
      <c r="K1947" s="1009"/>
      <c r="L1947" s="923" t="s">
        <v>37</v>
      </c>
      <c r="M1947" s="71"/>
      <c r="N1947" s="71"/>
      <c r="O1947" s="71"/>
      <c r="P1947" s="71"/>
      <c r="Q1947" s="71"/>
      <c r="R1947" s="71"/>
      <c r="S1947" s="71"/>
      <c r="T1947" s="71"/>
      <c r="U1947" s="71"/>
    </row>
    <row r="1948" spans="1:23">
      <c r="A1948" s="1941" t="s">
        <v>25</v>
      </c>
      <c r="B1948" s="1300">
        <v>45642</v>
      </c>
      <c r="C1948" s="3012">
        <f t="shared" si="43"/>
        <v>51</v>
      </c>
      <c r="D1948" s="1194" t="s">
        <v>169</v>
      </c>
      <c r="E1948" s="1557" t="s">
        <v>169</v>
      </c>
      <c r="F1948" s="2412" t="s">
        <v>4147</v>
      </c>
      <c r="G1948" s="3115" t="s">
        <v>4147</v>
      </c>
      <c r="H1948" s="923">
        <v>701</v>
      </c>
      <c r="I1948" s="923" t="s">
        <v>149</v>
      </c>
      <c r="J1948" s="923"/>
      <c r="K1948" s="923"/>
      <c r="L1948" s="923" t="s">
        <v>37</v>
      </c>
      <c r="M1948" s="71"/>
      <c r="N1948" s="71"/>
      <c r="O1948" s="71"/>
      <c r="P1948" s="71"/>
      <c r="Q1948" s="71"/>
      <c r="R1948" s="71"/>
      <c r="S1948" s="71"/>
      <c r="T1948" s="71"/>
      <c r="U1948" s="71"/>
    </row>
    <row r="1949" spans="1:23" ht="27" thickBot="1">
      <c r="A1949" s="1941" t="s">
        <v>25</v>
      </c>
      <c r="B1949" s="1300">
        <v>45642</v>
      </c>
      <c r="C1949" s="3012">
        <f t="shared" si="43"/>
        <v>51</v>
      </c>
      <c r="D1949" s="1194" t="s">
        <v>169</v>
      </c>
      <c r="E1949" s="1557" t="s">
        <v>1065</v>
      </c>
      <c r="F1949" s="1381" t="s">
        <v>1199</v>
      </c>
      <c r="G1949" s="927" t="s">
        <v>1199</v>
      </c>
      <c r="H1949" s="923">
        <v>706</v>
      </c>
      <c r="I1949" s="923" t="s">
        <v>5938</v>
      </c>
      <c r="J1949" s="923"/>
      <c r="K1949" s="1970" t="s">
        <v>174</v>
      </c>
      <c r="L1949" s="923" t="s">
        <v>37</v>
      </c>
      <c r="M1949" s="71"/>
      <c r="N1949" s="71"/>
      <c r="O1949" s="71"/>
      <c r="P1949" s="71"/>
      <c r="Q1949" s="71"/>
      <c r="R1949" s="71"/>
      <c r="S1949" s="71"/>
      <c r="T1949" s="71"/>
      <c r="U1949" s="71"/>
    </row>
    <row r="1950" spans="1:23" ht="27" thickBot="1">
      <c r="A1950" s="1941" t="s">
        <v>25</v>
      </c>
      <c r="B1950" s="1300">
        <v>45642</v>
      </c>
      <c r="C1950" s="3012">
        <f t="shared" si="43"/>
        <v>51</v>
      </c>
      <c r="D1950" s="1194" t="s">
        <v>169</v>
      </c>
      <c r="E1950" s="1557" t="s">
        <v>5939</v>
      </c>
      <c r="F1950" s="1224" t="s">
        <v>1206</v>
      </c>
      <c r="G1950" s="979" t="s">
        <v>1206</v>
      </c>
      <c r="H1950" s="923">
        <v>701</v>
      </c>
      <c r="I1950" s="923" t="s">
        <v>5940</v>
      </c>
      <c r="J1950" s="923"/>
      <c r="K1950" s="1603"/>
      <c r="L1950" s="923" t="s">
        <v>37</v>
      </c>
      <c r="M1950" s="71"/>
      <c r="N1950" s="71"/>
      <c r="O1950" s="71"/>
      <c r="P1950" s="71"/>
      <c r="Q1950" s="71"/>
      <c r="R1950" s="71"/>
      <c r="S1950" s="71"/>
      <c r="T1950" s="71"/>
      <c r="U1950" s="71"/>
    </row>
    <row r="1951" spans="1:23" ht="27" thickBot="1">
      <c r="A1951" s="1941" t="s">
        <v>25</v>
      </c>
      <c r="B1951" s="1300">
        <v>45642</v>
      </c>
      <c r="C1951" s="3012">
        <f t="shared" si="43"/>
        <v>51</v>
      </c>
      <c r="D1951" s="1194" t="s">
        <v>1654</v>
      </c>
      <c r="E1951" s="1557" t="s">
        <v>2465</v>
      </c>
      <c r="F1951" s="3106" t="s">
        <v>1206</v>
      </c>
      <c r="G1951" s="3109" t="s">
        <v>1206</v>
      </c>
      <c r="H1951" s="923">
        <v>707</v>
      </c>
      <c r="I1951" s="923" t="s">
        <v>1060</v>
      </c>
      <c r="J1951" s="923"/>
      <c r="K1951" s="1603"/>
      <c r="L1951" s="923" t="s">
        <v>37</v>
      </c>
      <c r="M1951" s="71"/>
      <c r="N1951" s="71"/>
      <c r="O1951" s="71"/>
      <c r="P1951" s="71"/>
      <c r="Q1951" s="71"/>
      <c r="R1951" s="71"/>
      <c r="S1951" s="71"/>
      <c r="T1951" s="71"/>
      <c r="U1951" s="71"/>
    </row>
    <row r="1952" spans="1:23" ht="27" thickBot="1">
      <c r="A1952" s="1941" t="s">
        <v>25</v>
      </c>
      <c r="B1952" s="1312">
        <v>45642</v>
      </c>
      <c r="C1952" s="3012">
        <f t="shared" si="43"/>
        <v>51</v>
      </c>
      <c r="D1952" s="1514" t="s">
        <v>442</v>
      </c>
      <c r="E1952" s="1552" t="s">
        <v>1654</v>
      </c>
      <c r="F1952" s="1490" t="s">
        <v>1199</v>
      </c>
      <c r="G1952" s="1490" t="s">
        <v>1199</v>
      </c>
      <c r="H1952" s="3241">
        <v>702</v>
      </c>
      <c r="I1952" s="957" t="s">
        <v>3365</v>
      </c>
      <c r="J1952" s="957"/>
      <c r="K1952" s="1970" t="s">
        <v>114</v>
      </c>
      <c r="L1952" s="923" t="s">
        <v>37</v>
      </c>
      <c r="M1952" s="91"/>
      <c r="N1952" s="91"/>
      <c r="O1952" s="91"/>
      <c r="P1952" s="91"/>
      <c r="Q1952" s="91"/>
      <c r="R1952" s="91"/>
      <c r="S1952" s="91"/>
      <c r="T1952" s="91"/>
      <c r="U1952" s="91"/>
    </row>
    <row r="1953" spans="1:23" ht="105">
      <c r="A1953" s="1942" t="s">
        <v>5146</v>
      </c>
      <c r="B1953" s="2311">
        <v>45643</v>
      </c>
      <c r="C1953" s="3012">
        <f t="shared" si="43"/>
        <v>51</v>
      </c>
      <c r="D1953" s="1776" t="s">
        <v>258</v>
      </c>
      <c r="E1953" s="3108" t="s">
        <v>5941</v>
      </c>
      <c r="F1953" s="1323" t="s">
        <v>1199</v>
      </c>
      <c r="G1953" s="3110" t="s">
        <v>1199</v>
      </c>
      <c r="H1953" s="1569">
        <v>702</v>
      </c>
      <c r="I1953" s="923" t="s">
        <v>5942</v>
      </c>
      <c r="J1953" s="923"/>
      <c r="K1953" s="1001"/>
      <c r="L1953" s="923"/>
      <c r="M1953" s="71" t="s">
        <v>37</v>
      </c>
      <c r="N1953" s="21" t="s">
        <v>0</v>
      </c>
      <c r="O1953" s="21" t="s">
        <v>526</v>
      </c>
      <c r="P1953" s="21" t="s">
        <v>4082</v>
      </c>
      <c r="Q1953" s="71"/>
      <c r="R1953" s="71"/>
      <c r="S1953" s="71"/>
      <c r="T1953" s="71"/>
      <c r="U1953" s="71" t="s">
        <v>5943</v>
      </c>
    </row>
    <row r="1954" spans="1:23">
      <c r="A1954" s="1941" t="s">
        <v>5146</v>
      </c>
      <c r="B1954" s="1300">
        <v>45643</v>
      </c>
      <c r="C1954" s="3012">
        <f t="shared" si="43"/>
        <v>51</v>
      </c>
      <c r="D1954" s="1776" t="s">
        <v>4454</v>
      </c>
      <c r="E1954" s="3108" t="s">
        <v>5944</v>
      </c>
      <c r="F1954" s="3111" t="s">
        <v>1199</v>
      </c>
      <c r="G1954" s="925" t="s">
        <v>1199</v>
      </c>
      <c r="H1954" s="923">
        <v>702</v>
      </c>
      <c r="I1954" s="923" t="s">
        <v>5942</v>
      </c>
      <c r="J1954" s="923"/>
      <c r="K1954" s="1520"/>
      <c r="L1954" s="923"/>
      <c r="M1954" s="71" t="s">
        <v>37</v>
      </c>
      <c r="N1954" s="71"/>
      <c r="O1954" s="71"/>
      <c r="P1954" s="71"/>
      <c r="Q1954" s="71"/>
      <c r="R1954" s="71"/>
      <c r="S1954" s="71"/>
      <c r="T1954" s="71"/>
      <c r="U1954" s="71" t="s">
        <v>5945</v>
      </c>
    </row>
    <row r="1955" spans="1:23" ht="52.5">
      <c r="A1955" s="1941" t="s">
        <v>5146</v>
      </c>
      <c r="B1955" s="1300">
        <v>45643</v>
      </c>
      <c r="C1955" s="3012">
        <f t="shared" si="43"/>
        <v>51</v>
      </c>
      <c r="D1955" s="3112" t="s">
        <v>5125</v>
      </c>
      <c r="E1955" s="3113" t="s">
        <v>1339</v>
      </c>
      <c r="F1955" s="1413" t="s">
        <v>1199</v>
      </c>
      <c r="G1955" s="935" t="s">
        <v>1199</v>
      </c>
      <c r="H1955" s="923">
        <v>702</v>
      </c>
      <c r="I1955" s="923" t="s">
        <v>5936</v>
      </c>
      <c r="J1955" s="1009"/>
      <c r="K1955" s="1511"/>
      <c r="L1955" s="923" t="s">
        <v>37</v>
      </c>
      <c r="M1955"/>
      <c r="N1955" s="97"/>
      <c r="O1955" s="97"/>
      <c r="P1955" s="97"/>
      <c r="Q1955" s="97"/>
      <c r="R1955" s="97"/>
      <c r="S1955" s="97"/>
      <c r="T1955" s="97"/>
      <c r="U1955" s="97" t="s">
        <v>5946</v>
      </c>
    </row>
    <row r="1956" spans="1:23" ht="52.5">
      <c r="A1956" s="1942" t="s">
        <v>5146</v>
      </c>
      <c r="B1956" s="1301">
        <v>45643</v>
      </c>
      <c r="C1956" s="3012">
        <f t="shared" si="43"/>
        <v>51</v>
      </c>
      <c r="D1956" s="1185" t="s">
        <v>1654</v>
      </c>
      <c r="E1956" s="1757" t="s">
        <v>671</v>
      </c>
      <c r="F1956" s="3114" t="s">
        <v>1206</v>
      </c>
      <c r="G1956" s="3115" t="s">
        <v>1206</v>
      </c>
      <c r="H1956" s="923">
        <v>702</v>
      </c>
      <c r="I1956" s="1009" t="s">
        <v>5947</v>
      </c>
      <c r="J1956" s="1009"/>
      <c r="K1956" s="1442" t="s">
        <v>114</v>
      </c>
      <c r="L1956" s="1009"/>
      <c r="M1956" s="97" t="s">
        <v>37</v>
      </c>
      <c r="N1956" s="21" t="s">
        <v>122</v>
      </c>
      <c r="O1956" s="21" t="s">
        <v>123</v>
      </c>
      <c r="P1956" s="21" t="s">
        <v>4082</v>
      </c>
      <c r="Q1956" s="97" t="s">
        <v>37</v>
      </c>
      <c r="R1956" s="97"/>
      <c r="S1956" s="97"/>
      <c r="T1956" s="97"/>
      <c r="U1956" s="1594" t="s">
        <v>5948</v>
      </c>
    </row>
    <row r="1957" spans="1:23" ht="27" thickBot="1">
      <c r="A1957" s="1942" t="s">
        <v>5146</v>
      </c>
      <c r="B1957" s="2311">
        <v>45643</v>
      </c>
      <c r="C1957" s="3012">
        <f t="shared" si="43"/>
        <v>51</v>
      </c>
      <c r="D1957" s="1185" t="s">
        <v>1254</v>
      </c>
      <c r="E1957" s="1757" t="s">
        <v>1059</v>
      </c>
      <c r="F1957" s="1413" t="s">
        <v>1199</v>
      </c>
      <c r="G1957" s="935" t="s">
        <v>1199</v>
      </c>
      <c r="H1957" s="923">
        <v>706</v>
      </c>
      <c r="I1957" s="1009" t="s">
        <v>451</v>
      </c>
      <c r="J1957" s="1009"/>
      <c r="K1957" s="1970" t="s">
        <v>1613</v>
      </c>
      <c r="L1957" s="923" t="s">
        <v>37</v>
      </c>
      <c r="M1957" s="97"/>
      <c r="N1957" s="97"/>
      <c r="O1957" s="97"/>
      <c r="P1957" s="97"/>
      <c r="Q1957" s="97"/>
      <c r="R1957" s="97"/>
      <c r="S1957" s="97"/>
      <c r="T1957" s="97"/>
      <c r="U1957"/>
    </row>
    <row r="1958" spans="1:23">
      <c r="A1958" s="1942" t="s">
        <v>5146</v>
      </c>
      <c r="B1958" s="1301">
        <v>45643</v>
      </c>
      <c r="C1958" s="3012">
        <f t="shared" si="43"/>
        <v>51</v>
      </c>
      <c r="D1958" s="1185" t="s">
        <v>148</v>
      </c>
      <c r="E1958" s="1757" t="s">
        <v>1059</v>
      </c>
      <c r="F1958" s="1413" t="s">
        <v>1199</v>
      </c>
      <c r="G1958" s="935" t="s">
        <v>1199</v>
      </c>
      <c r="H1958" s="923">
        <v>707</v>
      </c>
      <c r="I1958" s="1009" t="s">
        <v>1060</v>
      </c>
      <c r="J1958" s="1009"/>
      <c r="K1958" s="925"/>
      <c r="L1958" s="923" t="s">
        <v>37</v>
      </c>
      <c r="M1958" s="97"/>
      <c r="N1958" s="97"/>
      <c r="O1958" s="97"/>
      <c r="P1958" s="97"/>
      <c r="Q1958" s="97"/>
      <c r="R1958" s="97"/>
      <c r="S1958" s="97"/>
      <c r="T1958" s="97"/>
      <c r="U1958" s="97"/>
    </row>
    <row r="1959" spans="1:23" ht="52.5">
      <c r="A1959" s="1941" t="s">
        <v>5146</v>
      </c>
      <c r="B1959" s="1300">
        <v>45643</v>
      </c>
      <c r="C1959" s="3012">
        <f t="shared" si="43"/>
        <v>51</v>
      </c>
      <c r="D1959" s="993" t="s">
        <v>5949</v>
      </c>
      <c r="E1959" s="1565" t="s">
        <v>5950</v>
      </c>
      <c r="F1959" s="4434" t="s">
        <v>1202</v>
      </c>
      <c r="G1959" s="3115" t="s">
        <v>1202</v>
      </c>
      <c r="H1959" s="923">
        <v>706</v>
      </c>
      <c r="I1959" s="923" t="s">
        <v>5951</v>
      </c>
      <c r="J1959" s="923"/>
      <c r="K1959" s="923"/>
      <c r="L1959" s="923" t="s">
        <v>37</v>
      </c>
      <c r="M1959" s="71"/>
      <c r="N1959" s="71"/>
      <c r="O1959" s="71"/>
      <c r="P1959" s="71"/>
      <c r="Q1959" s="71"/>
      <c r="R1959" s="71"/>
      <c r="S1959" s="71"/>
      <c r="T1959" s="71"/>
      <c r="U1959" s="71" t="s">
        <v>5952</v>
      </c>
    </row>
    <row r="1960" spans="1:23" ht="78.75">
      <c r="A1960" s="1941" t="s">
        <v>5146</v>
      </c>
      <c r="B1960" s="1300">
        <v>45643</v>
      </c>
      <c r="C1960" s="3012">
        <f t="shared" si="43"/>
        <v>51</v>
      </c>
      <c r="D1960" s="993" t="s">
        <v>5953</v>
      </c>
      <c r="E1960" s="1565" t="s">
        <v>5954</v>
      </c>
      <c r="F1960" s="4434" t="s">
        <v>1202</v>
      </c>
      <c r="G1960" s="3115" t="s">
        <v>1202</v>
      </c>
      <c r="H1960" s="923">
        <v>706</v>
      </c>
      <c r="I1960" s="923" t="s">
        <v>5951</v>
      </c>
      <c r="J1960" s="923"/>
      <c r="K1960" s="923"/>
      <c r="L1960" s="923" t="s">
        <v>37</v>
      </c>
      <c r="M1960" s="71"/>
      <c r="N1960" s="71"/>
      <c r="O1960" s="71"/>
      <c r="P1960" s="71"/>
      <c r="Q1960" s="71"/>
      <c r="R1960" s="71"/>
      <c r="S1960" s="71"/>
      <c r="T1960" s="71"/>
      <c r="U1960" s="71" t="s">
        <v>5955</v>
      </c>
    </row>
    <row r="1961" spans="1:23">
      <c r="A1961" s="1941" t="s">
        <v>5146</v>
      </c>
      <c r="B1961" s="1300">
        <v>45643</v>
      </c>
      <c r="C1961" s="3012">
        <f t="shared" si="43"/>
        <v>51</v>
      </c>
      <c r="D1961" s="993" t="s">
        <v>5956</v>
      </c>
      <c r="E1961" s="1565" t="s">
        <v>5957</v>
      </c>
      <c r="F1961" s="3116" t="s">
        <v>1199</v>
      </c>
      <c r="G1961" s="927" t="s">
        <v>1199</v>
      </c>
      <c r="H1961" s="923">
        <v>706</v>
      </c>
      <c r="I1961" s="923" t="s">
        <v>5951</v>
      </c>
      <c r="J1961" s="923"/>
      <c r="K1961" s="925"/>
      <c r="L1961" s="923" t="s">
        <v>37</v>
      </c>
      <c r="M1961" s="71"/>
      <c r="N1961" s="71"/>
      <c r="O1961" s="71"/>
      <c r="P1961" s="71"/>
      <c r="Q1961" s="71"/>
      <c r="R1961" s="71"/>
      <c r="S1961" s="71"/>
      <c r="T1961" s="71"/>
      <c r="U1961" s="71"/>
    </row>
    <row r="1962" spans="1:23" ht="52.5">
      <c r="A1962" s="1941" t="s">
        <v>5146</v>
      </c>
      <c r="B1962" s="1300">
        <v>45643</v>
      </c>
      <c r="C1962" s="3012">
        <f t="shared" si="43"/>
        <v>51</v>
      </c>
      <c r="D1962" s="1012" t="s">
        <v>43</v>
      </c>
      <c r="E1962" s="3117" t="s">
        <v>5958</v>
      </c>
      <c r="F1962" s="3118" t="s">
        <v>1206</v>
      </c>
      <c r="G1962" s="979" t="s">
        <v>1206</v>
      </c>
      <c r="H1962" s="923">
        <v>705</v>
      </c>
      <c r="I1962" s="923">
        <v>60093</v>
      </c>
      <c r="J1962" s="923"/>
      <c r="K1962" s="925"/>
      <c r="L1962" s="923"/>
      <c r="M1962" s="71" t="s">
        <v>37</v>
      </c>
      <c r="N1962" s="21" t="s">
        <v>231</v>
      </c>
      <c r="O1962" s="21" t="s">
        <v>1048</v>
      </c>
      <c r="P1962" s="21" t="s">
        <v>4330</v>
      </c>
      <c r="Q1962" s="71"/>
      <c r="R1962" s="71"/>
      <c r="S1962" s="71"/>
      <c r="T1962" s="71"/>
      <c r="U1962" s="97" t="s">
        <v>5959</v>
      </c>
    </row>
    <row r="1963" spans="1:23" ht="27" thickBot="1">
      <c r="A1963" s="1938" t="s">
        <v>5146</v>
      </c>
      <c r="B1963" s="1312">
        <v>45643</v>
      </c>
      <c r="C1963" s="3012">
        <f t="shared" si="43"/>
        <v>51</v>
      </c>
      <c r="D1963" s="1778" t="s">
        <v>1486</v>
      </c>
      <c r="E1963" s="2681" t="s">
        <v>169</v>
      </c>
      <c r="F1963" s="3119" t="s">
        <v>1206</v>
      </c>
      <c r="G1963" s="3120" t="s">
        <v>1206</v>
      </c>
      <c r="H1963" s="3241">
        <v>702</v>
      </c>
      <c r="I1963" s="957" t="s">
        <v>1436</v>
      </c>
      <c r="J1963" s="957"/>
      <c r="K1963" s="959"/>
      <c r="L1963" s="957" t="s">
        <v>37</v>
      </c>
      <c r="M1963" s="91"/>
      <c r="N1963" s="91"/>
      <c r="O1963" s="91"/>
      <c r="P1963" s="91"/>
      <c r="Q1963" s="91"/>
      <c r="R1963" s="91"/>
      <c r="S1963" s="91"/>
      <c r="T1963" s="91"/>
      <c r="U1963" s="91"/>
    </row>
    <row r="1964" spans="1:23" ht="27" thickBot="1">
      <c r="A1964" s="1935" t="s">
        <v>1314</v>
      </c>
      <c r="B1964" s="1936">
        <v>45644</v>
      </c>
      <c r="C1964" s="3012">
        <f t="shared" si="43"/>
        <v>51</v>
      </c>
      <c r="D1964" s="2657" t="s">
        <v>5960</v>
      </c>
      <c r="E1964" s="3121" t="s">
        <v>5961</v>
      </c>
      <c r="F1964" s="1489" t="s">
        <v>1199</v>
      </c>
      <c r="G1964" s="3122" t="s">
        <v>1199</v>
      </c>
      <c r="H1964" s="1510"/>
      <c r="I1964" s="1009" t="s">
        <v>5962</v>
      </c>
      <c r="J1964" s="1009"/>
      <c r="K1964" s="959"/>
      <c r="L1964" s="1009" t="s">
        <v>30</v>
      </c>
      <c r="M1964" s="71"/>
      <c r="N1964" s="97"/>
      <c r="O1964" s="97"/>
      <c r="P1964" s="97"/>
      <c r="Q1964" s="97"/>
      <c r="R1964" s="97"/>
      <c r="S1964" s="97"/>
      <c r="T1964" s="97"/>
      <c r="U1964" s="97" t="s">
        <v>5959</v>
      </c>
    </row>
    <row r="1965" spans="1:23" ht="53.25" thickBot="1">
      <c r="A1965" s="1941" t="s">
        <v>1314</v>
      </c>
      <c r="B1965" s="1300">
        <v>45644</v>
      </c>
      <c r="C1965" s="3012">
        <f t="shared" si="43"/>
        <v>51</v>
      </c>
      <c r="D1965" s="4435" t="s">
        <v>1073</v>
      </c>
      <c r="E1965" s="3123" t="s">
        <v>5748</v>
      </c>
      <c r="F1965" s="4436"/>
      <c r="G1965" s="4436"/>
      <c r="H1965" s="1569">
        <v>701</v>
      </c>
      <c r="I1965" s="923" t="s">
        <v>5963</v>
      </c>
      <c r="J1965" s="923"/>
      <c r="K1965" s="959"/>
      <c r="L1965" s="923"/>
      <c r="M1965" s="71" t="s">
        <v>37</v>
      </c>
      <c r="N1965" s="21" t="s">
        <v>231</v>
      </c>
      <c r="O1965" s="21" t="s">
        <v>232</v>
      </c>
      <c r="P1965" s="21" t="s">
        <v>4082</v>
      </c>
      <c r="Q1965" s="71"/>
      <c r="R1965" s="71"/>
      <c r="S1965" s="71"/>
      <c r="T1965" s="71"/>
      <c r="U1965" s="71" t="s">
        <v>5964</v>
      </c>
    </row>
    <row r="1966" spans="1:23" ht="27" thickBot="1">
      <c r="A1966" s="1941" t="s">
        <v>1314</v>
      </c>
      <c r="B1966" s="1300">
        <v>45644</v>
      </c>
      <c r="C1966" s="3012">
        <f t="shared" si="43"/>
        <v>51</v>
      </c>
      <c r="D1966" s="993" t="s">
        <v>68</v>
      </c>
      <c r="E1966" s="1565" t="s">
        <v>5965</v>
      </c>
      <c r="F1966" s="2412" t="s">
        <v>1206</v>
      </c>
      <c r="G1966" s="2412" t="s">
        <v>1206</v>
      </c>
      <c r="H1966" s="1569">
        <v>706</v>
      </c>
      <c r="I1966" s="923" t="s">
        <v>5951</v>
      </c>
      <c r="J1966" s="923"/>
      <c r="K1966" s="959"/>
      <c r="L1966" s="923" t="s">
        <v>37</v>
      </c>
      <c r="M1966" s="71"/>
      <c r="N1966" s="71"/>
      <c r="O1966" s="71"/>
      <c r="P1966" s="71"/>
      <c r="Q1966" s="71"/>
      <c r="R1966" s="71"/>
      <c r="S1966" s="71"/>
      <c r="T1966" s="71"/>
      <c r="U1966" s="71"/>
    </row>
    <row r="1967" spans="1:23" ht="27" thickBot="1">
      <c r="A1967" s="1941" t="s">
        <v>1314</v>
      </c>
      <c r="B1967" s="1300">
        <v>45644</v>
      </c>
      <c r="C1967" s="3012">
        <f t="shared" si="43"/>
        <v>51</v>
      </c>
      <c r="D1967" s="978" t="s">
        <v>304</v>
      </c>
      <c r="E1967" s="3124" t="s">
        <v>659</v>
      </c>
      <c r="F1967" s="1323" t="s">
        <v>1199</v>
      </c>
      <c r="G1967" s="3110" t="s">
        <v>1199</v>
      </c>
      <c r="H1967" s="1569">
        <v>702</v>
      </c>
      <c r="I1967" s="923" t="s">
        <v>5966</v>
      </c>
      <c r="J1967" s="923"/>
      <c r="K1967" s="959"/>
      <c r="L1967" s="923" t="s">
        <v>37</v>
      </c>
      <c r="M1967" s="71"/>
      <c r="N1967" s="71"/>
      <c r="O1967" s="71"/>
      <c r="P1967" s="71"/>
      <c r="Q1967" s="71"/>
      <c r="R1967" s="71"/>
      <c r="S1967" s="71"/>
      <c r="T1967" s="71"/>
      <c r="U1967" s="71"/>
      <c r="W1967" s="2838" t="s">
        <v>5967</v>
      </c>
    </row>
    <row r="1968" spans="1:23">
      <c r="A1968" s="1941" t="s">
        <v>1314</v>
      </c>
      <c r="B1968" s="1300">
        <v>45644</v>
      </c>
      <c r="C1968" s="3012">
        <f t="shared" si="43"/>
        <v>51</v>
      </c>
      <c r="D1968" s="928" t="s">
        <v>1187</v>
      </c>
      <c r="E1968" s="3125" t="s">
        <v>5968</v>
      </c>
      <c r="F1968" s="1381" t="s">
        <v>1199</v>
      </c>
      <c r="G1968" s="3126" t="s">
        <v>1199</v>
      </c>
      <c r="H1968" s="1569">
        <v>702</v>
      </c>
      <c r="I1968" s="3127" t="s">
        <v>1747</v>
      </c>
      <c r="J1968" s="2369"/>
      <c r="K1968" s="2369"/>
      <c r="L1968" s="923" t="s">
        <v>37</v>
      </c>
      <c r="M1968" s="71"/>
      <c r="N1968" s="71"/>
      <c r="O1968" s="71"/>
      <c r="P1968" s="71"/>
      <c r="Q1968" s="71"/>
      <c r="R1968" s="71"/>
      <c r="S1968" s="71"/>
      <c r="T1968" s="71"/>
      <c r="U1968" s="71" t="s">
        <v>5969</v>
      </c>
    </row>
    <row r="1969" spans="1:23" ht="236.25">
      <c r="A1969" s="1941" t="s">
        <v>1314</v>
      </c>
      <c r="B1969" s="1300">
        <v>45644</v>
      </c>
      <c r="C1969" s="3012">
        <f t="shared" si="43"/>
        <v>51</v>
      </c>
      <c r="D1969" s="928" t="s">
        <v>671</v>
      </c>
      <c r="E1969" s="3125" t="s">
        <v>1051</v>
      </c>
      <c r="F1969" s="1381" t="s">
        <v>1199</v>
      </c>
      <c r="G1969" s="3126" t="s">
        <v>1199</v>
      </c>
      <c r="H1969" s="1569">
        <v>702</v>
      </c>
      <c r="I1969" s="3127" t="s">
        <v>5970</v>
      </c>
      <c r="J1969" s="2369"/>
      <c r="K1969" s="3128"/>
      <c r="L1969" s="923"/>
      <c r="M1969" s="71" t="s">
        <v>37</v>
      </c>
      <c r="N1969" s="21" t="s">
        <v>109</v>
      </c>
      <c r="O1969" s="21" t="s">
        <v>159</v>
      </c>
      <c r="P1969" s="21" t="s">
        <v>4082</v>
      </c>
      <c r="Q1969" s="71"/>
      <c r="R1969" s="71"/>
      <c r="S1969" s="71"/>
      <c r="T1969" s="71"/>
      <c r="U1969" s="71" t="s">
        <v>5971</v>
      </c>
    </row>
    <row r="1970" spans="1:23" ht="27" thickBot="1">
      <c r="A1970" s="1941" t="s">
        <v>1314</v>
      </c>
      <c r="B1970" s="1300">
        <v>45644</v>
      </c>
      <c r="C1970" s="3012">
        <f t="shared" si="43"/>
        <v>51</v>
      </c>
      <c r="D1970" s="1650" t="s">
        <v>169</v>
      </c>
      <c r="E1970" s="4437" t="s">
        <v>306</v>
      </c>
      <c r="F1970" s="3115" t="s">
        <v>2272</v>
      </c>
      <c r="G1970" s="3115" t="s">
        <v>2272</v>
      </c>
      <c r="H1970" s="1569">
        <v>702</v>
      </c>
      <c r="I1970" s="923" t="s">
        <v>1436</v>
      </c>
      <c r="J1970" s="923"/>
      <c r="K1970" s="959"/>
      <c r="L1970" s="923" t="s">
        <v>37</v>
      </c>
      <c r="M1970" s="71"/>
      <c r="N1970" s="71"/>
      <c r="O1970" s="71"/>
      <c r="P1970" s="71"/>
      <c r="Q1970" s="71"/>
      <c r="R1970" s="71"/>
      <c r="S1970" s="71"/>
      <c r="T1970" s="71"/>
      <c r="U1970" s="71"/>
    </row>
    <row r="1971" spans="1:23" ht="27" thickBot="1">
      <c r="A1971" s="1941" t="s">
        <v>1314</v>
      </c>
      <c r="B1971" s="1300">
        <v>45644</v>
      </c>
      <c r="C1971" s="3012">
        <f t="shared" si="43"/>
        <v>51</v>
      </c>
      <c r="D1971" s="982" t="s">
        <v>273</v>
      </c>
      <c r="E1971" s="3129" t="s">
        <v>584</v>
      </c>
      <c r="F1971" s="3109" t="s">
        <v>1206</v>
      </c>
      <c r="G1971" s="3130" t="s">
        <v>1206</v>
      </c>
      <c r="H1971" s="1569">
        <v>703</v>
      </c>
      <c r="I1971" s="923" t="s">
        <v>211</v>
      </c>
      <c r="J1971" s="923"/>
      <c r="K1971" s="959"/>
      <c r="L1971" s="923" t="s">
        <v>37</v>
      </c>
      <c r="M1971" s="71"/>
      <c r="N1971" s="71"/>
      <c r="O1971" s="71"/>
      <c r="P1971" s="71"/>
      <c r="Q1971" s="71"/>
      <c r="R1971" s="71"/>
      <c r="S1971" s="71"/>
      <c r="T1971" s="71"/>
      <c r="U1971" s="71"/>
    </row>
    <row r="1972" spans="1:23" ht="27" thickBot="1">
      <c r="A1972" s="1941" t="s">
        <v>1314</v>
      </c>
      <c r="B1972" s="1300">
        <v>45644</v>
      </c>
      <c r="C1972" s="3012">
        <f t="shared" si="43"/>
        <v>51</v>
      </c>
      <c r="D1972" s="982" t="s">
        <v>586</v>
      </c>
      <c r="E1972" s="1773" t="s">
        <v>389</v>
      </c>
      <c r="F1972" s="2412" t="s">
        <v>1206</v>
      </c>
      <c r="G1972" s="2412" t="s">
        <v>1206</v>
      </c>
      <c r="H1972" s="1569">
        <v>703</v>
      </c>
      <c r="I1972" s="923" t="s">
        <v>211</v>
      </c>
      <c r="J1972" s="923"/>
      <c r="K1972" s="959"/>
      <c r="L1972" s="923" t="s">
        <v>37</v>
      </c>
      <c r="M1972" s="71"/>
      <c r="N1972" s="71"/>
      <c r="O1972" s="71"/>
      <c r="P1972" s="71"/>
      <c r="Q1972" s="71"/>
      <c r="R1972" s="71"/>
      <c r="S1972" s="71"/>
      <c r="T1972" s="71"/>
      <c r="U1972" s="71"/>
    </row>
    <row r="1973" spans="1:23" ht="27" thickBot="1">
      <c r="A1973" s="1938" t="s">
        <v>1314</v>
      </c>
      <c r="B1973" s="1312">
        <v>45644</v>
      </c>
      <c r="C1973" s="3012">
        <f t="shared" si="43"/>
        <v>51</v>
      </c>
      <c r="D1973" s="3131" t="s">
        <v>1654</v>
      </c>
      <c r="E1973" s="3132" t="s">
        <v>1045</v>
      </c>
      <c r="F1973" s="3133" t="s">
        <v>2272</v>
      </c>
      <c r="G1973" s="3133" t="s">
        <v>2272</v>
      </c>
      <c r="H1973" s="3241">
        <v>707</v>
      </c>
      <c r="I1973" s="957" t="s">
        <v>1560</v>
      </c>
      <c r="J1973" s="957"/>
      <c r="K1973" s="959"/>
      <c r="L1973" s="957" t="s">
        <v>37</v>
      </c>
      <c r="M1973" s="91"/>
      <c r="N1973" s="91"/>
      <c r="O1973" s="91"/>
      <c r="P1973" s="91"/>
      <c r="Q1973" s="91"/>
      <c r="R1973" s="91"/>
      <c r="S1973" s="91"/>
      <c r="T1973" s="91"/>
      <c r="U1973" s="91"/>
    </row>
    <row r="1974" spans="1:23">
      <c r="A1974" s="1935" t="s">
        <v>4144</v>
      </c>
      <c r="B1974" s="1936">
        <v>45645</v>
      </c>
      <c r="C1974" s="3012">
        <f t="shared" si="43"/>
        <v>51</v>
      </c>
      <c r="D1974" s="4438" t="s">
        <v>1050</v>
      </c>
      <c r="E1974" s="3134" t="s">
        <v>5972</v>
      </c>
      <c r="F1974" s="3104" t="s">
        <v>1206</v>
      </c>
      <c r="G1974" s="3135" t="s">
        <v>1046</v>
      </c>
      <c r="H1974" s="1510">
        <v>707</v>
      </c>
      <c r="I1974" s="1009" t="s">
        <v>1560</v>
      </c>
      <c r="J1974" s="1009"/>
      <c r="K1974" s="1009"/>
      <c r="L1974" s="923" t="s">
        <v>37</v>
      </c>
      <c r="M1974" s="97"/>
      <c r="N1974" s="97"/>
      <c r="O1974" s="97"/>
      <c r="P1974" s="97"/>
      <c r="Q1974" s="97"/>
      <c r="R1974" s="97"/>
      <c r="S1974" s="97"/>
      <c r="T1974" s="97"/>
      <c r="U1974" s="97"/>
    </row>
    <row r="1975" spans="1:23">
      <c r="A1975" s="1941" t="s">
        <v>4144</v>
      </c>
      <c r="B1975" s="1300">
        <v>45645</v>
      </c>
      <c r="C1975" s="3012">
        <f t="shared" si="43"/>
        <v>51</v>
      </c>
      <c r="D1975" s="3136" t="s">
        <v>199</v>
      </c>
      <c r="E1975" s="3137" t="s">
        <v>5973</v>
      </c>
      <c r="F1975" s="3143" t="s">
        <v>1202</v>
      </c>
      <c r="G1975" s="3143" t="s">
        <v>1202</v>
      </c>
      <c r="H1975" s="1569">
        <v>701</v>
      </c>
      <c r="I1975" s="923">
        <v>60072</v>
      </c>
      <c r="J1975" s="923"/>
      <c r="K1975" s="923"/>
      <c r="L1975" s="923" t="s">
        <v>37</v>
      </c>
      <c r="M1975" s="71"/>
      <c r="N1975" s="71"/>
      <c r="O1975" s="71"/>
      <c r="P1975" s="71"/>
      <c r="Q1975" s="71"/>
      <c r="R1975" s="71"/>
      <c r="S1975" s="71"/>
      <c r="T1975" s="71"/>
      <c r="U1975" s="71"/>
      <c r="W1975" s="2838" t="s">
        <v>5974</v>
      </c>
    </row>
    <row r="1976" spans="1:23">
      <c r="A1976" s="1941" t="s">
        <v>4144</v>
      </c>
      <c r="B1976" s="1300">
        <v>45645</v>
      </c>
      <c r="C1976" s="3012">
        <f t="shared" si="43"/>
        <v>51</v>
      </c>
      <c r="D1976" s="3136" t="s">
        <v>5975</v>
      </c>
      <c r="E1976" s="3137" t="s">
        <v>5976</v>
      </c>
      <c r="F1976" s="3143" t="s">
        <v>1202</v>
      </c>
      <c r="G1976" s="3143" t="s">
        <v>1202</v>
      </c>
      <c r="H1976" s="1569">
        <v>701</v>
      </c>
      <c r="I1976" s="923" t="s">
        <v>5977</v>
      </c>
      <c r="J1976" s="923"/>
      <c r="K1976" s="923"/>
      <c r="L1976" s="923" t="s">
        <v>37</v>
      </c>
      <c r="M1976" s="71"/>
      <c r="N1976" s="71"/>
      <c r="O1976" s="71"/>
      <c r="P1976" s="71"/>
      <c r="Q1976" s="71"/>
      <c r="R1976" s="71"/>
      <c r="S1976" s="71"/>
      <c r="T1976" s="71"/>
      <c r="U1976" s="71"/>
    </row>
    <row r="1977" spans="1:23">
      <c r="A1977" s="1941" t="s">
        <v>4144</v>
      </c>
      <c r="B1977" s="1300">
        <v>45645</v>
      </c>
      <c r="C1977" s="3012">
        <f t="shared" si="43"/>
        <v>51</v>
      </c>
      <c r="D1977" s="3136" t="s">
        <v>5975</v>
      </c>
      <c r="E1977" s="3137" t="s">
        <v>512</v>
      </c>
      <c r="F1977" s="3106" t="s">
        <v>1206</v>
      </c>
      <c r="G1977" s="3138" t="s">
        <v>1206</v>
      </c>
      <c r="H1977" s="1569">
        <v>701</v>
      </c>
      <c r="I1977" s="923" t="s">
        <v>5978</v>
      </c>
      <c r="J1977" s="923"/>
      <c r="K1977" s="923"/>
      <c r="L1977" s="923" t="s">
        <v>37</v>
      </c>
      <c r="M1977" s="71"/>
      <c r="N1977" s="71"/>
      <c r="O1977" s="71"/>
      <c r="P1977" s="71"/>
      <c r="Q1977" s="71"/>
      <c r="R1977" s="71"/>
      <c r="S1977" s="71"/>
      <c r="T1977" s="71"/>
      <c r="U1977" s="71"/>
    </row>
    <row r="1978" spans="1:23">
      <c r="A1978" s="1941" t="s">
        <v>4144</v>
      </c>
      <c r="B1978" s="1300">
        <v>45645</v>
      </c>
      <c r="C1978" s="3012">
        <f t="shared" si="43"/>
        <v>51</v>
      </c>
      <c r="D1978" s="1194" t="s">
        <v>339</v>
      </c>
      <c r="E1978" s="1557" t="s">
        <v>5979</v>
      </c>
      <c r="F1978" s="1224" t="s">
        <v>1206</v>
      </c>
      <c r="G1978" s="3139" t="s">
        <v>1206</v>
      </c>
      <c r="H1978" s="1569">
        <v>702</v>
      </c>
      <c r="I1978" s="923" t="s">
        <v>5980</v>
      </c>
      <c r="J1978" s="923"/>
      <c r="K1978" s="923"/>
      <c r="L1978" s="923" t="s">
        <v>37</v>
      </c>
      <c r="M1978" s="71"/>
      <c r="N1978" s="71"/>
      <c r="O1978" s="71"/>
      <c r="P1978" s="71"/>
      <c r="Q1978" s="71"/>
      <c r="R1978" s="71"/>
      <c r="S1978" s="71"/>
      <c r="T1978" s="71"/>
      <c r="U1978" s="71" t="s">
        <v>5981</v>
      </c>
    </row>
    <row r="1979" spans="1:23">
      <c r="A1979" s="1941" t="s">
        <v>4144</v>
      </c>
      <c r="B1979" s="1300">
        <v>45645</v>
      </c>
      <c r="C1979" s="3012">
        <f t="shared" si="43"/>
        <v>51</v>
      </c>
      <c r="D1979" s="1194" t="s">
        <v>392</v>
      </c>
      <c r="E1979" s="1557" t="s">
        <v>142</v>
      </c>
      <c r="F1979" s="2412" t="s">
        <v>1206</v>
      </c>
      <c r="G1979" s="2412" t="s">
        <v>1206</v>
      </c>
      <c r="H1979" s="1569">
        <v>702</v>
      </c>
      <c r="I1979" s="923" t="s">
        <v>5982</v>
      </c>
      <c r="J1979" s="923"/>
      <c r="K1979" s="923"/>
      <c r="L1979" s="923" t="s">
        <v>37</v>
      </c>
      <c r="M1979" s="71"/>
      <c r="N1979" s="71"/>
      <c r="O1979" s="71"/>
      <c r="P1979" s="71"/>
      <c r="Q1979" s="71"/>
      <c r="R1979" s="71"/>
      <c r="S1979" s="71"/>
      <c r="T1979" s="71"/>
      <c r="U1979" s="71"/>
    </row>
    <row r="1980" spans="1:23">
      <c r="A1980" s="1941" t="s">
        <v>4144</v>
      </c>
      <c r="B1980" s="1300">
        <v>45645</v>
      </c>
      <c r="C1980" s="3012">
        <f t="shared" si="43"/>
        <v>51</v>
      </c>
      <c r="D1980" s="978" t="s">
        <v>2255</v>
      </c>
      <c r="E1980" s="3124" t="s">
        <v>5983</v>
      </c>
      <c r="F1980" s="1224" t="s">
        <v>1206</v>
      </c>
      <c r="G1980" s="3139" t="s">
        <v>1206</v>
      </c>
      <c r="H1980" s="1569">
        <v>701</v>
      </c>
      <c r="I1980" s="923" t="s">
        <v>5963</v>
      </c>
      <c r="J1980" s="923"/>
      <c r="K1980" s="923"/>
      <c r="L1980" s="923" t="s">
        <v>37</v>
      </c>
      <c r="M1980" s="71"/>
      <c r="N1980" s="71"/>
      <c r="O1980" s="71"/>
      <c r="P1980" s="71"/>
      <c r="Q1980" s="71"/>
      <c r="R1980" s="71"/>
      <c r="S1980" s="71"/>
      <c r="T1980" s="71"/>
      <c r="U1980" s="71"/>
    </row>
    <row r="1981" spans="1:23" ht="53.25" thickBot="1">
      <c r="A1981" s="1941" t="s">
        <v>4144</v>
      </c>
      <c r="B1981" s="1300">
        <v>45645</v>
      </c>
      <c r="C1981" s="3012">
        <f t="shared" si="43"/>
        <v>51</v>
      </c>
      <c r="D1981" s="4435" t="s">
        <v>1116</v>
      </c>
      <c r="E1981" s="3123" t="s">
        <v>518</v>
      </c>
      <c r="F1981" s="3140"/>
      <c r="G1981" s="3141"/>
      <c r="H1981" s="1569">
        <v>701</v>
      </c>
      <c r="I1981" s="923" t="s">
        <v>5963</v>
      </c>
      <c r="J1981" s="923"/>
      <c r="K1981" s="923"/>
      <c r="L1981" s="923"/>
      <c r="M1981" s="71" t="s">
        <v>37</v>
      </c>
      <c r="N1981" s="21" t="s">
        <v>231</v>
      </c>
      <c r="O1981" s="21" t="s">
        <v>232</v>
      </c>
      <c r="P1981" s="21" t="s">
        <v>4082</v>
      </c>
      <c r="Q1981" s="71"/>
      <c r="R1981" s="71"/>
      <c r="S1981" s="71"/>
      <c r="T1981" s="71"/>
      <c r="U1981" s="71" t="s">
        <v>5964</v>
      </c>
    </row>
    <row r="1982" spans="1:23">
      <c r="A1982" s="1941" t="s">
        <v>4144</v>
      </c>
      <c r="B1982" s="1300">
        <v>45645</v>
      </c>
      <c r="C1982" s="3012">
        <f t="shared" si="43"/>
        <v>51</v>
      </c>
      <c r="D1982" s="2657" t="s">
        <v>537</v>
      </c>
      <c r="E1982" s="3121" t="s">
        <v>5984</v>
      </c>
      <c r="F1982" s="3104" t="s">
        <v>1206</v>
      </c>
      <c r="G1982" s="3135" t="s">
        <v>1046</v>
      </c>
      <c r="H1982" s="1569">
        <v>701</v>
      </c>
      <c r="I1982" s="923" t="s">
        <v>5963</v>
      </c>
      <c r="J1982" s="923"/>
      <c r="K1982" s="923"/>
      <c r="L1982" s="923" t="s">
        <v>37</v>
      </c>
      <c r="M1982" s="71"/>
      <c r="N1982" s="71"/>
      <c r="O1982" s="71"/>
      <c r="P1982" s="71"/>
      <c r="Q1982" s="71"/>
      <c r="R1982" s="71"/>
      <c r="S1982" s="71"/>
      <c r="T1982" s="71"/>
      <c r="U1982" s="71"/>
    </row>
    <row r="1983" spans="1:23">
      <c r="A1983" s="1941" t="s">
        <v>4144</v>
      </c>
      <c r="B1983" s="1300">
        <v>45645</v>
      </c>
      <c r="C1983" s="3012">
        <f t="shared" si="43"/>
        <v>51</v>
      </c>
      <c r="D1983" s="991" t="s">
        <v>1239</v>
      </c>
      <c r="E1983" s="3142" t="s">
        <v>5985</v>
      </c>
      <c r="F1983" s="3143" t="s">
        <v>1202</v>
      </c>
      <c r="G1983" s="3143" t="s">
        <v>1202</v>
      </c>
      <c r="H1983" s="1569"/>
      <c r="I1983" s="923"/>
      <c r="J1983" s="923"/>
      <c r="K1983" s="923"/>
      <c r="L1983" s="923" t="s">
        <v>37</v>
      </c>
      <c r="M1983" s="71"/>
      <c r="N1983" s="71"/>
      <c r="O1983" s="71"/>
      <c r="P1983" s="71"/>
      <c r="Q1983" s="71"/>
      <c r="R1983" s="71"/>
      <c r="S1983" s="71"/>
      <c r="T1983" s="71"/>
      <c r="U1983" s="71"/>
    </row>
    <row r="1984" spans="1:23" ht="52.5">
      <c r="A1984" s="1942" t="s">
        <v>1193</v>
      </c>
      <c r="B1984" s="1301">
        <v>45646</v>
      </c>
      <c r="C1984" s="3012">
        <f t="shared" si="43"/>
        <v>51</v>
      </c>
      <c r="D1984" s="4439" t="s">
        <v>148</v>
      </c>
      <c r="E1984" s="4440" t="s">
        <v>5986</v>
      </c>
      <c r="F1984" s="4436"/>
      <c r="G1984" s="4436"/>
      <c r="H1984" s="923">
        <v>701</v>
      </c>
      <c r="I1984" s="923" t="s">
        <v>5963</v>
      </c>
      <c r="J1984" s="923"/>
      <c r="K1984" s="923"/>
      <c r="L1984" s="923"/>
      <c r="M1984" s="71" t="s">
        <v>37</v>
      </c>
      <c r="N1984" s="21" t="s">
        <v>231</v>
      </c>
      <c r="O1984" s="21" t="s">
        <v>232</v>
      </c>
      <c r="P1984" s="21" t="s">
        <v>4082</v>
      </c>
      <c r="Q1984" s="71"/>
      <c r="R1984" s="71"/>
      <c r="S1984" s="71"/>
      <c r="T1984" s="71"/>
      <c r="U1984" s="71" t="s">
        <v>5964</v>
      </c>
    </row>
    <row r="1985" spans="1:23">
      <c r="A1985" s="76" t="s">
        <v>4149</v>
      </c>
      <c r="B1985" s="1300">
        <v>45646</v>
      </c>
      <c r="C1985" s="3012">
        <f t="shared" si="43"/>
        <v>51</v>
      </c>
      <c r="D1985" s="1194" t="s">
        <v>1527</v>
      </c>
      <c r="E1985" s="1194" t="s">
        <v>392</v>
      </c>
      <c r="F1985" s="979" t="s">
        <v>1206</v>
      </c>
      <c r="G1985" s="979" t="s">
        <v>1206</v>
      </c>
      <c r="H1985" s="923">
        <v>701</v>
      </c>
      <c r="I1985" s="923" t="s">
        <v>3294</v>
      </c>
      <c r="J1985" s="923"/>
      <c r="K1985" s="923"/>
      <c r="L1985" s="923" t="s">
        <v>37</v>
      </c>
      <c r="M1985" s="71"/>
      <c r="N1985" s="71"/>
      <c r="O1985" s="71"/>
      <c r="P1985" s="71"/>
      <c r="Q1985" s="71"/>
      <c r="R1985" s="71"/>
      <c r="S1985" s="71"/>
      <c r="T1985" s="71"/>
      <c r="U1985" s="71"/>
    </row>
    <row r="1986" spans="1:23" ht="52.5">
      <c r="A1986" s="76" t="s">
        <v>4149</v>
      </c>
      <c r="B1986" s="1300">
        <v>45646</v>
      </c>
      <c r="C1986" s="3012">
        <f t="shared" si="43"/>
        <v>51</v>
      </c>
      <c r="D1986" s="1194" t="s">
        <v>48</v>
      </c>
      <c r="E1986" s="1194" t="s">
        <v>5987</v>
      </c>
      <c r="F1986" s="1323" t="s">
        <v>1199</v>
      </c>
      <c r="G1986" s="1323" t="s">
        <v>1199</v>
      </c>
      <c r="H1986" s="923">
        <v>702</v>
      </c>
      <c r="I1986" s="923" t="s">
        <v>5988</v>
      </c>
      <c r="J1986" s="923"/>
      <c r="K1986" s="923"/>
      <c r="L1986" s="923"/>
      <c r="M1986" s="71" t="s">
        <v>37</v>
      </c>
      <c r="N1986" s="21" t="s">
        <v>122</v>
      </c>
      <c r="O1986" s="21" t="s">
        <v>4038</v>
      </c>
      <c r="P1986" s="21" t="s">
        <v>4082</v>
      </c>
      <c r="Q1986" s="71"/>
      <c r="R1986" s="71"/>
      <c r="S1986" s="71"/>
      <c r="T1986" s="71"/>
      <c r="U1986" s="71" t="s">
        <v>5989</v>
      </c>
    </row>
    <row r="1987" spans="1:23">
      <c r="A1987" s="76" t="s">
        <v>4149</v>
      </c>
      <c r="B1987" s="1300">
        <v>45646</v>
      </c>
      <c r="C1987" s="3012">
        <f t="shared" si="43"/>
        <v>51</v>
      </c>
      <c r="D1987" s="1194" t="s">
        <v>48</v>
      </c>
      <c r="E1987" s="1194" t="s">
        <v>675</v>
      </c>
      <c r="F1987" s="3115" t="s">
        <v>1206</v>
      </c>
      <c r="G1987" s="3115" t="s">
        <v>1206</v>
      </c>
      <c r="H1987" s="923">
        <v>702</v>
      </c>
      <c r="I1987" s="923" t="s">
        <v>5990</v>
      </c>
      <c r="J1987" s="923"/>
      <c r="K1987"/>
      <c r="L1987" s="923" t="s">
        <v>37</v>
      </c>
      <c r="M1987" s="71"/>
      <c r="N1987" s="71"/>
      <c r="O1987" s="71"/>
      <c r="P1987" s="71"/>
      <c r="Q1987" s="71"/>
      <c r="R1987" s="71"/>
      <c r="S1987" s="71"/>
      <c r="T1987" s="71"/>
      <c r="U1987" s="71"/>
    </row>
    <row r="1988" spans="1:23">
      <c r="A1988" s="76" t="s">
        <v>4149</v>
      </c>
      <c r="B1988" s="1300">
        <v>45646</v>
      </c>
      <c r="C1988" s="3012">
        <f t="shared" si="43"/>
        <v>51</v>
      </c>
      <c r="D1988" s="993" t="s">
        <v>1810</v>
      </c>
      <c r="E1988" s="993" t="s">
        <v>5991</v>
      </c>
      <c r="F1988" s="1323" t="s">
        <v>1199</v>
      </c>
      <c r="G1988" s="1323" t="s">
        <v>1199</v>
      </c>
      <c r="H1988" s="923">
        <v>706</v>
      </c>
      <c r="I1988" s="923" t="s">
        <v>495</v>
      </c>
      <c r="J1988" s="923"/>
      <c r="K1988" s="923"/>
      <c r="L1988" s="923" t="s">
        <v>37</v>
      </c>
      <c r="M1988" s="71"/>
      <c r="N1988" s="71"/>
      <c r="O1988" s="71"/>
      <c r="P1988" s="71"/>
      <c r="Q1988" s="71"/>
      <c r="R1988" s="71"/>
      <c r="S1988" s="71"/>
      <c r="T1988" s="71"/>
      <c r="U1988" s="71"/>
    </row>
    <row r="1989" spans="1:23">
      <c r="A1989" s="76" t="s">
        <v>4149</v>
      </c>
      <c r="B1989" s="1300">
        <v>45646</v>
      </c>
      <c r="C1989" s="3012">
        <f t="shared" si="43"/>
        <v>51</v>
      </c>
      <c r="D1989" s="993" t="s">
        <v>3954</v>
      </c>
      <c r="E1989" s="993" t="s">
        <v>3549</v>
      </c>
      <c r="F1989" s="1323" t="s">
        <v>1199</v>
      </c>
      <c r="G1989" s="1323" t="s">
        <v>1199</v>
      </c>
      <c r="H1989" s="923">
        <v>706</v>
      </c>
      <c r="I1989" s="923" t="s">
        <v>495</v>
      </c>
      <c r="J1989" s="923"/>
      <c r="K1989" s="923"/>
      <c r="L1989" s="923" t="s">
        <v>37</v>
      </c>
      <c r="M1989" s="71"/>
      <c r="N1989" s="71"/>
      <c r="O1989" s="71"/>
      <c r="P1989" s="71"/>
      <c r="Q1989" s="71"/>
      <c r="R1989" s="71"/>
      <c r="S1989" s="71"/>
      <c r="T1989" s="71"/>
      <c r="U1989" s="71"/>
    </row>
    <row r="1990" spans="1:23">
      <c r="A1990" s="76" t="s">
        <v>4149</v>
      </c>
      <c r="B1990" s="1300">
        <v>45646</v>
      </c>
      <c r="C1990" s="3012">
        <f t="shared" si="43"/>
        <v>51</v>
      </c>
      <c r="D1990" s="1194" t="s">
        <v>2255</v>
      </c>
      <c r="E1990" s="1194" t="s">
        <v>5992</v>
      </c>
      <c r="F1990" s="2412" t="s">
        <v>1206</v>
      </c>
      <c r="G1990" s="2412" t="s">
        <v>1206</v>
      </c>
      <c r="H1990" s="923">
        <v>706</v>
      </c>
      <c r="I1990" s="923" t="s">
        <v>5951</v>
      </c>
      <c r="J1990" s="923"/>
      <c r="K1990" s="923"/>
      <c r="L1990" s="923" t="s">
        <v>37</v>
      </c>
      <c r="M1990" s="71"/>
      <c r="N1990" s="71"/>
      <c r="O1990" s="71"/>
      <c r="P1990" s="71"/>
      <c r="Q1990" s="71"/>
      <c r="R1990" s="71"/>
      <c r="S1990" s="71"/>
      <c r="T1990" s="71"/>
      <c r="U1990" s="71"/>
    </row>
    <row r="1991" spans="1:23">
      <c r="A1991" s="76" t="s">
        <v>4149</v>
      </c>
      <c r="B1991" s="1300">
        <v>45646</v>
      </c>
      <c r="C1991" s="3012">
        <f t="shared" si="43"/>
        <v>51</v>
      </c>
      <c r="D1991" s="991" t="s">
        <v>537</v>
      </c>
      <c r="E1991" s="991" t="s">
        <v>5993</v>
      </c>
      <c r="F1991" s="2412" t="s">
        <v>1206</v>
      </c>
      <c r="G1991" s="2412" t="s">
        <v>1206</v>
      </c>
      <c r="H1991" s="1009">
        <v>705</v>
      </c>
      <c r="I1991" s="923" t="s">
        <v>5994</v>
      </c>
      <c r="J1991" s="923"/>
      <c r="K1991" s="923"/>
      <c r="L1991" s="923" t="s">
        <v>30</v>
      </c>
      <c r="M1991" s="923"/>
      <c r="N1991" s="21"/>
      <c r="O1991" s="21"/>
      <c r="P1991" s="21"/>
      <c r="Q1991" s="71"/>
      <c r="R1991" s="71"/>
      <c r="S1991" s="71"/>
      <c r="T1991" s="71"/>
      <c r="U1991" s="71"/>
    </row>
    <row r="1992" spans="1:23" ht="52.5">
      <c r="A1992" s="118" t="s">
        <v>4149</v>
      </c>
      <c r="B1992" s="1390">
        <v>45646</v>
      </c>
      <c r="C1992" s="3012">
        <f t="shared" si="43"/>
        <v>51</v>
      </c>
      <c r="D1992" s="3144" t="s">
        <v>258</v>
      </c>
      <c r="E1992" s="3144" t="s">
        <v>5995</v>
      </c>
      <c r="F1992" s="2331" t="s">
        <v>5996</v>
      </c>
      <c r="G1992" s="2331"/>
      <c r="H1992" s="1593">
        <v>705</v>
      </c>
      <c r="I1992" s="1001" t="s">
        <v>5994</v>
      </c>
      <c r="J1992" s="1001"/>
      <c r="K1992" s="1001"/>
      <c r="L1992" s="923"/>
      <c r="M1992" s="923" t="s">
        <v>37</v>
      </c>
      <c r="N1992" s="21" t="s">
        <v>122</v>
      </c>
      <c r="O1992" s="21" t="s">
        <v>4038</v>
      </c>
      <c r="P1992" s="21" t="s">
        <v>4082</v>
      </c>
      <c r="Q1992" s="33"/>
      <c r="R1992" s="33"/>
      <c r="S1992" s="33"/>
      <c r="T1992" s="33"/>
      <c r="U1992" s="71" t="s">
        <v>5997</v>
      </c>
    </row>
    <row r="1993" spans="1:23" ht="52.5">
      <c r="A1993" s="118" t="s">
        <v>4149</v>
      </c>
      <c r="B1993" s="1390">
        <v>45646</v>
      </c>
      <c r="C1993" s="3012">
        <f t="shared" si="43"/>
        <v>51</v>
      </c>
      <c r="D1993" s="3145" t="s">
        <v>97</v>
      </c>
      <c r="E1993" s="3146" t="s">
        <v>517</v>
      </c>
      <c r="F1993" s="1454" t="s">
        <v>1199</v>
      </c>
      <c r="G1993" s="1245" t="s">
        <v>1199</v>
      </c>
      <c r="H1993" s="1001">
        <v>706</v>
      </c>
      <c r="I1993" s="1001" t="s">
        <v>5998</v>
      </c>
      <c r="J1993" s="51"/>
      <c r="K1993" s="2091" t="s">
        <v>84</v>
      </c>
      <c r="L1993" s="1921" t="s">
        <v>37</v>
      </c>
      <c r="M1993" s="71"/>
      <c r="N1993" s="21"/>
      <c r="O1993" s="21"/>
      <c r="P1993" s="21"/>
      <c r="Q1993" s="51"/>
      <c r="R1993" s="51"/>
      <c r="S1993" s="51"/>
      <c r="T1993" s="51"/>
      <c r="U1993" s="3147" t="s">
        <v>5999</v>
      </c>
    </row>
    <row r="1994" spans="1:23">
      <c r="A1994" s="76" t="s">
        <v>4149</v>
      </c>
      <c r="B1994" s="2151">
        <v>45646</v>
      </c>
      <c r="C1994" s="2944">
        <f t="shared" si="43"/>
        <v>51</v>
      </c>
      <c r="D1994" s="4441" t="s">
        <v>304</v>
      </c>
      <c r="E1994" s="1194" t="s">
        <v>6000</v>
      </c>
      <c r="F1994" s="1413" t="s">
        <v>1199</v>
      </c>
      <c r="G1994" s="935" t="s">
        <v>1199</v>
      </c>
      <c r="H1994" s="923">
        <v>706</v>
      </c>
      <c r="I1994" s="2403" t="s">
        <v>451</v>
      </c>
      <c r="J1994" s="2403"/>
      <c r="K1994" s="1808" t="s">
        <v>29</v>
      </c>
      <c r="L1994" s="923" t="s">
        <v>37</v>
      </c>
      <c r="M1994" s="3154"/>
      <c r="N1994" s="1042"/>
      <c r="O1994" s="1042"/>
      <c r="P1994" s="1042"/>
      <c r="Q1994" s="593"/>
      <c r="R1994" s="1042"/>
      <c r="S1994" s="1042"/>
      <c r="T1994" s="1042"/>
      <c r="U1994" s="3154"/>
      <c r="V1994" s="3149"/>
    </row>
    <row r="1995" spans="1:23" ht="79.5" thickBot="1">
      <c r="A1995" s="2144" t="s">
        <v>1697</v>
      </c>
      <c r="B1995" s="2141">
        <v>45647</v>
      </c>
      <c r="C1995" s="2945">
        <f t="shared" si="43"/>
        <v>51</v>
      </c>
      <c r="D1995" s="3150" t="s">
        <v>517</v>
      </c>
      <c r="E1995" s="3150" t="s">
        <v>258</v>
      </c>
      <c r="F1995" s="1484" t="s">
        <v>1199</v>
      </c>
      <c r="G1995" s="2377" t="s">
        <v>1199</v>
      </c>
      <c r="H1995" s="2346">
        <v>706</v>
      </c>
      <c r="I1995" s="2346" t="s">
        <v>121</v>
      </c>
      <c r="J1995" s="181"/>
      <c r="K1995" s="2145" t="s">
        <v>84</v>
      </c>
      <c r="L1995" s="57"/>
      <c r="M1995" s="1907" t="s">
        <v>37</v>
      </c>
      <c r="N1995" s="35" t="s">
        <v>109</v>
      </c>
      <c r="O1995" s="35" t="s">
        <v>300</v>
      </c>
      <c r="P1995" s="35" t="s">
        <v>4102</v>
      </c>
      <c r="Q1995" s="57"/>
      <c r="R1995" s="57"/>
      <c r="S1995" s="57"/>
      <c r="T1995" s="181"/>
      <c r="U1995" s="3152" t="s">
        <v>6001</v>
      </c>
      <c r="V1995" s="3151"/>
      <c r="W1995" s="3153"/>
    </row>
    <row r="1996" spans="1:23">
      <c r="A1996" s="162" t="s">
        <v>25</v>
      </c>
      <c r="B1996" s="1301">
        <v>45649</v>
      </c>
      <c r="C1996" s="2944">
        <f>_xlfn.ISOWEEKNUM(B1996)</f>
        <v>52</v>
      </c>
      <c r="D1996" s="1185" t="s">
        <v>1014</v>
      </c>
      <c r="E1996" s="1185" t="s">
        <v>1810</v>
      </c>
      <c r="F1996" s="1335" t="s">
        <v>1199</v>
      </c>
      <c r="G1996" s="1350" t="s">
        <v>1199</v>
      </c>
      <c r="H1996" s="1009">
        <v>706</v>
      </c>
      <c r="I1996" s="1009" t="s">
        <v>495</v>
      </c>
      <c r="J1996" s="111"/>
      <c r="K1996" s="2985"/>
      <c r="L1996" s="1009" t="s">
        <v>37</v>
      </c>
      <c r="M1996" s="182"/>
      <c r="N1996" s="111"/>
      <c r="O1996" s="111"/>
      <c r="P1996" s="111"/>
      <c r="Q1996" s="111"/>
      <c r="R1996" s="182"/>
      <c r="S1996" s="182"/>
      <c r="T1996" s="111"/>
      <c r="U1996" s="1967"/>
      <c r="V1996" s="1967"/>
      <c r="W1996" s="3148"/>
    </row>
    <row r="1997" spans="1:23" ht="53.25" thickBot="1">
      <c r="A1997" s="76" t="s">
        <v>25</v>
      </c>
      <c r="B1997" s="1300">
        <v>45649</v>
      </c>
      <c r="C1997" s="505">
        <f>_xlfn.ISOWEEKNUM(B1997)</f>
        <v>52</v>
      </c>
      <c r="D1997" s="1194" t="s">
        <v>273</v>
      </c>
      <c r="E1997" s="1194" t="s">
        <v>5792</v>
      </c>
      <c r="F1997" s="3194" t="s">
        <v>2272</v>
      </c>
      <c r="G1997" s="1319" t="s">
        <v>1199</v>
      </c>
      <c r="H1997" s="923">
        <v>703</v>
      </c>
      <c r="I1997" s="923" t="s">
        <v>1218</v>
      </c>
      <c r="J1997" s="49"/>
      <c r="K1997" s="664"/>
      <c r="L1997" s="923"/>
      <c r="M1997" s="923" t="s">
        <v>37</v>
      </c>
      <c r="N1997" s="35" t="s">
        <v>122</v>
      </c>
      <c r="O1997" s="35" t="s">
        <v>4038</v>
      </c>
      <c r="P1997" s="35" t="s">
        <v>4561</v>
      </c>
      <c r="Q1997" s="49"/>
      <c r="R1997" s="22"/>
      <c r="S1997" s="22"/>
      <c r="T1997" s="49"/>
      <c r="U1997" s="79" t="s">
        <v>6002</v>
      </c>
      <c r="V1997" s="79"/>
    </row>
    <row r="1998" spans="1:23" ht="53.25" thickBot="1">
      <c r="A1998" s="76" t="s">
        <v>25</v>
      </c>
      <c r="B1998" s="1300">
        <v>45649</v>
      </c>
      <c r="C1998" s="505">
        <f>_xlfn.ISOWEEKNUM(B1998)</f>
        <v>52</v>
      </c>
      <c r="D1998" s="1194" t="s">
        <v>1564</v>
      </c>
      <c r="E1998" s="1194" t="s">
        <v>389</v>
      </c>
      <c r="F1998" s="4442" t="s">
        <v>1206</v>
      </c>
      <c r="G1998" s="1319" t="s">
        <v>1199</v>
      </c>
      <c r="H1998" s="923">
        <v>703</v>
      </c>
      <c r="I1998" s="923" t="s">
        <v>1218</v>
      </c>
      <c r="J1998" s="49"/>
      <c r="K1998" s="664"/>
      <c r="L1998" s="923"/>
      <c r="M1998" s="923" t="s">
        <v>37</v>
      </c>
      <c r="N1998" s="35" t="s">
        <v>122</v>
      </c>
      <c r="O1998" s="35" t="s">
        <v>4038</v>
      </c>
      <c r="P1998" s="35" t="s">
        <v>4561</v>
      </c>
      <c r="Q1998" s="49"/>
      <c r="R1998" s="22"/>
      <c r="S1998" s="22"/>
      <c r="T1998" s="49"/>
      <c r="U1998" s="79" t="s">
        <v>6002</v>
      </c>
      <c r="V1998" s="79"/>
    </row>
    <row r="1999" spans="1:23" ht="52.5">
      <c r="A1999" s="76" t="s">
        <v>25</v>
      </c>
      <c r="B1999" s="1300">
        <v>45649</v>
      </c>
      <c r="C1999" s="505">
        <f>_xlfn.ISOWEEKNUM(B1999)</f>
        <v>52</v>
      </c>
      <c r="D1999" s="1194" t="s">
        <v>1014</v>
      </c>
      <c r="E1999" s="1194" t="s">
        <v>6003</v>
      </c>
      <c r="F1999" s="4443" t="s">
        <v>6004</v>
      </c>
      <c r="G1999" s="1482"/>
      <c r="H1999" s="923">
        <v>706</v>
      </c>
      <c r="I1999" s="923" t="s">
        <v>451</v>
      </c>
      <c r="J1999" s="923"/>
      <c r="K1999" s="1443" t="s">
        <v>84</v>
      </c>
      <c r="L1999" s="923" t="s">
        <v>37</v>
      </c>
      <c r="N1999" s="49"/>
      <c r="O1999" s="49"/>
      <c r="P1999" s="49"/>
      <c r="Q1999" s="49"/>
      <c r="R1999" s="22"/>
      <c r="S1999" s="22"/>
      <c r="T1999" s="49"/>
      <c r="U1999" s="79"/>
      <c r="V1999" s="79"/>
    </row>
    <row r="2000" spans="1:23">
      <c r="M2000" s="182"/>
      <c r="W2000" s="3148"/>
    </row>
  </sheetData>
  <autoFilter ref="A3:W1999" xr:uid="{2708FC5C-B140-48D0-BD75-22A92B057E09}"/>
  <mergeCells count="9">
    <mergeCell ref="D1673:E1673"/>
    <mergeCell ref="A1:W1"/>
    <mergeCell ref="U677:U678"/>
    <mergeCell ref="J1235:K1235"/>
    <mergeCell ref="J1237:K1237"/>
    <mergeCell ref="J1240:K1240"/>
    <mergeCell ref="J1245:K1245"/>
    <mergeCell ref="J1249:K1249"/>
    <mergeCell ref="J1250:K1250"/>
  </mergeCells>
  <conditionalFormatting sqref="J117:K118 Q117:Q118">
    <cfRule type="expression" dxfId="68" priority="134">
      <formula>#REF!&lt;&gt;""</formula>
    </cfRule>
  </conditionalFormatting>
  <conditionalFormatting sqref="J119:K119 Q119">
    <cfRule type="expression" dxfId="67" priority="305">
      <formula>$M164&lt;&gt;""</formula>
    </cfRule>
  </conditionalFormatting>
  <conditionalFormatting sqref="J158:K158 Q158">
    <cfRule type="expression" dxfId="66" priority="323">
      <formula>#REF!&lt;&gt;""</formula>
    </cfRule>
  </conditionalFormatting>
  <conditionalFormatting sqref="M1116:O1121 N1218:P1867 N370:P1115 N1892:P1048576">
    <cfRule type="expression" dxfId="65" priority="55">
      <formula>$M370&lt;&gt;""</formula>
    </cfRule>
  </conditionalFormatting>
  <conditionalFormatting sqref="N90:N95 P90:P95 O91:O95 N96:P150 N151 P151 N152:P205 N206:N208 N209:P210 N211:N212 N213:P213 N214:N216 N217:P220 N221:N222 N223:P223 N224:N227 N228:P229 N230:N233 N234:P316 M1123:O1124 M1127:O1135 M1137:O1137 M1139:O1139 M1142:O1152 M1154:O1154 Q1171:S1171 Q1194:R1194 N1200:P1213 N1215:P1216">
    <cfRule type="expression" dxfId="64" priority="222">
      <formula>$M90&lt;&gt;""</formula>
    </cfRule>
  </conditionalFormatting>
  <conditionalFormatting sqref="N1:P89">
    <cfRule type="expression" dxfId="63" priority="1">
      <formula>$M1&lt;&gt;""</formula>
    </cfRule>
  </conditionalFormatting>
  <conditionalFormatting sqref="N317:P320 N322:P322">
    <cfRule type="expression" dxfId="62" priority="99">
      <formula>$M492&lt;&gt;""</formula>
    </cfRule>
  </conditionalFormatting>
  <conditionalFormatting sqref="N319:P319">
    <cfRule type="expression" dxfId="61" priority="105">
      <formula>$M493&lt;&gt;""</formula>
    </cfRule>
  </conditionalFormatting>
  <conditionalFormatting sqref="N321:P321">
    <cfRule type="expression" dxfId="60" priority="82">
      <formula>$M499&lt;&gt;""</formula>
    </cfRule>
    <cfRule type="expression" dxfId="59" priority="100">
      <formula>$M497&lt;&gt;""</formula>
    </cfRule>
  </conditionalFormatting>
  <conditionalFormatting sqref="N322:P322">
    <cfRule type="expression" dxfId="58" priority="81">
      <formula>$M499&lt;&gt;""</formula>
    </cfRule>
  </conditionalFormatting>
  <conditionalFormatting sqref="N323:P323">
    <cfRule type="expression" dxfId="57" priority="63">
      <formula>$M323&lt;&gt;""</formula>
    </cfRule>
  </conditionalFormatting>
  <conditionalFormatting sqref="N324:P324 N328:P329">
    <cfRule type="expression" dxfId="56" priority="102">
      <formula>$M493&lt;&gt;""</formula>
    </cfRule>
  </conditionalFormatting>
  <conditionalFormatting sqref="N325:P325">
    <cfRule type="expression" dxfId="55" priority="106">
      <formula>$M493&lt;&gt;""</formula>
    </cfRule>
  </conditionalFormatting>
  <conditionalFormatting sqref="N326:P327">
    <cfRule type="expression" dxfId="54" priority="92">
      <formula>$M493&lt;&gt;""</formula>
    </cfRule>
  </conditionalFormatting>
  <conditionalFormatting sqref="N330:P330">
    <cfRule type="expression" dxfId="53" priority="62">
      <formula>$M330&lt;&gt;""</formula>
    </cfRule>
  </conditionalFormatting>
  <conditionalFormatting sqref="N331:P331">
    <cfRule type="expression" dxfId="52" priority="80">
      <formula>$M451&lt;&gt;""</formula>
    </cfRule>
    <cfRule type="expression" dxfId="51" priority="90">
      <formula>$M496&lt;&gt;""</formula>
    </cfRule>
  </conditionalFormatting>
  <conditionalFormatting sqref="N332:P333">
    <cfRule type="expression" dxfId="50" priority="88">
      <formula>$M493&lt;&gt;""</formula>
    </cfRule>
  </conditionalFormatting>
  <conditionalFormatting sqref="N334:P335">
    <cfRule type="expression" dxfId="49" priority="70">
      <formula>$M512&lt;&gt;""</formula>
    </cfRule>
    <cfRule type="expression" dxfId="48" priority="71">
      <formula>$M514&lt;&gt;""</formula>
    </cfRule>
  </conditionalFormatting>
  <conditionalFormatting sqref="N336:P338">
    <cfRule type="expression" dxfId="47" priority="77">
      <formula>$M493&lt;&gt;""</formula>
    </cfRule>
  </conditionalFormatting>
  <conditionalFormatting sqref="N339:P339">
    <cfRule type="expression" dxfId="46" priority="95">
      <formula>$M495&lt;&gt;""</formula>
    </cfRule>
  </conditionalFormatting>
  <conditionalFormatting sqref="N340:P341">
    <cfRule type="expression" dxfId="45" priority="57">
      <formula>$M340&lt;&gt;""</formula>
    </cfRule>
  </conditionalFormatting>
  <conditionalFormatting sqref="N342:P343">
    <cfRule type="expression" dxfId="44" priority="103">
      <formula>$M505&lt;&gt;""</formula>
    </cfRule>
  </conditionalFormatting>
  <conditionalFormatting sqref="N344:P345">
    <cfRule type="expression" dxfId="43" priority="59">
      <formula>$M344&lt;&gt;""</formula>
    </cfRule>
  </conditionalFormatting>
  <conditionalFormatting sqref="N346:P346">
    <cfRule type="expression" dxfId="42" priority="98">
      <formula>$M507&lt;&gt;""</formula>
    </cfRule>
  </conditionalFormatting>
  <conditionalFormatting sqref="N348:P348">
    <cfRule type="expression" dxfId="41" priority="69">
      <formula>$M505&lt;&gt;""</formula>
    </cfRule>
  </conditionalFormatting>
  <conditionalFormatting sqref="N349:P352">
    <cfRule type="expression" dxfId="40" priority="101">
      <formula>$M507&lt;&gt;""</formula>
    </cfRule>
  </conditionalFormatting>
  <conditionalFormatting sqref="N353:P354 N356:P357">
    <cfRule type="expression" dxfId="39" priority="91">
      <formula>$M509&lt;&gt;""</formula>
    </cfRule>
  </conditionalFormatting>
  <conditionalFormatting sqref="N353:P354 N362:P362">
    <cfRule type="expression" dxfId="38" priority="85">
      <formula>$M506&lt;&gt;""</formula>
    </cfRule>
  </conditionalFormatting>
  <conditionalFormatting sqref="N355:P355">
    <cfRule type="expression" dxfId="37" priority="74">
      <formula>$M510&lt;&gt;""</formula>
    </cfRule>
    <cfRule type="expression" dxfId="36" priority="96">
      <formula>$M507&lt;&gt;""</formula>
    </cfRule>
  </conditionalFormatting>
  <conditionalFormatting sqref="N358:P358">
    <cfRule type="expression" dxfId="35" priority="76">
      <formula>$M515&lt;&gt;""</formula>
    </cfRule>
  </conditionalFormatting>
  <conditionalFormatting sqref="N359:P359">
    <cfRule type="expression" dxfId="34" priority="68">
      <formula>$M518&lt;&gt;""</formula>
    </cfRule>
  </conditionalFormatting>
  <conditionalFormatting sqref="N360:P360">
    <cfRule type="expression" dxfId="33" priority="58">
      <formula>$M360&lt;&gt;""</formula>
    </cfRule>
  </conditionalFormatting>
  <conditionalFormatting sqref="N361:P361">
    <cfRule type="expression" dxfId="32" priority="75">
      <formula>$M475&lt;&gt;""</formula>
    </cfRule>
    <cfRule type="expression" dxfId="31" priority="79">
      <formula>$M474&lt;&gt;""</formula>
    </cfRule>
    <cfRule type="expression" dxfId="30" priority="83">
      <formula>$M522&lt;&gt;""</formula>
    </cfRule>
    <cfRule type="expression" dxfId="29" priority="97">
      <formula>$M518&lt;&gt;""</formula>
    </cfRule>
  </conditionalFormatting>
  <conditionalFormatting sqref="N362:P363 N365:P366">
    <cfRule type="expression" dxfId="28" priority="87">
      <formula>$M516&lt;&gt;""</formula>
    </cfRule>
  </conditionalFormatting>
  <conditionalFormatting sqref="N363:P363">
    <cfRule type="expression" dxfId="27" priority="86">
      <formula>$M518&lt;&gt;""</formula>
    </cfRule>
  </conditionalFormatting>
  <conditionalFormatting sqref="N364:P364">
    <cfRule type="expression" dxfId="26" priority="64">
      <formula>$M522&lt;&gt;""</formula>
    </cfRule>
    <cfRule type="expression" dxfId="25" priority="65">
      <formula>$M479&lt;&gt;""</formula>
    </cfRule>
    <cfRule type="expression" dxfId="24" priority="66">
      <formula>$M526&lt;&gt;""</formula>
    </cfRule>
    <cfRule type="expression" dxfId="23" priority="67">
      <formula>$M478&lt;&gt;""</formula>
    </cfRule>
  </conditionalFormatting>
  <conditionalFormatting sqref="N365:P369">
    <cfRule type="expression" dxfId="22" priority="73">
      <formula>$M518&lt;&gt;""</formula>
    </cfRule>
  </conditionalFormatting>
  <conditionalFormatting sqref="N367:P367">
    <cfRule type="expression" dxfId="21" priority="78">
      <formula>$M519&lt;&gt;""</formula>
    </cfRule>
  </conditionalFormatting>
  <conditionalFormatting sqref="N368:P369">
    <cfRule type="expression" dxfId="20" priority="72">
      <formula>$M522&lt;&gt;""</formula>
    </cfRule>
  </conditionalFormatting>
  <conditionalFormatting sqref="N1122:P1122">
    <cfRule type="expression" dxfId="19" priority="52">
      <formula>$M1122&lt;&gt;""</formula>
    </cfRule>
  </conditionalFormatting>
  <conditionalFormatting sqref="N1125:P1126">
    <cfRule type="expression" dxfId="18" priority="49">
      <formula>$M1125&lt;&gt;""</formula>
    </cfRule>
  </conditionalFormatting>
  <conditionalFormatting sqref="N1136:P1136">
    <cfRule type="expression" dxfId="17" priority="43">
      <formula>$M1136&lt;&gt;""</formula>
    </cfRule>
  </conditionalFormatting>
  <conditionalFormatting sqref="N1138:P1138">
    <cfRule type="expression" dxfId="16" priority="41">
      <formula>$M1138&lt;&gt;""</formula>
    </cfRule>
  </conditionalFormatting>
  <conditionalFormatting sqref="N1140:P1141">
    <cfRule type="expression" dxfId="15" priority="39">
      <formula>$M1140&lt;&gt;""</formula>
    </cfRule>
  </conditionalFormatting>
  <conditionalFormatting sqref="N1153:P1153">
    <cfRule type="expression" dxfId="14" priority="36">
      <formula>$M1153&lt;&gt;""</formula>
    </cfRule>
  </conditionalFormatting>
  <conditionalFormatting sqref="N1155:P1198">
    <cfRule type="expression" dxfId="13" priority="16">
      <formula>$M1155&lt;&gt;""</formula>
    </cfRule>
  </conditionalFormatting>
  <conditionalFormatting sqref="N1214:P1214">
    <cfRule type="expression" dxfId="12" priority="330">
      <formula>$M1217&lt;&gt;""</formula>
    </cfRule>
  </conditionalFormatting>
  <conditionalFormatting sqref="N1880:P1881">
    <cfRule type="expression" dxfId="11" priority="3">
      <formula>$M1880&lt;&gt;""</formula>
    </cfRule>
  </conditionalFormatting>
  <conditionalFormatting sqref="N1883:P1883">
    <cfRule type="expression" dxfId="10" priority="6">
      <formula>$M1883&lt;&gt;""</formula>
    </cfRule>
  </conditionalFormatting>
  <conditionalFormatting sqref="N1885:P1888">
    <cfRule type="expression" dxfId="9" priority="8">
      <formula>$M1885&lt;&gt;""</formula>
    </cfRule>
  </conditionalFormatting>
  <conditionalFormatting sqref="Q150">
    <cfRule type="expression" dxfId="8" priority="314">
      <formula>$M215&lt;&gt;""</formula>
    </cfRule>
  </conditionalFormatting>
  <conditionalFormatting sqref="Q144:T144">
    <cfRule type="expression" dxfId="7" priority="327">
      <formula>#REF!&lt;&gt;""</formula>
    </cfRule>
  </conditionalFormatting>
  <conditionalFormatting sqref="Q145:T145">
    <cfRule type="expression" dxfId="6" priority="311">
      <formula>$M212&lt;&gt;""</formula>
    </cfRule>
  </conditionalFormatting>
  <conditionalFormatting sqref="Q151:T152 Q154:T154">
    <cfRule type="expression" dxfId="5" priority="322">
      <formula>#REF!&lt;&gt;""</formula>
    </cfRule>
  </conditionalFormatting>
  <conditionalFormatting sqref="Q189:T190">
    <cfRule type="expression" dxfId="4" priority="316">
      <formula>$M256&lt;&gt;""</formula>
    </cfRule>
  </conditionalFormatting>
  <conditionalFormatting sqref="Q192:T192">
    <cfRule type="expression" dxfId="3" priority="315">
      <formula>$M258&lt;&gt;""</formula>
    </cfRule>
  </conditionalFormatting>
  <conditionalFormatting sqref="Q196:T197">
    <cfRule type="expression" dxfId="2" priority="319">
      <formula>$M260&lt;&gt;""</formula>
    </cfRule>
  </conditionalFormatting>
  <conditionalFormatting sqref="Q198:T198">
    <cfRule type="expression" dxfId="1" priority="318">
      <formula>$M261&lt;&gt;""</formula>
    </cfRule>
  </conditionalFormatting>
  <conditionalFormatting sqref="Q199:T199">
    <cfRule type="expression" dxfId="0" priority="317">
      <formula>$M261&lt;&gt;""</formula>
    </cfRule>
  </conditionalFormatting>
  <dataValidations count="5">
    <dataValidation type="list" allowBlank="1" showInputMessage="1" showErrorMessage="1" sqref="Q2 M2" xr:uid="{EFD95DE9-9CE4-4922-A709-6C8743C5AE81}">
      <formula1>"G.I , client , Panne machine , Ferroway"</formula1>
    </dataValidation>
    <dataValidation type="list" allowBlank="1" showInputMessage="1" showErrorMessage="1" sqref="N360 N11 N13 N16 N20:N57 N65:N66 N68 N70:N92 N96 N98:N99 N104:N105 N112:N113 N126 N136:N137 N145 N163 N150 N152:N153 N161 N170 N174 N194 N182:N186 N180 N200 N264 N246 N248 N250 N255:N256 N269 N271:N272 N203:N205 N209:N210 N228:N229 N304:N305 N296 N308:N312 N323 N330 N340:N341 N344:N345 N2 N374:N375 N377 N384 N387 N412:N414 N389:N390 N402 N404:N405 N407 N409:N410 N394 N399 N417 N432 N424:N428 N421:N422 N460 N474 N481 N463:N464 N486:N488 N490:N491 N525 N513 N515 N494:N497 N536 N519:N521 N108:N110 N217:N220 N139 N213 N223 N542 N552 N554 N562 N573:N576 N582 N590 N597 N599:N600 N603 N606 N611 N616:N618 N665 N684 N692 N697 N700 N677:N679 N710:N712 N722 N727 N730:N731 N755 N733:N734 N739 N742:N746 N736:N737 N778 N785 N794 N799 N811 N813 N820:N821 N824 N849:N851 N843 N857:N858 N861 N867:N868 N871 N881 N884 N893 N855 N914 N918 N922 N924 N926 N935:N936 N950 N965 N970 N977 N983:N984 N947 N953 N989 N992 N995:N996 N998 N1000 N1008 N1013 N987 N1018:N1022 N1027:N1029 N1036 N1039 N1043:N1044 N1315 N1046 N1066 N1115 N1180 N1080:N1081 N1095 N1057 N1109 N1122 N1125:N1126 N1136 N1138 N1140:N1141 N1153 N1159 N1164:N1165 N1167:N1168 N1182 N1113 N1185:N1187 N1189 N1202 N1204:N1206 N1213:N1216 N1234 N1232 N1245 N1250 N1247 N1253 N1288:N1290 N1279 N1298 N1286 N1313 N1347 N1340:N1342 N1338 N1330 N1317 N1443 N1323:N1324 N1192 N1358 N1362 N1366 N1372 N1380 N1398:N1399 N1389:O1390 N1402 N1409:N1410 N1414 N1417 N1425 N1433 N1437 N1173:N1175 N1439 N1435 N1395 N1509:N1511 N1048 N1484 N1480:N1481 N1475 N1490 N1505 N1466:N1470 N1519 N1528:N1529 N1549 N1555 N1557 N1559 N1561 N1564 N1576:N1577 N1580 N1569 N1604 N1610:N1611 N1614:N1616 N1620 N1633:N1634 N1644 N1655 N1663:N1664 N1668:N1669 N1651 N1671 N1680 N1697 N1699:N1701 N1684 N1709 N1743 N1718 N1725 N1735 N1737 N1747 N1721:N1722 N1750 N1766 N1797 N1794:N1795 N1762 N1782 N1769 N1771:N1772 N1774 N1784 N1753:N1756 N1758 N1789 N1803 N1807 N1809 N1816 N1818 N1825 N1847 N1823 N1830 N1883 N1880:N1881 N1865:N1867 N1885:N1886 N1888 N1892 N1894:N1897 N1911 N1914:N1915 N1917:N1918 N1926:N1927 N1929 N1932 N1936 N1938:N1940 N1901 N1905 N1909 N1944 N1962 N1965 N1981 N1969 N1995 N1986 N1984 N1946 N1953 N1956 N1991:N1993 N1997:N1998 N1230" xr:uid="{1DA6DEF4-C595-4966-8D78-71A776C9F0E1}">
      <formula1>cause</formula1>
    </dataValidation>
    <dataValidation type="list" allowBlank="1" showInputMessage="1" showErrorMessage="1" sqref="O360 O312 O308:O310 O296 O304:O305 O228:O229 O209:O210 O203:O205 O271:O272 O269 O255:O256 O250 O248 O246 O264 O200 O180 O182:O186 O194 O174 O170 O161 O152:O153 O150 O163 O145 O136:O137 O126 O112:O113 O104:O105 O98:O99 O96 O91 O80 O87 O82 O75:O77 O70 O68 O65:O66 O57 O54:O55 O50:O51 O48 O37:O40 O33 O20:O21 O16 O13 O11 O323 O330 O340:O341 O344:O345 O2 O417 O377 O384 O387 O412:O414 O389:O390 O402 O404:O405 O407 O409:O410 O394 O399 O374:O375 O432 O424:O428 O421:O422 O460 O474 O481 O490:O491 O486:O488 O463:O464 O525 O513 O515 O494:O497 O536 O519:O521 O108:O110 O217:O220 O139 O213 O223 O542 O552 O554 O562 O573:O576 O582 O590 O597 O599:O600 O603 O606 O611 O616:O618 O665 O684 O692 O697 O700 O677:O679 O710:O712 O722 O727 O730:O731 O755 O733:O734 O739 O742:O746 O736:O737 O778 O785 O794 O799 O811 O813 O820:O821 O824 O849:O851 O843 O884 O861 O867:O868 O871 O881 O857:O858 O893 O855 O914 O918 O922 O924 O926 O935:O936 O950 O965 O970 O977 O983:O984 O947 O953 O989 O992 O995:O996 O998 O1000 O1008 O1013 O987 O1018:O1022 O1027:O1029 O1036 O1039 O1043:O1044 O1315 O1046 O1066 O1115 O1180 O1080:O1081 O1095 O1057 O1109 O1122 O1125:O1126 O1136 O1138 O1140:O1141 O1153 O1159 O1164:O1165 O1167:O1168 O1182 O1173:O1175 O1185:O1187 O1189 O1202 O1204:O1206 O1213:O1216 O1234 O1232 O1245 O1250 O1247 O1253 O1288:O1290 O1279 O1298 O1286 O1313 O1347 O1340:O1342 O1338 O1330 O1317 O1113 O1323:O1324 O1192 O1358 O1362 O1366 O1372 O1380 O1402 O1409:O1410 O1414 O1417 O1425 O1433 O1437 O1439 O1443 O1435 O1398:O1399 O1395 O1509:O1511 O1048 O1484 O1480:O1481 O1475 O1490 O1505 O1466:O1470 O1519 O1528:O1529 O1549 O1555 O1557 O1559 O1561 O1564 O1576:O1577 O1580 O1569 O1604 O1610:O1611 O1614:O1616 O1633:O1634 O1620 O1644 O1655 O1663:O1664 O1668:O1669 O1651 O1671 O1680 O1697 O1699:O1701 O1684 O1709 O1743 O1718 O1725 O1735 O1737 O1747 O1721:O1722 O1750 O1766 O1797 O1794:O1795 O1762 O1782 O1769 O1771:O1772 O1774 O1753:O1756 O1758 O1789 O1803 O1807 O1809 O1816 O1818 O1825 O1847 O1823 O1830 O1883 O1880:O1881 O1865:O1867 O1885:O1886 O1888 O1892 O1894:O1897 O1911 O1914:O1915 O1917:O1918 O1926:O1927 O1929 O1932 O1936 O1938:O1940 O1901 O1905 O1909 O1944 O1962 O1965 O1981 O1969 O1995 O1986 O1984 O1946 O1953 O1956 O1991:O1993 O1997:O1998 O1784 O1230" xr:uid="{ED1152D4-1CC2-4FF4-BD82-1C61BBCF17B7}">
      <formula1>INDIRECT($N2)</formula1>
    </dataValidation>
    <dataValidation type="list" allowBlank="1" showInputMessage="1" showErrorMessage="1" sqref="P360 P11 P13 P16 P20:P21 P33 P37:P40 P46:P57 P65:P66 P68 P70:P92 P96 P98:P99 P104:P105 P112:P113 P126 P136:P137 P145 P163 P150 P152:P153 P161 P170 P174 P194 P182:P186 P180 P200 P264 P246 P248 P250 P255:P256 P269 P271:P272 P203:P205 P209:P210 P228:P229 P304:P305 P296 P308:P310 P312 P323 P330 P340:P341 P344:P345 P2 P417 P377 P384 P412:P414 P387 P389:P390 P402 P404:P405 P407 P409:P410 P394 P399 P374:P375 P432 P424:P428 P421:P422 P460 P474 P481 P463:P464 P486:P488 P490:P491 P525 P513 P515 P494:P497 P536 P519:P521 P108:P110 P217:P220 P139 P213 P223 P542 P552 P554 P562 P573:P576 P582 P590 P597 P599:P600 P603 P606 P611 P616:P618 P665 P684 P692 P697 P700 P677:P679 P710:P712 P722 P727 P730:P731 P755 P733:P734 P736:P737 P742:P746 P739 P778 P785 P794 P799 P811 P813 P820:P821 P824 P893 P843 P884 P861 P867:P868 P871 P881 P857:P858 P849:P851 P855 P914 P918 P922 P924 P926 P935:P936 P950 P965 P970 P977 P983:P984 P947 P953 P989 P992 P995:P996 P998 P1000 P1008 P1013 P987 P1018:P1022 P620 P624 P1027:P1029 P1036 P1039 P1043:P1044 P1046 P1048 P1066 P1115 P1180 P1080:P1081 P1095 P1057 P1109 P1122 P1125:P1126 P1138 P1140:P1141 P1136 P1153 P1159 P1164:P1165 P1167:P1168 P1182 P1173:P1175 P1185:P1187 P1189 P1202 P1204:P1206 P1213:P1216 P1234 P1232 P1245 P1250 P1247 P1253 P1288:P1290 P1279 P1298 P1286 P1313 P1347 P1340:P1342 P1338 P1330 P1317 P1315 P1323:P1324 P1192 P1358 P1362 P1366 P1372 P1380 P1398:P1399 P1389:P1390 P1402 P1409:P1410 P1414 P1417 P1425 P1433 P1437 P1439 P1443 P1435 P1395 P1509:P1511 P1113 P1484 P1480:P1481 P1475 P1490 P1505 P1466:P1470 P1519 P1528:P1529 P1549 P1555 P1557 P1559 P1561 P1564 P1576:P1577 P1580 P1569 P1604 P1610:P1611 P1614:P1616 P1633:P1634 P1620 P1644 P1655 P1663:P1664 P1668:P1669 P1651 P1671 P1680 P1697 P1699:P1701 P1684 P1709 P1743 P1718 P1725 P1735 P1737 P1747 P1721:P1722 P1750 P1766 P1797 P1794:P1795 P1762 P1782 P1769 P1771:P1772 P1774 P1784 P1753:P1756 P1758 P1789 P1803 P1807 P1809 P1816 P1818 P1825 P1847 P1823 P1830 P1865:P1867 P1880:P1881 P1883 P1885:P1886 P1888 P1892 P1894:P1897 P1911 P1914:P1915 P1917:P1918 P1926:P1927 P1929 P1932 P1936 P1938:P1940 P1901 P1905 P1909 P1944 P1962 P1965 P1981 P1969 P1995 P1986 P1984 P1946 P1953 P1956 P1991:P1993 P1997:P1998 P1230" xr:uid="{3FDB7ACD-749C-4C38-96F8-4F76742716FE}">
      <formula1>agences</formula1>
    </dataValidation>
    <dataValidation type="list" allowBlank="1" showInputMessage="1" showErrorMessage="1" sqref="O46:O47 O92 O88:O89 O81 O78:O79 O83:O86 O71:O74 O56 O52:O53 O49" xr:uid="{9B87C388-8A02-4059-9C11-0B998B29EEFA}">
      <formula1>INDIRECT($O46)</formula1>
    </dataValidation>
  </dataValidations>
  <pageMargins left="0.7" right="0.7" top="0.75" bottom="0.75" header="0.3" footer="0.3"/>
  <pageSetup paperSize="9" orientation="portrait" r:id="rId1"/>
  <customProperties>
    <customPr name="_pios_id" r:id="rId2"/>
  </customProperties>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1E95-0C88-4978-9425-A40B7C476088}">
  <sheetPr codeName="Feuil2"/>
  <dimension ref="A1:S37"/>
  <sheetViews>
    <sheetView workbookViewId="0">
      <selection activeCell="A2" sqref="A2:S37"/>
    </sheetView>
  </sheetViews>
  <sheetFormatPr baseColWidth="10" defaultColWidth="11.42578125" defaultRowHeight="15"/>
  <cols>
    <col min="2" max="2" width="22.42578125" customWidth="1"/>
    <col min="3" max="3" width="9" bestFit="1" customWidth="1"/>
    <col min="4" max="4" width="27" bestFit="1" customWidth="1"/>
    <col min="5" max="5" width="70.5703125" customWidth="1"/>
    <col min="6" max="7" width="10.5703125" customWidth="1"/>
    <col min="8" max="8" width="11.5703125" bestFit="1" customWidth="1"/>
    <col min="9" max="9" width="8.42578125" customWidth="1"/>
    <col min="10" max="10" width="10.5703125" bestFit="1" customWidth="1"/>
    <col min="11" max="11" width="10.42578125" bestFit="1" customWidth="1"/>
    <col min="15" max="15" width="8" bestFit="1" customWidth="1"/>
    <col min="16" max="16" width="12.42578125" bestFit="1" customWidth="1"/>
    <col min="18" max="18" width="14.42578125" bestFit="1" customWidth="1"/>
    <col min="19" max="19" width="167.5703125" bestFit="1" customWidth="1"/>
  </cols>
  <sheetData>
    <row r="1" spans="1:19" ht="105.75" thickBot="1">
      <c r="A1" s="378" t="s">
        <v>6005</v>
      </c>
      <c r="B1" s="379" t="s">
        <v>6006</v>
      </c>
      <c r="C1" s="379" t="s">
        <v>6007</v>
      </c>
      <c r="D1" s="380" t="s">
        <v>6</v>
      </c>
      <c r="E1" s="380" t="s">
        <v>7</v>
      </c>
      <c r="F1" s="379" t="s">
        <v>1037</v>
      </c>
      <c r="G1" s="379" t="s">
        <v>6008</v>
      </c>
      <c r="H1" s="379" t="s">
        <v>6009</v>
      </c>
      <c r="I1" s="379" t="s">
        <v>6010</v>
      </c>
      <c r="J1" s="379" t="s">
        <v>6011</v>
      </c>
      <c r="K1" s="379" t="s">
        <v>6012</v>
      </c>
      <c r="L1" s="379"/>
      <c r="M1" s="379"/>
      <c r="N1" s="379"/>
      <c r="O1" s="379" t="s">
        <v>4069</v>
      </c>
      <c r="P1" s="379" t="s">
        <v>4070</v>
      </c>
      <c r="Q1" s="381" t="s">
        <v>6013</v>
      </c>
      <c r="R1" s="381" t="s">
        <v>4071</v>
      </c>
      <c r="S1" s="382" t="s">
        <v>6014</v>
      </c>
    </row>
    <row r="2" spans="1:19" ht="27" thickBot="1">
      <c r="A2" s="302" t="s">
        <v>25</v>
      </c>
      <c r="B2" s="383">
        <v>45264</v>
      </c>
      <c r="C2" s="384"/>
      <c r="D2" s="385" t="s">
        <v>6015</v>
      </c>
      <c r="E2" s="385" t="s">
        <v>6016</v>
      </c>
      <c r="F2" s="386" t="s">
        <v>1199</v>
      </c>
      <c r="G2" s="386" t="s">
        <v>1199</v>
      </c>
      <c r="H2" s="387" t="s">
        <v>1199</v>
      </c>
      <c r="I2" s="388"/>
      <c r="J2" s="387"/>
      <c r="K2" s="387"/>
      <c r="L2" s="387"/>
      <c r="M2" s="387"/>
      <c r="N2" s="387"/>
      <c r="O2" s="387"/>
      <c r="P2" s="387"/>
      <c r="Q2" s="387"/>
      <c r="R2" s="387"/>
      <c r="S2" s="389"/>
    </row>
    <row r="3" spans="1:19" ht="27" thickBot="1">
      <c r="A3" s="303" t="s">
        <v>25</v>
      </c>
      <c r="B3" s="390">
        <v>45264</v>
      </c>
      <c r="C3" s="391"/>
      <c r="D3" s="392" t="s">
        <v>3914</v>
      </c>
      <c r="E3" s="392" t="s">
        <v>169</v>
      </c>
      <c r="F3" s="393" t="s">
        <v>1199</v>
      </c>
      <c r="G3" s="393" t="s">
        <v>1199</v>
      </c>
      <c r="H3" s="394" t="s">
        <v>1199</v>
      </c>
      <c r="I3" s="393"/>
      <c r="J3" s="395"/>
      <c r="K3" s="395"/>
      <c r="L3" s="395"/>
      <c r="M3" s="395"/>
      <c r="N3" s="395"/>
      <c r="O3" s="395"/>
      <c r="P3" s="395"/>
      <c r="Q3" s="395"/>
      <c r="R3" s="395"/>
      <c r="S3" s="396"/>
    </row>
    <row r="4" spans="1:19" ht="27" thickBot="1">
      <c r="A4" s="303" t="s">
        <v>25</v>
      </c>
      <c r="B4" s="390">
        <v>45264</v>
      </c>
      <c r="C4" s="391"/>
      <c r="D4" s="392" t="s">
        <v>258</v>
      </c>
      <c r="E4" s="392" t="s">
        <v>282</v>
      </c>
      <c r="F4" s="397" t="s">
        <v>1199</v>
      </c>
      <c r="G4" s="397" t="s">
        <v>1199</v>
      </c>
      <c r="H4" s="395" t="s">
        <v>1199</v>
      </c>
      <c r="I4" s="393"/>
      <c r="J4" s="395" t="s">
        <v>6017</v>
      </c>
      <c r="K4" s="395"/>
      <c r="L4" s="395"/>
      <c r="M4" s="395"/>
      <c r="N4" s="395"/>
      <c r="O4" s="395"/>
      <c r="P4" s="395"/>
      <c r="Q4" s="395"/>
      <c r="R4" s="395"/>
      <c r="S4" s="396" t="s">
        <v>6018</v>
      </c>
    </row>
    <row r="5" spans="1:19" ht="27" thickBot="1">
      <c r="A5" s="303" t="s">
        <v>25</v>
      </c>
      <c r="B5" s="390">
        <v>45264</v>
      </c>
      <c r="C5" s="391"/>
      <c r="D5" s="392" t="s">
        <v>273</v>
      </c>
      <c r="E5" s="392" t="s">
        <v>282</v>
      </c>
      <c r="F5" s="393" t="s">
        <v>1199</v>
      </c>
      <c r="G5" s="398" t="s">
        <v>1199</v>
      </c>
      <c r="H5" s="395"/>
      <c r="I5" s="393"/>
      <c r="J5" s="395"/>
      <c r="K5" s="395"/>
      <c r="L5" s="395"/>
      <c r="M5" s="395"/>
      <c r="N5" s="395"/>
      <c r="O5" s="395"/>
      <c r="P5" s="395"/>
      <c r="Q5" s="395"/>
      <c r="R5" s="395"/>
      <c r="S5" s="396"/>
    </row>
    <row r="6" spans="1:19" ht="27" thickBot="1">
      <c r="A6" s="303" t="s">
        <v>25</v>
      </c>
      <c r="B6" s="390">
        <v>45264</v>
      </c>
      <c r="C6" s="391"/>
      <c r="D6" s="392" t="s">
        <v>258</v>
      </c>
      <c r="E6" s="392" t="s">
        <v>48</v>
      </c>
      <c r="F6" s="393" t="s">
        <v>1199</v>
      </c>
      <c r="G6" s="398" t="s">
        <v>1199</v>
      </c>
      <c r="H6" s="395" t="s">
        <v>1199</v>
      </c>
      <c r="I6" s="393"/>
      <c r="J6" s="395"/>
      <c r="K6" s="395"/>
      <c r="L6" s="395"/>
      <c r="M6" s="395"/>
      <c r="N6" s="395"/>
      <c r="O6" s="395"/>
      <c r="P6" s="395"/>
      <c r="Q6" s="395"/>
      <c r="R6" s="395"/>
      <c r="S6" s="396"/>
    </row>
    <row r="7" spans="1:19" ht="27" thickBot="1">
      <c r="A7" s="303" t="s">
        <v>25</v>
      </c>
      <c r="B7" s="390">
        <v>45264</v>
      </c>
      <c r="C7" s="391"/>
      <c r="D7" s="399" t="s">
        <v>2397</v>
      </c>
      <c r="E7" s="399" t="s">
        <v>650</v>
      </c>
      <c r="F7" s="393" t="s">
        <v>1199</v>
      </c>
      <c r="G7" s="398" t="s">
        <v>1199</v>
      </c>
      <c r="H7" s="395" t="s">
        <v>1199</v>
      </c>
      <c r="I7" s="393"/>
      <c r="J7" s="395"/>
      <c r="K7" s="395"/>
      <c r="L7" s="395"/>
      <c r="M7" s="395"/>
      <c r="N7" s="395"/>
      <c r="O7" s="395"/>
      <c r="P7" s="395"/>
      <c r="Q7" s="395"/>
      <c r="R7" s="395"/>
      <c r="S7" s="396"/>
    </row>
    <row r="8" spans="1:19" ht="27" thickBot="1">
      <c r="A8" s="303" t="s">
        <v>25</v>
      </c>
      <c r="B8" s="390">
        <v>45264</v>
      </c>
      <c r="C8" s="391"/>
      <c r="D8" s="392" t="s">
        <v>6019</v>
      </c>
      <c r="E8" s="392" t="s">
        <v>244</v>
      </c>
      <c r="F8" s="398" t="s">
        <v>1199</v>
      </c>
      <c r="G8" s="398" t="s">
        <v>1199</v>
      </c>
      <c r="H8" s="395" t="s">
        <v>1206</v>
      </c>
      <c r="I8" s="393"/>
      <c r="J8" s="395"/>
      <c r="K8" s="395"/>
      <c r="L8" s="395"/>
      <c r="M8" s="395"/>
      <c r="N8" s="395"/>
      <c r="O8" s="395"/>
      <c r="P8" s="395"/>
      <c r="Q8" s="395"/>
      <c r="R8" s="395"/>
      <c r="S8" s="396"/>
    </row>
    <row r="9" spans="1:19" ht="27" thickBot="1">
      <c r="A9" s="303" t="s">
        <v>25</v>
      </c>
      <c r="B9" s="390">
        <v>45264</v>
      </c>
      <c r="C9" s="391"/>
      <c r="D9" s="400" t="s">
        <v>669</v>
      </c>
      <c r="E9" s="400" t="s">
        <v>6020</v>
      </c>
      <c r="F9" s="397" t="s">
        <v>1206</v>
      </c>
      <c r="G9" s="397" t="s">
        <v>1206</v>
      </c>
      <c r="H9" s="395" t="s">
        <v>1206</v>
      </c>
      <c r="I9" s="393"/>
      <c r="J9" s="395" t="s">
        <v>6017</v>
      </c>
      <c r="K9" s="395"/>
      <c r="L9" s="395"/>
      <c r="M9" s="395"/>
      <c r="N9" s="395"/>
      <c r="O9" s="395"/>
      <c r="P9" s="395"/>
      <c r="Q9" s="395"/>
      <c r="R9" s="395"/>
      <c r="S9" s="396" t="s">
        <v>6021</v>
      </c>
    </row>
    <row r="10" spans="1:19" ht="27" thickBot="1">
      <c r="A10" s="401" t="s">
        <v>25</v>
      </c>
      <c r="B10" s="402">
        <v>45264</v>
      </c>
      <c r="C10" s="391"/>
      <c r="D10" s="403" t="s">
        <v>273</v>
      </c>
      <c r="E10" s="403" t="s">
        <v>6022</v>
      </c>
      <c r="F10" s="397" t="s">
        <v>1206</v>
      </c>
      <c r="G10" s="397" t="s">
        <v>1206</v>
      </c>
      <c r="H10" s="395" t="s">
        <v>1206</v>
      </c>
      <c r="I10" s="404"/>
      <c r="J10" s="405" t="s">
        <v>6017</v>
      </c>
      <c r="K10" s="405"/>
      <c r="L10" s="405"/>
      <c r="M10" s="405"/>
      <c r="N10" s="405"/>
      <c r="O10" s="405"/>
      <c r="P10" s="405"/>
      <c r="Q10" s="405"/>
      <c r="R10" s="405"/>
      <c r="S10" s="406" t="s">
        <v>6023</v>
      </c>
    </row>
    <row r="11" spans="1:19" ht="27" thickBot="1">
      <c r="A11" s="407" t="s">
        <v>25</v>
      </c>
      <c r="B11" s="408">
        <v>45264</v>
      </c>
      <c r="C11" s="391"/>
      <c r="D11" s="409" t="s">
        <v>1905</v>
      </c>
      <c r="E11" s="409" t="s">
        <v>6024</v>
      </c>
      <c r="F11" s="393" t="s">
        <v>1199</v>
      </c>
      <c r="G11" s="393" t="s">
        <v>1199</v>
      </c>
      <c r="H11" s="410"/>
      <c r="I11" s="411"/>
      <c r="J11" s="412" t="s">
        <v>6017</v>
      </c>
      <c r="K11" s="412"/>
      <c r="L11" s="412"/>
      <c r="M11" s="412"/>
      <c r="N11" s="412"/>
      <c r="O11" s="412"/>
      <c r="P11" s="412"/>
      <c r="Q11" s="412"/>
      <c r="R11" s="412"/>
      <c r="S11" s="413" t="s">
        <v>6023</v>
      </c>
    </row>
    <row r="12" spans="1:19" ht="27" thickBot="1">
      <c r="A12" s="407" t="s">
        <v>25</v>
      </c>
      <c r="B12" s="408">
        <v>45264</v>
      </c>
      <c r="C12" s="414"/>
      <c r="D12" s="415" t="s">
        <v>48</v>
      </c>
      <c r="E12" s="415" t="s">
        <v>282</v>
      </c>
      <c r="F12" s="398" t="s">
        <v>1199</v>
      </c>
      <c r="G12" s="398" t="s">
        <v>1199</v>
      </c>
      <c r="H12" s="416" t="s">
        <v>174</v>
      </c>
      <c r="I12" s="411"/>
      <c r="J12" s="412"/>
      <c r="K12" s="412"/>
      <c r="L12" s="412"/>
      <c r="M12" s="412"/>
      <c r="N12" s="412"/>
      <c r="O12" s="412"/>
      <c r="P12" s="412"/>
      <c r="Q12" s="412"/>
      <c r="R12" s="412"/>
      <c r="S12" s="413"/>
    </row>
    <row r="13" spans="1:19" ht="27" thickBot="1">
      <c r="A13" s="302" t="s">
        <v>25</v>
      </c>
      <c r="B13" s="383">
        <v>45264</v>
      </c>
      <c r="C13" s="417"/>
      <c r="D13" s="385" t="s">
        <v>63</v>
      </c>
      <c r="E13" s="385" t="s">
        <v>4774</v>
      </c>
      <c r="F13" s="397" t="s">
        <v>1199</v>
      </c>
      <c r="G13" s="397" t="s">
        <v>1199</v>
      </c>
      <c r="H13" s="418" t="s">
        <v>29</v>
      </c>
      <c r="I13" s="388"/>
      <c r="J13" s="387"/>
      <c r="K13" s="387"/>
      <c r="L13" s="387"/>
      <c r="M13" s="387"/>
      <c r="N13" s="387"/>
      <c r="O13" s="387"/>
      <c r="P13" s="387"/>
      <c r="Q13" s="387"/>
      <c r="R13" s="387"/>
      <c r="S13" s="389"/>
    </row>
    <row r="14" spans="1:19" ht="27" thickBot="1">
      <c r="A14" s="303" t="s">
        <v>67</v>
      </c>
      <c r="B14" s="390">
        <v>45265</v>
      </c>
      <c r="C14" s="391"/>
      <c r="D14" s="399" t="s">
        <v>405</v>
      </c>
      <c r="E14" s="399" t="s">
        <v>6025</v>
      </c>
      <c r="F14" s="393" t="s">
        <v>1199</v>
      </c>
      <c r="G14" s="393" t="s">
        <v>1199</v>
      </c>
      <c r="H14" s="394" t="s">
        <v>1199</v>
      </c>
      <c r="I14" s="394" t="s">
        <v>1199</v>
      </c>
      <c r="J14" s="395"/>
      <c r="K14" s="395"/>
      <c r="L14" s="395"/>
      <c r="M14" s="395"/>
      <c r="N14" s="395"/>
      <c r="O14" s="395"/>
      <c r="P14" s="395"/>
      <c r="Q14" s="395"/>
      <c r="R14" s="395"/>
      <c r="S14" s="396"/>
    </row>
    <row r="15" spans="1:19" ht="27" thickBot="1">
      <c r="A15" s="303" t="s">
        <v>67</v>
      </c>
      <c r="B15" s="390">
        <v>45265</v>
      </c>
      <c r="C15" s="419"/>
      <c r="D15" s="403" t="s">
        <v>1554</v>
      </c>
      <c r="E15" s="403" t="s">
        <v>6026</v>
      </c>
      <c r="F15" s="393" t="s">
        <v>1199</v>
      </c>
      <c r="G15" s="393" t="s">
        <v>1199</v>
      </c>
      <c r="H15" s="405" t="s">
        <v>1206</v>
      </c>
      <c r="I15" s="420"/>
      <c r="J15" s="405"/>
      <c r="K15" s="405"/>
      <c r="L15" s="405"/>
      <c r="M15" s="405"/>
      <c r="N15" s="405"/>
      <c r="O15" s="405"/>
      <c r="P15" s="405"/>
      <c r="Q15" s="405"/>
      <c r="R15" s="405"/>
      <c r="S15" s="406"/>
    </row>
    <row r="16" spans="1:19" ht="27" thickBot="1">
      <c r="A16" s="303" t="s">
        <v>67</v>
      </c>
      <c r="B16" s="390">
        <v>45265</v>
      </c>
      <c r="C16" s="421"/>
      <c r="D16" s="385" t="s">
        <v>4782</v>
      </c>
      <c r="E16" s="385" t="s">
        <v>840</v>
      </c>
      <c r="F16" s="393" t="s">
        <v>1199</v>
      </c>
      <c r="G16" s="398" t="s">
        <v>1199</v>
      </c>
      <c r="H16" s="387" t="s">
        <v>1199</v>
      </c>
      <c r="I16" s="422" t="s">
        <v>1199</v>
      </c>
      <c r="J16" s="387"/>
      <c r="K16" s="423" t="s">
        <v>4306</v>
      </c>
      <c r="L16" s="423"/>
      <c r="M16" s="423"/>
      <c r="N16" s="423"/>
      <c r="O16" s="424">
        <v>1</v>
      </c>
      <c r="P16" s="387"/>
      <c r="Q16" s="387"/>
      <c r="R16" s="387"/>
      <c r="S16" s="389" t="s">
        <v>6027</v>
      </c>
    </row>
    <row r="17" spans="1:19" ht="27" thickBot="1">
      <c r="A17" s="303" t="s">
        <v>67</v>
      </c>
      <c r="B17" s="390">
        <v>45265</v>
      </c>
      <c r="C17" s="391"/>
      <c r="D17" s="392" t="s">
        <v>6028</v>
      </c>
      <c r="E17" s="392" t="s">
        <v>6029</v>
      </c>
      <c r="F17" s="393" t="s">
        <v>1199</v>
      </c>
      <c r="G17" s="393" t="s">
        <v>1199</v>
      </c>
      <c r="H17" s="394" t="s">
        <v>1199</v>
      </c>
      <c r="I17" s="394" t="s">
        <v>1199</v>
      </c>
      <c r="J17" s="395"/>
      <c r="K17" s="395"/>
      <c r="L17" s="395"/>
      <c r="M17" s="395"/>
      <c r="N17" s="395"/>
      <c r="O17" s="395"/>
      <c r="P17" s="395"/>
      <c r="Q17" s="395"/>
      <c r="R17" s="395"/>
      <c r="S17" s="396"/>
    </row>
    <row r="18" spans="1:19" ht="27" thickBot="1">
      <c r="A18" s="303" t="s">
        <v>67</v>
      </c>
      <c r="B18" s="390">
        <v>45265</v>
      </c>
      <c r="C18" s="391"/>
      <c r="D18" s="392" t="s">
        <v>4240</v>
      </c>
      <c r="E18" s="392" t="s">
        <v>1654</v>
      </c>
      <c r="F18" s="393" t="s">
        <v>1199</v>
      </c>
      <c r="G18" s="393" t="s">
        <v>1199</v>
      </c>
      <c r="H18" s="395" t="s">
        <v>1206</v>
      </c>
      <c r="I18" s="394" t="s">
        <v>1199</v>
      </c>
      <c r="J18" s="395"/>
      <c r="K18" s="395"/>
      <c r="L18" s="395"/>
      <c r="M18" s="395"/>
      <c r="N18" s="395"/>
      <c r="O18" s="395"/>
      <c r="P18" s="395"/>
      <c r="Q18" s="395"/>
      <c r="R18" s="395"/>
      <c r="S18" s="396"/>
    </row>
    <row r="19" spans="1:19" ht="42.75" thickBot="1">
      <c r="A19" s="303" t="s">
        <v>85</v>
      </c>
      <c r="B19" s="390">
        <v>45266</v>
      </c>
      <c r="C19" s="391"/>
      <c r="D19" s="425" t="s">
        <v>6030</v>
      </c>
      <c r="E19" s="425" t="s">
        <v>6031</v>
      </c>
      <c r="F19" s="393" t="s">
        <v>1199</v>
      </c>
      <c r="G19" s="393" t="s">
        <v>1199</v>
      </c>
      <c r="H19" s="394" t="s">
        <v>1199</v>
      </c>
      <c r="I19" s="394" t="s">
        <v>1199</v>
      </c>
      <c r="J19" s="395"/>
      <c r="K19" s="395"/>
      <c r="L19" s="395"/>
      <c r="M19" s="395"/>
      <c r="N19" s="395"/>
      <c r="O19" s="395"/>
      <c r="P19" s="395"/>
      <c r="Q19" s="395"/>
      <c r="R19" s="395"/>
      <c r="S19" s="396"/>
    </row>
    <row r="20" spans="1:19" ht="27" thickBot="1">
      <c r="A20" s="303" t="s">
        <v>67</v>
      </c>
      <c r="B20" s="390">
        <v>45265</v>
      </c>
      <c r="C20" s="391"/>
      <c r="D20" s="392" t="s">
        <v>169</v>
      </c>
      <c r="E20" s="392" t="s">
        <v>6032</v>
      </c>
      <c r="F20" s="398" t="s">
        <v>1199</v>
      </c>
      <c r="G20" s="398" t="s">
        <v>1199</v>
      </c>
      <c r="H20" s="395" t="s">
        <v>1206</v>
      </c>
      <c r="I20" s="394" t="s">
        <v>1199</v>
      </c>
      <c r="J20" s="395"/>
      <c r="K20" s="395"/>
      <c r="L20" s="395"/>
      <c r="M20" s="395"/>
      <c r="N20" s="395"/>
      <c r="O20" s="395"/>
      <c r="P20" s="395"/>
      <c r="Q20" s="395"/>
      <c r="R20" s="395"/>
      <c r="S20" s="426"/>
    </row>
    <row r="21" spans="1:19" ht="27" thickBot="1">
      <c r="A21" s="303" t="s">
        <v>67</v>
      </c>
      <c r="B21" s="390">
        <v>45265</v>
      </c>
      <c r="C21" s="414"/>
      <c r="D21" s="380" t="s">
        <v>3914</v>
      </c>
      <c r="E21" s="380" t="s">
        <v>1254</v>
      </c>
      <c r="F21" s="404" t="s">
        <v>1199</v>
      </c>
      <c r="G21" s="404" t="s">
        <v>1199</v>
      </c>
      <c r="H21" s="418" t="s">
        <v>6033</v>
      </c>
      <c r="I21" s="418" t="s">
        <v>6033</v>
      </c>
      <c r="J21" s="427" t="s">
        <v>6034</v>
      </c>
      <c r="K21" s="395"/>
      <c r="L21" s="395"/>
      <c r="M21" s="405"/>
      <c r="N21" s="405"/>
      <c r="O21" s="405"/>
      <c r="P21" s="405"/>
      <c r="Q21" s="405"/>
      <c r="R21" s="405"/>
      <c r="S21" s="406"/>
    </row>
    <row r="22" spans="1:19" ht="27" thickBot="1">
      <c r="A22" s="303" t="s">
        <v>67</v>
      </c>
      <c r="B22" s="390">
        <v>45265</v>
      </c>
      <c r="C22" s="417"/>
      <c r="D22" s="385" t="s">
        <v>48</v>
      </c>
      <c r="E22" s="385" t="s">
        <v>6035</v>
      </c>
      <c r="F22" s="386" t="s">
        <v>6036</v>
      </c>
      <c r="G22" s="386" t="s">
        <v>6036</v>
      </c>
      <c r="H22" s="418" t="s">
        <v>174</v>
      </c>
      <c r="I22" s="418" t="s">
        <v>174</v>
      </c>
      <c r="J22" s="395"/>
      <c r="K22" s="395"/>
      <c r="L22" s="395"/>
      <c r="M22" s="395"/>
      <c r="N22" s="387"/>
      <c r="O22" s="387"/>
      <c r="P22" s="387"/>
      <c r="Q22" s="387"/>
      <c r="R22" s="387"/>
      <c r="S22" s="389"/>
    </row>
    <row r="23" spans="1:19" ht="42.75" thickBot="1">
      <c r="A23" s="303" t="s">
        <v>85</v>
      </c>
      <c r="B23" s="390">
        <v>45266</v>
      </c>
      <c r="C23" s="391"/>
      <c r="D23" s="425" t="s">
        <v>4774</v>
      </c>
      <c r="E23" s="425" t="s">
        <v>6037</v>
      </c>
      <c r="F23" s="393" t="s">
        <v>1199</v>
      </c>
      <c r="G23" s="398" t="s">
        <v>1199</v>
      </c>
      <c r="H23" s="395" t="s">
        <v>1199</v>
      </c>
      <c r="I23" s="394" t="s">
        <v>1199</v>
      </c>
      <c r="J23" s="395"/>
      <c r="K23" s="395"/>
      <c r="L23" s="395"/>
      <c r="M23" s="395"/>
      <c r="N23" s="395"/>
      <c r="O23" s="395"/>
      <c r="P23" s="395"/>
      <c r="Q23" s="395"/>
      <c r="R23" s="395"/>
      <c r="S23" s="396"/>
    </row>
    <row r="24" spans="1:19" ht="42.75" thickBot="1">
      <c r="A24" s="303" t="s">
        <v>85</v>
      </c>
      <c r="B24" s="390">
        <v>45266</v>
      </c>
      <c r="C24" s="391"/>
      <c r="D24" s="392" t="s">
        <v>4782</v>
      </c>
      <c r="E24" s="392" t="s">
        <v>840</v>
      </c>
      <c r="F24" s="398" t="s">
        <v>1199</v>
      </c>
      <c r="G24" s="398" t="s">
        <v>1199</v>
      </c>
      <c r="H24" s="394" t="s">
        <v>1199</v>
      </c>
      <c r="I24" s="394" t="s">
        <v>1199</v>
      </c>
      <c r="J24" s="395"/>
      <c r="K24" s="395"/>
      <c r="L24" s="395"/>
      <c r="M24" s="395"/>
      <c r="N24" s="395"/>
      <c r="O24" s="395"/>
      <c r="P24" s="428">
        <v>1</v>
      </c>
      <c r="Q24" s="395"/>
      <c r="R24" s="395"/>
      <c r="S24" s="396" t="s">
        <v>6038</v>
      </c>
    </row>
    <row r="25" spans="1:19" ht="42.75" thickBot="1">
      <c r="A25" s="303" t="s">
        <v>85</v>
      </c>
      <c r="B25" s="390">
        <v>45266</v>
      </c>
      <c r="C25" s="391"/>
      <c r="D25" s="429" t="s">
        <v>169</v>
      </c>
      <c r="E25" s="429" t="s">
        <v>6039</v>
      </c>
      <c r="F25" s="395" t="s">
        <v>1206</v>
      </c>
      <c r="G25" s="395" t="s">
        <v>1206</v>
      </c>
      <c r="H25" s="395" t="s">
        <v>1206</v>
      </c>
      <c r="I25" s="394" t="s">
        <v>1199</v>
      </c>
      <c r="J25" s="395"/>
      <c r="K25" s="395"/>
      <c r="L25" s="395"/>
      <c r="M25" s="395"/>
      <c r="N25" s="395"/>
      <c r="O25" s="395"/>
      <c r="P25" s="395"/>
      <c r="Q25" s="395"/>
      <c r="R25" s="395"/>
      <c r="S25" s="396"/>
    </row>
    <row r="26" spans="1:19" ht="42.75" thickBot="1">
      <c r="A26" s="303" t="s">
        <v>85</v>
      </c>
      <c r="B26" s="390">
        <v>45266</v>
      </c>
      <c r="C26" s="391"/>
      <c r="D26" s="429" t="s">
        <v>6040</v>
      </c>
      <c r="E26" s="429" t="s">
        <v>6041</v>
      </c>
      <c r="F26" s="393" t="s">
        <v>1206</v>
      </c>
      <c r="G26" s="393" t="s">
        <v>1206</v>
      </c>
      <c r="H26" s="394" t="s">
        <v>1199</v>
      </c>
      <c r="I26" s="394" t="s">
        <v>1199</v>
      </c>
      <c r="J26" s="395"/>
      <c r="K26" s="395"/>
      <c r="L26" s="395"/>
      <c r="M26" s="395"/>
      <c r="N26" s="395"/>
      <c r="O26" s="395"/>
      <c r="P26" s="395"/>
      <c r="Q26" s="395"/>
      <c r="R26" s="395"/>
      <c r="S26" s="396"/>
    </row>
    <row r="27" spans="1:19" ht="42.75" thickBot="1">
      <c r="A27" s="303" t="s">
        <v>85</v>
      </c>
      <c r="B27" s="390">
        <v>45266</v>
      </c>
      <c r="C27" s="391"/>
      <c r="D27" s="392" t="s">
        <v>596</v>
      </c>
      <c r="E27" s="392" t="s">
        <v>1905</v>
      </c>
      <c r="F27" s="395" t="s">
        <v>1199</v>
      </c>
      <c r="G27" s="395" t="s">
        <v>1199</v>
      </c>
      <c r="H27" s="395" t="s">
        <v>1199</v>
      </c>
      <c r="I27" s="394" t="s">
        <v>1199</v>
      </c>
      <c r="J27" s="395"/>
      <c r="K27" s="395"/>
      <c r="L27" s="395"/>
      <c r="M27" s="395"/>
      <c r="N27" s="395"/>
      <c r="O27" s="395"/>
      <c r="P27" s="395"/>
      <c r="Q27" s="395"/>
      <c r="R27" s="395"/>
      <c r="S27" s="396"/>
    </row>
    <row r="28" spans="1:19" ht="27" thickBot="1">
      <c r="A28" s="303" t="s">
        <v>105</v>
      </c>
      <c r="B28" s="390">
        <v>45267</v>
      </c>
      <c r="C28" s="391"/>
      <c r="D28" s="425" t="s">
        <v>63</v>
      </c>
      <c r="E28" s="425" t="s">
        <v>6042</v>
      </c>
      <c r="F28" s="393" t="s">
        <v>1199</v>
      </c>
      <c r="G28" s="393" t="s">
        <v>1199</v>
      </c>
      <c r="H28" s="395" t="s">
        <v>1199</v>
      </c>
      <c r="I28" s="394" t="s">
        <v>1206</v>
      </c>
      <c r="J28" s="427" t="s">
        <v>30</v>
      </c>
      <c r="K28" s="395"/>
      <c r="L28" s="395"/>
      <c r="M28" s="395"/>
      <c r="N28" s="395"/>
      <c r="O28" s="395"/>
      <c r="P28" s="395"/>
      <c r="Q28" s="395"/>
      <c r="R28" s="395"/>
      <c r="S28" s="396"/>
    </row>
    <row r="29" spans="1:19" ht="27" thickBot="1">
      <c r="A29" s="303" t="s">
        <v>105</v>
      </c>
      <c r="B29" s="390">
        <v>45267</v>
      </c>
      <c r="C29" s="391"/>
      <c r="D29" s="429" t="s">
        <v>3493</v>
      </c>
      <c r="E29" s="429" t="s">
        <v>6043</v>
      </c>
      <c r="F29" s="393" t="s">
        <v>1199</v>
      </c>
      <c r="G29" s="393" t="s">
        <v>1199</v>
      </c>
      <c r="H29" s="394" t="s">
        <v>1206</v>
      </c>
      <c r="I29" s="394" t="s">
        <v>1206</v>
      </c>
      <c r="J29" s="430"/>
      <c r="K29" s="395" t="s">
        <v>6044</v>
      </c>
      <c r="L29" s="395"/>
      <c r="M29" s="395"/>
      <c r="N29" s="395"/>
      <c r="O29" s="395"/>
      <c r="P29" s="395"/>
      <c r="Q29" s="395"/>
      <c r="R29" s="395"/>
      <c r="S29" s="431" t="s">
        <v>6045</v>
      </c>
    </row>
    <row r="30" spans="1:19" ht="27" thickBot="1">
      <c r="A30" s="303" t="s">
        <v>105</v>
      </c>
      <c r="B30" s="390">
        <v>45267</v>
      </c>
      <c r="C30" s="432"/>
      <c r="D30" s="429" t="s">
        <v>2729</v>
      </c>
      <c r="E30" s="433" t="s">
        <v>6046</v>
      </c>
      <c r="F30" s="394" t="s">
        <v>1206</v>
      </c>
      <c r="G30" s="394" t="s">
        <v>1206</v>
      </c>
      <c r="H30" s="394" t="s">
        <v>1206</v>
      </c>
      <c r="I30" s="394" t="s">
        <v>1206</v>
      </c>
      <c r="J30" s="427" t="s">
        <v>30</v>
      </c>
      <c r="K30" s="395"/>
      <c r="L30" s="395"/>
      <c r="M30" s="395"/>
      <c r="N30" s="395"/>
      <c r="O30" s="395"/>
      <c r="P30" s="395"/>
      <c r="Q30" s="395"/>
      <c r="R30" s="395"/>
      <c r="S30" s="396"/>
    </row>
    <row r="31" spans="1:19" ht="27" thickBot="1">
      <c r="A31" s="303" t="s">
        <v>105</v>
      </c>
      <c r="B31" s="390">
        <v>45267</v>
      </c>
      <c r="C31" s="391"/>
      <c r="D31" s="392" t="s">
        <v>2397</v>
      </c>
      <c r="E31" s="392" t="s">
        <v>450</v>
      </c>
      <c r="F31" s="393" t="s">
        <v>1199</v>
      </c>
      <c r="G31" s="398" t="s">
        <v>1199</v>
      </c>
      <c r="H31" s="395" t="s">
        <v>1199</v>
      </c>
      <c r="I31" s="394" t="s">
        <v>1206</v>
      </c>
      <c r="J31" s="395"/>
      <c r="K31" s="427" t="s">
        <v>30</v>
      </c>
      <c r="L31" s="395"/>
      <c r="M31" s="395"/>
      <c r="N31" s="395"/>
      <c r="O31" s="427" t="s">
        <v>30</v>
      </c>
      <c r="P31" s="434">
        <v>2</v>
      </c>
      <c r="Q31" s="395"/>
      <c r="R31" s="395"/>
      <c r="S31" s="396" t="s">
        <v>6047</v>
      </c>
    </row>
    <row r="32" spans="1:19" ht="27" thickBot="1">
      <c r="A32" s="303" t="s">
        <v>105</v>
      </c>
      <c r="B32" s="390">
        <v>45267</v>
      </c>
      <c r="C32" s="391"/>
      <c r="D32" s="435" t="s">
        <v>1421</v>
      </c>
      <c r="E32" s="435" t="s">
        <v>659</v>
      </c>
      <c r="F32" s="393" t="s">
        <v>1199</v>
      </c>
      <c r="G32" s="397" t="s">
        <v>1199</v>
      </c>
      <c r="H32" s="395" t="s">
        <v>1199</v>
      </c>
      <c r="I32" s="394" t="s">
        <v>1206</v>
      </c>
      <c r="J32" s="427" t="s">
        <v>30</v>
      </c>
      <c r="K32" s="395"/>
      <c r="L32" s="395"/>
      <c r="M32" s="395"/>
      <c r="N32" s="395"/>
      <c r="O32" s="395"/>
      <c r="P32" s="395"/>
      <c r="Q32" s="395"/>
      <c r="R32" s="395"/>
      <c r="S32" s="396"/>
    </row>
    <row r="33" spans="1:19" ht="42.75" thickBot="1">
      <c r="A33" s="303" t="s">
        <v>132</v>
      </c>
      <c r="B33" s="390">
        <v>45268</v>
      </c>
      <c r="C33" s="391"/>
      <c r="D33" s="380" t="s">
        <v>204</v>
      </c>
      <c r="E33" s="392" t="s">
        <v>450</v>
      </c>
      <c r="F33" s="394" t="s">
        <v>1199</v>
      </c>
      <c r="G33" s="394" t="s">
        <v>1199</v>
      </c>
      <c r="H33" s="395" t="s">
        <v>1199</v>
      </c>
      <c r="I33" s="394" t="s">
        <v>1199</v>
      </c>
      <c r="J33" s="427" t="s">
        <v>30</v>
      </c>
      <c r="K33" s="395"/>
      <c r="L33" s="395"/>
      <c r="M33" s="395"/>
      <c r="N33" s="395"/>
      <c r="O33" s="395"/>
      <c r="P33" s="434">
        <v>2</v>
      </c>
      <c r="Q33" s="395"/>
      <c r="R33" s="395"/>
      <c r="S33" s="436" t="s">
        <v>6048</v>
      </c>
    </row>
    <row r="34" spans="1:19" ht="42.75" thickBot="1">
      <c r="A34" s="303" t="s">
        <v>132</v>
      </c>
      <c r="B34" s="390">
        <v>45268</v>
      </c>
      <c r="C34" s="391"/>
      <c r="D34" s="435" t="s">
        <v>450</v>
      </c>
      <c r="E34" s="435" t="s">
        <v>6049</v>
      </c>
      <c r="F34" s="395" t="s">
        <v>1199</v>
      </c>
      <c r="G34" s="395" t="s">
        <v>1199</v>
      </c>
      <c r="H34" s="395" t="s">
        <v>1199</v>
      </c>
      <c r="I34" s="393"/>
      <c r="J34" s="395"/>
      <c r="K34" s="427" t="s">
        <v>37</v>
      </c>
      <c r="L34" s="395"/>
      <c r="M34" s="395"/>
      <c r="N34" s="395"/>
      <c r="O34" s="395"/>
      <c r="P34" s="395"/>
      <c r="Q34" s="395"/>
      <c r="R34" s="395"/>
      <c r="S34" s="396" t="s">
        <v>6050</v>
      </c>
    </row>
    <row r="35" spans="1:19" ht="42.75" thickBot="1">
      <c r="A35" s="303" t="s">
        <v>132</v>
      </c>
      <c r="B35" s="390">
        <v>45268</v>
      </c>
      <c r="C35" s="391"/>
      <c r="D35" s="392" t="s">
        <v>6051</v>
      </c>
      <c r="E35" s="392" t="s">
        <v>6052</v>
      </c>
      <c r="F35" s="395" t="s">
        <v>1199</v>
      </c>
      <c r="G35" s="395" t="s">
        <v>1199</v>
      </c>
      <c r="H35" s="395" t="s">
        <v>1199</v>
      </c>
      <c r="I35" s="394" t="s">
        <v>1199</v>
      </c>
      <c r="J35" s="395"/>
      <c r="K35" s="395"/>
      <c r="L35" s="395"/>
      <c r="M35" s="395"/>
      <c r="N35" s="395"/>
      <c r="O35" s="395"/>
      <c r="P35" s="395"/>
      <c r="Q35" s="395"/>
      <c r="R35" s="395"/>
      <c r="S35" s="396"/>
    </row>
    <row r="36" spans="1:19" ht="42.75" thickBot="1">
      <c r="A36" s="303" t="s">
        <v>132</v>
      </c>
      <c r="B36" s="390">
        <v>45268</v>
      </c>
      <c r="C36" s="391"/>
      <c r="D36" s="392" t="s">
        <v>877</v>
      </c>
      <c r="E36" s="392" t="s">
        <v>1196</v>
      </c>
      <c r="F36" s="395" t="s">
        <v>1199</v>
      </c>
      <c r="G36" s="395" t="s">
        <v>1199</v>
      </c>
      <c r="H36" s="395" t="s">
        <v>1199</v>
      </c>
      <c r="I36" s="395" t="s">
        <v>1206</v>
      </c>
      <c r="J36" s="395"/>
      <c r="K36" s="395"/>
      <c r="L36" s="395"/>
      <c r="M36" s="395"/>
      <c r="N36" s="395"/>
      <c r="O36" s="395"/>
      <c r="P36" s="395"/>
      <c r="Q36" s="395"/>
      <c r="R36" s="395"/>
      <c r="S36" s="396"/>
    </row>
    <row r="37" spans="1:19" ht="42.75" thickBot="1">
      <c r="A37" s="303" t="s">
        <v>132</v>
      </c>
      <c r="B37" s="390">
        <v>45268</v>
      </c>
      <c r="C37" s="437"/>
      <c r="D37" s="392" t="s">
        <v>304</v>
      </c>
      <c r="E37" s="392" t="s">
        <v>4278</v>
      </c>
      <c r="F37" s="395" t="s">
        <v>1199</v>
      </c>
      <c r="G37" s="395" t="s">
        <v>1199</v>
      </c>
      <c r="H37" s="418" t="s">
        <v>1613</v>
      </c>
      <c r="I37" s="393"/>
      <c r="J37" s="427" t="s">
        <v>30</v>
      </c>
      <c r="K37" s="395"/>
      <c r="L37" s="395"/>
      <c r="M37" s="395"/>
      <c r="N37" s="395"/>
      <c r="O37" s="395"/>
      <c r="P37" s="395"/>
      <c r="Q37" s="395"/>
      <c r="R37" s="395"/>
      <c r="S37" s="396"/>
    </row>
  </sheetData>
  <hyperlinks>
    <hyperlink ref="S33" r:id="rId1" display="mailto:florent.dufond@feroway.com" xr:uid="{13E52AC3-0A58-4BCF-8841-92284E1D83DC}"/>
  </hyperlinks>
  <pageMargins left="0.7" right="0.7" top="0.75" bottom="0.75" header="0.3" footer="0.3"/>
  <customProperties>
    <customPr name="_pios_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B90D4-4CFC-4F61-8823-684BD77FC7A2}">
  <sheetPr codeName="Feuil3"/>
  <dimension ref="A2:C8"/>
  <sheetViews>
    <sheetView zoomScale="85" zoomScaleNormal="85" workbookViewId="0">
      <selection activeCell="C5" sqref="C5"/>
    </sheetView>
  </sheetViews>
  <sheetFormatPr baseColWidth="10" defaultColWidth="13" defaultRowHeight="12"/>
  <cols>
    <col min="1" max="1" width="15.5703125" style="15" customWidth="1"/>
    <col min="2" max="2" width="18.5703125" style="16" customWidth="1"/>
    <col min="3" max="3" width="201.5703125" style="15" customWidth="1"/>
    <col min="4" max="16384" width="13" style="15"/>
  </cols>
  <sheetData>
    <row r="2" spans="1:3" ht="12.75" thickBot="1"/>
    <row r="3" spans="1:3" ht="36.75" customHeight="1" thickBot="1">
      <c r="A3" s="5190" t="s">
        <v>6053</v>
      </c>
      <c r="B3" s="5191"/>
      <c r="C3" s="5192"/>
    </row>
    <row r="4" spans="1:3" ht="62.25" customHeight="1">
      <c r="A4" s="1"/>
      <c r="B4" s="2" t="s">
        <v>6054</v>
      </c>
      <c r="C4" s="3" t="s">
        <v>6055</v>
      </c>
    </row>
    <row r="5" spans="1:3" ht="288.75" customHeight="1">
      <c r="A5" s="4"/>
      <c r="B5" s="5" t="s">
        <v>6056</v>
      </c>
      <c r="C5" s="6" t="s">
        <v>6057</v>
      </c>
    </row>
    <row r="6" spans="1:3" ht="291.60000000000002" customHeight="1">
      <c r="A6" s="7"/>
      <c r="B6" s="8" t="s">
        <v>6058</v>
      </c>
      <c r="C6" s="9" t="s">
        <v>6059</v>
      </c>
    </row>
    <row r="7" spans="1:3" ht="72" customHeight="1">
      <c r="A7" s="10"/>
      <c r="B7" s="5" t="s">
        <v>6060</v>
      </c>
      <c r="C7" s="11" t="s">
        <v>6061</v>
      </c>
    </row>
    <row r="8" spans="1:3" ht="276" customHeight="1" thickBot="1">
      <c r="A8" s="12"/>
      <c r="B8" s="13" t="s">
        <v>6062</v>
      </c>
      <c r="C8" s="14" t="s">
        <v>6063</v>
      </c>
    </row>
  </sheetData>
  <mergeCells count="1">
    <mergeCell ref="A3:C3"/>
  </mergeCells>
  <pageMargins left="0.7" right="0.7" top="0.75" bottom="0.75" header="0.3" footer="0.3"/>
  <pageSetup paperSize="9" orientation="portrait" r:id="rId1"/>
  <customProperties>
    <customPr name="_pios_id" r:id="rId2"/>
  </customProperties>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830B-08F2-4544-8B1F-56AB9B7A3629}">
  <sheetPr codeName="Feuil4"/>
  <dimension ref="A1"/>
  <sheetViews>
    <sheetView workbookViewId="0">
      <selection activeCell="H26" sqref="H26"/>
    </sheetView>
  </sheetViews>
  <sheetFormatPr baseColWidth="10" defaultColWidth="11.42578125" defaultRowHeight="15"/>
  <sheetData/>
  <pageMargins left="0.7" right="0.7" top="0.75" bottom="0.75" header="0.3" footer="0.3"/>
  <customProperties>
    <customPr name="_pios_id" r:id="rId1"/>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55CCA-D82F-4D78-A6C0-EF96F1B69361}">
  <sheetPr codeName="Feuil5"/>
  <dimension ref="C2:I30"/>
  <sheetViews>
    <sheetView workbookViewId="0">
      <selection activeCell="F28" sqref="F28"/>
    </sheetView>
  </sheetViews>
  <sheetFormatPr baseColWidth="10" defaultColWidth="11.42578125" defaultRowHeight="15"/>
  <cols>
    <col min="4" max="4" width="52.5703125" bestFit="1" customWidth="1"/>
    <col min="5" max="5" width="39.42578125" customWidth="1"/>
    <col min="6" max="6" width="45.5703125" customWidth="1"/>
    <col min="7" max="8" width="35.42578125" customWidth="1"/>
  </cols>
  <sheetData>
    <row r="2" spans="3:9">
      <c r="C2" t="s">
        <v>6064</v>
      </c>
      <c r="D2" t="s">
        <v>6065</v>
      </c>
      <c r="E2" t="s">
        <v>6066</v>
      </c>
      <c r="F2" s="40" t="s">
        <v>6067</v>
      </c>
      <c r="G2" s="40" t="s">
        <v>122</v>
      </c>
      <c r="H2" s="40" t="s">
        <v>231</v>
      </c>
    </row>
    <row r="3" spans="3:9">
      <c r="C3" t="s">
        <v>71</v>
      </c>
      <c r="D3" t="s">
        <v>371</v>
      </c>
      <c r="E3" t="s">
        <v>736</v>
      </c>
      <c r="F3" s="38" t="s">
        <v>323</v>
      </c>
      <c r="G3" s="38" t="s">
        <v>4038</v>
      </c>
      <c r="H3" s="38"/>
    </row>
    <row r="4" spans="3:9">
      <c r="C4" t="s">
        <v>0</v>
      </c>
      <c r="D4" t="s">
        <v>720</v>
      </c>
      <c r="E4" t="s">
        <v>526</v>
      </c>
      <c r="F4" s="39" t="s">
        <v>1268</v>
      </c>
      <c r="G4" s="39" t="s">
        <v>110</v>
      </c>
      <c r="H4" s="39" t="s">
        <v>1048</v>
      </c>
    </row>
    <row r="5" spans="3:9">
      <c r="C5" t="s">
        <v>109</v>
      </c>
      <c r="D5" t="s">
        <v>178</v>
      </c>
      <c r="E5" t="s">
        <v>187</v>
      </c>
      <c r="F5" s="38" t="s">
        <v>110</v>
      </c>
      <c r="G5" s="39" t="s">
        <v>231</v>
      </c>
      <c r="H5" s="39"/>
    </row>
    <row r="6" spans="3:9">
      <c r="C6" t="s">
        <v>122</v>
      </c>
      <c r="D6" t="s">
        <v>138</v>
      </c>
      <c r="E6" t="s">
        <v>110</v>
      </c>
      <c r="F6" s="38" t="s">
        <v>794</v>
      </c>
      <c r="G6" s="2462" t="s">
        <v>6068</v>
      </c>
      <c r="H6" s="2462" t="s">
        <v>232</v>
      </c>
    </row>
    <row r="7" spans="3:9">
      <c r="C7" t="s">
        <v>231</v>
      </c>
      <c r="D7" t="s">
        <v>72</v>
      </c>
      <c r="E7" t="s">
        <v>343</v>
      </c>
      <c r="F7" s="38" t="s">
        <v>1109</v>
      </c>
      <c r="G7" s="42" t="s">
        <v>174</v>
      </c>
      <c r="H7" s="42"/>
    </row>
    <row r="8" spans="3:9">
      <c r="D8" t="s">
        <v>2932</v>
      </c>
      <c r="E8" t="s">
        <v>891</v>
      </c>
      <c r="F8" s="38" t="s">
        <v>300</v>
      </c>
      <c r="G8" s="42" t="s">
        <v>123</v>
      </c>
      <c r="H8" s="42"/>
    </row>
    <row r="9" spans="3:9">
      <c r="D9" t="s">
        <v>3109</v>
      </c>
      <c r="E9" t="s">
        <v>6069</v>
      </c>
      <c r="F9" s="39" t="s">
        <v>1589</v>
      </c>
      <c r="G9" s="42"/>
      <c r="H9" s="42"/>
    </row>
    <row r="10" spans="3:9">
      <c r="D10" t="s">
        <v>2989</v>
      </c>
      <c r="E10" t="s">
        <v>3799</v>
      </c>
      <c r="F10" s="39" t="s">
        <v>1367</v>
      </c>
      <c r="G10" s="43"/>
      <c r="H10" s="43"/>
    </row>
    <row r="11" spans="3:9">
      <c r="E11" t="s">
        <v>757</v>
      </c>
      <c r="F11" s="38" t="s">
        <v>1019</v>
      </c>
      <c r="G11" s="42"/>
      <c r="H11" s="42"/>
    </row>
    <row r="12" spans="3:9">
      <c r="E12" t="s">
        <v>31</v>
      </c>
      <c r="F12" s="38" t="s">
        <v>255</v>
      </c>
      <c r="G12" s="43"/>
      <c r="H12" s="43"/>
    </row>
    <row r="13" spans="3:9">
      <c r="E13" t="s">
        <v>782</v>
      </c>
      <c r="F13" s="38" t="s">
        <v>4673</v>
      </c>
      <c r="G13" s="37"/>
      <c r="H13" s="37"/>
    </row>
    <row r="14" spans="3:9">
      <c r="E14" t="s">
        <v>126</v>
      </c>
      <c r="F14" s="38" t="s">
        <v>1847</v>
      </c>
      <c r="G14" s="41"/>
      <c r="H14" s="41"/>
      <c r="I14" s="23"/>
    </row>
    <row r="15" spans="3:9">
      <c r="E15" t="s">
        <v>6343</v>
      </c>
      <c r="F15" s="39" t="s">
        <v>610</v>
      </c>
    </row>
    <row r="16" spans="3:9">
      <c r="F16" s="38" t="s">
        <v>159</v>
      </c>
    </row>
    <row r="17" spans="4:6">
      <c r="F17" s="39" t="s">
        <v>1971</v>
      </c>
    </row>
    <row r="18" spans="4:6">
      <c r="F18" s="38" t="s">
        <v>213</v>
      </c>
    </row>
    <row r="19" spans="4:6">
      <c r="F19" s="38" t="s">
        <v>484</v>
      </c>
    </row>
    <row r="20" spans="4:6">
      <c r="F20" s="38" t="s">
        <v>1428</v>
      </c>
    </row>
    <row r="23" spans="4:6">
      <c r="D23" t="s">
        <v>6070</v>
      </c>
    </row>
    <row r="24" spans="4:6">
      <c r="D24" t="s">
        <v>6118</v>
      </c>
    </row>
    <row r="25" spans="4:6">
      <c r="D25" t="s">
        <v>6116</v>
      </c>
    </row>
    <row r="26" spans="4:6">
      <c r="D26" t="s">
        <v>324</v>
      </c>
    </row>
    <row r="27" spans="4:6">
      <c r="D27" t="s">
        <v>6117</v>
      </c>
    </row>
    <row r="28" spans="4:6">
      <c r="D28" t="s">
        <v>46</v>
      </c>
    </row>
    <row r="29" spans="4:6">
      <c r="D29" t="s">
        <v>6119</v>
      </c>
    </row>
    <row r="30" spans="4:6">
      <c r="D30" t="s">
        <v>6120</v>
      </c>
    </row>
  </sheetData>
  <pageMargins left="0.7" right="0.7" top="0.75" bottom="0.75" header="0.3" footer="0.3"/>
  <customProperties>
    <customPr name="_pios_id" r:id="rId1"/>
  </customProperties>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igrationWizIdPermissions xmlns="0033c633-00f8-4d36-8a8b-9fa02cbcbc5a" xsi:nil="true"/>
    <TaxCatchAll xmlns="e1a41b10-afb6-4bcb-ac52-621b15afd2fa" xsi:nil="true"/>
    <lcf76f155ced4ddcb4097134ff3c332f xmlns="0033c633-00f8-4d36-8a8b-9fa02cbcbc5a">
      <Terms xmlns="http://schemas.microsoft.com/office/infopath/2007/PartnerControls"/>
    </lcf76f155ced4ddcb4097134ff3c332f>
    <MigrationWizIdVersion xmlns="0033c633-00f8-4d36-8a8b-9fa02cbcbc5a" xsi:nil="true"/>
    <MigrationWizId xmlns="0033c633-00f8-4d36-8a8b-9fa02cbcbc5a"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933C66C3C5D8E44A902E0FC6AD335150" ma:contentTypeVersion="17" ma:contentTypeDescription="Crée un document." ma:contentTypeScope="" ma:versionID="51761faa7f8fb96a4228407b311950bb">
  <xsd:schema xmlns:xsd="http://www.w3.org/2001/XMLSchema" xmlns:xs="http://www.w3.org/2001/XMLSchema" xmlns:p="http://schemas.microsoft.com/office/2006/metadata/properties" xmlns:ns2="0033c633-00f8-4d36-8a8b-9fa02cbcbc5a" xmlns:ns3="e1a41b10-afb6-4bcb-ac52-621b15afd2fa" targetNamespace="http://schemas.microsoft.com/office/2006/metadata/properties" ma:root="true" ma:fieldsID="e3ab29295323aa57ac5161abb8aaec59" ns2:_="" ns3:_="">
    <xsd:import namespace="0033c633-00f8-4d36-8a8b-9fa02cbcbc5a"/>
    <xsd:import namespace="e1a41b10-afb6-4bcb-ac52-621b15afd2fa"/>
    <xsd:element name="properties">
      <xsd:complexType>
        <xsd:sequence>
          <xsd:element name="documentManagement">
            <xsd:complexType>
              <xsd:all>
                <xsd:element ref="ns2:MigrationWizId" minOccurs="0"/>
                <xsd:element ref="ns2:MigrationWizIdPermissions" minOccurs="0"/>
                <xsd:element ref="ns2:MigrationWizIdVersion"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33c633-00f8-4d36-8a8b-9fa02cbcbc5a"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Version" ma:index="10" nillable="true" ma:displayName="MigrationWizIdVersion" ma:internalName="MigrationWizIdVersion">
      <xsd:simpleType>
        <xsd:restriction base="dms:Text"/>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Balises d’images" ma:readOnly="false" ma:fieldId="{5cf76f15-5ced-4ddc-b409-7134ff3c332f}" ma:taxonomyMulti="true" ma:sspId="635b3bba-2198-47c6-9ccb-53d97700fa8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1a41b10-afb6-4bcb-ac52-621b15afd2fa" elementFormDefault="qualified">
    <xsd:import namespace="http://schemas.microsoft.com/office/2006/documentManagement/types"/>
    <xsd:import namespace="http://schemas.microsoft.com/office/infopath/2007/PartnerControls"/>
    <xsd:element name="SharedWithUsers" ma:index="13"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Partagé avec détails" ma:internalName="SharedWithDetails" ma:readOnly="true">
      <xsd:simpleType>
        <xsd:restriction base="dms:Note">
          <xsd:maxLength value="255"/>
        </xsd:restriction>
      </xsd:simpleType>
    </xsd:element>
    <xsd:element name="TaxCatchAll" ma:index="17" nillable="true" ma:displayName="Taxonomy Catch All Column" ma:hidden="true" ma:list="{4dc1a307-f6fb-4bc5-8482-cb768c5b3ead}" ma:internalName="TaxCatchAll" ma:showField="CatchAllData" ma:web="e1a41b10-afb6-4bcb-ac52-621b15afd2f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9FE314-81F8-420D-9EC0-8BE6D40FAFF7}">
  <ds:schemaRefs>
    <ds:schemaRef ds:uri="http://schemas.microsoft.com/DataMashup"/>
  </ds:schemaRefs>
</ds:datastoreItem>
</file>

<file path=customXml/itemProps2.xml><?xml version="1.0" encoding="utf-8"?>
<ds:datastoreItem xmlns:ds="http://schemas.openxmlformats.org/officeDocument/2006/customXml" ds:itemID="{688C16E5-BE9A-4B1C-9441-9ED424FE29B6}">
  <ds:schemaRefs>
    <ds:schemaRef ds:uri="http://schemas.microsoft.com/sharepoint/v3/contenttype/forms"/>
  </ds:schemaRefs>
</ds:datastoreItem>
</file>

<file path=customXml/itemProps3.xml><?xml version="1.0" encoding="utf-8"?>
<ds:datastoreItem xmlns:ds="http://schemas.openxmlformats.org/officeDocument/2006/customXml" ds:itemID="{D693DFA4-F8AF-46C5-828C-B57CA9EBA74C}">
  <ds:schemaRefs>
    <ds:schemaRef ds:uri="http://purl.org/dc/elements/1.1/"/>
    <ds:schemaRef ds:uri="http://schemas.microsoft.com/office/2006/metadata/properties"/>
    <ds:schemaRef ds:uri="http://purl.org/dc/dcmitype/"/>
    <ds:schemaRef ds:uri="e1a41b10-afb6-4bcb-ac52-621b15afd2fa"/>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0033c633-00f8-4d36-8a8b-9fa02cbcbc5a"/>
    <ds:schemaRef ds:uri="http://purl.org/dc/terms/"/>
  </ds:schemaRefs>
</ds:datastoreItem>
</file>

<file path=customXml/itemProps4.xml><?xml version="1.0" encoding="utf-8"?>
<ds:datastoreItem xmlns:ds="http://schemas.openxmlformats.org/officeDocument/2006/customXml" ds:itemID="{44315640-4380-4699-A1DA-0B9A35D616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33c633-00f8-4d36-8a8b-9fa02cbcbc5a"/>
    <ds:schemaRef ds:uri="e1a41b10-afb6-4bcb-ac52-621b15afd2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8731832-40da-4546-9203-f68390800051}" enabled="0" method="" siteId="{98731832-40da-4546-9203-f6839080005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10</vt:i4>
      </vt:variant>
      <vt:variant>
        <vt:lpstr>Graphiques</vt:lpstr>
      </vt:variant>
      <vt:variant>
        <vt:i4>1</vt:i4>
      </vt:variant>
      <vt:variant>
        <vt:lpstr>Plages nommées</vt:lpstr>
      </vt:variant>
      <vt:variant>
        <vt:i4>11</vt:i4>
      </vt:variant>
    </vt:vector>
  </HeadingPairs>
  <TitlesOfParts>
    <vt:vector size="22" baseType="lpstr">
      <vt:lpstr>Feuil4</vt:lpstr>
      <vt:lpstr>2026</vt:lpstr>
      <vt:lpstr>2025</vt:lpstr>
      <vt:lpstr>Feuil3</vt:lpstr>
      <vt:lpstr>Feuil2</vt:lpstr>
      <vt:lpstr>2024</vt:lpstr>
      <vt:lpstr>Feuil1</vt:lpstr>
      <vt:lpstr>CR  (2)</vt:lpstr>
      <vt:lpstr>Indicateur</vt:lpstr>
      <vt:lpstr>Motifs</vt:lpstr>
      <vt:lpstr>Graphique1</vt:lpstr>
      <vt:lpstr>'2025'!agences</vt:lpstr>
      <vt:lpstr>'2026'!agences</vt:lpstr>
      <vt:lpstr>agences</vt:lpstr>
      <vt:lpstr>cause</vt:lpstr>
      <vt:lpstr>Chantier</vt:lpstr>
      <vt:lpstr>Client</vt:lpstr>
      <vt:lpstr>'2025'!Externe</vt:lpstr>
      <vt:lpstr>'2026'!Externe</vt:lpstr>
      <vt:lpstr>Externe</vt:lpstr>
      <vt:lpstr>Feroway</vt:lpstr>
      <vt:lpstr>G.I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KRIEF Benjamin</dc:creator>
  <cp:keywords/>
  <dc:description/>
  <cp:lastModifiedBy>RIGAUD Jérome</cp:lastModifiedBy>
  <cp:revision/>
  <dcterms:created xsi:type="dcterms:W3CDTF">2022-01-08T10:12:03Z</dcterms:created>
  <dcterms:modified xsi:type="dcterms:W3CDTF">2026-06-09T14:02:25Z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0x010100933C66C3C5D8E44A902E0FC6AD335150</vt:lpwstr>
  </property>
</Properties>
</file>